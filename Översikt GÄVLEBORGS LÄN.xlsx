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45911</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24219-2025</t>
        </is>
      </c>
      <c r="B3" s="1" t="n">
        <v>45797.36209490741</v>
      </c>
      <c r="C3" s="1" t="n">
        <v>45911</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34616-2022</t>
        </is>
      </c>
      <c r="B4" s="1" t="n">
        <v>44795</v>
      </c>
      <c r="C4" s="1" t="n">
        <v>45911</v>
      </c>
      <c r="D4" t="inlineStr">
        <is>
          <t>GÄVLEBORGS LÄN</t>
        </is>
      </c>
      <c r="E4" t="inlineStr">
        <is>
          <t>HOFORS</t>
        </is>
      </c>
      <c r="G4" t="n">
        <v>12.9</v>
      </c>
      <c r="H4" t="n">
        <v>4</v>
      </c>
      <c r="I4" t="n">
        <v>19</v>
      </c>
      <c r="J4" t="n">
        <v>6</v>
      </c>
      <c r="K4" t="n">
        <v>3</v>
      </c>
      <c r="L4" t="n">
        <v>1</v>
      </c>
      <c r="M4" t="n">
        <v>0</v>
      </c>
      <c r="N4" t="n">
        <v>0</v>
      </c>
      <c r="O4" t="n">
        <v>10</v>
      </c>
      <c r="P4" t="n">
        <v>4</v>
      </c>
      <c r="Q4" t="n">
        <v>31</v>
      </c>
      <c r="R4"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25389-2025</t>
        </is>
      </c>
      <c r="B5" s="1" t="n">
        <v>45800.64586805556</v>
      </c>
      <c r="C5" s="1" t="n">
        <v>45911</v>
      </c>
      <c r="D5" t="inlineStr">
        <is>
          <t>GÄVLEBORGS LÄN</t>
        </is>
      </c>
      <c r="E5" t="inlineStr">
        <is>
          <t>LJUSDAL</t>
        </is>
      </c>
      <c r="F5" t="inlineStr">
        <is>
          <t>Allmännings- och besparingsskogar</t>
        </is>
      </c>
      <c r="G5" t="n">
        <v>41.1</v>
      </c>
      <c r="H5" t="n">
        <v>7</v>
      </c>
      <c r="I5" t="n">
        <v>5</v>
      </c>
      <c r="J5" t="n">
        <v>17</v>
      </c>
      <c r="K5" t="n">
        <v>1</v>
      </c>
      <c r="L5" t="n">
        <v>0</v>
      </c>
      <c r="M5" t="n">
        <v>0</v>
      </c>
      <c r="N5" t="n">
        <v>0</v>
      </c>
      <c r="O5" t="n">
        <v>18</v>
      </c>
      <c r="P5" t="n">
        <v>1</v>
      </c>
      <c r="Q5" t="n">
        <v>25</v>
      </c>
      <c r="R5"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5">
        <f>HYPERLINK("https://klasma.github.io/Logging_2161/artfynd/A 25389-2025 artfynd.xlsx", "A 25389-2025")</f>
        <v/>
      </c>
      <c r="T5">
        <f>HYPERLINK("https://klasma.github.io/Logging_2161/kartor/A 25389-2025 karta.png", "A 25389-2025")</f>
        <v/>
      </c>
      <c r="V5">
        <f>HYPERLINK("https://klasma.github.io/Logging_2161/klagomål/A 25389-2025 FSC-klagomål.docx", "A 25389-2025")</f>
        <v/>
      </c>
      <c r="W5">
        <f>HYPERLINK("https://klasma.github.io/Logging_2161/klagomålsmail/A 25389-2025 FSC-klagomål mail.docx", "A 25389-2025")</f>
        <v/>
      </c>
      <c r="X5">
        <f>HYPERLINK("https://klasma.github.io/Logging_2161/tillsyn/A 25389-2025 tillsynsbegäran.docx", "A 25389-2025")</f>
        <v/>
      </c>
      <c r="Y5">
        <f>HYPERLINK("https://klasma.github.io/Logging_2161/tillsynsmail/A 25389-2025 tillsynsbegäran mail.docx", "A 25389-2025")</f>
        <v/>
      </c>
      <c r="Z5">
        <f>HYPERLINK("https://klasma.github.io/Logging_2161/fåglar/A 25389-2025 prioriterade fågelarter.docx", "A 25389-2025")</f>
        <v/>
      </c>
    </row>
    <row r="6" ht="15" customHeight="1">
      <c r="A6" t="inlineStr">
        <is>
          <t>A 25384-2021</t>
        </is>
      </c>
      <c r="B6" s="1" t="n">
        <v>44342.60469907407</v>
      </c>
      <c r="C6" s="1" t="n">
        <v>45911</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45911</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9021-2025</t>
        </is>
      </c>
      <c r="B8" s="1" t="n">
        <v>45713</v>
      </c>
      <c r="C8" s="1" t="n">
        <v>45911</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23984-2022</t>
        </is>
      </c>
      <c r="B9" s="1" t="n">
        <v>44722</v>
      </c>
      <c r="C9" s="1" t="n">
        <v>45911</v>
      </c>
      <c r="D9" t="inlineStr">
        <is>
          <t>GÄVLEBORGS LÄN</t>
        </is>
      </c>
      <c r="E9" t="inlineStr">
        <is>
          <t>LJUSDAL</t>
        </is>
      </c>
      <c r="G9" t="n">
        <v>36.7</v>
      </c>
      <c r="H9" t="n">
        <v>3</v>
      </c>
      <c r="I9" t="n">
        <v>4</v>
      </c>
      <c r="J9" t="n">
        <v>12</v>
      </c>
      <c r="K9" t="n">
        <v>2</v>
      </c>
      <c r="L9" t="n">
        <v>0</v>
      </c>
      <c r="M9" t="n">
        <v>0</v>
      </c>
      <c r="N9" t="n">
        <v>0</v>
      </c>
      <c r="O9" t="n">
        <v>14</v>
      </c>
      <c r="P9" t="n">
        <v>2</v>
      </c>
      <c r="Q9" t="n">
        <v>19</v>
      </c>
      <c r="R9"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13021-2022</t>
        </is>
      </c>
      <c r="B10" s="1" t="n">
        <v>44643</v>
      </c>
      <c r="C10" s="1" t="n">
        <v>45911</v>
      </c>
      <c r="D10" t="inlineStr">
        <is>
          <t>GÄVLEBORGS LÄN</t>
        </is>
      </c>
      <c r="E10" t="inlineStr">
        <is>
          <t>HUDIKSVALL</t>
        </is>
      </c>
      <c r="G10" t="n">
        <v>8.1</v>
      </c>
      <c r="H10" t="n">
        <v>5</v>
      </c>
      <c r="I10" t="n">
        <v>9</v>
      </c>
      <c r="J10" t="n">
        <v>6</v>
      </c>
      <c r="K10" t="n">
        <v>3</v>
      </c>
      <c r="L10" t="n">
        <v>0</v>
      </c>
      <c r="M10" t="n">
        <v>0</v>
      </c>
      <c r="N10" t="n">
        <v>0</v>
      </c>
      <c r="O10" t="n">
        <v>9</v>
      </c>
      <c r="P10" t="n">
        <v>3</v>
      </c>
      <c r="Q10" t="n">
        <v>19</v>
      </c>
      <c r="R10"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8590-2025</t>
        </is>
      </c>
      <c r="B11" s="1" t="n">
        <v>45709</v>
      </c>
      <c r="C11" s="1" t="n">
        <v>45911</v>
      </c>
      <c r="D11" t="inlineStr">
        <is>
          <t>GÄVLEBORGS LÄN</t>
        </is>
      </c>
      <c r="E11" t="inlineStr">
        <is>
          <t>LJUSDAL</t>
        </is>
      </c>
      <c r="G11" t="n">
        <v>64.09999999999999</v>
      </c>
      <c r="H11" t="n">
        <v>6</v>
      </c>
      <c r="I11" t="n">
        <v>6</v>
      </c>
      <c r="J11" t="n">
        <v>10</v>
      </c>
      <c r="K11" t="n">
        <v>1</v>
      </c>
      <c r="L11" t="n">
        <v>0</v>
      </c>
      <c r="M11" t="n">
        <v>0</v>
      </c>
      <c r="N11" t="n">
        <v>0</v>
      </c>
      <c r="O11" t="n">
        <v>11</v>
      </c>
      <c r="P11" t="n">
        <v>1</v>
      </c>
      <c r="Q11" t="n">
        <v>19</v>
      </c>
      <c r="R11" s="2" t="inlineStr">
        <is>
          <t>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48020-2021</t>
        </is>
      </c>
      <c r="B12" s="1" t="n">
        <v>44449</v>
      </c>
      <c r="C12" s="1" t="n">
        <v>45911</v>
      </c>
      <c r="D12" t="inlineStr">
        <is>
          <t>GÄVLEBORGS LÄN</t>
        </is>
      </c>
      <c r="E12" t="inlineStr">
        <is>
          <t>LJUSDAL</t>
        </is>
      </c>
      <c r="G12" t="n">
        <v>6.4</v>
      </c>
      <c r="H12" t="n">
        <v>4</v>
      </c>
      <c r="I12" t="n">
        <v>3</v>
      </c>
      <c r="J12" t="n">
        <v>8</v>
      </c>
      <c r="K12" t="n">
        <v>4</v>
      </c>
      <c r="L12" t="n">
        <v>0</v>
      </c>
      <c r="M12" t="n">
        <v>0</v>
      </c>
      <c r="N12" t="n">
        <v>0</v>
      </c>
      <c r="O12" t="n">
        <v>12</v>
      </c>
      <c r="P12" t="n">
        <v>4</v>
      </c>
      <c r="Q12" t="n">
        <v>16</v>
      </c>
      <c r="R12" s="2" t="inlineStr">
        <is>
          <t>Knärot
Rynkskinn
Sprickporing
Vågticka
Garnlav
Granticka
Gränsticka
Rosenticka
Rödbrun klubbdyna
Spillkråka
Tretåig hackspett
Ullticka
Fjällig taggsvamp s.str.
Mörk husmossa
Trådticka
Nattviol</t>
        </is>
      </c>
      <c r="S12">
        <f>HYPERLINK("https://klasma.github.io/Logging_2161/artfynd/A 48020-2021 artfynd.xlsx", "A 48020-2021")</f>
        <v/>
      </c>
      <c r="T12">
        <f>HYPERLINK("https://klasma.github.io/Logging_2161/kartor/A 48020-2021 karta.png", "A 48020-2021")</f>
        <v/>
      </c>
      <c r="U12">
        <f>HYPERLINK("https://klasma.github.io/Logging_2161/knärot/A 48020-2021 karta knärot.png", "A 48020-2021")</f>
        <v/>
      </c>
      <c r="V12">
        <f>HYPERLINK("https://klasma.github.io/Logging_2161/klagomål/A 48020-2021 FSC-klagomål.docx", "A 48020-2021")</f>
        <v/>
      </c>
      <c r="W12">
        <f>HYPERLINK("https://klasma.github.io/Logging_2161/klagomålsmail/A 48020-2021 FSC-klagomål mail.docx", "A 48020-2021")</f>
        <v/>
      </c>
      <c r="X12">
        <f>HYPERLINK("https://klasma.github.io/Logging_2161/tillsyn/A 48020-2021 tillsynsbegäran.docx", "A 48020-2021")</f>
        <v/>
      </c>
      <c r="Y12">
        <f>HYPERLINK("https://klasma.github.io/Logging_2161/tillsynsmail/A 48020-2021 tillsynsbegäran mail.docx", "A 48020-2021")</f>
        <v/>
      </c>
      <c r="Z12">
        <f>HYPERLINK("https://klasma.github.io/Logging_2161/fåglar/A 48020-2021 prioriterade fågelarter.docx", "A 48020-2021")</f>
        <v/>
      </c>
    </row>
    <row r="13" ht="15" customHeight="1">
      <c r="A13" t="inlineStr">
        <is>
          <t>A 19766-2025</t>
        </is>
      </c>
      <c r="B13" s="1" t="n">
        <v>45771</v>
      </c>
      <c r="C13" s="1" t="n">
        <v>45911</v>
      </c>
      <c r="D13" t="inlineStr">
        <is>
          <t>GÄVLEBORGS LÄN</t>
        </is>
      </c>
      <c r="E13" t="inlineStr">
        <is>
          <t>LJUSDAL</t>
        </is>
      </c>
      <c r="F13" t="inlineStr">
        <is>
          <t>Bergvik skog väst AB</t>
        </is>
      </c>
      <c r="G13" t="n">
        <v>14.4</v>
      </c>
      <c r="H13" t="n">
        <v>8</v>
      </c>
      <c r="I13" t="n">
        <v>2</v>
      </c>
      <c r="J13" t="n">
        <v>10</v>
      </c>
      <c r="K13" t="n">
        <v>2</v>
      </c>
      <c r="L13" t="n">
        <v>0</v>
      </c>
      <c r="M13" t="n">
        <v>0</v>
      </c>
      <c r="N13" t="n">
        <v>0</v>
      </c>
      <c r="O13" t="n">
        <v>12</v>
      </c>
      <c r="P13" t="n">
        <v>2</v>
      </c>
      <c r="Q13" t="n">
        <v>16</v>
      </c>
      <c r="R13" s="2" t="inlineStr">
        <is>
          <t>Blackticka
Knärot
Garnlav
Granticka
Järpe
Lunglav
Rosenticka
Skogshare
Spillkråka
Talltita
Tretåig hackspett
Ullticka
Spindelblomster
Stuplav
Kungsfågel
Revlummer</t>
        </is>
      </c>
      <c r="S13">
        <f>HYPERLINK("https://klasma.github.io/Logging_2161/artfynd/A 19766-2025 artfynd.xlsx", "A 19766-2025")</f>
        <v/>
      </c>
      <c r="T13">
        <f>HYPERLINK("https://klasma.github.io/Logging_2161/kartor/A 19766-2025 karta.png", "A 19766-2025")</f>
        <v/>
      </c>
      <c r="U13">
        <f>HYPERLINK("https://klasma.github.io/Logging_2161/knärot/A 19766-2025 karta knärot.png", "A 19766-2025")</f>
        <v/>
      </c>
      <c r="V13">
        <f>HYPERLINK("https://klasma.github.io/Logging_2161/klagomål/A 19766-2025 FSC-klagomål.docx", "A 19766-2025")</f>
        <v/>
      </c>
      <c r="W13">
        <f>HYPERLINK("https://klasma.github.io/Logging_2161/klagomålsmail/A 19766-2025 FSC-klagomål mail.docx", "A 19766-2025")</f>
        <v/>
      </c>
      <c r="X13">
        <f>HYPERLINK("https://klasma.github.io/Logging_2161/tillsyn/A 19766-2025 tillsynsbegäran.docx", "A 19766-2025")</f>
        <v/>
      </c>
      <c r="Y13">
        <f>HYPERLINK("https://klasma.github.io/Logging_2161/tillsynsmail/A 19766-2025 tillsynsbegäran mail.docx", "A 19766-2025")</f>
        <v/>
      </c>
      <c r="Z13">
        <f>HYPERLINK("https://klasma.github.io/Logging_2161/fåglar/A 19766-2025 prioriterade fågelarter.docx", "A 19766-2025")</f>
        <v/>
      </c>
    </row>
    <row r="14" ht="15" customHeight="1">
      <c r="A14" t="inlineStr">
        <is>
          <t>A 568-2025</t>
        </is>
      </c>
      <c r="B14" s="1" t="n">
        <v>45664</v>
      </c>
      <c r="C14" s="1" t="n">
        <v>45911</v>
      </c>
      <c r="D14" t="inlineStr">
        <is>
          <t>GÄVLEBORGS LÄN</t>
        </is>
      </c>
      <c r="E14" t="inlineStr">
        <is>
          <t>NORDANSTIG</t>
        </is>
      </c>
      <c r="F14" t="inlineStr">
        <is>
          <t>Holmen skog AB</t>
        </is>
      </c>
      <c r="G14" t="n">
        <v>13.3</v>
      </c>
      <c r="H14" t="n">
        <v>1</v>
      </c>
      <c r="I14" t="n">
        <v>5</v>
      </c>
      <c r="J14" t="n">
        <v>10</v>
      </c>
      <c r="K14" t="n">
        <v>1</v>
      </c>
      <c r="L14" t="n">
        <v>0</v>
      </c>
      <c r="M14" t="n">
        <v>0</v>
      </c>
      <c r="N14" t="n">
        <v>0</v>
      </c>
      <c r="O14" t="n">
        <v>11</v>
      </c>
      <c r="P14" t="n">
        <v>1</v>
      </c>
      <c r="Q14" t="n">
        <v>16</v>
      </c>
      <c r="R14" s="2" t="inlineStr">
        <is>
          <t>Knärot
Blanksvart spiklav
Doftskinn
Dvärgbägarlav
Garnlav
Grönhjon
Lunglav
Tallticka
Ullticka
Vedskivlav
Violettgrå tagellav
Bronshjon
Kattfotslav
Skinnlav
Vedticka
Vågbandad barkbock</t>
        </is>
      </c>
      <c r="S14">
        <f>HYPERLINK("https://klasma.github.io/Logging_2132/artfynd/A 568-2025 artfynd.xlsx", "A 568-2025")</f>
        <v/>
      </c>
      <c r="T14">
        <f>HYPERLINK("https://klasma.github.io/Logging_2132/kartor/A 568-2025 karta.png", "A 568-2025")</f>
        <v/>
      </c>
      <c r="U14">
        <f>HYPERLINK("https://klasma.github.io/Logging_2132/knärot/A 568-2025 karta knärot.png", "A 568-2025")</f>
        <v/>
      </c>
      <c r="V14">
        <f>HYPERLINK("https://klasma.github.io/Logging_2132/klagomål/A 568-2025 FSC-klagomål.docx", "A 568-2025")</f>
        <v/>
      </c>
      <c r="W14">
        <f>HYPERLINK("https://klasma.github.io/Logging_2132/klagomålsmail/A 568-2025 FSC-klagomål mail.docx", "A 568-2025")</f>
        <v/>
      </c>
      <c r="X14">
        <f>HYPERLINK("https://klasma.github.io/Logging_2132/tillsyn/A 568-2025 tillsynsbegäran.docx", "A 568-2025")</f>
        <v/>
      </c>
      <c r="Y14">
        <f>HYPERLINK("https://klasma.github.io/Logging_2132/tillsynsmail/A 568-2025 tillsynsbegäran mail.docx", "A 568-2025")</f>
        <v/>
      </c>
    </row>
    <row r="15" ht="15" customHeight="1">
      <c r="A15" t="inlineStr">
        <is>
          <t>A 25595-2025</t>
        </is>
      </c>
      <c r="B15" s="1" t="n">
        <v>45803</v>
      </c>
      <c r="C15" s="1" t="n">
        <v>45911</v>
      </c>
      <c r="D15" t="inlineStr">
        <is>
          <t>GÄVLEBORGS LÄN</t>
        </is>
      </c>
      <c r="E15" t="inlineStr">
        <is>
          <t>LJUSDAL</t>
        </is>
      </c>
      <c r="G15" t="n">
        <v>7</v>
      </c>
      <c r="H15" t="n">
        <v>5</v>
      </c>
      <c r="I15" t="n">
        <v>2</v>
      </c>
      <c r="J15" t="n">
        <v>8</v>
      </c>
      <c r="K15" t="n">
        <v>3</v>
      </c>
      <c r="L15" t="n">
        <v>0</v>
      </c>
      <c r="M15" t="n">
        <v>0</v>
      </c>
      <c r="N15" t="n">
        <v>0</v>
      </c>
      <c r="O15" t="n">
        <v>11</v>
      </c>
      <c r="P15" t="n">
        <v>3</v>
      </c>
      <c r="Q15" t="n">
        <v>16</v>
      </c>
      <c r="R15" s="2" t="inlineStr">
        <is>
          <t>Gräddporing
Gräddticka
Knärot
Dvärgbägarlav
Garnlav
Kolflarnlav
Mörk kolflarnlav
Nordtagging
Spillkråka
Vedskivlav
Violettgrå tagellav
Dropptaggsvamp
Mindre märgborre
Tjäder
Fläcknycklar
Revlummer</t>
        </is>
      </c>
      <c r="S15">
        <f>HYPERLINK("https://klasma.github.io/Logging_2161/artfynd/A 25595-2025 artfynd.xlsx", "A 25595-2025")</f>
        <v/>
      </c>
      <c r="T15">
        <f>HYPERLINK("https://klasma.github.io/Logging_2161/kartor/A 25595-2025 karta.png", "A 25595-2025")</f>
        <v/>
      </c>
      <c r="U15">
        <f>HYPERLINK("https://klasma.github.io/Logging_2161/knärot/A 25595-2025 karta knärot.png", "A 25595-2025")</f>
        <v/>
      </c>
      <c r="V15">
        <f>HYPERLINK("https://klasma.github.io/Logging_2161/klagomål/A 25595-2025 FSC-klagomål.docx", "A 25595-2025")</f>
        <v/>
      </c>
      <c r="W15">
        <f>HYPERLINK("https://klasma.github.io/Logging_2161/klagomålsmail/A 25595-2025 FSC-klagomål mail.docx", "A 25595-2025")</f>
        <v/>
      </c>
      <c r="X15">
        <f>HYPERLINK("https://klasma.github.io/Logging_2161/tillsyn/A 25595-2025 tillsynsbegäran.docx", "A 25595-2025")</f>
        <v/>
      </c>
      <c r="Y15">
        <f>HYPERLINK("https://klasma.github.io/Logging_2161/tillsynsmail/A 25595-2025 tillsynsbegäran mail.docx", "A 25595-2025")</f>
        <v/>
      </c>
      <c r="Z15">
        <f>HYPERLINK("https://klasma.github.io/Logging_2161/fåglar/A 25595-2025 prioriterade fågelarter.docx", "A 25595-2025")</f>
        <v/>
      </c>
    </row>
    <row r="16" ht="15" customHeight="1">
      <c r="A16" t="inlineStr">
        <is>
          <t>A 55322-2021</t>
        </is>
      </c>
      <c r="B16" s="1" t="n">
        <v>44475.46431712963</v>
      </c>
      <c r="C16" s="1" t="n">
        <v>45911</v>
      </c>
      <c r="D16" t="inlineStr">
        <is>
          <t>GÄVLEBORGS LÄN</t>
        </is>
      </c>
      <c r="E16" t="inlineStr">
        <is>
          <t>LJUSDAL</t>
        </is>
      </c>
      <c r="F16" t="inlineStr">
        <is>
          <t>Holmen skog AB</t>
        </is>
      </c>
      <c r="G16" t="n">
        <v>4.1</v>
      </c>
      <c r="H16" t="n">
        <v>1</v>
      </c>
      <c r="I16" t="n">
        <v>10</v>
      </c>
      <c r="J16" t="n">
        <v>4</v>
      </c>
      <c r="K16" t="n">
        <v>1</v>
      </c>
      <c r="L16" t="n">
        <v>0</v>
      </c>
      <c r="M16" t="n">
        <v>0</v>
      </c>
      <c r="N16" t="n">
        <v>0</v>
      </c>
      <c r="O16" t="n">
        <v>5</v>
      </c>
      <c r="P16" t="n">
        <v>1</v>
      </c>
      <c r="Q16" t="n">
        <v>15</v>
      </c>
      <c r="R16" s="2" t="inlineStr">
        <is>
          <t>Knärot
Gammelgransskål
Garnlav
Ullticka
Vitgrynig nållav
Bronshjon
Grönpyrola
Gulnål
Kattfotslav
Korallblylav
Källpraktmossa
Mörk husmossa
Rödgul trumpetsvamp
Skogsbräsma
Vedticka</t>
        </is>
      </c>
      <c r="S16">
        <f>HYPERLINK("https://klasma.github.io/Logging_2161/artfynd/A 55322-2021 artfynd.xlsx", "A 55322-2021")</f>
        <v/>
      </c>
      <c r="T16">
        <f>HYPERLINK("https://klasma.github.io/Logging_2161/kartor/A 55322-2021 karta.png", "A 55322-2021")</f>
        <v/>
      </c>
      <c r="U16">
        <f>HYPERLINK("https://klasma.github.io/Logging_2161/knärot/A 55322-2021 karta knärot.png", "A 55322-2021")</f>
        <v/>
      </c>
      <c r="V16">
        <f>HYPERLINK("https://klasma.github.io/Logging_2161/klagomål/A 55322-2021 FSC-klagomål.docx", "A 55322-2021")</f>
        <v/>
      </c>
      <c r="W16">
        <f>HYPERLINK("https://klasma.github.io/Logging_2161/klagomålsmail/A 55322-2021 FSC-klagomål mail.docx", "A 55322-2021")</f>
        <v/>
      </c>
      <c r="X16">
        <f>HYPERLINK("https://klasma.github.io/Logging_2161/tillsyn/A 55322-2021 tillsynsbegäran.docx", "A 55322-2021")</f>
        <v/>
      </c>
      <c r="Y16">
        <f>HYPERLINK("https://klasma.github.io/Logging_2161/tillsynsmail/A 55322-2021 tillsynsbegäran mail.docx", "A 55322-2021")</f>
        <v/>
      </c>
    </row>
    <row r="17" ht="15" customHeight="1">
      <c r="A17" t="inlineStr">
        <is>
          <t>A 55441-2020</t>
        </is>
      </c>
      <c r="B17" s="1" t="n">
        <v>44131</v>
      </c>
      <c r="C17" s="1" t="n">
        <v>45911</v>
      </c>
      <c r="D17" t="inlineStr">
        <is>
          <t>GÄVLEBORGS LÄN</t>
        </is>
      </c>
      <c r="E17" t="inlineStr">
        <is>
          <t>HUDIKSVALL</t>
        </is>
      </c>
      <c r="F17" t="inlineStr">
        <is>
          <t>Sveaskog</t>
        </is>
      </c>
      <c r="G17" t="n">
        <v>15.4</v>
      </c>
      <c r="H17" t="n">
        <v>1</v>
      </c>
      <c r="I17" t="n">
        <v>4</v>
      </c>
      <c r="J17" t="n">
        <v>9</v>
      </c>
      <c r="K17" t="n">
        <v>1</v>
      </c>
      <c r="L17" t="n">
        <v>0</v>
      </c>
      <c r="M17" t="n">
        <v>0</v>
      </c>
      <c r="N17" t="n">
        <v>0</v>
      </c>
      <c r="O17" t="n">
        <v>10</v>
      </c>
      <c r="P17" t="n">
        <v>1</v>
      </c>
      <c r="Q17" t="n">
        <v>14</v>
      </c>
      <c r="R17" s="2" t="inlineStr">
        <is>
          <t>Knärot
Garnlav
Kolflarnlav
Mörk kolflarnlav
Nordtagging
Skrovlig flatbagge
Vaddporing
Vedskivlav
Violettgrå tagellav
Vitplätt
Dropptaggsvamp
Mindre märgborre
Mörk vedstrit
Vedticka</t>
        </is>
      </c>
      <c r="S17">
        <f>HYPERLINK("https://klasma.github.io/Logging_2184/artfynd/A 55441-2020 artfynd.xlsx", "A 55441-2020")</f>
        <v/>
      </c>
      <c r="T17">
        <f>HYPERLINK("https://klasma.github.io/Logging_2184/kartor/A 55441-2020 karta.png", "A 55441-2020")</f>
        <v/>
      </c>
      <c r="U17">
        <f>HYPERLINK("https://klasma.github.io/Logging_2184/knärot/A 55441-2020 karta knärot.png", "A 55441-2020")</f>
        <v/>
      </c>
      <c r="V17">
        <f>HYPERLINK("https://klasma.github.io/Logging_2184/klagomål/A 55441-2020 FSC-klagomål.docx", "A 55441-2020")</f>
        <v/>
      </c>
      <c r="W17">
        <f>HYPERLINK("https://klasma.github.io/Logging_2184/klagomålsmail/A 55441-2020 FSC-klagomål mail.docx", "A 55441-2020")</f>
        <v/>
      </c>
      <c r="X17">
        <f>HYPERLINK("https://klasma.github.io/Logging_2184/tillsyn/A 55441-2020 tillsynsbegäran.docx", "A 55441-2020")</f>
        <v/>
      </c>
      <c r="Y17">
        <f>HYPERLINK("https://klasma.github.io/Logging_2184/tillsynsmail/A 55441-2020 tillsynsbegäran mail.docx", "A 55441-2020")</f>
        <v/>
      </c>
    </row>
    <row r="18" ht="15" customHeight="1">
      <c r="A18" t="inlineStr">
        <is>
          <t>A 49714-2020</t>
        </is>
      </c>
      <c r="B18" s="1" t="n">
        <v>44106</v>
      </c>
      <c r="C18" s="1" t="n">
        <v>45911</v>
      </c>
      <c r="D18" t="inlineStr">
        <is>
          <t>GÄVLEBORGS LÄN</t>
        </is>
      </c>
      <c r="E18" t="inlineStr">
        <is>
          <t>HUDIKSVALL</t>
        </is>
      </c>
      <c r="F18" t="inlineStr">
        <is>
          <t>Holmen skog AB</t>
        </is>
      </c>
      <c r="G18" t="n">
        <v>15.1</v>
      </c>
      <c r="H18" t="n">
        <v>1</v>
      </c>
      <c r="I18" t="n">
        <v>5</v>
      </c>
      <c r="J18" t="n">
        <v>8</v>
      </c>
      <c r="K18" t="n">
        <v>1</v>
      </c>
      <c r="L18" t="n">
        <v>0</v>
      </c>
      <c r="M18" t="n">
        <v>0</v>
      </c>
      <c r="N18" t="n">
        <v>0</v>
      </c>
      <c r="O18" t="n">
        <v>9</v>
      </c>
      <c r="P18" t="n">
        <v>1</v>
      </c>
      <c r="Q18" t="n">
        <v>14</v>
      </c>
      <c r="R18" s="2" t="inlineStr">
        <is>
          <t>Knärot
Dofttaggsvamp
Garnlav
Kolflarnlav
Kortskaftad ärgspik
Skrovlig taggsvamp
Svart taggsvamp
Ullticka
Violettgrå tagellav
Dropptaggsvamp
Fjällig taggsvamp s.str.
Skarp dropptaggsvamp
Tallfingersvamp
Vedticka</t>
        </is>
      </c>
      <c r="S18">
        <f>HYPERLINK("https://klasma.github.io/Logging_2184/artfynd/A 49714-2020 artfynd.xlsx", "A 49714-2020")</f>
        <v/>
      </c>
      <c r="T18">
        <f>HYPERLINK("https://klasma.github.io/Logging_2184/kartor/A 49714-2020 karta.png", "A 49714-2020")</f>
        <v/>
      </c>
      <c r="U18">
        <f>HYPERLINK("https://klasma.github.io/Logging_2184/knärot/A 49714-2020 karta knärot.png", "A 49714-2020")</f>
        <v/>
      </c>
      <c r="V18">
        <f>HYPERLINK("https://klasma.github.io/Logging_2184/klagomål/A 49714-2020 FSC-klagomål.docx", "A 49714-2020")</f>
        <v/>
      </c>
      <c r="W18">
        <f>HYPERLINK("https://klasma.github.io/Logging_2184/klagomålsmail/A 49714-2020 FSC-klagomål mail.docx", "A 49714-2020")</f>
        <v/>
      </c>
      <c r="X18">
        <f>HYPERLINK("https://klasma.github.io/Logging_2184/tillsyn/A 49714-2020 tillsynsbegäran.docx", "A 49714-2020")</f>
        <v/>
      </c>
      <c r="Y18">
        <f>HYPERLINK("https://klasma.github.io/Logging_2184/tillsynsmail/A 49714-2020 tillsynsbegäran mail.docx", "A 49714-2020")</f>
        <v/>
      </c>
    </row>
    <row r="19" ht="15" customHeight="1">
      <c r="A19" t="inlineStr">
        <is>
          <t>A 18631-2022</t>
        </is>
      </c>
      <c r="B19" s="1" t="n">
        <v>44687</v>
      </c>
      <c r="C19" s="1" t="n">
        <v>45911</v>
      </c>
      <c r="D19" t="inlineStr">
        <is>
          <t>GÄVLEBORGS LÄN</t>
        </is>
      </c>
      <c r="E19" t="inlineStr">
        <is>
          <t>LJUSDAL</t>
        </is>
      </c>
      <c r="F19" t="inlineStr">
        <is>
          <t>Bergvik skog väst AB</t>
        </is>
      </c>
      <c r="G19" t="n">
        <v>17</v>
      </c>
      <c r="H19" t="n">
        <v>5</v>
      </c>
      <c r="I19" t="n">
        <v>5</v>
      </c>
      <c r="J19" t="n">
        <v>7</v>
      </c>
      <c r="K19" t="n">
        <v>1</v>
      </c>
      <c r="L19" t="n">
        <v>0</v>
      </c>
      <c r="M19" t="n">
        <v>0</v>
      </c>
      <c r="N19" t="n">
        <v>0</v>
      </c>
      <c r="O19" t="n">
        <v>8</v>
      </c>
      <c r="P19" t="n">
        <v>1</v>
      </c>
      <c r="Q19" t="n">
        <v>14</v>
      </c>
      <c r="R19" s="2" t="inlineStr">
        <is>
          <t>Knärot
Blanksvart spiklav
Kolflarnlav
Lunglav
Mörk kolflarnlav
Skrovellav
Spillkråka
Tretåig hackspett
Bårdlav
Korallrot
Rävticka
Skinnlav
Stuplav
Fläcknycklar</t>
        </is>
      </c>
      <c r="S19">
        <f>HYPERLINK("https://klasma.github.io/Logging_2161/artfynd/A 18631-2022 artfynd.xlsx", "A 18631-2022")</f>
        <v/>
      </c>
      <c r="T19">
        <f>HYPERLINK("https://klasma.github.io/Logging_2161/kartor/A 18631-2022 karta.png", "A 18631-2022")</f>
        <v/>
      </c>
      <c r="U19">
        <f>HYPERLINK("https://klasma.github.io/Logging_2161/knärot/A 18631-2022 karta knärot.png", "A 18631-2022")</f>
        <v/>
      </c>
      <c r="V19">
        <f>HYPERLINK("https://klasma.github.io/Logging_2161/klagomål/A 18631-2022 FSC-klagomål.docx", "A 18631-2022")</f>
        <v/>
      </c>
      <c r="W19">
        <f>HYPERLINK("https://klasma.github.io/Logging_2161/klagomålsmail/A 18631-2022 FSC-klagomål mail.docx", "A 18631-2022")</f>
        <v/>
      </c>
      <c r="X19">
        <f>HYPERLINK("https://klasma.github.io/Logging_2161/tillsyn/A 18631-2022 tillsynsbegäran.docx", "A 18631-2022")</f>
        <v/>
      </c>
      <c r="Y19">
        <f>HYPERLINK("https://klasma.github.io/Logging_2161/tillsynsmail/A 18631-2022 tillsynsbegäran mail.docx", "A 18631-2022")</f>
        <v/>
      </c>
      <c r="Z19">
        <f>HYPERLINK("https://klasma.github.io/Logging_2161/fåglar/A 18631-2022 prioriterade fågelarter.docx", "A 18631-2022")</f>
        <v/>
      </c>
    </row>
    <row r="20" ht="15" customHeight="1">
      <c r="A20" t="inlineStr">
        <is>
          <t>A 3180-2025</t>
        </is>
      </c>
      <c r="B20" s="1" t="n">
        <v>45679.39618055556</v>
      </c>
      <c r="C20" s="1" t="n">
        <v>45911</v>
      </c>
      <c r="D20" t="inlineStr">
        <is>
          <t>GÄVLEBORGS LÄN</t>
        </is>
      </c>
      <c r="E20" t="inlineStr">
        <is>
          <t>LJUSDAL</t>
        </is>
      </c>
      <c r="G20" t="n">
        <v>13.5</v>
      </c>
      <c r="H20" t="n">
        <v>5</v>
      </c>
      <c r="I20" t="n">
        <v>1</v>
      </c>
      <c r="J20" t="n">
        <v>10</v>
      </c>
      <c r="K20" t="n">
        <v>1</v>
      </c>
      <c r="L20" t="n">
        <v>0</v>
      </c>
      <c r="M20" t="n">
        <v>0</v>
      </c>
      <c r="N20" t="n">
        <v>0</v>
      </c>
      <c r="O20" t="n">
        <v>11</v>
      </c>
      <c r="P20" t="n">
        <v>1</v>
      </c>
      <c r="Q20" t="n">
        <v>14</v>
      </c>
      <c r="R20" s="2" t="inlineStr">
        <is>
          <t>Knärot
Dvärgbägarlav
Garnlav
Kolflarnlav
Lunglav
Mörk kolflarnlav
Skrovellav
Talltita
Tretåig hackspett
Ullticka
Vedflamlav
Stuplav
Fläcknycklar
Nattviol</t>
        </is>
      </c>
      <c r="S20">
        <f>HYPERLINK("https://klasma.github.io/Logging_2161/artfynd/A 3180-2025 artfynd.xlsx", "A 3180-2025")</f>
        <v/>
      </c>
      <c r="T20">
        <f>HYPERLINK("https://klasma.github.io/Logging_2161/kartor/A 3180-2025 karta.png", "A 3180-2025")</f>
        <v/>
      </c>
      <c r="U20">
        <f>HYPERLINK("https://klasma.github.io/Logging_2161/knärot/A 3180-2025 karta knärot.png", "A 3180-2025")</f>
        <v/>
      </c>
      <c r="V20">
        <f>HYPERLINK("https://klasma.github.io/Logging_2161/klagomål/A 3180-2025 FSC-klagomål.docx", "A 3180-2025")</f>
        <v/>
      </c>
      <c r="W20">
        <f>HYPERLINK("https://klasma.github.io/Logging_2161/klagomålsmail/A 3180-2025 FSC-klagomål mail.docx", "A 3180-2025")</f>
        <v/>
      </c>
      <c r="X20">
        <f>HYPERLINK("https://klasma.github.io/Logging_2161/tillsyn/A 3180-2025 tillsynsbegäran.docx", "A 3180-2025")</f>
        <v/>
      </c>
      <c r="Y20">
        <f>HYPERLINK("https://klasma.github.io/Logging_2161/tillsynsmail/A 3180-2025 tillsynsbegäran mail.docx", "A 3180-2025")</f>
        <v/>
      </c>
      <c r="Z20">
        <f>HYPERLINK("https://klasma.github.io/Logging_2161/fåglar/A 3180-2025 prioriterade fågelarter.docx", "A 3180-2025")</f>
        <v/>
      </c>
    </row>
    <row r="21" ht="15" customHeight="1">
      <c r="A21" t="inlineStr">
        <is>
          <t>A 8671-2022</t>
        </is>
      </c>
      <c r="B21" s="1" t="n">
        <v>44613</v>
      </c>
      <c r="C21" s="1" t="n">
        <v>45911</v>
      </c>
      <c r="D21" t="inlineStr">
        <is>
          <t>GÄVLEBORGS LÄN</t>
        </is>
      </c>
      <c r="E21" t="inlineStr">
        <is>
          <t>HUDIKSVALL</t>
        </is>
      </c>
      <c r="G21" t="n">
        <v>13.7</v>
      </c>
      <c r="H21" t="n">
        <v>0</v>
      </c>
      <c r="I21" t="n">
        <v>5</v>
      </c>
      <c r="J21" t="n">
        <v>7</v>
      </c>
      <c r="K21" t="n">
        <v>2</v>
      </c>
      <c r="L21" t="n">
        <v>0</v>
      </c>
      <c r="M21" t="n">
        <v>0</v>
      </c>
      <c r="N21" t="n">
        <v>0</v>
      </c>
      <c r="O21" t="n">
        <v>9</v>
      </c>
      <c r="P21" t="n">
        <v>2</v>
      </c>
      <c r="Q21" t="n">
        <v>14</v>
      </c>
      <c r="R21" s="2" t="inlineStr">
        <is>
          <t>Aspgelélav
Rynkskinn
Doftskinn
Garnlav
Kortskaftad ärgspik
Rosenticka
Småflikig brosklav
Tallticka
Ullticka
Barkticka
Kattfotslav
Korallblylav
Stor aspticka
Trådticka</t>
        </is>
      </c>
      <c r="S21">
        <f>HYPERLINK("https://klasma.github.io/Logging_2184/artfynd/A 8671-2022 artfynd.xlsx", "A 8671-2022")</f>
        <v/>
      </c>
      <c r="T21">
        <f>HYPERLINK("https://klasma.github.io/Logging_2184/kartor/A 8671-2022 karta.png", "A 8671-2022")</f>
        <v/>
      </c>
      <c r="V21">
        <f>HYPERLINK("https://klasma.github.io/Logging_2184/klagomål/A 8671-2022 FSC-klagomål.docx", "A 8671-2022")</f>
        <v/>
      </c>
      <c r="W21">
        <f>HYPERLINK("https://klasma.github.io/Logging_2184/klagomålsmail/A 8671-2022 FSC-klagomål mail.docx", "A 8671-2022")</f>
        <v/>
      </c>
      <c r="X21">
        <f>HYPERLINK("https://klasma.github.io/Logging_2184/tillsyn/A 8671-2022 tillsynsbegäran.docx", "A 8671-2022")</f>
        <v/>
      </c>
      <c r="Y21">
        <f>HYPERLINK("https://klasma.github.io/Logging_2184/tillsynsmail/A 8671-2022 tillsynsbegäran mail.docx", "A 8671-2022")</f>
        <v/>
      </c>
    </row>
    <row r="22" ht="15" customHeight="1">
      <c r="A22" t="inlineStr">
        <is>
          <t>A 65026-2021</t>
        </is>
      </c>
      <c r="B22" s="1" t="n">
        <v>44512</v>
      </c>
      <c r="C22" s="1" t="n">
        <v>45911</v>
      </c>
      <c r="D22" t="inlineStr">
        <is>
          <t>GÄVLEBORGS LÄN</t>
        </is>
      </c>
      <c r="E22" t="inlineStr">
        <is>
          <t>HOFORS</t>
        </is>
      </c>
      <c r="G22" t="n">
        <v>14.7</v>
      </c>
      <c r="H22" t="n">
        <v>1</v>
      </c>
      <c r="I22" t="n">
        <v>5</v>
      </c>
      <c r="J22" t="n">
        <v>4</v>
      </c>
      <c r="K22" t="n">
        <v>5</v>
      </c>
      <c r="L22" t="n">
        <v>0</v>
      </c>
      <c r="M22" t="n">
        <v>0</v>
      </c>
      <c r="N22" t="n">
        <v>0</v>
      </c>
      <c r="O22" t="n">
        <v>9</v>
      </c>
      <c r="P22" t="n">
        <v>5</v>
      </c>
      <c r="Q22" t="n">
        <v>14</v>
      </c>
      <c r="R22" s="2" t="inlineStr">
        <is>
          <t>Brödtaggsvamp
Knärot
Rynkskinn
Taggfingersvamp
Vågticka
Granticka
Gul taggsvamp
Orange taggsvamp
Ullticka
Dropptaggsvamp
Granbarkgnagare
Mörk husmossa
Rostfläck
Trådticka</t>
        </is>
      </c>
      <c r="S22">
        <f>HYPERLINK("https://klasma.github.io/Logging_2104/artfynd/A 65026-2021 artfynd.xlsx", "A 65026-2021")</f>
        <v/>
      </c>
      <c r="T22">
        <f>HYPERLINK("https://klasma.github.io/Logging_2104/kartor/A 65026-2021 karta.png", "A 65026-2021")</f>
        <v/>
      </c>
      <c r="U22">
        <f>HYPERLINK("https://klasma.github.io/Logging_2104/knärot/A 65026-2021 karta knärot.png", "A 65026-2021")</f>
        <v/>
      </c>
      <c r="V22">
        <f>HYPERLINK("https://klasma.github.io/Logging_2104/klagomål/A 65026-2021 FSC-klagomål.docx", "A 65026-2021")</f>
        <v/>
      </c>
      <c r="W22">
        <f>HYPERLINK("https://klasma.github.io/Logging_2104/klagomålsmail/A 65026-2021 FSC-klagomål mail.docx", "A 65026-2021")</f>
        <v/>
      </c>
      <c r="X22">
        <f>HYPERLINK("https://klasma.github.io/Logging_2104/tillsyn/A 65026-2021 tillsynsbegäran.docx", "A 65026-2021")</f>
        <v/>
      </c>
      <c r="Y22">
        <f>HYPERLINK("https://klasma.github.io/Logging_2104/tillsynsmail/A 65026-2021 tillsynsbegäran mail.docx", "A 65026-2021")</f>
        <v/>
      </c>
    </row>
    <row r="23" ht="15" customHeight="1">
      <c r="A23" t="inlineStr">
        <is>
          <t>A 28754-2024</t>
        </is>
      </c>
      <c r="B23" s="1" t="n">
        <v>45478</v>
      </c>
      <c r="C23" s="1" t="n">
        <v>45911</v>
      </c>
      <c r="D23" t="inlineStr">
        <is>
          <t>GÄVLEBORGS LÄN</t>
        </is>
      </c>
      <c r="E23" t="inlineStr">
        <is>
          <t>LJUSDAL</t>
        </is>
      </c>
      <c r="F23" t="inlineStr">
        <is>
          <t>Allmännings- och besparingsskogar</t>
        </is>
      </c>
      <c r="G23" t="n">
        <v>7.4</v>
      </c>
      <c r="H23" t="n">
        <v>1</v>
      </c>
      <c r="I23" t="n">
        <v>1</v>
      </c>
      <c r="J23" t="n">
        <v>12</v>
      </c>
      <c r="K23" t="n">
        <v>0</v>
      </c>
      <c r="L23" t="n">
        <v>0</v>
      </c>
      <c r="M23" t="n">
        <v>0</v>
      </c>
      <c r="N23" t="n">
        <v>0</v>
      </c>
      <c r="O23" t="n">
        <v>12</v>
      </c>
      <c r="P23" t="n">
        <v>0</v>
      </c>
      <c r="Q23" t="n">
        <v>13</v>
      </c>
      <c r="R23" s="2" t="inlineStr">
        <is>
          <t>Blågrå svartspik
Doftskinn
Dvärgbägarlav
Garnlav
Kolflarnlav
Kortskaftad ärgspik
Mörk kolflarnlav
Talltita
Vedflamlav
Vedskivlav
Violettgrå tagellav
Vitgrynig nållav
Mindre märgborre</t>
        </is>
      </c>
      <c r="S23">
        <f>HYPERLINK("https://klasma.github.io/Logging_2161/artfynd/A 28754-2024 artfynd.xlsx", "A 28754-2024")</f>
        <v/>
      </c>
      <c r="T23">
        <f>HYPERLINK("https://klasma.github.io/Logging_2161/kartor/A 28754-2024 karta.png", "A 28754-2024")</f>
        <v/>
      </c>
      <c r="V23">
        <f>HYPERLINK("https://klasma.github.io/Logging_2161/klagomål/A 28754-2024 FSC-klagomål.docx", "A 28754-2024")</f>
        <v/>
      </c>
      <c r="W23">
        <f>HYPERLINK("https://klasma.github.io/Logging_2161/klagomålsmail/A 28754-2024 FSC-klagomål mail.docx", "A 28754-2024")</f>
        <v/>
      </c>
      <c r="X23">
        <f>HYPERLINK("https://klasma.github.io/Logging_2161/tillsyn/A 28754-2024 tillsynsbegäran.docx", "A 28754-2024")</f>
        <v/>
      </c>
      <c r="Y23">
        <f>HYPERLINK("https://klasma.github.io/Logging_2161/tillsynsmail/A 28754-2024 tillsynsbegäran mail.docx", "A 28754-2024")</f>
        <v/>
      </c>
      <c r="Z23">
        <f>HYPERLINK("https://klasma.github.io/Logging_2161/fåglar/A 28754-2024 prioriterade fågelarter.docx", "A 28754-2024")</f>
        <v/>
      </c>
    </row>
    <row r="24" ht="15" customHeight="1">
      <c r="A24" t="inlineStr">
        <is>
          <t>A 14562-2025</t>
        </is>
      </c>
      <c r="B24" s="1" t="n">
        <v>45741</v>
      </c>
      <c r="C24" s="1" t="n">
        <v>45911</v>
      </c>
      <c r="D24" t="inlineStr">
        <is>
          <t>GÄVLEBORGS LÄN</t>
        </is>
      </c>
      <c r="E24" t="inlineStr">
        <is>
          <t>GÄVLE</t>
        </is>
      </c>
      <c r="G24" t="n">
        <v>6.9</v>
      </c>
      <c r="H24" t="n">
        <v>1</v>
      </c>
      <c r="I24" t="n">
        <v>5</v>
      </c>
      <c r="J24" t="n">
        <v>6</v>
      </c>
      <c r="K24" t="n">
        <v>1</v>
      </c>
      <c r="L24" t="n">
        <v>1</v>
      </c>
      <c r="M24" t="n">
        <v>0</v>
      </c>
      <c r="N24" t="n">
        <v>0</v>
      </c>
      <c r="O24" t="n">
        <v>8</v>
      </c>
      <c r="P24" t="n">
        <v>2</v>
      </c>
      <c r="Q24" t="n">
        <v>13</v>
      </c>
      <c r="R24" s="2" t="inlineStr">
        <is>
          <t>Ask
Knärot
Doftskinn
Garnlav
Rosenticka
Tallticka
Ullticka
Vitgrynig nållav
Granbarkgnagare
Kattfotslav
Rävticka
Tibast
Vedticka</t>
        </is>
      </c>
      <c r="S24">
        <f>HYPERLINK("https://klasma.github.io/Logging_2180/artfynd/A 14562-2025 artfynd.xlsx", "A 14562-2025")</f>
        <v/>
      </c>
      <c r="T24">
        <f>HYPERLINK("https://klasma.github.io/Logging_2180/kartor/A 14562-2025 karta.png", "A 14562-2025")</f>
        <v/>
      </c>
      <c r="U24">
        <f>HYPERLINK("https://klasma.github.io/Logging_2180/knärot/A 14562-2025 karta knärot.png", "A 14562-2025")</f>
        <v/>
      </c>
      <c r="V24">
        <f>HYPERLINK("https://klasma.github.io/Logging_2180/klagomål/A 14562-2025 FSC-klagomål.docx", "A 14562-2025")</f>
        <v/>
      </c>
      <c r="W24">
        <f>HYPERLINK("https://klasma.github.io/Logging_2180/klagomålsmail/A 14562-2025 FSC-klagomål mail.docx", "A 14562-2025")</f>
        <v/>
      </c>
      <c r="X24">
        <f>HYPERLINK("https://klasma.github.io/Logging_2180/tillsyn/A 14562-2025 tillsynsbegäran.docx", "A 14562-2025")</f>
        <v/>
      </c>
      <c r="Y24">
        <f>HYPERLINK("https://klasma.github.io/Logging_2180/tillsynsmail/A 14562-2025 tillsynsbegäran mail.docx", "A 14562-2025")</f>
        <v/>
      </c>
    </row>
    <row r="25" ht="15" customHeight="1">
      <c r="A25" t="inlineStr">
        <is>
          <t>A 29016-2025</t>
        </is>
      </c>
      <c r="B25" s="1" t="n">
        <v>45821.41320601852</v>
      </c>
      <c r="C25" s="1" t="n">
        <v>45911</v>
      </c>
      <c r="D25" t="inlineStr">
        <is>
          <t>GÄVLEBORGS LÄN</t>
        </is>
      </c>
      <c r="E25" t="inlineStr">
        <is>
          <t>GÄVLE</t>
        </is>
      </c>
      <c r="F25" t="inlineStr">
        <is>
          <t>Bergvik skog öst AB</t>
        </is>
      </c>
      <c r="G25" t="n">
        <v>10.2</v>
      </c>
      <c r="H25" t="n">
        <v>10</v>
      </c>
      <c r="I25" t="n">
        <v>1</v>
      </c>
      <c r="J25" t="n">
        <v>4</v>
      </c>
      <c r="K25" t="n">
        <v>0</v>
      </c>
      <c r="L25" t="n">
        <v>0</v>
      </c>
      <c r="M25" t="n">
        <v>0</v>
      </c>
      <c r="N25" t="n">
        <v>0</v>
      </c>
      <c r="O25" t="n">
        <v>4</v>
      </c>
      <c r="P25" t="n">
        <v>0</v>
      </c>
      <c r="Q25" t="n">
        <v>12</v>
      </c>
      <c r="R25" s="2" t="inlineStr">
        <is>
          <t>Rödvingetrast
Skogshare
Slaguggla
Spillkråka
Vårärt
Gröngöling
Kungsfågel
Skogsduva
Sångsvan
Trana
Huggorm
Kopparödla</t>
        </is>
      </c>
      <c r="S25">
        <f>HYPERLINK("https://klasma.github.io/Logging_2180/artfynd/A 29016-2025 artfynd.xlsx", "A 29016-2025")</f>
        <v/>
      </c>
      <c r="T25">
        <f>HYPERLINK("https://klasma.github.io/Logging_2180/kartor/A 29016-2025 karta.png", "A 29016-2025")</f>
        <v/>
      </c>
      <c r="V25">
        <f>HYPERLINK("https://klasma.github.io/Logging_2180/klagomål/A 29016-2025 FSC-klagomål.docx", "A 29016-2025")</f>
        <v/>
      </c>
      <c r="W25">
        <f>HYPERLINK("https://klasma.github.io/Logging_2180/klagomålsmail/A 29016-2025 FSC-klagomål mail.docx", "A 29016-2025")</f>
        <v/>
      </c>
      <c r="X25">
        <f>HYPERLINK("https://klasma.github.io/Logging_2180/tillsyn/A 29016-2025 tillsynsbegäran.docx", "A 29016-2025")</f>
        <v/>
      </c>
      <c r="Y25">
        <f>HYPERLINK("https://klasma.github.io/Logging_2180/tillsynsmail/A 29016-2025 tillsynsbegäran mail.docx", "A 29016-2025")</f>
        <v/>
      </c>
      <c r="Z25">
        <f>HYPERLINK("https://klasma.github.io/Logging_2180/fåglar/A 29016-2025 prioriterade fågelarter.docx", "A 29016-2025")</f>
        <v/>
      </c>
    </row>
    <row r="26" ht="15" customHeight="1">
      <c r="A26" t="inlineStr">
        <is>
          <t>A 35555-2025</t>
        </is>
      </c>
      <c r="B26" s="1" t="n">
        <v>45856</v>
      </c>
      <c r="C26" s="1" t="n">
        <v>45911</v>
      </c>
      <c r="D26" t="inlineStr">
        <is>
          <t>GÄVLEBORGS LÄN</t>
        </is>
      </c>
      <c r="E26" t="inlineStr">
        <is>
          <t>LJUSDAL</t>
        </is>
      </c>
      <c r="F26" t="inlineStr">
        <is>
          <t>Allmännings- och besparingsskogar</t>
        </is>
      </c>
      <c r="G26" t="n">
        <v>21.6</v>
      </c>
      <c r="H26" t="n">
        <v>3</v>
      </c>
      <c r="I26" t="n">
        <v>2</v>
      </c>
      <c r="J26" t="n">
        <v>7</v>
      </c>
      <c r="K26" t="n">
        <v>1</v>
      </c>
      <c r="L26" t="n">
        <v>0</v>
      </c>
      <c r="M26" t="n">
        <v>0</v>
      </c>
      <c r="N26" t="n">
        <v>0</v>
      </c>
      <c r="O26" t="n">
        <v>8</v>
      </c>
      <c r="P26" t="n">
        <v>1</v>
      </c>
      <c r="Q26" t="n">
        <v>12</v>
      </c>
      <c r="R26" s="2" t="inlineStr">
        <is>
          <t>Knärot
Garnlav
Kolflarnlav
Lunglav
Mörk kolflarnlav
Skrovellav
Vedskivlav
Violettgrå tagellav
Dropptaggsvamp
Nästlav
Tjäder
Trana</t>
        </is>
      </c>
      <c r="S26">
        <f>HYPERLINK("https://klasma.github.io/Logging_2161/artfynd/A 35555-2025 artfynd.xlsx", "A 35555-2025")</f>
        <v/>
      </c>
      <c r="T26">
        <f>HYPERLINK("https://klasma.github.io/Logging_2161/kartor/A 35555-2025 karta.png", "A 35555-2025")</f>
        <v/>
      </c>
      <c r="U26">
        <f>HYPERLINK("https://klasma.github.io/Logging_2161/knärot/A 35555-2025 karta knärot.png", "A 35555-2025")</f>
        <v/>
      </c>
      <c r="V26">
        <f>HYPERLINK("https://klasma.github.io/Logging_2161/klagomål/A 35555-2025 FSC-klagomål.docx", "A 35555-2025")</f>
        <v/>
      </c>
      <c r="W26">
        <f>HYPERLINK("https://klasma.github.io/Logging_2161/klagomålsmail/A 35555-2025 FSC-klagomål mail.docx", "A 35555-2025")</f>
        <v/>
      </c>
      <c r="X26">
        <f>HYPERLINK("https://klasma.github.io/Logging_2161/tillsyn/A 35555-2025 tillsynsbegäran.docx", "A 35555-2025")</f>
        <v/>
      </c>
      <c r="Y26">
        <f>HYPERLINK("https://klasma.github.io/Logging_2161/tillsynsmail/A 35555-2025 tillsynsbegäran mail.docx", "A 35555-2025")</f>
        <v/>
      </c>
      <c r="Z26">
        <f>HYPERLINK("https://klasma.github.io/Logging_2161/fåglar/A 35555-2025 prioriterade fågelarter.docx", "A 35555-2025")</f>
        <v/>
      </c>
    </row>
    <row r="27" ht="15" customHeight="1">
      <c r="A27" t="inlineStr">
        <is>
          <t>A 22554-2023</t>
        </is>
      </c>
      <c r="B27" s="1" t="n">
        <v>45071.44354166667</v>
      </c>
      <c r="C27" s="1" t="n">
        <v>45911</v>
      </c>
      <c r="D27" t="inlineStr">
        <is>
          <t>GÄVLEBORGS LÄN</t>
        </is>
      </c>
      <c r="E27" t="inlineStr">
        <is>
          <t>LJUSDAL</t>
        </is>
      </c>
      <c r="F27" t="inlineStr">
        <is>
          <t>Allmännings- och besparingsskogar</t>
        </is>
      </c>
      <c r="G27" t="n">
        <v>7.1</v>
      </c>
      <c r="H27" t="n">
        <v>2</v>
      </c>
      <c r="I27" t="n">
        <v>2</v>
      </c>
      <c r="J27" t="n">
        <v>8</v>
      </c>
      <c r="K27" t="n">
        <v>1</v>
      </c>
      <c r="L27" t="n">
        <v>0</v>
      </c>
      <c r="M27" t="n">
        <v>0</v>
      </c>
      <c r="N27" t="n">
        <v>0</v>
      </c>
      <c r="O27" t="n">
        <v>9</v>
      </c>
      <c r="P27" t="n">
        <v>1</v>
      </c>
      <c r="Q27" t="n">
        <v>12</v>
      </c>
      <c r="R27" s="2" t="inlineStr">
        <is>
          <t>Knärot
Garnlav
Kolflarnlav
Kortskaftad ärgspik
Lunglav
Mörk kolflarnlav
Skrovellav
Vedskivlav
Vitgrynig nållav
Mindre märgborre
Stuplav
Revlummer</t>
        </is>
      </c>
      <c r="S27">
        <f>HYPERLINK("https://klasma.github.io/Logging_2161/artfynd/A 22554-2023 artfynd.xlsx", "A 22554-2023")</f>
        <v/>
      </c>
      <c r="T27">
        <f>HYPERLINK("https://klasma.github.io/Logging_2161/kartor/A 22554-2023 karta.png", "A 22554-2023")</f>
        <v/>
      </c>
      <c r="U27">
        <f>HYPERLINK("https://klasma.github.io/Logging_2161/knärot/A 22554-2023 karta knärot.png", "A 22554-2023")</f>
        <v/>
      </c>
      <c r="V27">
        <f>HYPERLINK("https://klasma.github.io/Logging_2161/klagomål/A 22554-2023 FSC-klagomål.docx", "A 22554-2023")</f>
        <v/>
      </c>
      <c r="W27">
        <f>HYPERLINK("https://klasma.github.io/Logging_2161/klagomålsmail/A 22554-2023 FSC-klagomål mail.docx", "A 22554-2023")</f>
        <v/>
      </c>
      <c r="X27">
        <f>HYPERLINK("https://klasma.github.io/Logging_2161/tillsyn/A 22554-2023 tillsynsbegäran.docx", "A 22554-2023")</f>
        <v/>
      </c>
      <c r="Y27">
        <f>HYPERLINK("https://klasma.github.io/Logging_2161/tillsynsmail/A 22554-2023 tillsynsbegäran mail.docx", "A 22554-2023")</f>
        <v/>
      </c>
    </row>
    <row r="28" ht="15" customHeight="1">
      <c r="A28" t="inlineStr">
        <is>
          <t>A 31590-2025</t>
        </is>
      </c>
      <c r="B28" s="1" t="n">
        <v>45833.6953587963</v>
      </c>
      <c r="C28" s="1" t="n">
        <v>45911</v>
      </c>
      <c r="D28" t="inlineStr">
        <is>
          <t>GÄVLEBORGS LÄN</t>
        </is>
      </c>
      <c r="E28" t="inlineStr">
        <is>
          <t>GÄVLE</t>
        </is>
      </c>
      <c r="G28" t="n">
        <v>4.5</v>
      </c>
      <c r="H28" t="n">
        <v>5</v>
      </c>
      <c r="I28" t="n">
        <v>3</v>
      </c>
      <c r="J28" t="n">
        <v>4</v>
      </c>
      <c r="K28" t="n">
        <v>1</v>
      </c>
      <c r="L28" t="n">
        <v>0</v>
      </c>
      <c r="M28" t="n">
        <v>0</v>
      </c>
      <c r="N28" t="n">
        <v>0</v>
      </c>
      <c r="O28" t="n">
        <v>5</v>
      </c>
      <c r="P28" t="n">
        <v>1</v>
      </c>
      <c r="Q28" t="n">
        <v>11</v>
      </c>
      <c r="R28" s="2" t="inlineStr">
        <is>
          <t>Knärot
Gränsticka
Orange taggsvamp
Talltita
Ullticka
Dropptaggsvamp
Grönpyrola
Vedticka
Kungsfågel
Tjäder
Revlummer</t>
        </is>
      </c>
      <c r="S28">
        <f>HYPERLINK("https://klasma.github.io/Logging_2180/artfynd/A 31590-2025 artfynd.xlsx", "A 31590-2025")</f>
        <v/>
      </c>
      <c r="T28">
        <f>HYPERLINK("https://klasma.github.io/Logging_2180/kartor/A 31590-2025 karta.png", "A 31590-2025")</f>
        <v/>
      </c>
      <c r="U28">
        <f>HYPERLINK("https://klasma.github.io/Logging_2180/knärot/A 31590-2025 karta knärot.png", "A 31590-2025")</f>
        <v/>
      </c>
      <c r="V28">
        <f>HYPERLINK("https://klasma.github.io/Logging_2180/klagomål/A 31590-2025 FSC-klagomål.docx", "A 31590-2025")</f>
        <v/>
      </c>
      <c r="W28">
        <f>HYPERLINK("https://klasma.github.io/Logging_2180/klagomålsmail/A 31590-2025 FSC-klagomål mail.docx", "A 31590-2025")</f>
        <v/>
      </c>
      <c r="X28">
        <f>HYPERLINK("https://klasma.github.io/Logging_2180/tillsyn/A 31590-2025 tillsynsbegäran.docx", "A 31590-2025")</f>
        <v/>
      </c>
      <c r="Y28">
        <f>HYPERLINK("https://klasma.github.io/Logging_2180/tillsynsmail/A 31590-2025 tillsynsbegäran mail.docx", "A 31590-2025")</f>
        <v/>
      </c>
      <c r="Z28">
        <f>HYPERLINK("https://klasma.github.io/Logging_2180/fåglar/A 31590-2025 prioriterade fågelarter.docx", "A 31590-2025")</f>
        <v/>
      </c>
    </row>
    <row r="29" ht="15" customHeight="1">
      <c r="A29" t="inlineStr">
        <is>
          <t>A 31324-2024</t>
        </is>
      </c>
      <c r="B29" s="1" t="n">
        <v>45504.58956018519</v>
      </c>
      <c r="C29" s="1" t="n">
        <v>45911</v>
      </c>
      <c r="D29" t="inlineStr">
        <is>
          <t>GÄVLEBORGS LÄN</t>
        </is>
      </c>
      <c r="E29" t="inlineStr">
        <is>
          <t>LJUSDAL</t>
        </is>
      </c>
      <c r="F29" t="inlineStr">
        <is>
          <t>Sveaskog</t>
        </is>
      </c>
      <c r="G29" t="n">
        <v>14</v>
      </c>
      <c r="H29" t="n">
        <v>4</v>
      </c>
      <c r="I29" t="n">
        <v>3</v>
      </c>
      <c r="J29" t="n">
        <v>5</v>
      </c>
      <c r="K29" t="n">
        <v>1</v>
      </c>
      <c r="L29" t="n">
        <v>0</v>
      </c>
      <c r="M29" t="n">
        <v>0</v>
      </c>
      <c r="N29" t="n">
        <v>0</v>
      </c>
      <c r="O29" t="n">
        <v>6</v>
      </c>
      <c r="P29" t="n">
        <v>1</v>
      </c>
      <c r="Q29" t="n">
        <v>11</v>
      </c>
      <c r="R29" s="2" t="inlineStr">
        <is>
          <t>Knärot
Garnlav
Kolflarnlav
Lunglav
Mörk kolflarnlav
Vedskivlav
Dropptaggsvamp
Norrlandslav
Spindelblomster
Tjäder
Fläcknycklar</t>
        </is>
      </c>
      <c r="S29">
        <f>HYPERLINK("https://klasma.github.io/Logging_2161/artfynd/A 31324-2024 artfynd.xlsx", "A 31324-2024")</f>
        <v/>
      </c>
      <c r="T29">
        <f>HYPERLINK("https://klasma.github.io/Logging_2161/kartor/A 31324-2024 karta.png", "A 31324-2024")</f>
        <v/>
      </c>
      <c r="U29">
        <f>HYPERLINK("https://klasma.github.io/Logging_2161/knärot/A 31324-2024 karta knärot.png", "A 31324-2024")</f>
        <v/>
      </c>
      <c r="V29">
        <f>HYPERLINK("https://klasma.github.io/Logging_2161/klagomål/A 31324-2024 FSC-klagomål.docx", "A 31324-2024")</f>
        <v/>
      </c>
      <c r="W29">
        <f>HYPERLINK("https://klasma.github.io/Logging_2161/klagomålsmail/A 31324-2024 FSC-klagomål mail.docx", "A 31324-2024")</f>
        <v/>
      </c>
      <c r="X29">
        <f>HYPERLINK("https://klasma.github.io/Logging_2161/tillsyn/A 31324-2024 tillsynsbegäran.docx", "A 31324-2024")</f>
        <v/>
      </c>
      <c r="Y29">
        <f>HYPERLINK("https://klasma.github.io/Logging_2161/tillsynsmail/A 31324-2024 tillsynsbegäran mail.docx", "A 31324-2024")</f>
        <v/>
      </c>
      <c r="Z29">
        <f>HYPERLINK("https://klasma.github.io/Logging_2161/fåglar/A 31324-2024 prioriterade fågelarter.docx", "A 31324-2024")</f>
        <v/>
      </c>
    </row>
    <row r="30" ht="15" customHeight="1">
      <c r="A30" t="inlineStr">
        <is>
          <t>A 31463-2022</t>
        </is>
      </c>
      <c r="B30" s="1" t="n">
        <v>44774</v>
      </c>
      <c r="C30" s="1" t="n">
        <v>45911</v>
      </c>
      <c r="D30" t="inlineStr">
        <is>
          <t>GÄVLEBORGS LÄN</t>
        </is>
      </c>
      <c r="E30" t="inlineStr">
        <is>
          <t>LJUSDAL</t>
        </is>
      </c>
      <c r="F30" t="inlineStr">
        <is>
          <t>SCA</t>
        </is>
      </c>
      <c r="G30" t="n">
        <v>4.3</v>
      </c>
      <c r="H30" t="n">
        <v>2</v>
      </c>
      <c r="I30" t="n">
        <v>1</v>
      </c>
      <c r="J30" t="n">
        <v>7</v>
      </c>
      <c r="K30" t="n">
        <v>2</v>
      </c>
      <c r="L30" t="n">
        <v>0</v>
      </c>
      <c r="M30" t="n">
        <v>0</v>
      </c>
      <c r="N30" t="n">
        <v>0</v>
      </c>
      <c r="O30" t="n">
        <v>9</v>
      </c>
      <c r="P30" t="n">
        <v>2</v>
      </c>
      <c r="Q30" t="n">
        <v>10</v>
      </c>
      <c r="R30" s="2" t="inlineStr">
        <is>
          <t>Gräddporing
Knärot
Garnlav
Kolflarnlav
Kortskaftad ärgspik
Lunglav
Mörk kolflarnlav
Tretåig hackspett
Vedtrappmossa
Skinnlav</t>
        </is>
      </c>
      <c r="S30">
        <f>HYPERLINK("https://klasma.github.io/Logging_2161/artfynd/A 31463-2022 artfynd.xlsx", "A 31463-2022")</f>
        <v/>
      </c>
      <c r="T30">
        <f>HYPERLINK("https://klasma.github.io/Logging_2161/kartor/A 31463-2022 karta.png", "A 31463-2022")</f>
        <v/>
      </c>
      <c r="U30">
        <f>HYPERLINK("https://klasma.github.io/Logging_2161/knärot/A 31463-2022 karta knärot.png", "A 31463-2022")</f>
        <v/>
      </c>
      <c r="V30">
        <f>HYPERLINK("https://klasma.github.io/Logging_2161/klagomål/A 31463-2022 FSC-klagomål.docx", "A 31463-2022")</f>
        <v/>
      </c>
      <c r="W30">
        <f>HYPERLINK("https://klasma.github.io/Logging_2161/klagomålsmail/A 31463-2022 FSC-klagomål mail.docx", "A 31463-2022")</f>
        <v/>
      </c>
      <c r="X30">
        <f>HYPERLINK("https://klasma.github.io/Logging_2161/tillsyn/A 31463-2022 tillsynsbegäran.docx", "A 31463-2022")</f>
        <v/>
      </c>
      <c r="Y30">
        <f>HYPERLINK("https://klasma.github.io/Logging_2161/tillsynsmail/A 31463-2022 tillsynsbegäran mail.docx", "A 31463-2022")</f>
        <v/>
      </c>
      <c r="Z30">
        <f>HYPERLINK("https://klasma.github.io/Logging_2161/fåglar/A 31463-2022 prioriterade fågelarter.docx", "A 31463-2022")</f>
        <v/>
      </c>
    </row>
    <row r="31" ht="15" customHeight="1">
      <c r="A31" t="inlineStr">
        <is>
          <t>A 50174-2020</t>
        </is>
      </c>
      <c r="B31" s="1" t="n">
        <v>44109</v>
      </c>
      <c r="C31" s="1" t="n">
        <v>45911</v>
      </c>
      <c r="D31" t="inlineStr">
        <is>
          <t>GÄVLEBORGS LÄN</t>
        </is>
      </c>
      <c r="E31" t="inlineStr">
        <is>
          <t>BOLLNÄS</t>
        </is>
      </c>
      <c r="F31" t="inlineStr">
        <is>
          <t>Bergvik skog väst AB</t>
        </is>
      </c>
      <c r="G31" t="n">
        <v>21.1</v>
      </c>
      <c r="H31" t="n">
        <v>3</v>
      </c>
      <c r="I31" t="n">
        <v>2</v>
      </c>
      <c r="J31" t="n">
        <v>7</v>
      </c>
      <c r="K31" t="n">
        <v>1</v>
      </c>
      <c r="L31" t="n">
        <v>0</v>
      </c>
      <c r="M31" t="n">
        <v>0</v>
      </c>
      <c r="N31" t="n">
        <v>0</v>
      </c>
      <c r="O31" t="n">
        <v>8</v>
      </c>
      <c r="P31" t="n">
        <v>1</v>
      </c>
      <c r="Q31" t="n">
        <v>10</v>
      </c>
      <c r="R31" s="2" t="inlineStr">
        <is>
          <t>Knärot
Garnlav
Kolflarnlav
Kortskaftad ärgspik
Mörk kolflarnlav
Tretåig hackspett
Vedskivlav
Vedtrappmossa
Gulnål
Plattlummer</t>
        </is>
      </c>
      <c r="S31">
        <f>HYPERLINK("https://klasma.github.io/Logging_2183/artfynd/A 50174-2020 artfynd.xlsx", "A 50174-2020")</f>
        <v/>
      </c>
      <c r="T31">
        <f>HYPERLINK("https://klasma.github.io/Logging_2183/kartor/A 50174-2020 karta.png", "A 50174-2020")</f>
        <v/>
      </c>
      <c r="U31">
        <f>HYPERLINK("https://klasma.github.io/Logging_2183/knärot/A 50174-2020 karta knärot.png", "A 50174-2020")</f>
        <v/>
      </c>
      <c r="V31">
        <f>HYPERLINK("https://klasma.github.io/Logging_2183/klagomål/A 50174-2020 FSC-klagomål.docx", "A 50174-2020")</f>
        <v/>
      </c>
      <c r="W31">
        <f>HYPERLINK("https://klasma.github.io/Logging_2183/klagomålsmail/A 50174-2020 FSC-klagomål mail.docx", "A 50174-2020")</f>
        <v/>
      </c>
      <c r="X31">
        <f>HYPERLINK("https://klasma.github.io/Logging_2183/tillsyn/A 50174-2020 tillsynsbegäran.docx", "A 50174-2020")</f>
        <v/>
      </c>
      <c r="Y31">
        <f>HYPERLINK("https://klasma.github.io/Logging_2183/tillsynsmail/A 50174-2020 tillsynsbegäran mail.docx", "A 50174-2020")</f>
        <v/>
      </c>
      <c r="Z31">
        <f>HYPERLINK("https://klasma.github.io/Logging_2183/fåglar/A 50174-2020 prioriterade fågelarter.docx", "A 50174-2020")</f>
        <v/>
      </c>
    </row>
    <row r="32" ht="15" customHeight="1">
      <c r="A32" t="inlineStr">
        <is>
          <t>A 24465-2025</t>
        </is>
      </c>
      <c r="B32" s="1" t="n">
        <v>45798</v>
      </c>
      <c r="C32" s="1" t="n">
        <v>45911</v>
      </c>
      <c r="D32" t="inlineStr">
        <is>
          <t>GÄVLEBORGS LÄN</t>
        </is>
      </c>
      <c r="E32" t="inlineStr">
        <is>
          <t>LJUSDAL</t>
        </is>
      </c>
      <c r="F32" t="inlineStr">
        <is>
          <t>Bergvik skog väst AB</t>
        </is>
      </c>
      <c r="G32" t="n">
        <v>5.1</v>
      </c>
      <c r="H32" t="n">
        <v>2</v>
      </c>
      <c r="I32" t="n">
        <v>4</v>
      </c>
      <c r="J32" t="n">
        <v>5</v>
      </c>
      <c r="K32" t="n">
        <v>0</v>
      </c>
      <c r="L32" t="n">
        <v>0</v>
      </c>
      <c r="M32" t="n">
        <v>0</v>
      </c>
      <c r="N32" t="n">
        <v>0</v>
      </c>
      <c r="O32" t="n">
        <v>5</v>
      </c>
      <c r="P32" t="n">
        <v>0</v>
      </c>
      <c r="Q32" t="n">
        <v>10</v>
      </c>
      <c r="R32" s="2" t="inlineStr">
        <is>
          <t>Dvärgbägarlav
Kolflarnlav
Kortskaftad ärgspik
Lunglav
Mörk kolflarnlav
Bårdlav
Korallblylav
Mörk husmossa
Spindelblomster
Fläcknycklar</t>
        </is>
      </c>
      <c r="S32">
        <f>HYPERLINK("https://klasma.github.io/Logging_2161/artfynd/A 24465-2025 artfynd.xlsx", "A 24465-2025")</f>
        <v/>
      </c>
      <c r="T32">
        <f>HYPERLINK("https://klasma.github.io/Logging_2161/kartor/A 24465-2025 karta.png", "A 24465-2025")</f>
        <v/>
      </c>
      <c r="U32">
        <f>HYPERLINK("https://klasma.github.io/Logging_2161/knärot/A 24465-2025 karta knärot.png", "A 24465-2025")</f>
        <v/>
      </c>
      <c r="V32">
        <f>HYPERLINK("https://klasma.github.io/Logging_2161/klagomål/A 24465-2025 FSC-klagomål.docx", "A 24465-2025")</f>
        <v/>
      </c>
      <c r="W32">
        <f>HYPERLINK("https://klasma.github.io/Logging_2161/klagomålsmail/A 24465-2025 FSC-klagomål mail.docx", "A 24465-2025")</f>
        <v/>
      </c>
      <c r="X32">
        <f>HYPERLINK("https://klasma.github.io/Logging_2161/tillsyn/A 24465-2025 tillsynsbegäran.docx", "A 24465-2025")</f>
        <v/>
      </c>
      <c r="Y32">
        <f>HYPERLINK("https://klasma.github.io/Logging_2161/tillsynsmail/A 24465-2025 tillsynsbegäran mail.docx", "A 24465-2025")</f>
        <v/>
      </c>
    </row>
    <row r="33" ht="15" customHeight="1">
      <c r="A33" t="inlineStr">
        <is>
          <t>A 31613-2025</t>
        </is>
      </c>
      <c r="B33" s="1" t="n">
        <v>45833.80734953703</v>
      </c>
      <c r="C33" s="1" t="n">
        <v>45911</v>
      </c>
      <c r="D33" t="inlineStr">
        <is>
          <t>GÄVLEBORGS LÄN</t>
        </is>
      </c>
      <c r="E33" t="inlineStr">
        <is>
          <t>LJUSDAL</t>
        </is>
      </c>
      <c r="F33" t="inlineStr">
        <is>
          <t>Sveaskog</t>
        </is>
      </c>
      <c r="G33" t="n">
        <v>22.9</v>
      </c>
      <c r="H33" t="n">
        <v>5</v>
      </c>
      <c r="I33" t="n">
        <v>2</v>
      </c>
      <c r="J33" t="n">
        <v>6</v>
      </c>
      <c r="K33" t="n">
        <v>0</v>
      </c>
      <c r="L33" t="n">
        <v>0</v>
      </c>
      <c r="M33" t="n">
        <v>0</v>
      </c>
      <c r="N33" t="n">
        <v>0</v>
      </c>
      <c r="O33" t="n">
        <v>6</v>
      </c>
      <c r="P33" t="n">
        <v>0</v>
      </c>
      <c r="Q33" t="n">
        <v>10</v>
      </c>
      <c r="R33" s="2" t="inlineStr">
        <is>
          <t>Garnlav
Kolflarnlav
Lunglav
Mörk kolflarnlav
Skrovellav
Talltita
Korallrot
Plattlummer
Tjäder
Fläcknycklar</t>
        </is>
      </c>
      <c r="S33">
        <f>HYPERLINK("https://klasma.github.io/Logging_2161/artfynd/A 31613-2025 artfynd.xlsx", "A 31613-2025")</f>
        <v/>
      </c>
      <c r="T33">
        <f>HYPERLINK("https://klasma.github.io/Logging_2161/kartor/A 31613-2025 karta.png", "A 31613-2025")</f>
        <v/>
      </c>
      <c r="V33">
        <f>HYPERLINK("https://klasma.github.io/Logging_2161/klagomål/A 31613-2025 FSC-klagomål.docx", "A 31613-2025")</f>
        <v/>
      </c>
      <c r="W33">
        <f>HYPERLINK("https://klasma.github.io/Logging_2161/klagomålsmail/A 31613-2025 FSC-klagomål mail.docx", "A 31613-2025")</f>
        <v/>
      </c>
      <c r="X33">
        <f>HYPERLINK("https://klasma.github.io/Logging_2161/tillsyn/A 31613-2025 tillsynsbegäran.docx", "A 31613-2025")</f>
        <v/>
      </c>
      <c r="Y33">
        <f>HYPERLINK("https://klasma.github.io/Logging_2161/tillsynsmail/A 31613-2025 tillsynsbegäran mail.docx", "A 31613-2025")</f>
        <v/>
      </c>
      <c r="Z33">
        <f>HYPERLINK("https://klasma.github.io/Logging_2161/fåglar/A 31613-2025 prioriterade fågelarter.docx", "A 31613-2025")</f>
        <v/>
      </c>
    </row>
    <row r="34" ht="15" customHeight="1">
      <c r="A34" t="inlineStr">
        <is>
          <t>A 37449-2025</t>
        </is>
      </c>
      <c r="B34" s="1" t="n">
        <v>45877.55246527777</v>
      </c>
      <c r="C34" s="1" t="n">
        <v>45911</v>
      </c>
      <c r="D34" t="inlineStr">
        <is>
          <t>GÄVLEBORGS LÄN</t>
        </is>
      </c>
      <c r="E34" t="inlineStr">
        <is>
          <t>LJUSDAL</t>
        </is>
      </c>
      <c r="F34" t="inlineStr">
        <is>
          <t>SCA</t>
        </is>
      </c>
      <c r="G34" t="n">
        <v>4.6</v>
      </c>
      <c r="H34" t="n">
        <v>1</v>
      </c>
      <c r="I34" t="n">
        <v>4</v>
      </c>
      <c r="J34" t="n">
        <v>3</v>
      </c>
      <c r="K34" t="n">
        <v>1</v>
      </c>
      <c r="L34" t="n">
        <v>1</v>
      </c>
      <c r="M34" t="n">
        <v>0</v>
      </c>
      <c r="N34" t="n">
        <v>0</v>
      </c>
      <c r="O34" t="n">
        <v>5</v>
      </c>
      <c r="P34" t="n">
        <v>2</v>
      </c>
      <c r="Q34" t="n">
        <v>10</v>
      </c>
      <c r="R34" s="2" t="inlineStr">
        <is>
          <t>Timmerskapania
Liten hornflikmossa
Skuggviol
Vedflikmossa
Vedtrappmossa
Fjällig taggsvamp s.str.
Kransrams
Svart trolldruva
Underviol
Blåsippa</t>
        </is>
      </c>
      <c r="S34">
        <f>HYPERLINK("https://klasma.github.io/Logging_2161/artfynd/A 37449-2025 artfynd.xlsx", "A 37449-2025")</f>
        <v/>
      </c>
      <c r="T34">
        <f>HYPERLINK("https://klasma.github.io/Logging_2161/kartor/A 37449-2025 karta.png", "A 37449-2025")</f>
        <v/>
      </c>
      <c r="V34">
        <f>HYPERLINK("https://klasma.github.io/Logging_2161/klagomål/A 37449-2025 FSC-klagomål.docx", "A 37449-2025")</f>
        <v/>
      </c>
      <c r="W34">
        <f>HYPERLINK("https://klasma.github.io/Logging_2161/klagomålsmail/A 37449-2025 FSC-klagomål mail.docx", "A 37449-2025")</f>
        <v/>
      </c>
      <c r="X34">
        <f>HYPERLINK("https://klasma.github.io/Logging_2161/tillsyn/A 37449-2025 tillsynsbegäran.docx", "A 37449-2025")</f>
        <v/>
      </c>
      <c r="Y34">
        <f>HYPERLINK("https://klasma.github.io/Logging_2161/tillsynsmail/A 37449-2025 tillsynsbegäran mail.docx", "A 37449-2025")</f>
        <v/>
      </c>
    </row>
    <row r="35" ht="15" customHeight="1">
      <c r="A35" t="inlineStr">
        <is>
          <t>A 26649-2025</t>
        </is>
      </c>
      <c r="B35" s="1" t="n">
        <v>45810</v>
      </c>
      <c r="C35" s="1" t="n">
        <v>45911</v>
      </c>
      <c r="D35" t="inlineStr">
        <is>
          <t>GÄVLEBORGS LÄN</t>
        </is>
      </c>
      <c r="E35" t="inlineStr">
        <is>
          <t>LJUSDAL</t>
        </is>
      </c>
      <c r="F35" t="inlineStr">
        <is>
          <t>Allmännings- och besparingsskogar</t>
        </is>
      </c>
      <c r="G35" t="n">
        <v>10</v>
      </c>
      <c r="H35" t="n">
        <v>1</v>
      </c>
      <c r="I35" t="n">
        <v>3</v>
      </c>
      <c r="J35" t="n">
        <v>7</v>
      </c>
      <c r="K35" t="n">
        <v>0</v>
      </c>
      <c r="L35" t="n">
        <v>0</v>
      </c>
      <c r="M35" t="n">
        <v>0</v>
      </c>
      <c r="N35" t="n">
        <v>0</v>
      </c>
      <c r="O35" t="n">
        <v>7</v>
      </c>
      <c r="P35" t="n">
        <v>0</v>
      </c>
      <c r="Q35" t="n">
        <v>10</v>
      </c>
      <c r="R35" s="2" t="inlineStr">
        <is>
          <t>Dvärgbägarlav
Garnlav
Kolflarnlav
Lunglav
Mörk kolflarnlav
Tretåig hackspett
Vedskivlav
Bårdlav
Dropptaggsvamp
Stuplav</t>
        </is>
      </c>
      <c r="S35">
        <f>HYPERLINK("https://klasma.github.io/Logging_2161/artfynd/A 26649-2025 artfynd.xlsx", "A 26649-2025")</f>
        <v/>
      </c>
      <c r="T35">
        <f>HYPERLINK("https://klasma.github.io/Logging_2161/kartor/A 26649-2025 karta.png", "A 26649-2025")</f>
        <v/>
      </c>
      <c r="V35">
        <f>HYPERLINK("https://klasma.github.io/Logging_2161/klagomål/A 26649-2025 FSC-klagomål.docx", "A 26649-2025")</f>
        <v/>
      </c>
      <c r="W35">
        <f>HYPERLINK("https://klasma.github.io/Logging_2161/klagomålsmail/A 26649-2025 FSC-klagomål mail.docx", "A 26649-2025")</f>
        <v/>
      </c>
      <c r="X35">
        <f>HYPERLINK("https://klasma.github.io/Logging_2161/tillsyn/A 26649-2025 tillsynsbegäran.docx", "A 26649-2025")</f>
        <v/>
      </c>
      <c r="Y35">
        <f>HYPERLINK("https://klasma.github.io/Logging_2161/tillsynsmail/A 26649-2025 tillsynsbegäran mail.docx", "A 26649-2025")</f>
        <v/>
      </c>
      <c r="Z35">
        <f>HYPERLINK("https://klasma.github.io/Logging_2161/fåglar/A 26649-2025 prioriterade fågelarter.docx", "A 26649-2025")</f>
        <v/>
      </c>
    </row>
    <row r="36" ht="15" customHeight="1">
      <c r="A36" t="inlineStr">
        <is>
          <t>A 14326-2024</t>
        </is>
      </c>
      <c r="B36" s="1" t="n">
        <v>45393</v>
      </c>
      <c r="C36" s="1" t="n">
        <v>45911</v>
      </c>
      <c r="D36" t="inlineStr">
        <is>
          <t>GÄVLEBORGS LÄN</t>
        </is>
      </c>
      <c r="E36" t="inlineStr">
        <is>
          <t>SÖDERHAMN</t>
        </is>
      </c>
      <c r="G36" t="n">
        <v>37.3</v>
      </c>
      <c r="H36" t="n">
        <v>10</v>
      </c>
      <c r="I36" t="n">
        <v>0</v>
      </c>
      <c r="J36" t="n">
        <v>5</v>
      </c>
      <c r="K36" t="n">
        <v>0</v>
      </c>
      <c r="L36" t="n">
        <v>0</v>
      </c>
      <c r="M36" t="n">
        <v>0</v>
      </c>
      <c r="N36" t="n">
        <v>0</v>
      </c>
      <c r="O36" t="n">
        <v>5</v>
      </c>
      <c r="P36" t="n">
        <v>0</v>
      </c>
      <c r="Q36" t="n">
        <v>10</v>
      </c>
      <c r="R36" s="2" t="inlineStr">
        <is>
          <t>Grönsångare
Rödvingetrast
Smålom
Spillkråka
Talltita
Enkelbeckasin
Grönsiska
Järnsparv
Kungsfågel
Orre</t>
        </is>
      </c>
      <c r="S36">
        <f>HYPERLINK("https://klasma.github.io/Logging_2182/artfynd/A 14326-2024 artfynd.xlsx", "A 14326-2024")</f>
        <v/>
      </c>
      <c r="T36">
        <f>HYPERLINK("https://klasma.github.io/Logging_2182/kartor/A 14326-2024 karta.png", "A 14326-2024")</f>
        <v/>
      </c>
      <c r="V36">
        <f>HYPERLINK("https://klasma.github.io/Logging_2182/klagomål/A 14326-2024 FSC-klagomål.docx", "A 14326-2024")</f>
        <v/>
      </c>
      <c r="W36">
        <f>HYPERLINK("https://klasma.github.io/Logging_2182/klagomålsmail/A 14326-2024 FSC-klagomål mail.docx", "A 14326-2024")</f>
        <v/>
      </c>
      <c r="X36">
        <f>HYPERLINK("https://klasma.github.io/Logging_2182/tillsyn/A 14326-2024 tillsynsbegäran.docx", "A 14326-2024")</f>
        <v/>
      </c>
      <c r="Y36">
        <f>HYPERLINK("https://klasma.github.io/Logging_2182/tillsynsmail/A 14326-2024 tillsynsbegäran mail.docx", "A 14326-2024")</f>
        <v/>
      </c>
      <c r="Z36">
        <f>HYPERLINK("https://klasma.github.io/Logging_2182/fåglar/A 14326-2024 prioriterade fågelarter.docx", "A 14326-2024")</f>
        <v/>
      </c>
    </row>
    <row r="37" ht="15" customHeight="1">
      <c r="A37" t="inlineStr">
        <is>
          <t>A 39905-2022</t>
        </is>
      </c>
      <c r="B37" s="1" t="n">
        <v>44819</v>
      </c>
      <c r="C37" s="1" t="n">
        <v>45911</v>
      </c>
      <c r="D37" t="inlineStr">
        <is>
          <t>GÄVLEBORGS LÄN</t>
        </is>
      </c>
      <c r="E37" t="inlineStr">
        <is>
          <t>OVANÅKER</t>
        </is>
      </c>
      <c r="G37" t="n">
        <v>3.5</v>
      </c>
      <c r="H37" t="n">
        <v>6</v>
      </c>
      <c r="I37" t="n">
        <v>4</v>
      </c>
      <c r="J37" t="n">
        <v>1</v>
      </c>
      <c r="K37" t="n">
        <v>1</v>
      </c>
      <c r="L37" t="n">
        <v>0</v>
      </c>
      <c r="M37" t="n">
        <v>0</v>
      </c>
      <c r="N37" t="n">
        <v>0</v>
      </c>
      <c r="O37" t="n">
        <v>2</v>
      </c>
      <c r="P37" t="n">
        <v>1</v>
      </c>
      <c r="Q37" t="n">
        <v>9</v>
      </c>
      <c r="R37" s="2" t="inlineStr">
        <is>
          <t>Turkos blåvinge
Månlåsbräken
Grönkulla
Plattlummer
Spindelblomster
Ögonpyrola
Fläcknycklar
Nattviol
Revlummer</t>
        </is>
      </c>
      <c r="S37">
        <f>HYPERLINK("https://klasma.github.io/Logging_2121/artfynd/A 39905-2022 artfynd.xlsx", "A 39905-2022")</f>
        <v/>
      </c>
      <c r="T37">
        <f>HYPERLINK("https://klasma.github.io/Logging_2121/kartor/A 39905-2022 karta.png", "A 39905-2022")</f>
        <v/>
      </c>
      <c r="V37">
        <f>HYPERLINK("https://klasma.github.io/Logging_2121/klagomål/A 39905-2022 FSC-klagomål.docx", "A 39905-2022")</f>
        <v/>
      </c>
      <c r="W37">
        <f>HYPERLINK("https://klasma.github.io/Logging_2121/klagomålsmail/A 39905-2022 FSC-klagomål mail.docx", "A 39905-2022")</f>
        <v/>
      </c>
      <c r="X37">
        <f>HYPERLINK("https://klasma.github.io/Logging_2121/tillsyn/A 39905-2022 tillsynsbegäran.docx", "A 39905-2022")</f>
        <v/>
      </c>
      <c r="Y37">
        <f>HYPERLINK("https://klasma.github.io/Logging_2121/tillsynsmail/A 39905-2022 tillsynsbegäran mail.docx", "A 39905-2022")</f>
        <v/>
      </c>
    </row>
    <row r="38" ht="15" customHeight="1">
      <c r="A38" t="inlineStr">
        <is>
          <t>A 22588-2025</t>
        </is>
      </c>
      <c r="B38" s="1" t="n">
        <v>45789.40025462963</v>
      </c>
      <c r="C38" s="1" t="n">
        <v>45911</v>
      </c>
      <c r="D38" t="inlineStr">
        <is>
          <t>GÄVLEBORGS LÄN</t>
        </is>
      </c>
      <c r="E38" t="inlineStr">
        <is>
          <t>LJUSDAL</t>
        </is>
      </c>
      <c r="F38" t="inlineStr">
        <is>
          <t>Allmännings- och besparingsskogar</t>
        </is>
      </c>
      <c r="G38" t="n">
        <v>29.7</v>
      </c>
      <c r="H38" t="n">
        <v>2</v>
      </c>
      <c r="I38" t="n">
        <v>2</v>
      </c>
      <c r="J38" t="n">
        <v>6</v>
      </c>
      <c r="K38" t="n">
        <v>1</v>
      </c>
      <c r="L38" t="n">
        <v>0</v>
      </c>
      <c r="M38" t="n">
        <v>0</v>
      </c>
      <c r="N38" t="n">
        <v>0</v>
      </c>
      <c r="O38" t="n">
        <v>7</v>
      </c>
      <c r="P38" t="n">
        <v>1</v>
      </c>
      <c r="Q38" t="n">
        <v>9</v>
      </c>
      <c r="R38" s="2" t="inlineStr">
        <is>
          <t>Knärot
Dvärgbägarlav
Garnlav
Lunglav
Mörk kolflarnlav
Ullticka
Vedskivlav
Spindelblomster
Vedticka</t>
        </is>
      </c>
      <c r="S38">
        <f>HYPERLINK("https://klasma.github.io/Logging_2161/artfynd/A 22588-2025 artfynd.xlsx", "A 22588-2025")</f>
        <v/>
      </c>
      <c r="T38">
        <f>HYPERLINK("https://klasma.github.io/Logging_2161/kartor/A 22588-2025 karta.png", "A 22588-2025")</f>
        <v/>
      </c>
      <c r="U38">
        <f>HYPERLINK("https://klasma.github.io/Logging_2161/knärot/A 22588-2025 karta knärot.png", "A 22588-2025")</f>
        <v/>
      </c>
      <c r="V38">
        <f>HYPERLINK("https://klasma.github.io/Logging_2161/klagomål/A 22588-2025 FSC-klagomål.docx", "A 22588-2025")</f>
        <v/>
      </c>
      <c r="W38">
        <f>HYPERLINK("https://klasma.github.io/Logging_2161/klagomålsmail/A 22588-2025 FSC-klagomål mail.docx", "A 22588-2025")</f>
        <v/>
      </c>
      <c r="X38">
        <f>HYPERLINK("https://klasma.github.io/Logging_2161/tillsyn/A 22588-2025 tillsynsbegäran.docx", "A 22588-2025")</f>
        <v/>
      </c>
      <c r="Y38">
        <f>HYPERLINK("https://klasma.github.io/Logging_2161/tillsynsmail/A 22588-2025 tillsynsbegäran mail.docx", "A 22588-2025")</f>
        <v/>
      </c>
    </row>
    <row r="39" ht="15" customHeight="1">
      <c r="A39" t="inlineStr">
        <is>
          <t>A 33353-2024</t>
        </is>
      </c>
      <c r="B39" s="1" t="n">
        <v>45519.38559027778</v>
      </c>
      <c r="C39" s="1" t="n">
        <v>45911</v>
      </c>
      <c r="D39" t="inlineStr">
        <is>
          <t>GÄVLEBORGS LÄN</t>
        </is>
      </c>
      <c r="E39" t="inlineStr">
        <is>
          <t>LJUSDAL</t>
        </is>
      </c>
      <c r="F39" t="inlineStr">
        <is>
          <t>Bergvik skog väst AB</t>
        </is>
      </c>
      <c r="G39" t="n">
        <v>3.9</v>
      </c>
      <c r="H39" t="n">
        <v>1</v>
      </c>
      <c r="I39" t="n">
        <v>3</v>
      </c>
      <c r="J39" t="n">
        <v>5</v>
      </c>
      <c r="K39" t="n">
        <v>0</v>
      </c>
      <c r="L39" t="n">
        <v>0</v>
      </c>
      <c r="M39" t="n">
        <v>0</v>
      </c>
      <c r="N39" t="n">
        <v>0</v>
      </c>
      <c r="O39" t="n">
        <v>5</v>
      </c>
      <c r="P39" t="n">
        <v>0</v>
      </c>
      <c r="Q39" t="n">
        <v>9</v>
      </c>
      <c r="R39" s="2" t="inlineStr">
        <is>
          <t>Gammelgransskål
Kortskaftad ärgspik
Lunglav
Stiftgelélav
Vedtrappmossa
Korallblylav
Skinnlav
Stuplav
Blåsippa</t>
        </is>
      </c>
      <c r="S39">
        <f>HYPERLINK("https://klasma.github.io/Logging_2161/artfynd/A 33353-2024 artfynd.xlsx", "A 33353-2024")</f>
        <v/>
      </c>
      <c r="T39">
        <f>HYPERLINK("https://klasma.github.io/Logging_2161/kartor/A 33353-2024 karta.png", "A 33353-2024")</f>
        <v/>
      </c>
      <c r="V39">
        <f>HYPERLINK("https://klasma.github.io/Logging_2161/klagomål/A 33353-2024 FSC-klagomål.docx", "A 33353-2024")</f>
        <v/>
      </c>
      <c r="W39">
        <f>HYPERLINK("https://klasma.github.io/Logging_2161/klagomålsmail/A 33353-2024 FSC-klagomål mail.docx", "A 33353-2024")</f>
        <v/>
      </c>
      <c r="X39">
        <f>HYPERLINK("https://klasma.github.io/Logging_2161/tillsyn/A 33353-2024 tillsynsbegäran.docx", "A 33353-2024")</f>
        <v/>
      </c>
      <c r="Y39">
        <f>HYPERLINK("https://klasma.github.io/Logging_2161/tillsynsmail/A 33353-2024 tillsynsbegäran mail.docx", "A 33353-2024")</f>
        <v/>
      </c>
    </row>
    <row r="40" ht="15" customHeight="1">
      <c r="A40" t="inlineStr">
        <is>
          <t>A 28996-2025</t>
        </is>
      </c>
      <c r="B40" s="1" t="n">
        <v>45821</v>
      </c>
      <c r="C40" s="1" t="n">
        <v>45911</v>
      </c>
      <c r="D40" t="inlineStr">
        <is>
          <t>GÄVLEBORGS LÄN</t>
        </is>
      </c>
      <c r="E40" t="inlineStr">
        <is>
          <t>LJUSDAL</t>
        </is>
      </c>
      <c r="F40" t="inlineStr">
        <is>
          <t>SCA</t>
        </is>
      </c>
      <c r="G40" t="n">
        <v>14.8</v>
      </c>
      <c r="H40" t="n">
        <v>3</v>
      </c>
      <c r="I40" t="n">
        <v>3</v>
      </c>
      <c r="J40" t="n">
        <v>4</v>
      </c>
      <c r="K40" t="n">
        <v>0</v>
      </c>
      <c r="L40" t="n">
        <v>0</v>
      </c>
      <c r="M40" t="n">
        <v>0</v>
      </c>
      <c r="N40" t="n">
        <v>0</v>
      </c>
      <c r="O40" t="n">
        <v>4</v>
      </c>
      <c r="P40" t="n">
        <v>0</v>
      </c>
      <c r="Q40" t="n">
        <v>9</v>
      </c>
      <c r="R40" s="2" t="inlineStr">
        <is>
          <t>Garnlav
Kolflarnlav
Lunglav
Mörk kolflarnlav
Bårdlav
Spindelblomster
Stuplav
Fläcknycklar
Revlummer</t>
        </is>
      </c>
      <c r="S40">
        <f>HYPERLINK("https://klasma.github.io/Logging_2161/artfynd/A 28996-2025 artfynd.xlsx", "A 28996-2025")</f>
        <v/>
      </c>
      <c r="T40">
        <f>HYPERLINK("https://klasma.github.io/Logging_2161/kartor/A 28996-2025 karta.png", "A 28996-2025")</f>
        <v/>
      </c>
      <c r="V40">
        <f>HYPERLINK("https://klasma.github.io/Logging_2161/klagomål/A 28996-2025 FSC-klagomål.docx", "A 28996-2025")</f>
        <v/>
      </c>
      <c r="W40">
        <f>HYPERLINK("https://klasma.github.io/Logging_2161/klagomålsmail/A 28996-2025 FSC-klagomål mail.docx", "A 28996-2025")</f>
        <v/>
      </c>
      <c r="X40">
        <f>HYPERLINK("https://klasma.github.io/Logging_2161/tillsyn/A 28996-2025 tillsynsbegäran.docx", "A 28996-2025")</f>
        <v/>
      </c>
      <c r="Y40">
        <f>HYPERLINK("https://klasma.github.io/Logging_2161/tillsynsmail/A 28996-2025 tillsynsbegäran mail.docx", "A 28996-2025")</f>
        <v/>
      </c>
    </row>
    <row r="41" ht="15" customHeight="1">
      <c r="A41" t="inlineStr">
        <is>
          <t>A 32589-2025</t>
        </is>
      </c>
      <c r="B41" s="1" t="n">
        <v>45838.6058912037</v>
      </c>
      <c r="C41" s="1" t="n">
        <v>45911</v>
      </c>
      <c r="D41" t="inlineStr">
        <is>
          <t>GÄVLEBORGS LÄN</t>
        </is>
      </c>
      <c r="E41" t="inlineStr">
        <is>
          <t>LJUSDAL</t>
        </is>
      </c>
      <c r="F41" t="inlineStr">
        <is>
          <t>Bergvik skog väst AB</t>
        </is>
      </c>
      <c r="G41" t="n">
        <v>7.6</v>
      </c>
      <c r="H41" t="n">
        <v>4</v>
      </c>
      <c r="I41" t="n">
        <v>4</v>
      </c>
      <c r="J41" t="n">
        <v>3</v>
      </c>
      <c r="K41" t="n">
        <v>0</v>
      </c>
      <c r="L41" t="n">
        <v>0</v>
      </c>
      <c r="M41" t="n">
        <v>0</v>
      </c>
      <c r="N41" t="n">
        <v>0</v>
      </c>
      <c r="O41" t="n">
        <v>3</v>
      </c>
      <c r="P41" t="n">
        <v>0</v>
      </c>
      <c r="Q41" t="n">
        <v>9</v>
      </c>
      <c r="R41" s="2" t="inlineStr">
        <is>
          <t>Garnlav
Lunglav
Talltita
Luddlav
Spindelblomster
Tibast
Ögonpyrola
Fläcknycklar
Nattviol</t>
        </is>
      </c>
      <c r="S41">
        <f>HYPERLINK("https://klasma.github.io/Logging_2161/artfynd/A 32589-2025 artfynd.xlsx", "A 32589-2025")</f>
        <v/>
      </c>
      <c r="T41">
        <f>HYPERLINK("https://klasma.github.io/Logging_2161/kartor/A 32589-2025 karta.png", "A 32589-2025")</f>
        <v/>
      </c>
      <c r="U41">
        <f>HYPERLINK("https://klasma.github.io/Logging_2161/knärot/A 32589-2025 karta knärot.png", "A 32589-2025")</f>
        <v/>
      </c>
      <c r="V41">
        <f>HYPERLINK("https://klasma.github.io/Logging_2161/klagomål/A 32589-2025 FSC-klagomål.docx", "A 32589-2025")</f>
        <v/>
      </c>
      <c r="W41">
        <f>HYPERLINK("https://klasma.github.io/Logging_2161/klagomålsmail/A 32589-2025 FSC-klagomål mail.docx", "A 32589-2025")</f>
        <v/>
      </c>
      <c r="X41">
        <f>HYPERLINK("https://klasma.github.io/Logging_2161/tillsyn/A 32589-2025 tillsynsbegäran.docx", "A 32589-2025")</f>
        <v/>
      </c>
      <c r="Y41">
        <f>HYPERLINK("https://klasma.github.io/Logging_2161/tillsynsmail/A 32589-2025 tillsynsbegäran mail.docx", "A 32589-2025")</f>
        <v/>
      </c>
      <c r="Z41">
        <f>HYPERLINK("https://klasma.github.io/Logging_2161/fåglar/A 32589-2025 prioriterade fågelarter.docx", "A 32589-2025")</f>
        <v/>
      </c>
    </row>
    <row r="42" ht="15" customHeight="1">
      <c r="A42" t="inlineStr">
        <is>
          <t>A 528-2024</t>
        </is>
      </c>
      <c r="B42" s="1" t="n">
        <v>45299</v>
      </c>
      <c r="C42" s="1" t="n">
        <v>45911</v>
      </c>
      <c r="D42" t="inlineStr">
        <is>
          <t>GÄVLEBORGS LÄN</t>
        </is>
      </c>
      <c r="E42" t="inlineStr">
        <is>
          <t>HOFORS</t>
        </is>
      </c>
      <c r="G42" t="n">
        <v>1.1</v>
      </c>
      <c r="H42" t="n">
        <v>1</v>
      </c>
      <c r="I42" t="n">
        <v>3</v>
      </c>
      <c r="J42" t="n">
        <v>4</v>
      </c>
      <c r="K42" t="n">
        <v>1</v>
      </c>
      <c r="L42" t="n">
        <v>0</v>
      </c>
      <c r="M42" t="n">
        <v>0</v>
      </c>
      <c r="N42" t="n">
        <v>0</v>
      </c>
      <c r="O42" t="n">
        <v>5</v>
      </c>
      <c r="P42" t="n">
        <v>1</v>
      </c>
      <c r="Q42" t="n">
        <v>9</v>
      </c>
      <c r="R42" s="2" t="inlineStr">
        <is>
          <t>Koppartaggsvamp
Flattoppad klubbsvamp
Gultoppig fingersvamp
Svart taggsvamp
Ullticka
Dropptaggsvamp
Fjällig taggsvamp s.str.
Svavelriska
Blåsippa</t>
        </is>
      </c>
      <c r="S42">
        <f>HYPERLINK("https://klasma.github.io/Logging_2104/artfynd/A 528-2024 artfynd.xlsx", "A 528-2024")</f>
        <v/>
      </c>
      <c r="T42">
        <f>HYPERLINK("https://klasma.github.io/Logging_2104/kartor/A 528-2024 karta.png", "A 528-2024")</f>
        <v/>
      </c>
      <c r="V42">
        <f>HYPERLINK("https://klasma.github.io/Logging_2104/klagomål/A 528-2024 FSC-klagomål.docx", "A 528-2024")</f>
        <v/>
      </c>
      <c r="W42">
        <f>HYPERLINK("https://klasma.github.io/Logging_2104/klagomålsmail/A 528-2024 FSC-klagomål mail.docx", "A 528-2024")</f>
        <v/>
      </c>
      <c r="X42">
        <f>HYPERLINK("https://klasma.github.io/Logging_2104/tillsyn/A 528-2024 tillsynsbegäran.docx", "A 528-2024")</f>
        <v/>
      </c>
      <c r="Y42">
        <f>HYPERLINK("https://klasma.github.io/Logging_2104/tillsynsmail/A 528-2024 tillsynsbegäran mail.docx", "A 528-2024")</f>
        <v/>
      </c>
    </row>
    <row r="43" ht="15" customHeight="1">
      <c r="A43" t="inlineStr">
        <is>
          <t>A 37576-2025</t>
        </is>
      </c>
      <c r="B43" s="1" t="n">
        <v>45880</v>
      </c>
      <c r="C43" s="1" t="n">
        <v>45911</v>
      </c>
      <c r="D43" t="inlineStr">
        <is>
          <t>GÄVLEBORGS LÄN</t>
        </is>
      </c>
      <c r="E43" t="inlineStr">
        <is>
          <t>HUDIKSVALL</t>
        </is>
      </c>
      <c r="G43" t="n">
        <v>8</v>
      </c>
      <c r="H43" t="n">
        <v>1</v>
      </c>
      <c r="I43" t="n">
        <v>1</v>
      </c>
      <c r="J43" t="n">
        <v>5</v>
      </c>
      <c r="K43" t="n">
        <v>3</v>
      </c>
      <c r="L43" t="n">
        <v>0</v>
      </c>
      <c r="M43" t="n">
        <v>0</v>
      </c>
      <c r="N43" t="n">
        <v>0</v>
      </c>
      <c r="O43" t="n">
        <v>8</v>
      </c>
      <c r="P43" t="n">
        <v>3</v>
      </c>
      <c r="Q43" t="n">
        <v>9</v>
      </c>
      <c r="R43" s="2" t="inlineStr">
        <is>
          <t>Aspgelélav
Asptagging
Knärot
Garnlav
Kandelabersvamp
Lunglav
Ullticka
Veckticka
Rävticka</t>
        </is>
      </c>
      <c r="S43">
        <f>HYPERLINK("https://klasma.github.io/Logging_2184/artfynd/A 37576-2025 artfynd.xlsx", "A 37576-2025")</f>
        <v/>
      </c>
      <c r="T43">
        <f>HYPERLINK("https://klasma.github.io/Logging_2184/kartor/A 37576-2025 karta.png", "A 37576-2025")</f>
        <v/>
      </c>
      <c r="U43">
        <f>HYPERLINK("https://klasma.github.io/Logging_2184/knärot/A 37576-2025 karta knärot.png", "A 37576-2025")</f>
        <v/>
      </c>
      <c r="V43">
        <f>HYPERLINK("https://klasma.github.io/Logging_2184/klagomål/A 37576-2025 FSC-klagomål.docx", "A 37576-2025")</f>
        <v/>
      </c>
      <c r="W43">
        <f>HYPERLINK("https://klasma.github.io/Logging_2184/klagomålsmail/A 37576-2025 FSC-klagomål mail.docx", "A 37576-2025")</f>
        <v/>
      </c>
      <c r="X43">
        <f>HYPERLINK("https://klasma.github.io/Logging_2184/tillsyn/A 37576-2025 tillsynsbegäran.docx", "A 37576-2025")</f>
        <v/>
      </c>
      <c r="Y43">
        <f>HYPERLINK("https://klasma.github.io/Logging_2184/tillsynsmail/A 37576-2025 tillsynsbegäran mail.docx", "A 37576-2025")</f>
        <v/>
      </c>
    </row>
    <row r="44" ht="15" customHeight="1">
      <c r="A44" t="inlineStr">
        <is>
          <t>A 46692-2020</t>
        </is>
      </c>
      <c r="B44" s="1" t="n">
        <v>44095</v>
      </c>
      <c r="C44" s="1" t="n">
        <v>45911</v>
      </c>
      <c r="D44" t="inlineStr">
        <is>
          <t>GÄVLEBORGS LÄN</t>
        </is>
      </c>
      <c r="E44" t="inlineStr">
        <is>
          <t>BOLLNÄS</t>
        </is>
      </c>
      <c r="F44" t="inlineStr">
        <is>
          <t>Sveaskog</t>
        </is>
      </c>
      <c r="G44" t="n">
        <v>5.8</v>
      </c>
      <c r="H44" t="n">
        <v>2</v>
      </c>
      <c r="I44" t="n">
        <v>0</v>
      </c>
      <c r="J44" t="n">
        <v>6</v>
      </c>
      <c r="K44" t="n">
        <v>2</v>
      </c>
      <c r="L44" t="n">
        <v>0</v>
      </c>
      <c r="M44" t="n">
        <v>0</v>
      </c>
      <c r="N44" t="n">
        <v>0</v>
      </c>
      <c r="O44" t="n">
        <v>8</v>
      </c>
      <c r="P44" t="n">
        <v>2</v>
      </c>
      <c r="Q44" t="n">
        <v>8</v>
      </c>
      <c r="R44" s="2" t="inlineStr">
        <is>
          <t>Knärot
Rynkskinn
Garnlav
Gropig brunbagge
Gränsticka
Rosenticka
Tretåig hackspett
Ullticka</t>
        </is>
      </c>
      <c r="S44">
        <f>HYPERLINK("https://klasma.github.io/Logging_2183/artfynd/A 46692-2020 artfynd.xlsx", "A 46692-2020")</f>
        <v/>
      </c>
      <c r="T44">
        <f>HYPERLINK("https://klasma.github.io/Logging_2183/kartor/A 46692-2020 karta.png", "A 46692-2020")</f>
        <v/>
      </c>
      <c r="U44">
        <f>HYPERLINK("https://klasma.github.io/Logging_2183/knärot/A 46692-2020 karta knärot.png", "A 46692-2020")</f>
        <v/>
      </c>
      <c r="V44">
        <f>HYPERLINK("https://klasma.github.io/Logging_2183/klagomål/A 46692-2020 FSC-klagomål.docx", "A 46692-2020")</f>
        <v/>
      </c>
      <c r="W44">
        <f>HYPERLINK("https://klasma.github.io/Logging_2183/klagomålsmail/A 46692-2020 FSC-klagomål mail.docx", "A 46692-2020")</f>
        <v/>
      </c>
      <c r="X44">
        <f>HYPERLINK("https://klasma.github.io/Logging_2183/tillsyn/A 46692-2020 tillsynsbegäran.docx", "A 46692-2020")</f>
        <v/>
      </c>
      <c r="Y44">
        <f>HYPERLINK("https://klasma.github.io/Logging_2183/tillsynsmail/A 46692-2020 tillsynsbegäran mail.docx", "A 46692-2020")</f>
        <v/>
      </c>
      <c r="Z44">
        <f>HYPERLINK("https://klasma.github.io/Logging_2183/fåglar/A 46692-2020 prioriterade fågelarter.docx", "A 46692-2020")</f>
        <v/>
      </c>
    </row>
    <row r="45" ht="15" customHeight="1">
      <c r="A45" t="inlineStr">
        <is>
          <t>A 69572-2020</t>
        </is>
      </c>
      <c r="B45" s="1" t="n">
        <v>44194</v>
      </c>
      <c r="C45" s="1" t="n">
        <v>45911</v>
      </c>
      <c r="D45" t="inlineStr">
        <is>
          <t>GÄVLEBORGS LÄN</t>
        </is>
      </c>
      <c r="E45" t="inlineStr">
        <is>
          <t>LJUSDAL</t>
        </is>
      </c>
      <c r="G45" t="n">
        <v>16.1</v>
      </c>
      <c r="H45" t="n">
        <v>2</v>
      </c>
      <c r="I45" t="n">
        <v>3</v>
      </c>
      <c r="J45" t="n">
        <v>2</v>
      </c>
      <c r="K45" t="n">
        <v>2</v>
      </c>
      <c r="L45" t="n">
        <v>0</v>
      </c>
      <c r="M45" t="n">
        <v>0</v>
      </c>
      <c r="N45" t="n">
        <v>0</v>
      </c>
      <c r="O45" t="n">
        <v>4</v>
      </c>
      <c r="P45" t="n">
        <v>2</v>
      </c>
      <c r="Q45" t="n">
        <v>8</v>
      </c>
      <c r="R45" s="2" t="inlineStr">
        <is>
          <t>Knärot
Rynkskinn
Garnlav
Rosenticka
Stuplav
Vedticka
Vårärt
Nattviol</t>
        </is>
      </c>
      <c r="S45">
        <f>HYPERLINK("https://klasma.github.io/Logging_2161/artfynd/A 69572-2020 artfynd.xlsx", "A 69572-2020")</f>
        <v/>
      </c>
      <c r="T45">
        <f>HYPERLINK("https://klasma.github.io/Logging_2161/kartor/A 69572-2020 karta.png", "A 69572-2020")</f>
        <v/>
      </c>
      <c r="U45">
        <f>HYPERLINK("https://klasma.github.io/Logging_2161/knärot/A 69572-2020 karta knärot.png", "A 69572-2020")</f>
        <v/>
      </c>
      <c r="V45">
        <f>HYPERLINK("https://klasma.github.io/Logging_2161/klagomål/A 69572-2020 FSC-klagomål.docx", "A 69572-2020")</f>
        <v/>
      </c>
      <c r="W45">
        <f>HYPERLINK("https://klasma.github.io/Logging_2161/klagomålsmail/A 69572-2020 FSC-klagomål mail.docx", "A 69572-2020")</f>
        <v/>
      </c>
      <c r="X45">
        <f>HYPERLINK("https://klasma.github.io/Logging_2161/tillsyn/A 69572-2020 tillsynsbegäran.docx", "A 69572-2020")</f>
        <v/>
      </c>
      <c r="Y45">
        <f>HYPERLINK("https://klasma.github.io/Logging_2161/tillsynsmail/A 69572-2020 tillsynsbegäran mail.docx", "A 69572-2020")</f>
        <v/>
      </c>
    </row>
    <row r="46" ht="15" customHeight="1">
      <c r="A46" t="inlineStr">
        <is>
          <t>A 29238-2025</t>
        </is>
      </c>
      <c r="B46" s="1" t="n">
        <v>45824.35363425926</v>
      </c>
      <c r="C46" s="1" t="n">
        <v>45911</v>
      </c>
      <c r="D46" t="inlineStr">
        <is>
          <t>GÄVLEBORGS LÄN</t>
        </is>
      </c>
      <c r="E46" t="inlineStr">
        <is>
          <t>LJUSDAL</t>
        </is>
      </c>
      <c r="F46" t="inlineStr">
        <is>
          <t>Bergvik skog väst AB</t>
        </is>
      </c>
      <c r="G46" t="n">
        <v>9.199999999999999</v>
      </c>
      <c r="H46" t="n">
        <v>0</v>
      </c>
      <c r="I46" t="n">
        <v>5</v>
      </c>
      <c r="J46" t="n">
        <v>3</v>
      </c>
      <c r="K46" t="n">
        <v>0</v>
      </c>
      <c r="L46" t="n">
        <v>0</v>
      </c>
      <c r="M46" t="n">
        <v>0</v>
      </c>
      <c r="N46" t="n">
        <v>0</v>
      </c>
      <c r="O46" t="n">
        <v>3</v>
      </c>
      <c r="P46" t="n">
        <v>0</v>
      </c>
      <c r="Q46" t="n">
        <v>8</v>
      </c>
      <c r="R46" s="2" t="inlineStr">
        <is>
          <t>Doftskinn
Kortskaftad ärgspik
Vedskivlav
Dvärgtufs
Mörk husmossa
Skinnlav
Stuplav
Vedticka</t>
        </is>
      </c>
      <c r="S46">
        <f>HYPERLINK("https://klasma.github.io/Logging_2161/artfynd/A 29238-2025 artfynd.xlsx", "A 29238-2025")</f>
        <v/>
      </c>
      <c r="T46">
        <f>HYPERLINK("https://klasma.github.io/Logging_2161/kartor/A 29238-2025 karta.png", "A 29238-2025")</f>
        <v/>
      </c>
      <c r="V46">
        <f>HYPERLINK("https://klasma.github.io/Logging_2161/klagomål/A 29238-2025 FSC-klagomål.docx", "A 29238-2025")</f>
        <v/>
      </c>
      <c r="W46">
        <f>HYPERLINK("https://klasma.github.io/Logging_2161/klagomålsmail/A 29238-2025 FSC-klagomål mail.docx", "A 29238-2025")</f>
        <v/>
      </c>
      <c r="X46">
        <f>HYPERLINK("https://klasma.github.io/Logging_2161/tillsyn/A 29238-2025 tillsynsbegäran.docx", "A 29238-2025")</f>
        <v/>
      </c>
      <c r="Y46">
        <f>HYPERLINK("https://klasma.github.io/Logging_2161/tillsynsmail/A 29238-2025 tillsynsbegäran mail.docx", "A 29238-2025")</f>
        <v/>
      </c>
    </row>
    <row r="47" ht="15" customHeight="1">
      <c r="A47" t="inlineStr">
        <is>
          <t>A 20596-2025</t>
        </is>
      </c>
      <c r="B47" s="1" t="n">
        <v>45775.74341435185</v>
      </c>
      <c r="C47" s="1" t="n">
        <v>45911</v>
      </c>
      <c r="D47" t="inlineStr">
        <is>
          <t>GÄVLEBORGS LÄN</t>
        </is>
      </c>
      <c r="E47" t="inlineStr">
        <is>
          <t>LJUSDAL</t>
        </is>
      </c>
      <c r="F47" t="inlineStr">
        <is>
          <t>Sveaskog</t>
        </is>
      </c>
      <c r="G47" t="n">
        <v>15.7</v>
      </c>
      <c r="H47" t="n">
        <v>5</v>
      </c>
      <c r="I47" t="n">
        <v>2</v>
      </c>
      <c r="J47" t="n">
        <v>2</v>
      </c>
      <c r="K47" t="n">
        <v>1</v>
      </c>
      <c r="L47" t="n">
        <v>0</v>
      </c>
      <c r="M47" t="n">
        <v>0</v>
      </c>
      <c r="N47" t="n">
        <v>0</v>
      </c>
      <c r="O47" t="n">
        <v>3</v>
      </c>
      <c r="P47" t="n">
        <v>1</v>
      </c>
      <c r="Q47" t="n">
        <v>8</v>
      </c>
      <c r="R47" s="2" t="inlineStr">
        <is>
          <t>Knärot
Kolflarnlav
Mörk kolflarnlav
Gräsull
Korallrot
Grönsiska
Fläcknycklar
Mattlummer</t>
        </is>
      </c>
      <c r="S47">
        <f>HYPERLINK("https://klasma.github.io/Logging_2161/artfynd/A 20596-2025 artfynd.xlsx", "A 20596-2025")</f>
        <v/>
      </c>
      <c r="T47">
        <f>HYPERLINK("https://klasma.github.io/Logging_2161/kartor/A 20596-2025 karta.png", "A 20596-2025")</f>
        <v/>
      </c>
      <c r="U47">
        <f>HYPERLINK("https://klasma.github.io/Logging_2161/knärot/A 20596-2025 karta knärot.png", "A 20596-2025")</f>
        <v/>
      </c>
      <c r="V47">
        <f>HYPERLINK("https://klasma.github.io/Logging_2161/klagomål/A 20596-2025 FSC-klagomål.docx", "A 20596-2025")</f>
        <v/>
      </c>
      <c r="W47">
        <f>HYPERLINK("https://klasma.github.io/Logging_2161/klagomålsmail/A 20596-2025 FSC-klagomål mail.docx", "A 20596-2025")</f>
        <v/>
      </c>
      <c r="X47">
        <f>HYPERLINK("https://klasma.github.io/Logging_2161/tillsyn/A 20596-2025 tillsynsbegäran.docx", "A 20596-2025")</f>
        <v/>
      </c>
      <c r="Y47">
        <f>HYPERLINK("https://klasma.github.io/Logging_2161/tillsynsmail/A 20596-2025 tillsynsbegäran mail.docx", "A 20596-2025")</f>
        <v/>
      </c>
      <c r="Z47">
        <f>HYPERLINK("https://klasma.github.io/Logging_2161/fåglar/A 20596-2025 prioriterade fågelarter.docx", "A 20596-2025")</f>
        <v/>
      </c>
    </row>
    <row r="48" ht="15" customHeight="1">
      <c r="A48" t="inlineStr">
        <is>
          <t>A 20659-2024</t>
        </is>
      </c>
      <c r="B48" s="1" t="n">
        <v>45436</v>
      </c>
      <c r="C48" s="1" t="n">
        <v>45911</v>
      </c>
      <c r="D48" t="inlineStr">
        <is>
          <t>GÄVLEBORGS LÄN</t>
        </is>
      </c>
      <c r="E48" t="inlineStr">
        <is>
          <t>LJUSDAL</t>
        </is>
      </c>
      <c r="F48" t="inlineStr">
        <is>
          <t>Sveaskog</t>
        </is>
      </c>
      <c r="G48" t="n">
        <v>17.9</v>
      </c>
      <c r="H48" t="n">
        <v>2</v>
      </c>
      <c r="I48" t="n">
        <v>3</v>
      </c>
      <c r="J48" t="n">
        <v>4</v>
      </c>
      <c r="K48" t="n">
        <v>0</v>
      </c>
      <c r="L48" t="n">
        <v>0</v>
      </c>
      <c r="M48" t="n">
        <v>0</v>
      </c>
      <c r="N48" t="n">
        <v>0</v>
      </c>
      <c r="O48" t="n">
        <v>4</v>
      </c>
      <c r="P48" t="n">
        <v>0</v>
      </c>
      <c r="Q48" t="n">
        <v>8</v>
      </c>
      <c r="R48" s="2" t="inlineStr">
        <is>
          <t>Kolflarnlav
Lunglav
Skogshare
Talltita
Skarp dropptaggsvamp
Stuplav
Vedticka
Revlummer</t>
        </is>
      </c>
      <c r="S48">
        <f>HYPERLINK("https://klasma.github.io/Logging_2161/artfynd/A 20659-2024 artfynd.xlsx", "A 20659-2024")</f>
        <v/>
      </c>
      <c r="T48">
        <f>HYPERLINK("https://klasma.github.io/Logging_2161/kartor/A 20659-2024 karta.png", "A 20659-2024")</f>
        <v/>
      </c>
      <c r="V48">
        <f>HYPERLINK("https://klasma.github.io/Logging_2161/klagomål/A 20659-2024 FSC-klagomål.docx", "A 20659-2024")</f>
        <v/>
      </c>
      <c r="W48">
        <f>HYPERLINK("https://klasma.github.io/Logging_2161/klagomålsmail/A 20659-2024 FSC-klagomål mail.docx", "A 20659-2024")</f>
        <v/>
      </c>
      <c r="X48">
        <f>HYPERLINK("https://klasma.github.io/Logging_2161/tillsyn/A 20659-2024 tillsynsbegäran.docx", "A 20659-2024")</f>
        <v/>
      </c>
      <c r="Y48">
        <f>HYPERLINK("https://klasma.github.io/Logging_2161/tillsynsmail/A 20659-2024 tillsynsbegäran mail.docx", "A 20659-2024")</f>
        <v/>
      </c>
      <c r="Z48">
        <f>HYPERLINK("https://klasma.github.io/Logging_2161/fåglar/A 20659-2024 prioriterade fågelarter.docx", "A 20659-2024")</f>
        <v/>
      </c>
    </row>
    <row r="49" ht="15" customHeight="1">
      <c r="A49" t="inlineStr">
        <is>
          <t>A 42911-2025</t>
        </is>
      </c>
      <c r="B49" s="1" t="n">
        <v>45908.70880787037</v>
      </c>
      <c r="C49" s="1" t="n">
        <v>45911</v>
      </c>
      <c r="D49" t="inlineStr">
        <is>
          <t>GÄVLEBORGS LÄN</t>
        </is>
      </c>
      <c r="E49" t="inlineStr">
        <is>
          <t>HUDIKSVALL</t>
        </is>
      </c>
      <c r="G49" t="n">
        <v>5.3</v>
      </c>
      <c r="H49" t="n">
        <v>0</v>
      </c>
      <c r="I49" t="n">
        <v>1</v>
      </c>
      <c r="J49" t="n">
        <v>5</v>
      </c>
      <c r="K49" t="n">
        <v>2</v>
      </c>
      <c r="L49" t="n">
        <v>0</v>
      </c>
      <c r="M49" t="n">
        <v>0</v>
      </c>
      <c r="N49" t="n">
        <v>0</v>
      </c>
      <c r="O49" t="n">
        <v>7</v>
      </c>
      <c r="P49" t="n">
        <v>2</v>
      </c>
      <c r="Q49" t="n">
        <v>8</v>
      </c>
      <c r="R49" s="2" t="inlineStr">
        <is>
          <t>Lakritsmusseron
Rotfingersvamp
Blå taggsvamp
Motaggsvamp
Orange taggsvamp
Skrovlig taggsvamp
Svart taggsvamp
Dropptaggsvamp</t>
        </is>
      </c>
      <c r="S49">
        <f>HYPERLINK("https://klasma.github.io/Logging_2184/artfynd/A 42911-2025 artfynd.xlsx", "A 42911-2025")</f>
        <v/>
      </c>
      <c r="T49">
        <f>HYPERLINK("https://klasma.github.io/Logging_2184/kartor/A 42911-2025 karta.png", "A 42911-2025")</f>
        <v/>
      </c>
      <c r="V49">
        <f>HYPERLINK("https://klasma.github.io/Logging_2184/klagomål/A 42911-2025 FSC-klagomål.docx", "A 42911-2025")</f>
        <v/>
      </c>
      <c r="W49">
        <f>HYPERLINK("https://klasma.github.io/Logging_2184/klagomålsmail/A 42911-2025 FSC-klagomål mail.docx", "A 42911-2025")</f>
        <v/>
      </c>
      <c r="X49">
        <f>HYPERLINK("https://klasma.github.io/Logging_2184/tillsyn/A 42911-2025 tillsynsbegäran.docx", "A 42911-2025")</f>
        <v/>
      </c>
      <c r="Y49">
        <f>HYPERLINK("https://klasma.github.io/Logging_2184/tillsynsmail/A 42911-2025 tillsynsbegäran mail.docx", "A 42911-2025")</f>
        <v/>
      </c>
    </row>
    <row r="50" ht="15" customHeight="1">
      <c r="A50" t="inlineStr">
        <is>
          <t>A 34821-2025</t>
        </is>
      </c>
      <c r="B50" s="1" t="n">
        <v>45849</v>
      </c>
      <c r="C50" s="1" t="n">
        <v>45911</v>
      </c>
      <c r="D50" t="inlineStr">
        <is>
          <t>GÄVLEBORGS LÄN</t>
        </is>
      </c>
      <c r="E50" t="inlineStr">
        <is>
          <t>LJUSDAL</t>
        </is>
      </c>
      <c r="F50" t="inlineStr">
        <is>
          <t>Allmännings- och besparingsskogar</t>
        </is>
      </c>
      <c r="G50" t="n">
        <v>16.8</v>
      </c>
      <c r="H50" t="n">
        <v>2</v>
      </c>
      <c r="I50" t="n">
        <v>0</v>
      </c>
      <c r="J50" t="n">
        <v>7</v>
      </c>
      <c r="K50" t="n">
        <v>1</v>
      </c>
      <c r="L50" t="n">
        <v>0</v>
      </c>
      <c r="M50" t="n">
        <v>0</v>
      </c>
      <c r="N50" t="n">
        <v>0</v>
      </c>
      <c r="O50" t="n">
        <v>8</v>
      </c>
      <c r="P50" t="n">
        <v>1</v>
      </c>
      <c r="Q50" t="n">
        <v>8</v>
      </c>
      <c r="R50" s="2" t="inlineStr">
        <is>
          <t>Knärot
Dvärgbägarlav
Garnlav
Mörk kolflarnlav
Skrovellav
Varglav
Vedskivlav
Vedtrappmossa</t>
        </is>
      </c>
      <c r="S50">
        <f>HYPERLINK("https://klasma.github.io/Logging_2161/artfynd/A 34821-2025 artfynd.xlsx", "A 34821-2025")</f>
        <v/>
      </c>
      <c r="T50">
        <f>HYPERLINK("https://klasma.github.io/Logging_2161/kartor/A 34821-2025 karta.png", "A 34821-2025")</f>
        <v/>
      </c>
      <c r="U50">
        <f>HYPERLINK("https://klasma.github.io/Logging_2161/knärot/A 34821-2025 karta knärot.png", "A 34821-2025")</f>
        <v/>
      </c>
      <c r="V50">
        <f>HYPERLINK("https://klasma.github.io/Logging_2161/klagomål/A 34821-2025 FSC-klagomål.docx", "A 34821-2025")</f>
        <v/>
      </c>
      <c r="W50">
        <f>HYPERLINK("https://klasma.github.io/Logging_2161/klagomålsmail/A 34821-2025 FSC-klagomål mail.docx", "A 34821-2025")</f>
        <v/>
      </c>
      <c r="X50">
        <f>HYPERLINK("https://klasma.github.io/Logging_2161/tillsyn/A 34821-2025 tillsynsbegäran.docx", "A 34821-2025")</f>
        <v/>
      </c>
      <c r="Y50">
        <f>HYPERLINK("https://klasma.github.io/Logging_2161/tillsynsmail/A 34821-2025 tillsynsbegäran mail.docx", "A 34821-2025")</f>
        <v/>
      </c>
    </row>
    <row r="51" ht="15" customHeight="1">
      <c r="A51" t="inlineStr">
        <is>
          <t>A 42763-2021</t>
        </is>
      </c>
      <c r="B51" s="1" t="n">
        <v>44428.64527777778</v>
      </c>
      <c r="C51" s="1" t="n">
        <v>45911</v>
      </c>
      <c r="D51" t="inlineStr">
        <is>
          <t>GÄVLEBORGS LÄN</t>
        </is>
      </c>
      <c r="E51" t="inlineStr">
        <is>
          <t>LJUSDAL</t>
        </is>
      </c>
      <c r="F51" t="inlineStr">
        <is>
          <t>Sveaskog</t>
        </is>
      </c>
      <c r="G51" t="n">
        <v>8.800000000000001</v>
      </c>
      <c r="H51" t="n">
        <v>2</v>
      </c>
      <c r="I51" t="n">
        <v>0</v>
      </c>
      <c r="J51" t="n">
        <v>5</v>
      </c>
      <c r="K51" t="n">
        <v>1</v>
      </c>
      <c r="L51" t="n">
        <v>0</v>
      </c>
      <c r="M51" t="n">
        <v>0</v>
      </c>
      <c r="N51" t="n">
        <v>0</v>
      </c>
      <c r="O51" t="n">
        <v>6</v>
      </c>
      <c r="P51" t="n">
        <v>1</v>
      </c>
      <c r="Q51" t="n">
        <v>7</v>
      </c>
      <c r="R51" s="2" t="inlineStr">
        <is>
          <t>Knärot
Garnlav
Knottrig blåslav
Lunglav
Skrovellav
Ullticka
Fläcknycklar</t>
        </is>
      </c>
      <c r="S51">
        <f>HYPERLINK("https://klasma.github.io/Logging_2161/artfynd/A 42763-2021 artfynd.xlsx", "A 42763-2021")</f>
        <v/>
      </c>
      <c r="T51">
        <f>HYPERLINK("https://klasma.github.io/Logging_2161/kartor/A 42763-2021 karta.png", "A 42763-2021")</f>
        <v/>
      </c>
      <c r="U51">
        <f>HYPERLINK("https://klasma.github.io/Logging_2161/knärot/A 42763-2021 karta knärot.png", "A 42763-2021")</f>
        <v/>
      </c>
      <c r="V51">
        <f>HYPERLINK("https://klasma.github.io/Logging_2161/klagomål/A 42763-2021 FSC-klagomål.docx", "A 42763-2021")</f>
        <v/>
      </c>
      <c r="W51">
        <f>HYPERLINK("https://klasma.github.io/Logging_2161/klagomålsmail/A 42763-2021 FSC-klagomål mail.docx", "A 42763-2021")</f>
        <v/>
      </c>
      <c r="X51">
        <f>HYPERLINK("https://klasma.github.io/Logging_2161/tillsyn/A 42763-2021 tillsynsbegäran.docx", "A 42763-2021")</f>
        <v/>
      </c>
      <c r="Y51">
        <f>HYPERLINK("https://klasma.github.io/Logging_2161/tillsynsmail/A 42763-2021 tillsynsbegäran mail.docx", "A 42763-2021")</f>
        <v/>
      </c>
    </row>
    <row r="52" ht="15" customHeight="1">
      <c r="A52" t="inlineStr">
        <is>
          <t>A 49148-2021</t>
        </is>
      </c>
      <c r="B52" s="1" t="n">
        <v>44453</v>
      </c>
      <c r="C52" s="1" t="n">
        <v>45911</v>
      </c>
      <c r="D52" t="inlineStr">
        <is>
          <t>GÄVLEBORGS LÄN</t>
        </is>
      </c>
      <c r="E52" t="inlineStr">
        <is>
          <t>HUDIKSVALL</t>
        </is>
      </c>
      <c r="G52" t="n">
        <v>6.2</v>
      </c>
      <c r="H52" t="n">
        <v>4</v>
      </c>
      <c r="I52" t="n">
        <v>2</v>
      </c>
      <c r="J52" t="n">
        <v>1</v>
      </c>
      <c r="K52" t="n">
        <v>0</v>
      </c>
      <c r="L52" t="n">
        <v>0</v>
      </c>
      <c r="M52" t="n">
        <v>0</v>
      </c>
      <c r="N52" t="n">
        <v>0</v>
      </c>
      <c r="O52" t="n">
        <v>1</v>
      </c>
      <c r="P52" t="n">
        <v>0</v>
      </c>
      <c r="Q52" t="n">
        <v>7</v>
      </c>
      <c r="R52" s="2" t="inlineStr">
        <is>
          <t>Backruta
Tibast
Ögonpyrola
Brudsporre
Nattviol
Blåsippa
Revlummer</t>
        </is>
      </c>
      <c r="S52">
        <f>HYPERLINK("https://klasma.github.io/Logging_2184/artfynd/A 49148-2021 artfynd.xlsx", "A 49148-2021")</f>
        <v/>
      </c>
      <c r="T52">
        <f>HYPERLINK("https://klasma.github.io/Logging_2184/kartor/A 49148-2021 karta.png", "A 49148-2021")</f>
        <v/>
      </c>
      <c r="V52">
        <f>HYPERLINK("https://klasma.github.io/Logging_2184/klagomål/A 49148-2021 FSC-klagomål.docx", "A 49148-2021")</f>
        <v/>
      </c>
      <c r="W52">
        <f>HYPERLINK("https://klasma.github.io/Logging_2184/klagomålsmail/A 49148-2021 FSC-klagomål mail.docx", "A 49148-2021")</f>
        <v/>
      </c>
      <c r="X52">
        <f>HYPERLINK("https://klasma.github.io/Logging_2184/tillsyn/A 49148-2021 tillsynsbegäran.docx", "A 49148-2021")</f>
        <v/>
      </c>
      <c r="Y52">
        <f>HYPERLINK("https://klasma.github.io/Logging_2184/tillsynsmail/A 49148-2021 tillsynsbegäran mail.docx", "A 49148-2021")</f>
        <v/>
      </c>
    </row>
    <row r="53" ht="15" customHeight="1">
      <c r="A53" t="inlineStr">
        <is>
          <t>A 51222-2023</t>
        </is>
      </c>
      <c r="B53" s="1" t="n">
        <v>45219.45547453704</v>
      </c>
      <c r="C53" s="1" t="n">
        <v>45911</v>
      </c>
      <c r="D53" t="inlineStr">
        <is>
          <t>GÄVLEBORGS LÄN</t>
        </is>
      </c>
      <c r="E53" t="inlineStr">
        <is>
          <t>LJUSDAL</t>
        </is>
      </c>
      <c r="F53" t="inlineStr">
        <is>
          <t>Sveaskog</t>
        </is>
      </c>
      <c r="G53" t="n">
        <v>6.5</v>
      </c>
      <c r="H53" t="n">
        <v>4</v>
      </c>
      <c r="I53" t="n">
        <v>1</v>
      </c>
      <c r="J53" t="n">
        <v>4</v>
      </c>
      <c r="K53" t="n">
        <v>1</v>
      </c>
      <c r="L53" t="n">
        <v>0</v>
      </c>
      <c r="M53" t="n">
        <v>0</v>
      </c>
      <c r="N53" t="n">
        <v>0</v>
      </c>
      <c r="O53" t="n">
        <v>5</v>
      </c>
      <c r="P53" t="n">
        <v>1</v>
      </c>
      <c r="Q53" t="n">
        <v>7</v>
      </c>
      <c r="R53" s="2" t="inlineStr">
        <is>
          <t>Knärot
Garnlav
Lunglav
Tretåig hackspett
Violettgrå tagellav
Plattlummer
Lavskrika</t>
        </is>
      </c>
      <c r="S53">
        <f>HYPERLINK("https://klasma.github.io/Logging_2161/artfynd/A 51222-2023 artfynd.xlsx", "A 51222-2023")</f>
        <v/>
      </c>
      <c r="T53">
        <f>HYPERLINK("https://klasma.github.io/Logging_2161/kartor/A 51222-2023 karta.png", "A 51222-2023")</f>
        <v/>
      </c>
      <c r="U53">
        <f>HYPERLINK("https://klasma.github.io/Logging_2161/knärot/A 51222-2023 karta knärot.png", "A 51222-2023")</f>
        <v/>
      </c>
      <c r="V53">
        <f>HYPERLINK("https://klasma.github.io/Logging_2161/klagomål/A 51222-2023 FSC-klagomål.docx", "A 51222-2023")</f>
        <v/>
      </c>
      <c r="W53">
        <f>HYPERLINK("https://klasma.github.io/Logging_2161/klagomålsmail/A 51222-2023 FSC-klagomål mail.docx", "A 51222-2023")</f>
        <v/>
      </c>
      <c r="X53">
        <f>HYPERLINK("https://klasma.github.io/Logging_2161/tillsyn/A 51222-2023 tillsynsbegäran.docx", "A 51222-2023")</f>
        <v/>
      </c>
      <c r="Y53">
        <f>HYPERLINK("https://klasma.github.io/Logging_2161/tillsynsmail/A 51222-2023 tillsynsbegäran mail.docx", "A 51222-2023")</f>
        <v/>
      </c>
      <c r="Z53">
        <f>HYPERLINK("https://klasma.github.io/Logging_2161/fåglar/A 51222-2023 prioriterade fågelarter.docx", "A 51222-2023")</f>
        <v/>
      </c>
    </row>
    <row r="54" ht="15" customHeight="1">
      <c r="A54" t="inlineStr">
        <is>
          <t>A 29705-2021</t>
        </is>
      </c>
      <c r="B54" s="1" t="n">
        <v>44362</v>
      </c>
      <c r="C54" s="1" t="n">
        <v>45911</v>
      </c>
      <c r="D54" t="inlineStr">
        <is>
          <t>GÄVLEBORGS LÄN</t>
        </is>
      </c>
      <c r="E54" t="inlineStr">
        <is>
          <t>HUDIKSVALL</t>
        </is>
      </c>
      <c r="F54" t="inlineStr">
        <is>
          <t>Holmen skog AB</t>
        </is>
      </c>
      <c r="G54" t="n">
        <v>45</v>
      </c>
      <c r="H54" t="n">
        <v>5</v>
      </c>
      <c r="I54" t="n">
        <v>4</v>
      </c>
      <c r="J54" t="n">
        <v>1</v>
      </c>
      <c r="K54" t="n">
        <v>0</v>
      </c>
      <c r="L54" t="n">
        <v>0</v>
      </c>
      <c r="M54" t="n">
        <v>0</v>
      </c>
      <c r="N54" t="n">
        <v>0</v>
      </c>
      <c r="O54" t="n">
        <v>1</v>
      </c>
      <c r="P54" t="n">
        <v>0</v>
      </c>
      <c r="Q54" t="n">
        <v>7</v>
      </c>
      <c r="R54" s="2" t="inlineStr">
        <is>
          <t>Storgröe
Korallrot
Spindelblomster
Tvåblad
Ögonpyrola
Fläcknycklar
Revlummer</t>
        </is>
      </c>
      <c r="S54">
        <f>HYPERLINK("https://klasma.github.io/Logging_2184/artfynd/A 29705-2021 artfynd.xlsx", "A 29705-2021")</f>
        <v/>
      </c>
      <c r="T54">
        <f>HYPERLINK("https://klasma.github.io/Logging_2184/kartor/A 29705-2021 karta.png", "A 29705-2021")</f>
        <v/>
      </c>
      <c r="U54">
        <f>HYPERLINK("https://klasma.github.io/Logging_2184/knärot/A 29705-2021 karta knärot.png", "A 29705-2021")</f>
        <v/>
      </c>
      <c r="V54">
        <f>HYPERLINK("https://klasma.github.io/Logging_2184/klagomål/A 29705-2021 FSC-klagomål.docx", "A 29705-2021")</f>
        <v/>
      </c>
      <c r="W54">
        <f>HYPERLINK("https://klasma.github.io/Logging_2184/klagomålsmail/A 29705-2021 FSC-klagomål mail.docx", "A 29705-2021")</f>
        <v/>
      </c>
      <c r="X54">
        <f>HYPERLINK("https://klasma.github.io/Logging_2184/tillsyn/A 29705-2021 tillsynsbegäran.docx", "A 29705-2021")</f>
        <v/>
      </c>
      <c r="Y54">
        <f>HYPERLINK("https://klasma.github.io/Logging_2184/tillsynsmail/A 29705-2021 tillsynsbegäran mail.docx", "A 29705-2021")</f>
        <v/>
      </c>
    </row>
    <row r="55" ht="15" customHeight="1">
      <c r="A55" t="inlineStr">
        <is>
          <t>A 27066-2025</t>
        </is>
      </c>
      <c r="B55" s="1" t="n">
        <v>45811.63648148148</v>
      </c>
      <c r="C55" s="1" t="n">
        <v>45911</v>
      </c>
      <c r="D55" t="inlineStr">
        <is>
          <t>GÄVLEBORGS LÄN</t>
        </is>
      </c>
      <c r="E55" t="inlineStr">
        <is>
          <t>LJUSDAL</t>
        </is>
      </c>
      <c r="F55" t="inlineStr">
        <is>
          <t>SCA</t>
        </is>
      </c>
      <c r="G55" t="n">
        <v>18.6</v>
      </c>
      <c r="H55" t="n">
        <v>4</v>
      </c>
      <c r="I55" t="n">
        <v>2</v>
      </c>
      <c r="J55" t="n">
        <v>2</v>
      </c>
      <c r="K55" t="n">
        <v>0</v>
      </c>
      <c r="L55" t="n">
        <v>0</v>
      </c>
      <c r="M55" t="n">
        <v>0</v>
      </c>
      <c r="N55" t="n">
        <v>0</v>
      </c>
      <c r="O55" t="n">
        <v>2</v>
      </c>
      <c r="P55" t="n">
        <v>0</v>
      </c>
      <c r="Q55" t="n">
        <v>7</v>
      </c>
      <c r="R55" s="2" t="inlineStr">
        <is>
          <t>Garnlav
Lunglav
Spindelblomster
Stuplav
Fläcknycklar
Nattviol
Revlummer</t>
        </is>
      </c>
      <c r="S55">
        <f>HYPERLINK("https://klasma.github.io/Logging_2161/artfynd/A 27066-2025 artfynd.xlsx", "A 27066-2025")</f>
        <v/>
      </c>
      <c r="T55">
        <f>HYPERLINK("https://klasma.github.io/Logging_2161/kartor/A 27066-2025 karta.png", "A 27066-2025")</f>
        <v/>
      </c>
      <c r="V55">
        <f>HYPERLINK("https://klasma.github.io/Logging_2161/klagomål/A 27066-2025 FSC-klagomål.docx", "A 27066-2025")</f>
        <v/>
      </c>
      <c r="W55">
        <f>HYPERLINK("https://klasma.github.io/Logging_2161/klagomålsmail/A 27066-2025 FSC-klagomål mail.docx", "A 27066-2025")</f>
        <v/>
      </c>
      <c r="X55">
        <f>HYPERLINK("https://klasma.github.io/Logging_2161/tillsyn/A 27066-2025 tillsynsbegäran.docx", "A 27066-2025")</f>
        <v/>
      </c>
      <c r="Y55">
        <f>HYPERLINK("https://klasma.github.io/Logging_2161/tillsynsmail/A 27066-2025 tillsynsbegäran mail.docx", "A 27066-2025")</f>
        <v/>
      </c>
    </row>
    <row r="56" ht="15" customHeight="1">
      <c r="A56" t="inlineStr">
        <is>
          <t>A 29228-2025</t>
        </is>
      </c>
      <c r="B56" s="1" t="n">
        <v>45824</v>
      </c>
      <c r="C56" s="1" t="n">
        <v>45911</v>
      </c>
      <c r="D56" t="inlineStr">
        <is>
          <t>GÄVLEBORGS LÄN</t>
        </is>
      </c>
      <c r="E56" t="inlineStr">
        <is>
          <t>LJUSDAL</t>
        </is>
      </c>
      <c r="F56" t="inlineStr">
        <is>
          <t>Allmännings- och besparingsskogar</t>
        </is>
      </c>
      <c r="G56" t="n">
        <v>9.5</v>
      </c>
      <c r="H56" t="n">
        <v>4</v>
      </c>
      <c r="I56" t="n">
        <v>2</v>
      </c>
      <c r="J56" t="n">
        <v>3</v>
      </c>
      <c r="K56" t="n">
        <v>1</v>
      </c>
      <c r="L56" t="n">
        <v>0</v>
      </c>
      <c r="M56" t="n">
        <v>0</v>
      </c>
      <c r="N56" t="n">
        <v>0</v>
      </c>
      <c r="O56" t="n">
        <v>4</v>
      </c>
      <c r="P56" t="n">
        <v>1</v>
      </c>
      <c r="Q56" t="n">
        <v>7</v>
      </c>
      <c r="R56" s="2" t="inlineStr">
        <is>
          <t>Knärot
Lunglav
Skrovellav
Tallticka
Plattlummer
Spindelblomster
Fläcknycklar</t>
        </is>
      </c>
      <c r="S56">
        <f>HYPERLINK("https://klasma.github.io/Logging_2161/artfynd/A 29228-2025 artfynd.xlsx", "A 29228-2025")</f>
        <v/>
      </c>
      <c r="T56">
        <f>HYPERLINK("https://klasma.github.io/Logging_2161/kartor/A 29228-2025 karta.png", "A 29228-2025")</f>
        <v/>
      </c>
      <c r="U56">
        <f>HYPERLINK("https://klasma.github.io/Logging_2161/knärot/A 29228-2025 karta knärot.png", "A 29228-2025")</f>
        <v/>
      </c>
      <c r="V56">
        <f>HYPERLINK("https://klasma.github.io/Logging_2161/klagomål/A 29228-2025 FSC-klagomål.docx", "A 29228-2025")</f>
        <v/>
      </c>
      <c r="W56">
        <f>HYPERLINK("https://klasma.github.io/Logging_2161/klagomålsmail/A 29228-2025 FSC-klagomål mail.docx", "A 29228-2025")</f>
        <v/>
      </c>
      <c r="X56">
        <f>HYPERLINK("https://klasma.github.io/Logging_2161/tillsyn/A 29228-2025 tillsynsbegäran.docx", "A 29228-2025")</f>
        <v/>
      </c>
      <c r="Y56">
        <f>HYPERLINK("https://klasma.github.io/Logging_2161/tillsynsmail/A 29228-2025 tillsynsbegäran mail.docx", "A 29228-2025")</f>
        <v/>
      </c>
    </row>
    <row r="57" ht="15" customHeight="1">
      <c r="A57" t="inlineStr">
        <is>
          <t>A 21134-2024</t>
        </is>
      </c>
      <c r="B57" s="1" t="n">
        <v>45440</v>
      </c>
      <c r="C57" s="1" t="n">
        <v>45911</v>
      </c>
      <c r="D57" t="inlineStr">
        <is>
          <t>GÄVLEBORGS LÄN</t>
        </is>
      </c>
      <c r="E57" t="inlineStr">
        <is>
          <t>LJUSDAL</t>
        </is>
      </c>
      <c r="G57" t="n">
        <v>3.2</v>
      </c>
      <c r="H57" t="n">
        <v>5</v>
      </c>
      <c r="I57" t="n">
        <v>0</v>
      </c>
      <c r="J57" t="n">
        <v>3</v>
      </c>
      <c r="K57" t="n">
        <v>2</v>
      </c>
      <c r="L57" t="n">
        <v>0</v>
      </c>
      <c r="M57" t="n">
        <v>0</v>
      </c>
      <c r="N57" t="n">
        <v>0</v>
      </c>
      <c r="O57" t="n">
        <v>5</v>
      </c>
      <c r="P57" t="n">
        <v>2</v>
      </c>
      <c r="Q57" t="n">
        <v>7</v>
      </c>
      <c r="R57" s="2" t="inlineStr">
        <is>
          <t>Knärot
Tofsvipa
Kolflarnlav
Talltita
Vedflamlav
Grönsiska
Kungsfågel</t>
        </is>
      </c>
      <c r="S57">
        <f>HYPERLINK("https://klasma.github.io/Logging_2161/artfynd/A 21134-2024 artfynd.xlsx", "A 21134-2024")</f>
        <v/>
      </c>
      <c r="T57">
        <f>HYPERLINK("https://klasma.github.io/Logging_2161/kartor/A 21134-2024 karta.png", "A 21134-2024")</f>
        <v/>
      </c>
      <c r="U57">
        <f>HYPERLINK("https://klasma.github.io/Logging_2161/knärot/A 21134-2024 karta knärot.png", "A 21134-2024")</f>
        <v/>
      </c>
      <c r="V57">
        <f>HYPERLINK("https://klasma.github.io/Logging_2161/klagomål/A 21134-2024 FSC-klagomål.docx", "A 21134-2024")</f>
        <v/>
      </c>
      <c r="W57">
        <f>HYPERLINK("https://klasma.github.io/Logging_2161/klagomålsmail/A 21134-2024 FSC-klagomål mail.docx", "A 21134-2024")</f>
        <v/>
      </c>
      <c r="X57">
        <f>HYPERLINK("https://klasma.github.io/Logging_2161/tillsyn/A 21134-2024 tillsynsbegäran.docx", "A 21134-2024")</f>
        <v/>
      </c>
      <c r="Y57">
        <f>HYPERLINK("https://klasma.github.io/Logging_2161/tillsynsmail/A 21134-2024 tillsynsbegäran mail.docx", "A 21134-2024")</f>
        <v/>
      </c>
      <c r="Z57">
        <f>HYPERLINK("https://klasma.github.io/Logging_2161/fåglar/A 21134-2024 prioriterade fågelarter.docx", "A 21134-2024")</f>
        <v/>
      </c>
    </row>
    <row r="58" ht="15" customHeight="1">
      <c r="A58" t="inlineStr">
        <is>
          <t>A 31224-2022</t>
        </is>
      </c>
      <c r="B58" s="1" t="n">
        <v>44771</v>
      </c>
      <c r="C58" s="1" t="n">
        <v>45911</v>
      </c>
      <c r="D58" t="inlineStr">
        <is>
          <t>GÄVLEBORGS LÄN</t>
        </is>
      </c>
      <c r="E58" t="inlineStr">
        <is>
          <t>NORDANSTIG</t>
        </is>
      </c>
      <c r="G58" t="n">
        <v>1.2</v>
      </c>
      <c r="H58" t="n">
        <v>1</v>
      </c>
      <c r="I58" t="n">
        <v>1</v>
      </c>
      <c r="J58" t="n">
        <v>3</v>
      </c>
      <c r="K58" t="n">
        <v>3</v>
      </c>
      <c r="L58" t="n">
        <v>0</v>
      </c>
      <c r="M58" t="n">
        <v>0</v>
      </c>
      <c r="N58" t="n">
        <v>0</v>
      </c>
      <c r="O58" t="n">
        <v>6</v>
      </c>
      <c r="P58" t="n">
        <v>3</v>
      </c>
      <c r="Q58" t="n">
        <v>7</v>
      </c>
      <c r="R58" s="2" t="inlineStr">
        <is>
          <t>Bitter taggsvamp
Knärot
Lammticka
Orange taggsvamp
Svart taggsvamp
Talltaggsvamp
Tallfingersvamp</t>
        </is>
      </c>
      <c r="S58">
        <f>HYPERLINK("https://klasma.github.io/Logging_2132/artfynd/A 31224-2022 artfynd.xlsx", "A 31224-2022")</f>
        <v/>
      </c>
      <c r="T58">
        <f>HYPERLINK("https://klasma.github.io/Logging_2132/kartor/A 31224-2022 karta.png", "A 31224-2022")</f>
        <v/>
      </c>
      <c r="U58">
        <f>HYPERLINK("https://klasma.github.io/Logging_2132/knärot/A 31224-2022 karta knärot.png", "A 31224-2022")</f>
        <v/>
      </c>
      <c r="V58">
        <f>HYPERLINK("https://klasma.github.io/Logging_2132/klagomål/A 31224-2022 FSC-klagomål.docx", "A 31224-2022")</f>
        <v/>
      </c>
      <c r="W58">
        <f>HYPERLINK("https://klasma.github.io/Logging_2132/klagomålsmail/A 31224-2022 FSC-klagomål mail.docx", "A 31224-2022")</f>
        <v/>
      </c>
      <c r="X58">
        <f>HYPERLINK("https://klasma.github.io/Logging_2132/tillsyn/A 31224-2022 tillsynsbegäran.docx", "A 31224-2022")</f>
        <v/>
      </c>
      <c r="Y58">
        <f>HYPERLINK("https://klasma.github.io/Logging_2132/tillsynsmail/A 31224-2022 tillsynsbegäran mail.docx", "A 31224-2022")</f>
        <v/>
      </c>
    </row>
    <row r="59" ht="15" customHeight="1">
      <c r="A59" t="inlineStr">
        <is>
          <t>A 42890-2025</t>
        </is>
      </c>
      <c r="B59" s="1" t="n">
        <v>45908.65571759259</v>
      </c>
      <c r="C59" s="1" t="n">
        <v>45911</v>
      </c>
      <c r="D59" t="inlineStr">
        <is>
          <t>GÄVLEBORGS LÄN</t>
        </is>
      </c>
      <c r="E59" t="inlineStr">
        <is>
          <t>NORDANSTIG</t>
        </is>
      </c>
      <c r="G59" t="n">
        <v>2.1</v>
      </c>
      <c r="H59" t="n">
        <v>7</v>
      </c>
      <c r="I59" t="n">
        <v>2</v>
      </c>
      <c r="J59" t="n">
        <v>0</v>
      </c>
      <c r="K59" t="n">
        <v>0</v>
      </c>
      <c r="L59" t="n">
        <v>0</v>
      </c>
      <c r="M59" t="n">
        <v>0</v>
      </c>
      <c r="N59" t="n">
        <v>0</v>
      </c>
      <c r="O59" t="n">
        <v>0</v>
      </c>
      <c r="P59" t="n">
        <v>0</v>
      </c>
      <c r="Q59" t="n">
        <v>7</v>
      </c>
      <c r="R59" s="2" t="inlineStr">
        <is>
          <t>Skogsknipprot
Spindelblomster
Fläcknycklar
Nattviol
Blåsippa
Mattlummer
Revlummer</t>
        </is>
      </c>
      <c r="S59">
        <f>HYPERLINK("https://klasma.github.io/Logging_2132/artfynd/A 42890-2025 artfynd.xlsx", "A 42890-2025")</f>
        <v/>
      </c>
      <c r="T59">
        <f>HYPERLINK("https://klasma.github.io/Logging_2132/kartor/A 42890-2025 karta.png", "A 42890-2025")</f>
        <v/>
      </c>
      <c r="V59">
        <f>HYPERLINK("https://klasma.github.io/Logging_2132/klagomål/A 42890-2025 FSC-klagomål.docx", "A 42890-2025")</f>
        <v/>
      </c>
      <c r="W59">
        <f>HYPERLINK("https://klasma.github.io/Logging_2132/klagomålsmail/A 42890-2025 FSC-klagomål mail.docx", "A 42890-2025")</f>
        <v/>
      </c>
      <c r="X59">
        <f>HYPERLINK("https://klasma.github.io/Logging_2132/tillsyn/A 42890-2025 tillsynsbegäran.docx", "A 42890-2025")</f>
        <v/>
      </c>
      <c r="Y59">
        <f>HYPERLINK("https://klasma.github.io/Logging_2132/tillsynsmail/A 42890-2025 tillsynsbegäran mail.docx", "A 42890-2025")</f>
        <v/>
      </c>
    </row>
    <row r="60" ht="15" customHeight="1">
      <c r="A60" t="inlineStr">
        <is>
          <t>A 55869-2020</t>
        </is>
      </c>
      <c r="B60" s="1" t="n">
        <v>44132</v>
      </c>
      <c r="C60" s="1" t="n">
        <v>45911</v>
      </c>
      <c r="D60" t="inlineStr">
        <is>
          <t>GÄVLEBORGS LÄN</t>
        </is>
      </c>
      <c r="E60" t="inlineStr">
        <is>
          <t>HUDIKSVALL</t>
        </is>
      </c>
      <c r="G60" t="n">
        <v>9.4</v>
      </c>
      <c r="H60" t="n">
        <v>1</v>
      </c>
      <c r="I60" t="n">
        <v>1</v>
      </c>
      <c r="J60" t="n">
        <v>3</v>
      </c>
      <c r="K60" t="n">
        <v>1</v>
      </c>
      <c r="L60" t="n">
        <v>0</v>
      </c>
      <c r="M60" t="n">
        <v>0</v>
      </c>
      <c r="N60" t="n">
        <v>0</v>
      </c>
      <c r="O60" t="n">
        <v>4</v>
      </c>
      <c r="P60" t="n">
        <v>1</v>
      </c>
      <c r="Q60" t="n">
        <v>6</v>
      </c>
      <c r="R60" s="2" t="inlineStr">
        <is>
          <t>Rynkskinn
Garnlav
Granticka
Violettgrå tagellav
Skinnlav
Revlummer</t>
        </is>
      </c>
      <c r="S60">
        <f>HYPERLINK("https://klasma.github.io/Logging_2184/artfynd/A 55869-2020 artfynd.xlsx", "A 55869-2020")</f>
        <v/>
      </c>
      <c r="T60">
        <f>HYPERLINK("https://klasma.github.io/Logging_2184/kartor/A 55869-2020 karta.png", "A 55869-2020")</f>
        <v/>
      </c>
      <c r="V60">
        <f>HYPERLINK("https://klasma.github.io/Logging_2184/klagomål/A 55869-2020 FSC-klagomål.docx", "A 55869-2020")</f>
        <v/>
      </c>
      <c r="W60">
        <f>HYPERLINK("https://klasma.github.io/Logging_2184/klagomålsmail/A 55869-2020 FSC-klagomål mail.docx", "A 55869-2020")</f>
        <v/>
      </c>
      <c r="X60">
        <f>HYPERLINK("https://klasma.github.io/Logging_2184/tillsyn/A 55869-2020 tillsynsbegäran.docx", "A 55869-2020")</f>
        <v/>
      </c>
      <c r="Y60">
        <f>HYPERLINK("https://klasma.github.io/Logging_2184/tillsynsmail/A 55869-2020 tillsynsbegäran mail.docx", "A 55869-2020")</f>
        <v/>
      </c>
    </row>
    <row r="61" ht="15" customHeight="1">
      <c r="A61" t="inlineStr">
        <is>
          <t>A 43108-2021</t>
        </is>
      </c>
      <c r="B61" s="1" t="n">
        <v>44431.61280092593</v>
      </c>
      <c r="C61" s="1" t="n">
        <v>45911</v>
      </c>
      <c r="D61" t="inlineStr">
        <is>
          <t>GÄVLEBORGS LÄN</t>
        </is>
      </c>
      <c r="E61" t="inlineStr">
        <is>
          <t>LJUSDAL</t>
        </is>
      </c>
      <c r="F61" t="inlineStr">
        <is>
          <t>Sveaskog</t>
        </is>
      </c>
      <c r="G61" t="n">
        <v>3.2</v>
      </c>
      <c r="H61" t="n">
        <v>1</v>
      </c>
      <c r="I61" t="n">
        <v>0</v>
      </c>
      <c r="J61" t="n">
        <v>4</v>
      </c>
      <c r="K61" t="n">
        <v>2</v>
      </c>
      <c r="L61" t="n">
        <v>0</v>
      </c>
      <c r="M61" t="n">
        <v>0</v>
      </c>
      <c r="N61" t="n">
        <v>0</v>
      </c>
      <c r="O61" t="n">
        <v>6</v>
      </c>
      <c r="P61" t="n">
        <v>2</v>
      </c>
      <c r="Q61" t="n">
        <v>6</v>
      </c>
      <c r="R61" s="2" t="inlineStr">
        <is>
          <t>Knärot
Rynkskinn
Gammelgransskål
Garnlav
Lunglav
Ullticka</t>
        </is>
      </c>
      <c r="S61">
        <f>HYPERLINK("https://klasma.github.io/Logging_2161/artfynd/A 43108-2021 artfynd.xlsx", "A 43108-2021")</f>
        <v/>
      </c>
      <c r="T61">
        <f>HYPERLINK("https://klasma.github.io/Logging_2161/kartor/A 43108-2021 karta.png", "A 43108-2021")</f>
        <v/>
      </c>
      <c r="U61">
        <f>HYPERLINK("https://klasma.github.io/Logging_2161/knärot/A 43108-2021 karta knärot.png", "A 43108-2021")</f>
        <v/>
      </c>
      <c r="V61">
        <f>HYPERLINK("https://klasma.github.io/Logging_2161/klagomål/A 43108-2021 FSC-klagomål.docx", "A 43108-2021")</f>
        <v/>
      </c>
      <c r="W61">
        <f>HYPERLINK("https://klasma.github.io/Logging_2161/klagomålsmail/A 43108-2021 FSC-klagomål mail.docx", "A 43108-2021")</f>
        <v/>
      </c>
      <c r="X61">
        <f>HYPERLINK("https://klasma.github.io/Logging_2161/tillsyn/A 43108-2021 tillsynsbegäran.docx", "A 43108-2021")</f>
        <v/>
      </c>
      <c r="Y61">
        <f>HYPERLINK("https://klasma.github.io/Logging_2161/tillsynsmail/A 43108-2021 tillsynsbegäran mail.docx", "A 43108-2021")</f>
        <v/>
      </c>
    </row>
    <row r="62" ht="15" customHeight="1">
      <c r="A62" t="inlineStr">
        <is>
          <t>A 39526-2021</t>
        </is>
      </c>
      <c r="B62" s="1" t="n">
        <v>44415</v>
      </c>
      <c r="C62" s="1" t="n">
        <v>45911</v>
      </c>
      <c r="D62" t="inlineStr">
        <is>
          <t>GÄVLEBORGS LÄN</t>
        </is>
      </c>
      <c r="E62" t="inlineStr">
        <is>
          <t>HUDIKSVALL</t>
        </is>
      </c>
      <c r="G62" t="n">
        <v>5.5</v>
      </c>
      <c r="H62" t="n">
        <v>4</v>
      </c>
      <c r="I62" t="n">
        <v>1</v>
      </c>
      <c r="J62" t="n">
        <v>1</v>
      </c>
      <c r="K62" t="n">
        <v>2</v>
      </c>
      <c r="L62" t="n">
        <v>0</v>
      </c>
      <c r="M62" t="n">
        <v>0</v>
      </c>
      <c r="N62" t="n">
        <v>0</v>
      </c>
      <c r="O62" t="n">
        <v>3</v>
      </c>
      <c r="P62" t="n">
        <v>2</v>
      </c>
      <c r="Q62" t="n">
        <v>6</v>
      </c>
      <c r="R62" s="2" t="inlineStr">
        <is>
          <t>Knärot
Läderlappslav
Garnlav
Spindelblomster
Nattviol
Revlummer</t>
        </is>
      </c>
      <c r="S62">
        <f>HYPERLINK("https://klasma.github.io/Logging_2184/artfynd/A 39526-2021 artfynd.xlsx", "A 39526-2021")</f>
        <v/>
      </c>
      <c r="T62">
        <f>HYPERLINK("https://klasma.github.io/Logging_2184/kartor/A 39526-2021 karta.png", "A 39526-2021")</f>
        <v/>
      </c>
      <c r="U62">
        <f>HYPERLINK("https://klasma.github.io/Logging_2184/knärot/A 39526-2021 karta knärot.png", "A 39526-2021")</f>
        <v/>
      </c>
      <c r="V62">
        <f>HYPERLINK("https://klasma.github.io/Logging_2184/klagomål/A 39526-2021 FSC-klagomål.docx", "A 39526-2021")</f>
        <v/>
      </c>
      <c r="W62">
        <f>HYPERLINK("https://klasma.github.io/Logging_2184/klagomålsmail/A 39526-2021 FSC-klagomål mail.docx", "A 39526-2021")</f>
        <v/>
      </c>
      <c r="X62">
        <f>HYPERLINK("https://klasma.github.io/Logging_2184/tillsyn/A 39526-2021 tillsynsbegäran.docx", "A 39526-2021")</f>
        <v/>
      </c>
      <c r="Y62">
        <f>HYPERLINK("https://klasma.github.io/Logging_2184/tillsynsmail/A 39526-2021 tillsynsbegäran mail.docx", "A 39526-2021")</f>
        <v/>
      </c>
    </row>
    <row r="63" ht="15" customHeight="1">
      <c r="A63" t="inlineStr">
        <is>
          <t>A 35985-2022</t>
        </is>
      </c>
      <c r="B63" s="1" t="n">
        <v>44802</v>
      </c>
      <c r="C63" s="1" t="n">
        <v>45911</v>
      </c>
      <c r="D63" t="inlineStr">
        <is>
          <t>GÄVLEBORGS LÄN</t>
        </is>
      </c>
      <c r="E63" t="inlineStr">
        <is>
          <t>HUDIKSVALL</t>
        </is>
      </c>
      <c r="F63" t="inlineStr">
        <is>
          <t>Holmen skog AB</t>
        </is>
      </c>
      <c r="G63" t="n">
        <v>9.1</v>
      </c>
      <c r="H63" t="n">
        <v>1</v>
      </c>
      <c r="I63" t="n">
        <v>4</v>
      </c>
      <c r="J63" t="n">
        <v>1</v>
      </c>
      <c r="K63" t="n">
        <v>0</v>
      </c>
      <c r="L63" t="n">
        <v>0</v>
      </c>
      <c r="M63" t="n">
        <v>0</v>
      </c>
      <c r="N63" t="n">
        <v>0</v>
      </c>
      <c r="O63" t="n">
        <v>1</v>
      </c>
      <c r="P63" t="n">
        <v>0</v>
      </c>
      <c r="Q63" t="n">
        <v>6</v>
      </c>
      <c r="R63" s="2" t="inlineStr">
        <is>
          <t>Myskmåra
Strutbräken
Svart trolldruva
Tibast
Underviol
Blåsippa</t>
        </is>
      </c>
      <c r="S63">
        <f>HYPERLINK("https://klasma.github.io/Logging_2184/artfynd/A 35985-2022 artfynd.xlsx", "A 35985-2022")</f>
        <v/>
      </c>
      <c r="T63">
        <f>HYPERLINK("https://klasma.github.io/Logging_2184/kartor/A 35985-2022 karta.png", "A 35985-2022")</f>
        <v/>
      </c>
      <c r="V63">
        <f>HYPERLINK("https://klasma.github.io/Logging_2184/klagomål/A 35985-2022 FSC-klagomål.docx", "A 35985-2022")</f>
        <v/>
      </c>
      <c r="W63">
        <f>HYPERLINK("https://klasma.github.io/Logging_2184/klagomålsmail/A 35985-2022 FSC-klagomål mail.docx", "A 35985-2022")</f>
        <v/>
      </c>
      <c r="X63">
        <f>HYPERLINK("https://klasma.github.io/Logging_2184/tillsyn/A 35985-2022 tillsynsbegäran.docx", "A 35985-2022")</f>
        <v/>
      </c>
      <c r="Y63">
        <f>HYPERLINK("https://klasma.github.io/Logging_2184/tillsynsmail/A 35985-2022 tillsynsbegäran mail.docx", "A 35985-2022")</f>
        <v/>
      </c>
    </row>
    <row r="64" ht="15" customHeight="1">
      <c r="A64" t="inlineStr">
        <is>
          <t>A 18274-2023</t>
        </is>
      </c>
      <c r="B64" s="1" t="n">
        <v>45041.52760416667</v>
      </c>
      <c r="C64" s="1" t="n">
        <v>45911</v>
      </c>
      <c r="D64" t="inlineStr">
        <is>
          <t>GÄVLEBORGS LÄN</t>
        </is>
      </c>
      <c r="E64" t="inlineStr">
        <is>
          <t>SÖDERHAMN</t>
        </is>
      </c>
      <c r="F64" t="inlineStr">
        <is>
          <t>Bergvik skog väst AB</t>
        </is>
      </c>
      <c r="G64" t="n">
        <v>10.6</v>
      </c>
      <c r="H64" t="n">
        <v>6</v>
      </c>
      <c r="I64" t="n">
        <v>0</v>
      </c>
      <c r="J64" t="n">
        <v>4</v>
      </c>
      <c r="K64" t="n">
        <v>0</v>
      </c>
      <c r="L64" t="n">
        <v>0</v>
      </c>
      <c r="M64" t="n">
        <v>0</v>
      </c>
      <c r="N64" t="n">
        <v>0</v>
      </c>
      <c r="O64" t="n">
        <v>4</v>
      </c>
      <c r="P64" t="n">
        <v>0</v>
      </c>
      <c r="Q64" t="n">
        <v>6</v>
      </c>
      <c r="R64" s="2" t="inlineStr">
        <is>
          <t>Mindre hackspett
Rödvingetrast
Talltita
Ärtsångare
Grönsiska
Kungsfågel</t>
        </is>
      </c>
      <c r="S64">
        <f>HYPERLINK("https://klasma.github.io/Logging_2182/artfynd/A 18274-2023 artfynd.xlsx", "A 18274-2023")</f>
        <v/>
      </c>
      <c r="T64">
        <f>HYPERLINK("https://klasma.github.io/Logging_2182/kartor/A 18274-2023 karta.png", "A 18274-2023")</f>
        <v/>
      </c>
      <c r="V64">
        <f>HYPERLINK("https://klasma.github.io/Logging_2182/klagomål/A 18274-2023 FSC-klagomål.docx", "A 18274-2023")</f>
        <v/>
      </c>
      <c r="W64">
        <f>HYPERLINK("https://klasma.github.io/Logging_2182/klagomålsmail/A 18274-2023 FSC-klagomål mail.docx", "A 18274-2023")</f>
        <v/>
      </c>
      <c r="X64">
        <f>HYPERLINK("https://klasma.github.io/Logging_2182/tillsyn/A 18274-2023 tillsynsbegäran.docx", "A 18274-2023")</f>
        <v/>
      </c>
      <c r="Y64">
        <f>HYPERLINK("https://klasma.github.io/Logging_2182/tillsynsmail/A 18274-2023 tillsynsbegäran mail.docx", "A 18274-2023")</f>
        <v/>
      </c>
      <c r="Z64">
        <f>HYPERLINK("https://klasma.github.io/Logging_2182/fåglar/A 18274-2023 prioriterade fågelarter.docx", "A 18274-2023")</f>
        <v/>
      </c>
    </row>
    <row r="65" ht="15" customHeight="1">
      <c r="A65" t="inlineStr">
        <is>
          <t>A 24031-2025</t>
        </is>
      </c>
      <c r="B65" s="1" t="n">
        <v>45796.47767361111</v>
      </c>
      <c r="C65" s="1" t="n">
        <v>45911</v>
      </c>
      <c r="D65" t="inlineStr">
        <is>
          <t>GÄVLEBORGS LÄN</t>
        </is>
      </c>
      <c r="E65" t="inlineStr">
        <is>
          <t>LJUSDAL</t>
        </is>
      </c>
      <c r="F65" t="inlineStr">
        <is>
          <t>Allmännings- och besparingsskogar</t>
        </is>
      </c>
      <c r="G65" t="n">
        <v>12.4</v>
      </c>
      <c r="H65" t="n">
        <v>2</v>
      </c>
      <c r="I65" t="n">
        <v>1</v>
      </c>
      <c r="J65" t="n">
        <v>4</v>
      </c>
      <c r="K65" t="n">
        <v>1</v>
      </c>
      <c r="L65" t="n">
        <v>0</v>
      </c>
      <c r="M65" t="n">
        <v>0</v>
      </c>
      <c r="N65" t="n">
        <v>0</v>
      </c>
      <c r="O65" t="n">
        <v>5</v>
      </c>
      <c r="P65" t="n">
        <v>1</v>
      </c>
      <c r="Q65" t="n">
        <v>6</v>
      </c>
      <c r="R65" s="2" t="inlineStr">
        <is>
          <t>Knärot
Dvärgbägarlav
Lunglav
Vedflamlav
Vedskivlav
Spindelblomster</t>
        </is>
      </c>
      <c r="S65">
        <f>HYPERLINK("https://klasma.github.io/Logging_2161/artfynd/A 24031-2025 artfynd.xlsx", "A 24031-2025")</f>
        <v/>
      </c>
      <c r="T65">
        <f>HYPERLINK("https://klasma.github.io/Logging_2161/kartor/A 24031-2025 karta.png", "A 24031-2025")</f>
        <v/>
      </c>
      <c r="U65">
        <f>HYPERLINK("https://klasma.github.io/Logging_2161/knärot/A 24031-2025 karta knärot.png", "A 24031-2025")</f>
        <v/>
      </c>
      <c r="V65">
        <f>HYPERLINK("https://klasma.github.io/Logging_2161/klagomål/A 24031-2025 FSC-klagomål.docx", "A 24031-2025")</f>
        <v/>
      </c>
      <c r="W65">
        <f>HYPERLINK("https://klasma.github.io/Logging_2161/klagomålsmail/A 24031-2025 FSC-klagomål mail.docx", "A 24031-2025")</f>
        <v/>
      </c>
      <c r="X65">
        <f>HYPERLINK("https://klasma.github.io/Logging_2161/tillsyn/A 24031-2025 tillsynsbegäran.docx", "A 24031-2025")</f>
        <v/>
      </c>
      <c r="Y65">
        <f>HYPERLINK("https://klasma.github.io/Logging_2161/tillsynsmail/A 24031-2025 tillsynsbegäran mail.docx", "A 24031-2025")</f>
        <v/>
      </c>
    </row>
    <row r="66" ht="15" customHeight="1">
      <c r="A66" t="inlineStr">
        <is>
          <t>A 63252-2023</t>
        </is>
      </c>
      <c r="B66" s="1" t="n">
        <v>45273</v>
      </c>
      <c r="C66" s="1" t="n">
        <v>45911</v>
      </c>
      <c r="D66" t="inlineStr">
        <is>
          <t>GÄVLEBORGS LÄN</t>
        </is>
      </c>
      <c r="E66" t="inlineStr">
        <is>
          <t>LJUSDAL</t>
        </is>
      </c>
      <c r="G66" t="n">
        <v>17.1</v>
      </c>
      <c r="H66" t="n">
        <v>0</v>
      </c>
      <c r="I66" t="n">
        <v>2</v>
      </c>
      <c r="J66" t="n">
        <v>4</v>
      </c>
      <c r="K66" t="n">
        <v>0</v>
      </c>
      <c r="L66" t="n">
        <v>0</v>
      </c>
      <c r="M66" t="n">
        <v>0</v>
      </c>
      <c r="N66" t="n">
        <v>0</v>
      </c>
      <c r="O66" t="n">
        <v>4</v>
      </c>
      <c r="P66" t="n">
        <v>0</v>
      </c>
      <c r="Q66" t="n">
        <v>6</v>
      </c>
      <c r="R66" s="2" t="inlineStr">
        <is>
          <t>Garnlav
Lunglav
Motaggsvamp
Tallticka
Dropptaggsvamp
Skarp dropptaggsvamp</t>
        </is>
      </c>
      <c r="S66">
        <f>HYPERLINK("https://klasma.github.io/Logging_2161/artfynd/A 63252-2023 artfynd.xlsx", "A 63252-2023")</f>
        <v/>
      </c>
      <c r="T66">
        <f>HYPERLINK("https://klasma.github.io/Logging_2161/kartor/A 63252-2023 karta.png", "A 63252-2023")</f>
        <v/>
      </c>
      <c r="V66">
        <f>HYPERLINK("https://klasma.github.io/Logging_2161/klagomål/A 63252-2023 FSC-klagomål.docx", "A 63252-2023")</f>
        <v/>
      </c>
      <c r="W66">
        <f>HYPERLINK("https://klasma.github.io/Logging_2161/klagomålsmail/A 63252-2023 FSC-klagomål mail.docx", "A 63252-2023")</f>
        <v/>
      </c>
      <c r="X66">
        <f>HYPERLINK("https://klasma.github.io/Logging_2161/tillsyn/A 63252-2023 tillsynsbegäran.docx", "A 63252-2023")</f>
        <v/>
      </c>
      <c r="Y66">
        <f>HYPERLINK("https://klasma.github.io/Logging_2161/tillsynsmail/A 63252-2023 tillsynsbegäran mail.docx", "A 63252-2023")</f>
        <v/>
      </c>
    </row>
    <row r="67" ht="15" customHeight="1">
      <c r="A67" t="inlineStr">
        <is>
          <t>A 24085-2024</t>
        </is>
      </c>
      <c r="B67" s="1" t="n">
        <v>45456.57688657408</v>
      </c>
      <c r="C67" s="1" t="n">
        <v>45911</v>
      </c>
      <c r="D67" t="inlineStr">
        <is>
          <t>GÄVLEBORGS LÄN</t>
        </is>
      </c>
      <c r="E67" t="inlineStr">
        <is>
          <t>OVANÅKER</t>
        </is>
      </c>
      <c r="G67" t="n">
        <v>6.6</v>
      </c>
      <c r="H67" t="n">
        <v>5</v>
      </c>
      <c r="I67" t="n">
        <v>4</v>
      </c>
      <c r="J67" t="n">
        <v>0</v>
      </c>
      <c r="K67" t="n">
        <v>0</v>
      </c>
      <c r="L67" t="n">
        <v>0</v>
      </c>
      <c r="M67" t="n">
        <v>0</v>
      </c>
      <c r="N67" t="n">
        <v>0</v>
      </c>
      <c r="O67" t="n">
        <v>0</v>
      </c>
      <c r="P67" t="n">
        <v>0</v>
      </c>
      <c r="Q67" t="n">
        <v>6</v>
      </c>
      <c r="R67" s="2" t="inlineStr">
        <is>
          <t>Gräsull
Korallrot
Spindelblomster
Tvåblad
Fläcknycklar
Revlummer</t>
        </is>
      </c>
      <c r="S67">
        <f>HYPERLINK("https://klasma.github.io/Logging_2121/artfynd/A 24085-2024 artfynd.xlsx", "A 24085-2024")</f>
        <v/>
      </c>
      <c r="T67">
        <f>HYPERLINK("https://klasma.github.io/Logging_2121/kartor/A 24085-2024 karta.png", "A 24085-2024")</f>
        <v/>
      </c>
      <c r="V67">
        <f>HYPERLINK("https://klasma.github.io/Logging_2121/klagomål/A 24085-2024 FSC-klagomål.docx", "A 24085-2024")</f>
        <v/>
      </c>
      <c r="W67">
        <f>HYPERLINK("https://klasma.github.io/Logging_2121/klagomålsmail/A 24085-2024 FSC-klagomål mail.docx", "A 24085-2024")</f>
        <v/>
      </c>
      <c r="X67">
        <f>HYPERLINK("https://klasma.github.io/Logging_2121/tillsyn/A 24085-2024 tillsynsbegäran.docx", "A 24085-2024")</f>
        <v/>
      </c>
      <c r="Y67">
        <f>HYPERLINK("https://klasma.github.io/Logging_2121/tillsynsmail/A 24085-2024 tillsynsbegäran mail.docx", "A 24085-2024")</f>
        <v/>
      </c>
    </row>
    <row r="68" ht="15" customHeight="1">
      <c r="A68" t="inlineStr">
        <is>
          <t>A 38086-2024</t>
        </is>
      </c>
      <c r="B68" s="1" t="n">
        <v>45545</v>
      </c>
      <c r="C68" s="1" t="n">
        <v>45911</v>
      </c>
      <c r="D68" t="inlineStr">
        <is>
          <t>GÄVLEBORGS LÄN</t>
        </is>
      </c>
      <c r="E68" t="inlineStr">
        <is>
          <t>OCKELBO</t>
        </is>
      </c>
      <c r="F68" t="inlineStr">
        <is>
          <t>Bergvik skog väst AB</t>
        </is>
      </c>
      <c r="G68" t="n">
        <v>17.2</v>
      </c>
      <c r="H68" t="n">
        <v>1</v>
      </c>
      <c r="I68" t="n">
        <v>1</v>
      </c>
      <c r="J68" t="n">
        <v>4</v>
      </c>
      <c r="K68" t="n">
        <v>0</v>
      </c>
      <c r="L68" t="n">
        <v>0</v>
      </c>
      <c r="M68" t="n">
        <v>0</v>
      </c>
      <c r="N68" t="n">
        <v>0</v>
      </c>
      <c r="O68" t="n">
        <v>4</v>
      </c>
      <c r="P68" t="n">
        <v>0</v>
      </c>
      <c r="Q68" t="n">
        <v>6</v>
      </c>
      <c r="R68" s="2" t="inlineStr">
        <is>
          <t>Blå taggsvamp
Skrovlig taggsvamp
Svartvit taggsvamp
Tallriska
Dropptaggsvamp
Revlummer</t>
        </is>
      </c>
      <c r="S68">
        <f>HYPERLINK("https://klasma.github.io/Logging_2101/artfynd/A 38086-2024 artfynd.xlsx", "A 38086-2024")</f>
        <v/>
      </c>
      <c r="T68">
        <f>HYPERLINK("https://klasma.github.io/Logging_2101/kartor/A 38086-2024 karta.png", "A 38086-2024")</f>
        <v/>
      </c>
      <c r="V68">
        <f>HYPERLINK("https://klasma.github.io/Logging_2101/klagomål/A 38086-2024 FSC-klagomål.docx", "A 38086-2024")</f>
        <v/>
      </c>
      <c r="W68">
        <f>HYPERLINK("https://klasma.github.io/Logging_2101/klagomålsmail/A 38086-2024 FSC-klagomål mail.docx", "A 38086-2024")</f>
        <v/>
      </c>
      <c r="X68">
        <f>HYPERLINK("https://klasma.github.io/Logging_2101/tillsyn/A 38086-2024 tillsynsbegäran.docx", "A 38086-2024")</f>
        <v/>
      </c>
      <c r="Y68">
        <f>HYPERLINK("https://klasma.github.io/Logging_2101/tillsynsmail/A 38086-2024 tillsynsbegäran mail.docx", "A 38086-2024")</f>
        <v/>
      </c>
    </row>
    <row r="69" ht="15" customHeight="1">
      <c r="A69" t="inlineStr">
        <is>
          <t>A 28859-2025</t>
        </is>
      </c>
      <c r="B69" s="1" t="n">
        <v>45820</v>
      </c>
      <c r="C69" s="1" t="n">
        <v>45911</v>
      </c>
      <c r="D69" t="inlineStr">
        <is>
          <t>GÄVLEBORGS LÄN</t>
        </is>
      </c>
      <c r="E69" t="inlineStr">
        <is>
          <t>LJUSDAL</t>
        </is>
      </c>
      <c r="F69" t="inlineStr">
        <is>
          <t>Bergvik skog väst AB</t>
        </is>
      </c>
      <c r="G69" t="n">
        <v>10.2</v>
      </c>
      <c r="H69" t="n">
        <v>4</v>
      </c>
      <c r="I69" t="n">
        <v>0</v>
      </c>
      <c r="J69" t="n">
        <v>4</v>
      </c>
      <c r="K69" t="n">
        <v>0</v>
      </c>
      <c r="L69" t="n">
        <v>0</v>
      </c>
      <c r="M69" t="n">
        <v>0</v>
      </c>
      <c r="N69" t="n">
        <v>0</v>
      </c>
      <c r="O69" t="n">
        <v>4</v>
      </c>
      <c r="P69" t="n">
        <v>0</v>
      </c>
      <c r="Q69" t="n">
        <v>6</v>
      </c>
      <c r="R69" s="2" t="inlineStr">
        <is>
          <t>Garnlav
Lunglav
Talltita
Tretåig hackspett
Kungsfågel
Tjäder</t>
        </is>
      </c>
      <c r="S69">
        <f>HYPERLINK("https://klasma.github.io/Logging_2161/artfynd/A 28859-2025 artfynd.xlsx", "A 28859-2025")</f>
        <v/>
      </c>
      <c r="T69">
        <f>HYPERLINK("https://klasma.github.io/Logging_2161/kartor/A 28859-2025 karta.png", "A 28859-2025")</f>
        <v/>
      </c>
      <c r="V69">
        <f>HYPERLINK("https://klasma.github.io/Logging_2161/klagomål/A 28859-2025 FSC-klagomål.docx", "A 28859-2025")</f>
        <v/>
      </c>
      <c r="W69">
        <f>HYPERLINK("https://klasma.github.io/Logging_2161/klagomålsmail/A 28859-2025 FSC-klagomål mail.docx", "A 28859-2025")</f>
        <v/>
      </c>
      <c r="X69">
        <f>HYPERLINK("https://klasma.github.io/Logging_2161/tillsyn/A 28859-2025 tillsynsbegäran.docx", "A 28859-2025")</f>
        <v/>
      </c>
      <c r="Y69">
        <f>HYPERLINK("https://klasma.github.io/Logging_2161/tillsynsmail/A 28859-2025 tillsynsbegäran mail.docx", "A 28859-2025")</f>
        <v/>
      </c>
      <c r="Z69">
        <f>HYPERLINK("https://klasma.github.io/Logging_2161/fåglar/A 28859-2025 prioriterade fågelarter.docx", "A 28859-2025")</f>
        <v/>
      </c>
    </row>
    <row r="70" ht="15" customHeight="1">
      <c r="A70" t="inlineStr">
        <is>
          <t>A 1101-2024</t>
        </is>
      </c>
      <c r="B70" s="1" t="n">
        <v>45302</v>
      </c>
      <c r="C70" s="1" t="n">
        <v>45911</v>
      </c>
      <c r="D70" t="inlineStr">
        <is>
          <t>GÄVLEBORGS LÄN</t>
        </is>
      </c>
      <c r="E70" t="inlineStr">
        <is>
          <t>GÄVLE</t>
        </is>
      </c>
      <c r="F70" t="inlineStr">
        <is>
          <t>Bergvik skog väst AB</t>
        </is>
      </c>
      <c r="G70" t="n">
        <v>6.5</v>
      </c>
      <c r="H70" t="n">
        <v>1</v>
      </c>
      <c r="I70" t="n">
        <v>1</v>
      </c>
      <c r="J70" t="n">
        <v>4</v>
      </c>
      <c r="K70" t="n">
        <v>0</v>
      </c>
      <c r="L70" t="n">
        <v>0</v>
      </c>
      <c r="M70" t="n">
        <v>0</v>
      </c>
      <c r="N70" t="n">
        <v>0</v>
      </c>
      <c r="O70" t="n">
        <v>4</v>
      </c>
      <c r="P70" t="n">
        <v>0</v>
      </c>
      <c r="Q70" t="n">
        <v>6</v>
      </c>
      <c r="R70" s="2" t="inlineStr">
        <is>
          <t>Blanksvart spiklav
Svartvit taggsvamp
Vedskivlav
Vedtrappmossa
Dropptaggsvamp
Vattenfladdermus</t>
        </is>
      </c>
      <c r="S70">
        <f>HYPERLINK("https://klasma.github.io/Logging_2180/artfynd/A 1101-2024 artfynd.xlsx", "A 1101-2024")</f>
        <v/>
      </c>
      <c r="T70">
        <f>HYPERLINK("https://klasma.github.io/Logging_2180/kartor/A 1101-2024 karta.png", "A 1101-2024")</f>
        <v/>
      </c>
      <c r="V70">
        <f>HYPERLINK("https://klasma.github.io/Logging_2180/klagomål/A 1101-2024 FSC-klagomål.docx", "A 1101-2024")</f>
        <v/>
      </c>
      <c r="W70">
        <f>HYPERLINK("https://klasma.github.io/Logging_2180/klagomålsmail/A 1101-2024 FSC-klagomål mail.docx", "A 1101-2024")</f>
        <v/>
      </c>
      <c r="X70">
        <f>HYPERLINK("https://klasma.github.io/Logging_2180/tillsyn/A 1101-2024 tillsynsbegäran.docx", "A 1101-2024")</f>
        <v/>
      </c>
      <c r="Y70">
        <f>HYPERLINK("https://klasma.github.io/Logging_2180/tillsynsmail/A 1101-2024 tillsynsbegäran mail.docx", "A 1101-2024")</f>
        <v/>
      </c>
    </row>
    <row r="71" ht="15" customHeight="1">
      <c r="A71" t="inlineStr">
        <is>
          <t>A 31182-2025</t>
        </is>
      </c>
      <c r="B71" s="1" t="n">
        <v>45832.67755787037</v>
      </c>
      <c r="C71" s="1" t="n">
        <v>45911</v>
      </c>
      <c r="D71" t="inlineStr">
        <is>
          <t>GÄVLEBORGS LÄN</t>
        </is>
      </c>
      <c r="E71" t="inlineStr">
        <is>
          <t>LJUSDAL</t>
        </is>
      </c>
      <c r="F71" t="inlineStr">
        <is>
          <t>SCA</t>
        </is>
      </c>
      <c r="G71" t="n">
        <v>3.4</v>
      </c>
      <c r="H71" t="n">
        <v>1</v>
      </c>
      <c r="I71" t="n">
        <v>1</v>
      </c>
      <c r="J71" t="n">
        <v>4</v>
      </c>
      <c r="K71" t="n">
        <v>1</v>
      </c>
      <c r="L71" t="n">
        <v>0</v>
      </c>
      <c r="M71" t="n">
        <v>0</v>
      </c>
      <c r="N71" t="n">
        <v>0</v>
      </c>
      <c r="O71" t="n">
        <v>5</v>
      </c>
      <c r="P71" t="n">
        <v>1</v>
      </c>
      <c r="Q71" t="n">
        <v>6</v>
      </c>
      <c r="R71" s="2" t="inlineStr">
        <is>
          <t>Knärot
Garnlav
Kolflarnlav
Mörk kolflarnlav
Violettgrå tagellav
Norrlandslav</t>
        </is>
      </c>
      <c r="S71">
        <f>HYPERLINK("https://klasma.github.io/Logging_2161/artfynd/A 31182-2025 artfynd.xlsx", "A 31182-2025")</f>
        <v/>
      </c>
      <c r="T71">
        <f>HYPERLINK("https://klasma.github.io/Logging_2161/kartor/A 31182-2025 karta.png", "A 31182-2025")</f>
        <v/>
      </c>
      <c r="U71">
        <f>HYPERLINK("https://klasma.github.io/Logging_2161/knärot/A 31182-2025 karta knärot.png", "A 31182-2025")</f>
        <v/>
      </c>
      <c r="V71">
        <f>HYPERLINK("https://klasma.github.io/Logging_2161/klagomål/A 31182-2025 FSC-klagomål.docx", "A 31182-2025")</f>
        <v/>
      </c>
      <c r="W71">
        <f>HYPERLINK("https://klasma.github.io/Logging_2161/klagomålsmail/A 31182-2025 FSC-klagomål mail.docx", "A 31182-2025")</f>
        <v/>
      </c>
      <c r="X71">
        <f>HYPERLINK("https://klasma.github.io/Logging_2161/tillsyn/A 31182-2025 tillsynsbegäran.docx", "A 31182-2025")</f>
        <v/>
      </c>
      <c r="Y71">
        <f>HYPERLINK("https://klasma.github.io/Logging_2161/tillsynsmail/A 31182-2025 tillsynsbegäran mail.docx", "A 31182-2025")</f>
        <v/>
      </c>
    </row>
    <row r="72" ht="15" customHeight="1">
      <c r="A72" t="inlineStr">
        <is>
          <t>A 18705-2022</t>
        </is>
      </c>
      <c r="B72" s="1" t="n">
        <v>44687</v>
      </c>
      <c r="C72" s="1" t="n">
        <v>45911</v>
      </c>
      <c r="D72" t="inlineStr">
        <is>
          <t>GÄVLEBORGS LÄN</t>
        </is>
      </c>
      <c r="E72" t="inlineStr">
        <is>
          <t>LJUSDAL</t>
        </is>
      </c>
      <c r="F72" t="inlineStr">
        <is>
          <t>Bergvik skog väst AB</t>
        </is>
      </c>
      <c r="G72" t="n">
        <v>3.3</v>
      </c>
      <c r="H72" t="n">
        <v>2</v>
      </c>
      <c r="I72" t="n">
        <v>2</v>
      </c>
      <c r="J72" t="n">
        <v>3</v>
      </c>
      <c r="K72" t="n">
        <v>1</v>
      </c>
      <c r="L72" t="n">
        <v>0</v>
      </c>
      <c r="M72" t="n">
        <v>0</v>
      </c>
      <c r="N72" t="n">
        <v>0</v>
      </c>
      <c r="O72" t="n">
        <v>4</v>
      </c>
      <c r="P72" t="n">
        <v>1</v>
      </c>
      <c r="Q72" t="n">
        <v>6</v>
      </c>
      <c r="R72" s="2" t="inlineStr">
        <is>
          <t>Doftticka
Garnlav
Lunglav
Tretåig hackspett
Skinnlav
Stuplav</t>
        </is>
      </c>
      <c r="S72">
        <f>HYPERLINK("https://klasma.github.io/Logging_2161/artfynd/A 18705-2022 artfynd.xlsx", "A 18705-2022")</f>
        <v/>
      </c>
      <c r="T72">
        <f>HYPERLINK("https://klasma.github.io/Logging_2161/kartor/A 18705-2022 karta.png", "A 18705-2022")</f>
        <v/>
      </c>
      <c r="U72">
        <f>HYPERLINK("https://klasma.github.io/Logging_2161/knärot/A 18705-2022 karta knärot.png", "A 18705-2022")</f>
        <v/>
      </c>
      <c r="V72">
        <f>HYPERLINK("https://klasma.github.io/Logging_2161/klagomål/A 18705-2022 FSC-klagomål.docx", "A 18705-2022")</f>
        <v/>
      </c>
      <c r="W72">
        <f>HYPERLINK("https://klasma.github.io/Logging_2161/klagomålsmail/A 18705-2022 FSC-klagomål mail.docx", "A 18705-2022")</f>
        <v/>
      </c>
      <c r="X72">
        <f>HYPERLINK("https://klasma.github.io/Logging_2161/tillsyn/A 18705-2022 tillsynsbegäran.docx", "A 18705-2022")</f>
        <v/>
      </c>
      <c r="Y72">
        <f>HYPERLINK("https://klasma.github.io/Logging_2161/tillsynsmail/A 18705-2022 tillsynsbegäran mail.docx", "A 18705-2022")</f>
        <v/>
      </c>
      <c r="Z72">
        <f>HYPERLINK("https://klasma.github.io/Logging_2161/fåglar/A 18705-2022 prioriterade fågelarter.docx", "A 18705-2022")</f>
        <v/>
      </c>
    </row>
    <row r="73" ht="15" customHeight="1">
      <c r="A73" t="inlineStr">
        <is>
          <t>A 32579-2025</t>
        </is>
      </c>
      <c r="B73" s="1" t="n">
        <v>45838.59387731482</v>
      </c>
      <c r="C73" s="1" t="n">
        <v>45911</v>
      </c>
      <c r="D73" t="inlineStr">
        <is>
          <t>GÄVLEBORGS LÄN</t>
        </is>
      </c>
      <c r="E73" t="inlineStr">
        <is>
          <t>LJUSDAL</t>
        </is>
      </c>
      <c r="F73" t="inlineStr">
        <is>
          <t>Bergvik skog väst AB</t>
        </is>
      </c>
      <c r="G73" t="n">
        <v>10.5</v>
      </c>
      <c r="H73" t="n">
        <v>3</v>
      </c>
      <c r="I73" t="n">
        <v>3</v>
      </c>
      <c r="J73" t="n">
        <v>3</v>
      </c>
      <c r="K73" t="n">
        <v>0</v>
      </c>
      <c r="L73" t="n">
        <v>0</v>
      </c>
      <c r="M73" t="n">
        <v>0</v>
      </c>
      <c r="N73" t="n">
        <v>0</v>
      </c>
      <c r="O73" t="n">
        <v>3</v>
      </c>
      <c r="P73" t="n">
        <v>0</v>
      </c>
      <c r="Q73" t="n">
        <v>6</v>
      </c>
      <c r="R73" s="2" t="inlineStr">
        <is>
          <t>Lunglav
Skrovellav
Talltita
Plattlummer
Spindelblomster
Tibast</t>
        </is>
      </c>
      <c r="S73">
        <f>HYPERLINK("https://klasma.github.io/Logging_2161/artfynd/A 32579-2025 artfynd.xlsx", "A 32579-2025")</f>
        <v/>
      </c>
      <c r="T73">
        <f>HYPERLINK("https://klasma.github.io/Logging_2161/kartor/A 32579-2025 karta.png", "A 32579-2025")</f>
        <v/>
      </c>
      <c r="V73">
        <f>HYPERLINK("https://klasma.github.io/Logging_2161/klagomål/A 32579-2025 FSC-klagomål.docx", "A 32579-2025")</f>
        <v/>
      </c>
      <c r="W73">
        <f>HYPERLINK("https://klasma.github.io/Logging_2161/klagomålsmail/A 32579-2025 FSC-klagomål mail.docx", "A 32579-2025")</f>
        <v/>
      </c>
      <c r="X73">
        <f>HYPERLINK("https://klasma.github.io/Logging_2161/tillsyn/A 32579-2025 tillsynsbegäran.docx", "A 32579-2025")</f>
        <v/>
      </c>
      <c r="Y73">
        <f>HYPERLINK("https://klasma.github.io/Logging_2161/tillsynsmail/A 32579-2025 tillsynsbegäran mail.docx", "A 32579-2025")</f>
        <v/>
      </c>
      <c r="Z73">
        <f>HYPERLINK("https://klasma.github.io/Logging_2161/fåglar/A 32579-2025 prioriterade fågelarter.docx", "A 32579-2025")</f>
        <v/>
      </c>
    </row>
    <row r="74" ht="15" customHeight="1">
      <c r="A74" t="inlineStr">
        <is>
          <t>A 32574-2025</t>
        </is>
      </c>
      <c r="B74" s="1" t="n">
        <v>45838.58512731481</v>
      </c>
      <c r="C74" s="1" t="n">
        <v>45911</v>
      </c>
      <c r="D74" t="inlineStr">
        <is>
          <t>GÄVLEBORGS LÄN</t>
        </is>
      </c>
      <c r="E74" t="inlineStr">
        <is>
          <t>LJUSDAL</t>
        </is>
      </c>
      <c r="F74" t="inlineStr">
        <is>
          <t>Bergvik skog väst AB</t>
        </is>
      </c>
      <c r="G74" t="n">
        <v>8.6</v>
      </c>
      <c r="H74" t="n">
        <v>3</v>
      </c>
      <c r="I74" t="n">
        <v>0</v>
      </c>
      <c r="J74" t="n">
        <v>4</v>
      </c>
      <c r="K74" t="n">
        <v>0</v>
      </c>
      <c r="L74" t="n">
        <v>0</v>
      </c>
      <c r="M74" t="n">
        <v>0</v>
      </c>
      <c r="N74" t="n">
        <v>0</v>
      </c>
      <c r="O74" t="n">
        <v>4</v>
      </c>
      <c r="P74" t="n">
        <v>0</v>
      </c>
      <c r="Q74" t="n">
        <v>6</v>
      </c>
      <c r="R74" s="2" t="inlineStr">
        <is>
          <t>Garnlav
Kolflarnlav
Mörk kolflarnlav
Talltita
Grönsiska
Fläcknycklar</t>
        </is>
      </c>
      <c r="S74">
        <f>HYPERLINK("https://klasma.github.io/Logging_2161/artfynd/A 32574-2025 artfynd.xlsx", "A 32574-2025")</f>
        <v/>
      </c>
      <c r="T74">
        <f>HYPERLINK("https://klasma.github.io/Logging_2161/kartor/A 32574-2025 karta.png", "A 32574-2025")</f>
        <v/>
      </c>
      <c r="V74">
        <f>HYPERLINK("https://klasma.github.io/Logging_2161/klagomål/A 32574-2025 FSC-klagomål.docx", "A 32574-2025")</f>
        <v/>
      </c>
      <c r="W74">
        <f>HYPERLINK("https://klasma.github.io/Logging_2161/klagomålsmail/A 32574-2025 FSC-klagomål mail.docx", "A 32574-2025")</f>
        <v/>
      </c>
      <c r="X74">
        <f>HYPERLINK("https://klasma.github.io/Logging_2161/tillsyn/A 32574-2025 tillsynsbegäran.docx", "A 32574-2025")</f>
        <v/>
      </c>
      <c r="Y74">
        <f>HYPERLINK("https://klasma.github.io/Logging_2161/tillsynsmail/A 32574-2025 tillsynsbegäran mail.docx", "A 32574-2025")</f>
        <v/>
      </c>
      <c r="Z74">
        <f>HYPERLINK("https://klasma.github.io/Logging_2161/fåglar/A 32574-2025 prioriterade fågelarter.docx", "A 32574-2025")</f>
        <v/>
      </c>
    </row>
    <row r="75" ht="15" customHeight="1">
      <c r="A75" t="inlineStr">
        <is>
          <t>A 34286-2025</t>
        </is>
      </c>
      <c r="B75" s="1" t="n">
        <v>45846</v>
      </c>
      <c r="C75" s="1" t="n">
        <v>45911</v>
      </c>
      <c r="D75" t="inlineStr">
        <is>
          <t>GÄVLEBORGS LÄN</t>
        </is>
      </c>
      <c r="E75" t="inlineStr">
        <is>
          <t>LJUSDAL</t>
        </is>
      </c>
      <c r="F75" t="inlineStr">
        <is>
          <t>Bergvik skog väst AB</t>
        </is>
      </c>
      <c r="G75" t="n">
        <v>9.5</v>
      </c>
      <c r="H75" t="n">
        <v>0</v>
      </c>
      <c r="I75" t="n">
        <v>1</v>
      </c>
      <c r="J75" t="n">
        <v>5</v>
      </c>
      <c r="K75" t="n">
        <v>0</v>
      </c>
      <c r="L75" t="n">
        <v>0</v>
      </c>
      <c r="M75" t="n">
        <v>0</v>
      </c>
      <c r="N75" t="n">
        <v>0</v>
      </c>
      <c r="O75" t="n">
        <v>5</v>
      </c>
      <c r="P75" t="n">
        <v>0</v>
      </c>
      <c r="Q75" t="n">
        <v>6</v>
      </c>
      <c r="R75" s="2" t="inlineStr">
        <is>
          <t>Garnlav
Kolflarnlav
Kortskaftad ärgspik
Lunglav
Vedskivlav
Stuplav</t>
        </is>
      </c>
      <c r="S75">
        <f>HYPERLINK("https://klasma.github.io/Logging_2161/artfynd/A 34286-2025 artfynd.xlsx", "A 34286-2025")</f>
        <v/>
      </c>
      <c r="T75">
        <f>HYPERLINK("https://klasma.github.io/Logging_2161/kartor/A 34286-2025 karta.png", "A 34286-2025")</f>
        <v/>
      </c>
      <c r="V75">
        <f>HYPERLINK("https://klasma.github.io/Logging_2161/klagomål/A 34286-2025 FSC-klagomål.docx", "A 34286-2025")</f>
        <v/>
      </c>
      <c r="W75">
        <f>HYPERLINK("https://klasma.github.io/Logging_2161/klagomålsmail/A 34286-2025 FSC-klagomål mail.docx", "A 34286-2025")</f>
        <v/>
      </c>
      <c r="X75">
        <f>HYPERLINK("https://klasma.github.io/Logging_2161/tillsyn/A 34286-2025 tillsynsbegäran.docx", "A 34286-2025")</f>
        <v/>
      </c>
      <c r="Y75">
        <f>HYPERLINK("https://klasma.github.io/Logging_2161/tillsynsmail/A 34286-2025 tillsynsbegäran mail.docx", "A 34286-2025")</f>
        <v/>
      </c>
    </row>
    <row r="76" ht="15" customHeight="1">
      <c r="A76" t="inlineStr">
        <is>
          <t>A 15765-2025</t>
        </is>
      </c>
      <c r="B76" s="1" t="n">
        <v>45748.58319444444</v>
      </c>
      <c r="C76" s="1" t="n">
        <v>45911</v>
      </c>
      <c r="D76" t="inlineStr">
        <is>
          <t>GÄVLEBORGS LÄN</t>
        </is>
      </c>
      <c r="E76" t="inlineStr">
        <is>
          <t>SÖDERHAMN</t>
        </is>
      </c>
      <c r="G76" t="n">
        <v>37.6</v>
      </c>
      <c r="H76" t="n">
        <v>3</v>
      </c>
      <c r="I76" t="n">
        <v>2</v>
      </c>
      <c r="J76" t="n">
        <v>1</v>
      </c>
      <c r="K76" t="n">
        <v>1</v>
      </c>
      <c r="L76" t="n">
        <v>0</v>
      </c>
      <c r="M76" t="n">
        <v>0</v>
      </c>
      <c r="N76" t="n">
        <v>0</v>
      </c>
      <c r="O76" t="n">
        <v>2</v>
      </c>
      <c r="P76" t="n">
        <v>1</v>
      </c>
      <c r="Q76" t="n">
        <v>6</v>
      </c>
      <c r="R76" s="2" t="inlineStr">
        <is>
          <t>Knärot
Kortskaftad ärgspik
Sårläka
Vårärt
Nattviol
Blåsippa</t>
        </is>
      </c>
      <c r="S76">
        <f>HYPERLINK("https://klasma.github.io/Logging_2182/artfynd/A 15765-2025 artfynd.xlsx", "A 15765-2025")</f>
        <v/>
      </c>
      <c r="T76">
        <f>HYPERLINK("https://klasma.github.io/Logging_2182/kartor/A 15765-2025 karta.png", "A 15765-2025")</f>
        <v/>
      </c>
      <c r="U76">
        <f>HYPERLINK("https://klasma.github.io/Logging_2182/knärot/A 15765-2025 karta knärot.png", "A 15765-2025")</f>
        <v/>
      </c>
      <c r="V76">
        <f>HYPERLINK("https://klasma.github.io/Logging_2182/klagomål/A 15765-2025 FSC-klagomål.docx", "A 15765-2025")</f>
        <v/>
      </c>
      <c r="W76">
        <f>HYPERLINK("https://klasma.github.io/Logging_2182/klagomålsmail/A 15765-2025 FSC-klagomål mail.docx", "A 15765-2025")</f>
        <v/>
      </c>
      <c r="X76">
        <f>HYPERLINK("https://klasma.github.io/Logging_2182/tillsyn/A 15765-2025 tillsynsbegäran.docx", "A 15765-2025")</f>
        <v/>
      </c>
      <c r="Y76">
        <f>HYPERLINK("https://klasma.github.io/Logging_2182/tillsynsmail/A 15765-2025 tillsynsbegäran mail.docx", "A 15765-2025")</f>
        <v/>
      </c>
    </row>
    <row r="77" ht="15" customHeight="1">
      <c r="A77" t="inlineStr">
        <is>
          <t>A 35605-2025</t>
        </is>
      </c>
      <c r="B77" s="1" t="n">
        <v>45859.32651620371</v>
      </c>
      <c r="C77" s="1" t="n">
        <v>45911</v>
      </c>
      <c r="D77" t="inlineStr">
        <is>
          <t>GÄVLEBORGS LÄN</t>
        </is>
      </c>
      <c r="E77" t="inlineStr">
        <is>
          <t>LJUSDAL</t>
        </is>
      </c>
      <c r="F77" t="inlineStr">
        <is>
          <t>Bergvik skog väst AB</t>
        </is>
      </c>
      <c r="G77" t="n">
        <v>3.1</v>
      </c>
      <c r="H77" t="n">
        <v>3</v>
      </c>
      <c r="I77" t="n">
        <v>1</v>
      </c>
      <c r="J77" t="n">
        <v>3</v>
      </c>
      <c r="K77" t="n">
        <v>1</v>
      </c>
      <c r="L77" t="n">
        <v>0</v>
      </c>
      <c r="M77" t="n">
        <v>0</v>
      </c>
      <c r="N77" t="n">
        <v>0</v>
      </c>
      <c r="O77" t="n">
        <v>4</v>
      </c>
      <c r="P77" t="n">
        <v>1</v>
      </c>
      <c r="Q77" t="n">
        <v>6</v>
      </c>
      <c r="R77" s="2" t="inlineStr">
        <is>
          <t>Knärot
Lunglav
Spillkråka
Vitgrynig nållav
Skinnlav
Nattviol</t>
        </is>
      </c>
      <c r="S77">
        <f>HYPERLINK("https://klasma.github.io/Logging_2161/artfynd/A 35605-2025 artfynd.xlsx", "A 35605-2025")</f>
        <v/>
      </c>
      <c r="T77">
        <f>HYPERLINK("https://klasma.github.io/Logging_2161/kartor/A 35605-2025 karta.png", "A 35605-2025")</f>
        <v/>
      </c>
      <c r="U77">
        <f>HYPERLINK("https://klasma.github.io/Logging_2161/knärot/A 35605-2025 karta knärot.png", "A 35605-2025")</f>
        <v/>
      </c>
      <c r="V77">
        <f>HYPERLINK("https://klasma.github.io/Logging_2161/klagomål/A 35605-2025 FSC-klagomål.docx", "A 35605-2025")</f>
        <v/>
      </c>
      <c r="W77">
        <f>HYPERLINK("https://klasma.github.io/Logging_2161/klagomålsmail/A 35605-2025 FSC-klagomål mail.docx", "A 35605-2025")</f>
        <v/>
      </c>
      <c r="X77">
        <f>HYPERLINK("https://klasma.github.io/Logging_2161/tillsyn/A 35605-2025 tillsynsbegäran.docx", "A 35605-2025")</f>
        <v/>
      </c>
      <c r="Y77">
        <f>HYPERLINK("https://klasma.github.io/Logging_2161/tillsynsmail/A 35605-2025 tillsynsbegäran mail.docx", "A 35605-2025")</f>
        <v/>
      </c>
      <c r="Z77">
        <f>HYPERLINK("https://klasma.github.io/Logging_2161/fåglar/A 35605-2025 prioriterade fågelarter.docx", "A 35605-2025")</f>
        <v/>
      </c>
    </row>
    <row r="78" ht="15" customHeight="1">
      <c r="A78" t="inlineStr">
        <is>
          <t>A 32783-2022</t>
        </is>
      </c>
      <c r="B78" s="1" t="n">
        <v>44784</v>
      </c>
      <c r="C78" s="1" t="n">
        <v>45911</v>
      </c>
      <c r="D78" t="inlineStr">
        <is>
          <t>GÄVLEBORGS LÄN</t>
        </is>
      </c>
      <c r="E78" t="inlineStr">
        <is>
          <t>LJUSDAL</t>
        </is>
      </c>
      <c r="F78" t="inlineStr">
        <is>
          <t>Sveaskog</t>
        </is>
      </c>
      <c r="G78" t="n">
        <v>12.7</v>
      </c>
      <c r="H78" t="n">
        <v>0</v>
      </c>
      <c r="I78" t="n">
        <v>2</v>
      </c>
      <c r="J78" t="n">
        <v>4</v>
      </c>
      <c r="K78" t="n">
        <v>0</v>
      </c>
      <c r="L78" t="n">
        <v>0</v>
      </c>
      <c r="M78" t="n">
        <v>0</v>
      </c>
      <c r="N78" t="n">
        <v>0</v>
      </c>
      <c r="O78" t="n">
        <v>4</v>
      </c>
      <c r="P78" t="n">
        <v>0</v>
      </c>
      <c r="Q78" t="n">
        <v>6</v>
      </c>
      <c r="R78" s="2" t="inlineStr">
        <is>
          <t>Dvärgbägarlav
Garnlav
Kolflarnlav
Mörk kolflarnlav
Dropptaggsvamp
Skarp dropptaggsvamp</t>
        </is>
      </c>
      <c r="S78">
        <f>HYPERLINK("https://klasma.github.io/Logging_2161/artfynd/A 32783-2022 artfynd.xlsx", "A 32783-2022")</f>
        <v/>
      </c>
      <c r="T78">
        <f>HYPERLINK("https://klasma.github.io/Logging_2161/kartor/A 32783-2022 karta.png", "A 32783-2022")</f>
        <v/>
      </c>
      <c r="V78">
        <f>HYPERLINK("https://klasma.github.io/Logging_2161/klagomål/A 32783-2022 FSC-klagomål.docx", "A 32783-2022")</f>
        <v/>
      </c>
      <c r="W78">
        <f>HYPERLINK("https://klasma.github.io/Logging_2161/klagomålsmail/A 32783-2022 FSC-klagomål mail.docx", "A 32783-2022")</f>
        <v/>
      </c>
      <c r="X78">
        <f>HYPERLINK("https://klasma.github.io/Logging_2161/tillsyn/A 32783-2022 tillsynsbegäran.docx", "A 32783-2022")</f>
        <v/>
      </c>
      <c r="Y78">
        <f>HYPERLINK("https://klasma.github.io/Logging_2161/tillsynsmail/A 32783-2022 tillsynsbegäran mail.docx", "A 32783-2022")</f>
        <v/>
      </c>
    </row>
    <row r="79" ht="15" customHeight="1">
      <c r="A79" t="inlineStr">
        <is>
          <t>A 19432-2025</t>
        </is>
      </c>
      <c r="B79" s="1" t="n">
        <v>45769.82990740741</v>
      </c>
      <c r="C79" s="1" t="n">
        <v>45911</v>
      </c>
      <c r="D79" t="inlineStr">
        <is>
          <t>GÄVLEBORGS LÄN</t>
        </is>
      </c>
      <c r="E79" t="inlineStr">
        <is>
          <t>HUDIKSVALL</t>
        </is>
      </c>
      <c r="F79" t="inlineStr">
        <is>
          <t>Holmen skog AB</t>
        </is>
      </c>
      <c r="G79" t="n">
        <v>10.4</v>
      </c>
      <c r="H79" t="n">
        <v>1</v>
      </c>
      <c r="I79" t="n">
        <v>4</v>
      </c>
      <c r="J79" t="n">
        <v>1</v>
      </c>
      <c r="K79" t="n">
        <v>0</v>
      </c>
      <c r="L79" t="n">
        <v>0</v>
      </c>
      <c r="M79" t="n">
        <v>0</v>
      </c>
      <c r="N79" t="n">
        <v>0</v>
      </c>
      <c r="O79" t="n">
        <v>1</v>
      </c>
      <c r="P79" t="n">
        <v>0</v>
      </c>
      <c r="Q79" t="n">
        <v>6</v>
      </c>
      <c r="R79" s="2" t="inlineStr">
        <is>
          <t>Myskmåra
Strutbräken
Svart trolldruva
Tibast
Underviol
Blåsippa</t>
        </is>
      </c>
      <c r="S79">
        <f>HYPERLINK("https://klasma.github.io/Logging_2184/artfynd/A 19432-2025 artfynd.xlsx", "A 19432-2025")</f>
        <v/>
      </c>
      <c r="T79">
        <f>HYPERLINK("https://klasma.github.io/Logging_2184/kartor/A 19432-2025 karta.png", "A 19432-2025")</f>
        <v/>
      </c>
      <c r="V79">
        <f>HYPERLINK("https://klasma.github.io/Logging_2184/klagomål/A 19432-2025 FSC-klagomål.docx", "A 19432-2025")</f>
        <v/>
      </c>
      <c r="W79">
        <f>HYPERLINK("https://klasma.github.io/Logging_2184/klagomålsmail/A 19432-2025 FSC-klagomål mail.docx", "A 19432-2025")</f>
        <v/>
      </c>
      <c r="X79">
        <f>HYPERLINK("https://klasma.github.io/Logging_2184/tillsyn/A 19432-2025 tillsynsbegäran.docx", "A 19432-2025")</f>
        <v/>
      </c>
      <c r="Y79">
        <f>HYPERLINK("https://klasma.github.io/Logging_2184/tillsynsmail/A 19432-2025 tillsynsbegäran mail.docx", "A 19432-2025")</f>
        <v/>
      </c>
    </row>
    <row r="80" ht="15" customHeight="1">
      <c r="A80" t="inlineStr">
        <is>
          <t>A 31524-2022</t>
        </is>
      </c>
      <c r="B80" s="1" t="n">
        <v>44775</v>
      </c>
      <c r="C80" s="1" t="n">
        <v>45911</v>
      </c>
      <c r="D80" t="inlineStr">
        <is>
          <t>GÄVLEBORGS LÄN</t>
        </is>
      </c>
      <c r="E80" t="inlineStr">
        <is>
          <t>LJUSDAL</t>
        </is>
      </c>
      <c r="F80" t="inlineStr">
        <is>
          <t>Sveaskog</t>
        </is>
      </c>
      <c r="G80" t="n">
        <v>38.6</v>
      </c>
      <c r="H80" t="n">
        <v>2</v>
      </c>
      <c r="I80" t="n">
        <v>2</v>
      </c>
      <c r="J80" t="n">
        <v>2</v>
      </c>
      <c r="K80" t="n">
        <v>0</v>
      </c>
      <c r="L80" t="n">
        <v>0</v>
      </c>
      <c r="M80" t="n">
        <v>0</v>
      </c>
      <c r="N80" t="n">
        <v>0</v>
      </c>
      <c r="O80" t="n">
        <v>2</v>
      </c>
      <c r="P80" t="n">
        <v>0</v>
      </c>
      <c r="Q80" t="n">
        <v>5</v>
      </c>
      <c r="R80" s="2" t="inlineStr">
        <is>
          <t>Garnlav
Gränsticka
Korallrot
Källmossa
Fläcknycklar</t>
        </is>
      </c>
      <c r="S80">
        <f>HYPERLINK("https://klasma.github.io/Logging_2161/artfynd/A 31524-2022 artfynd.xlsx", "A 31524-2022")</f>
        <v/>
      </c>
      <c r="T80">
        <f>HYPERLINK("https://klasma.github.io/Logging_2161/kartor/A 31524-2022 karta.png", "A 31524-2022")</f>
        <v/>
      </c>
      <c r="V80">
        <f>HYPERLINK("https://klasma.github.io/Logging_2161/klagomål/A 31524-2022 FSC-klagomål.docx", "A 31524-2022")</f>
        <v/>
      </c>
      <c r="W80">
        <f>HYPERLINK("https://klasma.github.io/Logging_2161/klagomålsmail/A 31524-2022 FSC-klagomål mail.docx", "A 31524-2022")</f>
        <v/>
      </c>
      <c r="X80">
        <f>HYPERLINK("https://klasma.github.io/Logging_2161/tillsyn/A 31524-2022 tillsynsbegäran.docx", "A 31524-2022")</f>
        <v/>
      </c>
      <c r="Y80">
        <f>HYPERLINK("https://klasma.github.io/Logging_2161/tillsynsmail/A 31524-2022 tillsynsbegäran mail.docx", "A 31524-2022")</f>
        <v/>
      </c>
    </row>
    <row r="81" ht="15" customHeight="1">
      <c r="A81" t="inlineStr">
        <is>
          <t>A 49036-2021</t>
        </is>
      </c>
      <c r="B81" s="1" t="n">
        <v>44453</v>
      </c>
      <c r="C81" s="1" t="n">
        <v>45911</v>
      </c>
      <c r="D81" t="inlineStr">
        <is>
          <t>GÄVLEBORGS LÄN</t>
        </is>
      </c>
      <c r="E81" t="inlineStr">
        <is>
          <t>HUDIKSVALL</t>
        </is>
      </c>
      <c r="G81" t="n">
        <v>11.7</v>
      </c>
      <c r="H81" t="n">
        <v>0</v>
      </c>
      <c r="I81" t="n">
        <v>2</v>
      </c>
      <c r="J81" t="n">
        <v>3</v>
      </c>
      <c r="K81" t="n">
        <v>0</v>
      </c>
      <c r="L81" t="n">
        <v>0</v>
      </c>
      <c r="M81" t="n">
        <v>0</v>
      </c>
      <c r="N81" t="n">
        <v>0</v>
      </c>
      <c r="O81" t="n">
        <v>3</v>
      </c>
      <c r="P81" t="n">
        <v>0</v>
      </c>
      <c r="Q81" t="n">
        <v>5</v>
      </c>
      <c r="R81" s="2" t="inlineStr">
        <is>
          <t>Granticka
Ullticka
Violettgrå tagellav
Kattfotslav
Vedticka</t>
        </is>
      </c>
      <c r="S81">
        <f>HYPERLINK("https://klasma.github.io/Logging_2184/artfynd/A 49036-2021 artfynd.xlsx", "A 49036-2021")</f>
        <v/>
      </c>
      <c r="T81">
        <f>HYPERLINK("https://klasma.github.io/Logging_2184/kartor/A 49036-2021 karta.png", "A 49036-2021")</f>
        <v/>
      </c>
      <c r="V81">
        <f>HYPERLINK("https://klasma.github.io/Logging_2184/klagomål/A 49036-2021 FSC-klagomål.docx", "A 49036-2021")</f>
        <v/>
      </c>
      <c r="W81">
        <f>HYPERLINK("https://klasma.github.io/Logging_2184/klagomålsmail/A 49036-2021 FSC-klagomål mail.docx", "A 49036-2021")</f>
        <v/>
      </c>
      <c r="X81">
        <f>HYPERLINK("https://klasma.github.io/Logging_2184/tillsyn/A 49036-2021 tillsynsbegäran.docx", "A 49036-2021")</f>
        <v/>
      </c>
      <c r="Y81">
        <f>HYPERLINK("https://klasma.github.io/Logging_2184/tillsynsmail/A 49036-2021 tillsynsbegäran mail.docx", "A 49036-2021")</f>
        <v/>
      </c>
    </row>
    <row r="82" ht="15" customHeight="1">
      <c r="A82" t="inlineStr">
        <is>
          <t>A 7229-2022</t>
        </is>
      </c>
      <c r="B82" s="1" t="n">
        <v>44606</v>
      </c>
      <c r="C82" s="1" t="n">
        <v>45911</v>
      </c>
      <c r="D82" t="inlineStr">
        <is>
          <t>GÄVLEBORGS LÄN</t>
        </is>
      </c>
      <c r="E82" t="inlineStr">
        <is>
          <t>HUDIKSVALL</t>
        </is>
      </c>
      <c r="F82" t="inlineStr">
        <is>
          <t>Holmen skog AB</t>
        </is>
      </c>
      <c r="G82" t="n">
        <v>1.4</v>
      </c>
      <c r="H82" t="n">
        <v>1</v>
      </c>
      <c r="I82" t="n">
        <v>2</v>
      </c>
      <c r="J82" t="n">
        <v>2</v>
      </c>
      <c r="K82" t="n">
        <v>0</v>
      </c>
      <c r="L82" t="n">
        <v>0</v>
      </c>
      <c r="M82" t="n">
        <v>0</v>
      </c>
      <c r="N82" t="n">
        <v>0</v>
      </c>
      <c r="O82" t="n">
        <v>2</v>
      </c>
      <c r="P82" t="n">
        <v>0</v>
      </c>
      <c r="Q82" t="n">
        <v>5</v>
      </c>
      <c r="R82" s="2" t="inlineStr">
        <is>
          <t>Ullticka
Violettgrå tagellav
Bronshjon
Vedticka
Revlummer</t>
        </is>
      </c>
      <c r="S82">
        <f>HYPERLINK("https://klasma.github.io/Logging_2184/artfynd/A 7229-2022 artfynd.xlsx", "A 7229-2022")</f>
        <v/>
      </c>
      <c r="T82">
        <f>HYPERLINK("https://klasma.github.io/Logging_2184/kartor/A 7229-2022 karta.png", "A 7229-2022")</f>
        <v/>
      </c>
      <c r="V82">
        <f>HYPERLINK("https://klasma.github.io/Logging_2184/klagomål/A 7229-2022 FSC-klagomål.docx", "A 7229-2022")</f>
        <v/>
      </c>
      <c r="W82">
        <f>HYPERLINK("https://klasma.github.io/Logging_2184/klagomålsmail/A 7229-2022 FSC-klagomål mail.docx", "A 7229-2022")</f>
        <v/>
      </c>
      <c r="X82">
        <f>HYPERLINK("https://klasma.github.io/Logging_2184/tillsyn/A 7229-2022 tillsynsbegäran.docx", "A 7229-2022")</f>
        <v/>
      </c>
      <c r="Y82">
        <f>HYPERLINK("https://klasma.github.io/Logging_2184/tillsynsmail/A 7229-2022 tillsynsbegäran mail.docx", "A 7229-2022")</f>
        <v/>
      </c>
    </row>
    <row r="83" ht="15" customHeight="1">
      <c r="A83" t="inlineStr">
        <is>
          <t>A 51955-2023</t>
        </is>
      </c>
      <c r="B83" s="1" t="n">
        <v>45223.53979166667</v>
      </c>
      <c r="C83" s="1" t="n">
        <v>45911</v>
      </c>
      <c r="D83" t="inlineStr">
        <is>
          <t>GÄVLEBORGS LÄN</t>
        </is>
      </c>
      <c r="E83" t="inlineStr">
        <is>
          <t>LJUSDAL</t>
        </is>
      </c>
      <c r="F83" t="inlineStr">
        <is>
          <t>Sveaskog</t>
        </is>
      </c>
      <c r="G83" t="n">
        <v>33.5</v>
      </c>
      <c r="H83" t="n">
        <v>0</v>
      </c>
      <c r="I83" t="n">
        <v>1</v>
      </c>
      <c r="J83" t="n">
        <v>3</v>
      </c>
      <c r="K83" t="n">
        <v>1</v>
      </c>
      <c r="L83" t="n">
        <v>0</v>
      </c>
      <c r="M83" t="n">
        <v>0</v>
      </c>
      <c r="N83" t="n">
        <v>0</v>
      </c>
      <c r="O83" t="n">
        <v>4</v>
      </c>
      <c r="P83" t="n">
        <v>1</v>
      </c>
      <c r="Q83" t="n">
        <v>5</v>
      </c>
      <c r="R83" s="2" t="inlineStr">
        <is>
          <t>Gräddporing
Kolflarnlav
Mörk kolflarnlav
Vedflamlav
Dropptaggsvamp</t>
        </is>
      </c>
      <c r="S83">
        <f>HYPERLINK("https://klasma.github.io/Logging_2161/artfynd/A 51955-2023 artfynd.xlsx", "A 51955-2023")</f>
        <v/>
      </c>
      <c r="T83">
        <f>HYPERLINK("https://klasma.github.io/Logging_2161/kartor/A 51955-2023 karta.png", "A 51955-2023")</f>
        <v/>
      </c>
      <c r="V83">
        <f>HYPERLINK("https://klasma.github.io/Logging_2161/klagomål/A 51955-2023 FSC-klagomål.docx", "A 51955-2023")</f>
        <v/>
      </c>
      <c r="W83">
        <f>HYPERLINK("https://klasma.github.io/Logging_2161/klagomålsmail/A 51955-2023 FSC-klagomål mail.docx", "A 51955-2023")</f>
        <v/>
      </c>
      <c r="X83">
        <f>HYPERLINK("https://klasma.github.io/Logging_2161/tillsyn/A 51955-2023 tillsynsbegäran.docx", "A 51955-2023")</f>
        <v/>
      </c>
      <c r="Y83">
        <f>HYPERLINK("https://klasma.github.io/Logging_2161/tillsynsmail/A 51955-2023 tillsynsbegäran mail.docx", "A 51955-2023")</f>
        <v/>
      </c>
    </row>
    <row r="84" ht="15" customHeight="1">
      <c r="A84" t="inlineStr">
        <is>
          <t>A 36471-2021</t>
        </is>
      </c>
      <c r="B84" s="1" t="n">
        <v>44390</v>
      </c>
      <c r="C84" s="1" t="n">
        <v>45911</v>
      </c>
      <c r="D84" t="inlineStr">
        <is>
          <t>GÄVLEBORGS LÄN</t>
        </is>
      </c>
      <c r="E84" t="inlineStr">
        <is>
          <t>GÄVLE</t>
        </is>
      </c>
      <c r="F84" t="inlineStr">
        <is>
          <t>Bergvik skog väst AB</t>
        </is>
      </c>
      <c r="G84" t="n">
        <v>11.7</v>
      </c>
      <c r="H84" t="n">
        <v>2</v>
      </c>
      <c r="I84" t="n">
        <v>1</v>
      </c>
      <c r="J84" t="n">
        <v>4</v>
      </c>
      <c r="K84" t="n">
        <v>0</v>
      </c>
      <c r="L84" t="n">
        <v>0</v>
      </c>
      <c r="M84" t="n">
        <v>0</v>
      </c>
      <c r="N84" t="n">
        <v>0</v>
      </c>
      <c r="O84" t="n">
        <v>4</v>
      </c>
      <c r="P84" t="n">
        <v>0</v>
      </c>
      <c r="Q84" t="n">
        <v>5</v>
      </c>
      <c r="R84" s="2" t="inlineStr">
        <is>
          <t>Brunpudrad nållav
Spillkråka
Tallticka
Tretåig hackspett
Gulnål</t>
        </is>
      </c>
      <c r="S84">
        <f>HYPERLINK("https://klasma.github.io/Logging_2180/artfynd/A 36471-2021 artfynd.xlsx", "A 36471-2021")</f>
        <v/>
      </c>
      <c r="T84">
        <f>HYPERLINK("https://klasma.github.io/Logging_2180/kartor/A 36471-2021 karta.png", "A 36471-2021")</f>
        <v/>
      </c>
      <c r="V84">
        <f>HYPERLINK("https://klasma.github.io/Logging_2180/klagomål/A 36471-2021 FSC-klagomål.docx", "A 36471-2021")</f>
        <v/>
      </c>
      <c r="W84">
        <f>HYPERLINK("https://klasma.github.io/Logging_2180/klagomålsmail/A 36471-2021 FSC-klagomål mail.docx", "A 36471-2021")</f>
        <v/>
      </c>
      <c r="X84">
        <f>HYPERLINK("https://klasma.github.io/Logging_2180/tillsyn/A 36471-2021 tillsynsbegäran.docx", "A 36471-2021")</f>
        <v/>
      </c>
      <c r="Y84">
        <f>HYPERLINK("https://klasma.github.io/Logging_2180/tillsynsmail/A 36471-2021 tillsynsbegäran mail.docx", "A 36471-2021")</f>
        <v/>
      </c>
      <c r="Z84">
        <f>HYPERLINK("https://klasma.github.io/Logging_2180/fåglar/A 36471-2021 prioriterade fågelarter.docx", "A 36471-2021")</f>
        <v/>
      </c>
    </row>
    <row r="85" ht="15" customHeight="1">
      <c r="A85" t="inlineStr">
        <is>
          <t>A 23964-2025</t>
        </is>
      </c>
      <c r="B85" s="1" t="n">
        <v>45796.37078703703</v>
      </c>
      <c r="C85" s="1" t="n">
        <v>45911</v>
      </c>
      <c r="D85" t="inlineStr">
        <is>
          <t>GÄVLEBORGS LÄN</t>
        </is>
      </c>
      <c r="E85" t="inlineStr">
        <is>
          <t>HUDIKSVALL</t>
        </is>
      </c>
      <c r="F85" t="inlineStr">
        <is>
          <t>Holmen skog AB</t>
        </is>
      </c>
      <c r="G85" t="n">
        <v>9.5</v>
      </c>
      <c r="H85" t="n">
        <v>1</v>
      </c>
      <c r="I85" t="n">
        <v>2</v>
      </c>
      <c r="J85" t="n">
        <v>1</v>
      </c>
      <c r="K85" t="n">
        <v>1</v>
      </c>
      <c r="L85" t="n">
        <v>0</v>
      </c>
      <c r="M85" t="n">
        <v>0</v>
      </c>
      <c r="N85" t="n">
        <v>0</v>
      </c>
      <c r="O85" t="n">
        <v>2</v>
      </c>
      <c r="P85" t="n">
        <v>1</v>
      </c>
      <c r="Q85" t="n">
        <v>5</v>
      </c>
      <c r="R85" s="2" t="inlineStr">
        <is>
          <t>Glesgröe
Storgröe
Strutbräken
Svart trolldruva
Revlummer</t>
        </is>
      </c>
      <c r="S85">
        <f>HYPERLINK("https://klasma.github.io/Logging_2184/artfynd/A 23964-2025 artfynd.xlsx", "A 23964-2025")</f>
        <v/>
      </c>
      <c r="T85">
        <f>HYPERLINK("https://klasma.github.io/Logging_2184/kartor/A 23964-2025 karta.png", "A 23964-2025")</f>
        <v/>
      </c>
      <c r="V85">
        <f>HYPERLINK("https://klasma.github.io/Logging_2184/klagomål/A 23964-2025 FSC-klagomål.docx", "A 23964-2025")</f>
        <v/>
      </c>
      <c r="W85">
        <f>HYPERLINK("https://klasma.github.io/Logging_2184/klagomålsmail/A 23964-2025 FSC-klagomål mail.docx", "A 23964-2025")</f>
        <v/>
      </c>
      <c r="X85">
        <f>HYPERLINK("https://klasma.github.io/Logging_2184/tillsyn/A 23964-2025 tillsynsbegäran.docx", "A 23964-2025")</f>
        <v/>
      </c>
      <c r="Y85">
        <f>HYPERLINK("https://klasma.github.io/Logging_2184/tillsynsmail/A 23964-2025 tillsynsbegäran mail.docx", "A 23964-2025")</f>
        <v/>
      </c>
    </row>
    <row r="86" ht="15" customHeight="1">
      <c r="A86" t="inlineStr">
        <is>
          <t>A 24824-2025</t>
        </is>
      </c>
      <c r="B86" s="1" t="n">
        <v>45799.45572916666</v>
      </c>
      <c r="C86" s="1" t="n">
        <v>45911</v>
      </c>
      <c r="D86" t="inlineStr">
        <is>
          <t>GÄVLEBORGS LÄN</t>
        </is>
      </c>
      <c r="E86" t="inlineStr">
        <is>
          <t>LJUSDAL</t>
        </is>
      </c>
      <c r="F86" t="inlineStr">
        <is>
          <t>Sveaskog</t>
        </is>
      </c>
      <c r="G86" t="n">
        <v>7</v>
      </c>
      <c r="H86" t="n">
        <v>2</v>
      </c>
      <c r="I86" t="n">
        <v>1</v>
      </c>
      <c r="J86" t="n">
        <v>3</v>
      </c>
      <c r="K86" t="n">
        <v>1</v>
      </c>
      <c r="L86" t="n">
        <v>0</v>
      </c>
      <c r="M86" t="n">
        <v>0</v>
      </c>
      <c r="N86" t="n">
        <v>0</v>
      </c>
      <c r="O86" t="n">
        <v>4</v>
      </c>
      <c r="P86" t="n">
        <v>1</v>
      </c>
      <c r="Q86" t="n">
        <v>5</v>
      </c>
      <c r="R86" s="2" t="inlineStr">
        <is>
          <t>Knärot
Garnlav
Lunglav
Skrovellav
Plattlummer</t>
        </is>
      </c>
      <c r="S86">
        <f>HYPERLINK("https://klasma.github.io/Logging_2161/artfynd/A 24824-2025 artfynd.xlsx", "A 24824-2025")</f>
        <v/>
      </c>
      <c r="T86">
        <f>HYPERLINK("https://klasma.github.io/Logging_2161/kartor/A 24824-2025 karta.png", "A 24824-2025")</f>
        <v/>
      </c>
      <c r="U86">
        <f>HYPERLINK("https://klasma.github.io/Logging_2161/knärot/A 24824-2025 karta knärot.png", "A 24824-2025")</f>
        <v/>
      </c>
      <c r="V86">
        <f>HYPERLINK("https://klasma.github.io/Logging_2161/klagomål/A 24824-2025 FSC-klagomål.docx", "A 24824-2025")</f>
        <v/>
      </c>
      <c r="W86">
        <f>HYPERLINK("https://klasma.github.io/Logging_2161/klagomålsmail/A 24824-2025 FSC-klagomål mail.docx", "A 24824-2025")</f>
        <v/>
      </c>
      <c r="X86">
        <f>HYPERLINK("https://klasma.github.io/Logging_2161/tillsyn/A 24824-2025 tillsynsbegäran.docx", "A 24824-2025")</f>
        <v/>
      </c>
      <c r="Y86">
        <f>HYPERLINK("https://klasma.github.io/Logging_2161/tillsynsmail/A 24824-2025 tillsynsbegäran mail.docx", "A 24824-2025")</f>
        <v/>
      </c>
    </row>
    <row r="87" ht="15" customHeight="1">
      <c r="A87" t="inlineStr">
        <is>
          <t>A 26085-2025</t>
        </is>
      </c>
      <c r="B87" s="1" t="n">
        <v>45805.34453703704</v>
      </c>
      <c r="C87" s="1" t="n">
        <v>45911</v>
      </c>
      <c r="D87" t="inlineStr">
        <is>
          <t>GÄVLEBORGS LÄN</t>
        </is>
      </c>
      <c r="E87" t="inlineStr">
        <is>
          <t>LJUSDAL</t>
        </is>
      </c>
      <c r="F87" t="inlineStr">
        <is>
          <t>SCA</t>
        </is>
      </c>
      <c r="G87" t="n">
        <v>11.3</v>
      </c>
      <c r="H87" t="n">
        <v>1</v>
      </c>
      <c r="I87" t="n">
        <v>3</v>
      </c>
      <c r="J87" t="n">
        <v>1</v>
      </c>
      <c r="K87" t="n">
        <v>0</v>
      </c>
      <c r="L87" t="n">
        <v>0</v>
      </c>
      <c r="M87" t="n">
        <v>0</v>
      </c>
      <c r="N87" t="n">
        <v>0</v>
      </c>
      <c r="O87" t="n">
        <v>1</v>
      </c>
      <c r="P87" t="n">
        <v>0</v>
      </c>
      <c r="Q87" t="n">
        <v>5</v>
      </c>
      <c r="R87" s="2" t="inlineStr">
        <is>
          <t>Skuggviol
Kransrams
Svart trolldruva
Underviol
Blåsippa</t>
        </is>
      </c>
      <c r="S87">
        <f>HYPERLINK("https://klasma.github.io/Logging_2161/artfynd/A 26085-2025 artfynd.xlsx", "A 26085-2025")</f>
        <v/>
      </c>
      <c r="T87">
        <f>HYPERLINK("https://klasma.github.io/Logging_2161/kartor/A 26085-2025 karta.png", "A 26085-2025")</f>
        <v/>
      </c>
      <c r="V87">
        <f>HYPERLINK("https://klasma.github.io/Logging_2161/klagomål/A 26085-2025 FSC-klagomål.docx", "A 26085-2025")</f>
        <v/>
      </c>
      <c r="W87">
        <f>HYPERLINK("https://klasma.github.io/Logging_2161/klagomålsmail/A 26085-2025 FSC-klagomål mail.docx", "A 26085-2025")</f>
        <v/>
      </c>
      <c r="X87">
        <f>HYPERLINK("https://klasma.github.io/Logging_2161/tillsyn/A 26085-2025 tillsynsbegäran.docx", "A 26085-2025")</f>
        <v/>
      </c>
      <c r="Y87">
        <f>HYPERLINK("https://klasma.github.io/Logging_2161/tillsynsmail/A 26085-2025 tillsynsbegäran mail.docx", "A 26085-2025")</f>
        <v/>
      </c>
    </row>
    <row r="88" ht="15" customHeight="1">
      <c r="A88" t="inlineStr">
        <is>
          <t>A 26489-2025</t>
        </is>
      </c>
      <c r="B88" s="1" t="n">
        <v>45807.48326388889</v>
      </c>
      <c r="C88" s="1" t="n">
        <v>45911</v>
      </c>
      <c r="D88" t="inlineStr">
        <is>
          <t>GÄVLEBORGS LÄN</t>
        </is>
      </c>
      <c r="E88" t="inlineStr">
        <is>
          <t>LJUSDAL</t>
        </is>
      </c>
      <c r="G88" t="n">
        <v>14.8</v>
      </c>
      <c r="H88" t="n">
        <v>2</v>
      </c>
      <c r="I88" t="n">
        <v>1</v>
      </c>
      <c r="J88" t="n">
        <v>2</v>
      </c>
      <c r="K88" t="n">
        <v>0</v>
      </c>
      <c r="L88" t="n">
        <v>0</v>
      </c>
      <c r="M88" t="n">
        <v>0</v>
      </c>
      <c r="N88" t="n">
        <v>0</v>
      </c>
      <c r="O88" t="n">
        <v>2</v>
      </c>
      <c r="P88" t="n">
        <v>0</v>
      </c>
      <c r="Q88" t="n">
        <v>5</v>
      </c>
      <c r="R88" s="2" t="inlineStr">
        <is>
          <t>Gammelgransskål
Garnlav
Luddlav
Fläcknycklar
Revlummer</t>
        </is>
      </c>
      <c r="S88">
        <f>HYPERLINK("https://klasma.github.io/Logging_2161/artfynd/A 26489-2025 artfynd.xlsx", "A 26489-2025")</f>
        <v/>
      </c>
      <c r="T88">
        <f>HYPERLINK("https://klasma.github.io/Logging_2161/kartor/A 26489-2025 karta.png", "A 26489-2025")</f>
        <v/>
      </c>
      <c r="V88">
        <f>HYPERLINK("https://klasma.github.io/Logging_2161/klagomål/A 26489-2025 FSC-klagomål.docx", "A 26489-2025")</f>
        <v/>
      </c>
      <c r="W88">
        <f>HYPERLINK("https://klasma.github.io/Logging_2161/klagomålsmail/A 26489-2025 FSC-klagomål mail.docx", "A 26489-2025")</f>
        <v/>
      </c>
      <c r="X88">
        <f>HYPERLINK("https://klasma.github.io/Logging_2161/tillsyn/A 26489-2025 tillsynsbegäran.docx", "A 26489-2025")</f>
        <v/>
      </c>
      <c r="Y88">
        <f>HYPERLINK("https://klasma.github.io/Logging_2161/tillsynsmail/A 26489-2025 tillsynsbegäran mail.docx", "A 26489-2025")</f>
        <v/>
      </c>
    </row>
    <row r="89" ht="15" customHeight="1">
      <c r="A89" t="inlineStr">
        <is>
          <t>A 25953-2023</t>
        </is>
      </c>
      <c r="B89" s="1" t="n">
        <v>45090</v>
      </c>
      <c r="C89" s="1" t="n">
        <v>45911</v>
      </c>
      <c r="D89" t="inlineStr">
        <is>
          <t>GÄVLEBORGS LÄN</t>
        </is>
      </c>
      <c r="E89" t="inlineStr">
        <is>
          <t>LJUSDAL</t>
        </is>
      </c>
      <c r="G89" t="n">
        <v>1.9</v>
      </c>
      <c r="H89" t="n">
        <v>3</v>
      </c>
      <c r="I89" t="n">
        <v>0</v>
      </c>
      <c r="J89" t="n">
        <v>4</v>
      </c>
      <c r="K89" t="n">
        <v>1</v>
      </c>
      <c r="L89" t="n">
        <v>0</v>
      </c>
      <c r="M89" t="n">
        <v>0</v>
      </c>
      <c r="N89" t="n">
        <v>0</v>
      </c>
      <c r="O89" t="n">
        <v>5</v>
      </c>
      <c r="P89" t="n">
        <v>1</v>
      </c>
      <c r="Q89" t="n">
        <v>5</v>
      </c>
      <c r="R89" s="2" t="inlineStr">
        <is>
          <t>Knärot
Rosenticka
Talltita
Tretåig hackspett
Ullticka</t>
        </is>
      </c>
      <c r="S89">
        <f>HYPERLINK("https://klasma.github.io/Logging_2161/artfynd/A 25953-2023 artfynd.xlsx", "A 25953-2023")</f>
        <v/>
      </c>
      <c r="T89">
        <f>HYPERLINK("https://klasma.github.io/Logging_2161/kartor/A 25953-2023 karta.png", "A 25953-2023")</f>
        <v/>
      </c>
      <c r="U89">
        <f>HYPERLINK("https://klasma.github.io/Logging_2161/knärot/A 25953-2023 karta knärot.png", "A 25953-2023")</f>
        <v/>
      </c>
      <c r="V89">
        <f>HYPERLINK("https://klasma.github.io/Logging_2161/klagomål/A 25953-2023 FSC-klagomål.docx", "A 25953-2023")</f>
        <v/>
      </c>
      <c r="W89">
        <f>HYPERLINK("https://klasma.github.io/Logging_2161/klagomålsmail/A 25953-2023 FSC-klagomål mail.docx", "A 25953-2023")</f>
        <v/>
      </c>
      <c r="X89">
        <f>HYPERLINK("https://klasma.github.io/Logging_2161/tillsyn/A 25953-2023 tillsynsbegäran.docx", "A 25953-2023")</f>
        <v/>
      </c>
      <c r="Y89">
        <f>HYPERLINK("https://klasma.github.io/Logging_2161/tillsynsmail/A 25953-2023 tillsynsbegäran mail.docx", "A 25953-2023")</f>
        <v/>
      </c>
      <c r="Z89">
        <f>HYPERLINK("https://klasma.github.io/Logging_2161/fåglar/A 25953-2023 prioriterade fågelarter.docx", "A 25953-2023")</f>
        <v/>
      </c>
    </row>
    <row r="90" ht="15" customHeight="1">
      <c r="A90" t="inlineStr">
        <is>
          <t>A 58628-2022</t>
        </is>
      </c>
      <c r="B90" s="1" t="n">
        <v>44902</v>
      </c>
      <c r="C90" s="1" t="n">
        <v>45911</v>
      </c>
      <c r="D90" t="inlineStr">
        <is>
          <t>GÄVLEBORGS LÄN</t>
        </is>
      </c>
      <c r="E90" t="inlineStr">
        <is>
          <t>LJUSDAL</t>
        </is>
      </c>
      <c r="G90" t="n">
        <v>2.6</v>
      </c>
      <c r="H90" t="n">
        <v>2</v>
      </c>
      <c r="I90" t="n">
        <v>2</v>
      </c>
      <c r="J90" t="n">
        <v>2</v>
      </c>
      <c r="K90" t="n">
        <v>1</v>
      </c>
      <c r="L90" t="n">
        <v>0</v>
      </c>
      <c r="M90" t="n">
        <v>0</v>
      </c>
      <c r="N90" t="n">
        <v>0</v>
      </c>
      <c r="O90" t="n">
        <v>3</v>
      </c>
      <c r="P90" t="n">
        <v>1</v>
      </c>
      <c r="Q90" t="n">
        <v>5</v>
      </c>
      <c r="R90" s="2" t="inlineStr">
        <is>
          <t>Knärot
Tretåig hackspett
Ullticka
Skinnlav
Stuplav</t>
        </is>
      </c>
      <c r="S90">
        <f>HYPERLINK("https://klasma.github.io/Logging_2161/artfynd/A 58628-2022 artfynd.xlsx", "A 58628-2022")</f>
        <v/>
      </c>
      <c r="T90">
        <f>HYPERLINK("https://klasma.github.io/Logging_2161/kartor/A 58628-2022 karta.png", "A 58628-2022")</f>
        <v/>
      </c>
      <c r="U90">
        <f>HYPERLINK("https://klasma.github.io/Logging_2161/knärot/A 58628-2022 karta knärot.png", "A 58628-2022")</f>
        <v/>
      </c>
      <c r="V90">
        <f>HYPERLINK("https://klasma.github.io/Logging_2161/klagomål/A 58628-2022 FSC-klagomål.docx", "A 58628-2022")</f>
        <v/>
      </c>
      <c r="W90">
        <f>HYPERLINK("https://klasma.github.io/Logging_2161/klagomålsmail/A 58628-2022 FSC-klagomål mail.docx", "A 58628-2022")</f>
        <v/>
      </c>
      <c r="X90">
        <f>HYPERLINK("https://klasma.github.io/Logging_2161/tillsyn/A 58628-2022 tillsynsbegäran.docx", "A 58628-2022")</f>
        <v/>
      </c>
      <c r="Y90">
        <f>HYPERLINK("https://klasma.github.io/Logging_2161/tillsynsmail/A 58628-2022 tillsynsbegäran mail.docx", "A 58628-2022")</f>
        <v/>
      </c>
      <c r="Z90">
        <f>HYPERLINK("https://klasma.github.io/Logging_2161/fåglar/A 58628-2022 prioriterade fågelarter.docx", "A 58628-2022")</f>
        <v/>
      </c>
    </row>
    <row r="91" ht="15" customHeight="1">
      <c r="A91" t="inlineStr">
        <is>
          <t>A 19521-2023</t>
        </is>
      </c>
      <c r="B91" s="1" t="n">
        <v>45050</v>
      </c>
      <c r="C91" s="1" t="n">
        <v>45911</v>
      </c>
      <c r="D91" t="inlineStr">
        <is>
          <t>GÄVLEBORGS LÄN</t>
        </is>
      </c>
      <c r="E91" t="inlineStr">
        <is>
          <t>HUDIKSVALL</t>
        </is>
      </c>
      <c r="F91" t="inlineStr">
        <is>
          <t>Holmen skog AB</t>
        </is>
      </c>
      <c r="G91" t="n">
        <v>9.300000000000001</v>
      </c>
      <c r="H91" t="n">
        <v>2</v>
      </c>
      <c r="I91" t="n">
        <v>1</v>
      </c>
      <c r="J91" t="n">
        <v>2</v>
      </c>
      <c r="K91" t="n">
        <v>0</v>
      </c>
      <c r="L91" t="n">
        <v>0</v>
      </c>
      <c r="M91" t="n">
        <v>0</v>
      </c>
      <c r="N91" t="n">
        <v>0</v>
      </c>
      <c r="O91" t="n">
        <v>2</v>
      </c>
      <c r="P91" t="n">
        <v>0</v>
      </c>
      <c r="Q91" t="n">
        <v>5</v>
      </c>
      <c r="R91" s="2" t="inlineStr">
        <is>
          <t>Kolflarnlav
Lunglav
Bollvitmossa
Tjäder
Vanlig groda</t>
        </is>
      </c>
      <c r="S91">
        <f>HYPERLINK("https://klasma.github.io/Logging_2184/artfynd/A 19521-2023 artfynd.xlsx", "A 19521-2023")</f>
        <v/>
      </c>
      <c r="T91">
        <f>HYPERLINK("https://klasma.github.io/Logging_2184/kartor/A 19521-2023 karta.png", "A 19521-2023")</f>
        <v/>
      </c>
      <c r="V91">
        <f>HYPERLINK("https://klasma.github.io/Logging_2184/klagomål/A 19521-2023 FSC-klagomål.docx", "A 19521-2023")</f>
        <v/>
      </c>
      <c r="W91">
        <f>HYPERLINK("https://klasma.github.io/Logging_2184/klagomålsmail/A 19521-2023 FSC-klagomål mail.docx", "A 19521-2023")</f>
        <v/>
      </c>
      <c r="X91">
        <f>HYPERLINK("https://klasma.github.io/Logging_2184/tillsyn/A 19521-2023 tillsynsbegäran.docx", "A 19521-2023")</f>
        <v/>
      </c>
      <c r="Y91">
        <f>HYPERLINK("https://klasma.github.io/Logging_2184/tillsynsmail/A 19521-2023 tillsynsbegäran mail.docx", "A 19521-2023")</f>
        <v/>
      </c>
      <c r="Z91">
        <f>HYPERLINK("https://klasma.github.io/Logging_2184/fåglar/A 19521-2023 prioriterade fågelarter.docx", "A 19521-2023")</f>
        <v/>
      </c>
    </row>
    <row r="92" ht="15" customHeight="1">
      <c r="A92" t="inlineStr">
        <is>
          <t>A 9570-2025</t>
        </is>
      </c>
      <c r="B92" s="1" t="n">
        <v>45715</v>
      </c>
      <c r="C92" s="1" t="n">
        <v>45911</v>
      </c>
      <c r="D92" t="inlineStr">
        <is>
          <t>GÄVLEBORGS LÄN</t>
        </is>
      </c>
      <c r="E92" t="inlineStr">
        <is>
          <t>GÄVLE</t>
        </is>
      </c>
      <c r="G92" t="n">
        <v>3.8</v>
      </c>
      <c r="H92" t="n">
        <v>2</v>
      </c>
      <c r="I92" t="n">
        <v>0</v>
      </c>
      <c r="J92" t="n">
        <v>4</v>
      </c>
      <c r="K92" t="n">
        <v>1</v>
      </c>
      <c r="L92" t="n">
        <v>0</v>
      </c>
      <c r="M92" t="n">
        <v>0</v>
      </c>
      <c r="N92" t="n">
        <v>0</v>
      </c>
      <c r="O92" t="n">
        <v>5</v>
      </c>
      <c r="P92" t="n">
        <v>1</v>
      </c>
      <c r="Q92" t="n">
        <v>5</v>
      </c>
      <c r="R92" s="2" t="inlineStr">
        <is>
          <t>Knärot
Granticka
Lunglav
Tallticka
Tretåig hackspett</t>
        </is>
      </c>
      <c r="S92">
        <f>HYPERLINK("https://klasma.github.io/Logging_2180/artfynd/A 9570-2025 artfynd.xlsx", "A 9570-2025")</f>
        <v/>
      </c>
      <c r="T92">
        <f>HYPERLINK("https://klasma.github.io/Logging_2180/kartor/A 9570-2025 karta.png", "A 9570-2025")</f>
        <v/>
      </c>
      <c r="U92">
        <f>HYPERLINK("https://klasma.github.io/Logging_2180/knärot/A 9570-2025 karta knärot.png", "A 9570-2025")</f>
        <v/>
      </c>
      <c r="V92">
        <f>HYPERLINK("https://klasma.github.io/Logging_2180/klagomål/A 9570-2025 FSC-klagomål.docx", "A 9570-2025")</f>
        <v/>
      </c>
      <c r="W92">
        <f>HYPERLINK("https://klasma.github.io/Logging_2180/klagomålsmail/A 9570-2025 FSC-klagomål mail.docx", "A 9570-2025")</f>
        <v/>
      </c>
      <c r="X92">
        <f>HYPERLINK("https://klasma.github.io/Logging_2180/tillsyn/A 9570-2025 tillsynsbegäran.docx", "A 9570-2025")</f>
        <v/>
      </c>
      <c r="Y92">
        <f>HYPERLINK("https://klasma.github.io/Logging_2180/tillsynsmail/A 9570-2025 tillsynsbegäran mail.docx", "A 9570-2025")</f>
        <v/>
      </c>
      <c r="Z92">
        <f>HYPERLINK("https://klasma.github.io/Logging_2180/fåglar/A 9570-2025 prioriterade fågelarter.docx", "A 9570-2025")</f>
        <v/>
      </c>
    </row>
    <row r="93" ht="15" customHeight="1">
      <c r="A93" t="inlineStr">
        <is>
          <t>A 28531-2025</t>
        </is>
      </c>
      <c r="B93" s="1" t="n">
        <v>45819.49947916667</v>
      </c>
      <c r="C93" s="1" t="n">
        <v>45911</v>
      </c>
      <c r="D93" t="inlineStr">
        <is>
          <t>GÄVLEBORGS LÄN</t>
        </is>
      </c>
      <c r="E93" t="inlineStr">
        <is>
          <t>LJUSDAL</t>
        </is>
      </c>
      <c r="F93" t="inlineStr">
        <is>
          <t>Allmännings- och besparingsskogar</t>
        </is>
      </c>
      <c r="G93" t="n">
        <v>1.2</v>
      </c>
      <c r="H93" t="n">
        <v>1</v>
      </c>
      <c r="I93" t="n">
        <v>1</v>
      </c>
      <c r="J93" t="n">
        <v>4</v>
      </c>
      <c r="K93" t="n">
        <v>0</v>
      </c>
      <c r="L93" t="n">
        <v>0</v>
      </c>
      <c r="M93" t="n">
        <v>0</v>
      </c>
      <c r="N93" t="n">
        <v>0</v>
      </c>
      <c r="O93" t="n">
        <v>4</v>
      </c>
      <c r="P93" t="n">
        <v>0</v>
      </c>
      <c r="Q93" t="n">
        <v>5</v>
      </c>
      <c r="R93" s="2" t="inlineStr">
        <is>
          <t>Garnlav
Kolflarnlav
Mörk kolflarnlav
Vedskivlav
Plattlummer</t>
        </is>
      </c>
      <c r="S93">
        <f>HYPERLINK("https://klasma.github.io/Logging_2161/artfynd/A 28531-2025 artfynd.xlsx", "A 28531-2025")</f>
        <v/>
      </c>
      <c r="T93">
        <f>HYPERLINK("https://klasma.github.io/Logging_2161/kartor/A 28531-2025 karta.png", "A 28531-2025")</f>
        <v/>
      </c>
      <c r="V93">
        <f>HYPERLINK("https://klasma.github.io/Logging_2161/klagomål/A 28531-2025 FSC-klagomål.docx", "A 28531-2025")</f>
        <v/>
      </c>
      <c r="W93">
        <f>HYPERLINK("https://klasma.github.io/Logging_2161/klagomålsmail/A 28531-2025 FSC-klagomål mail.docx", "A 28531-2025")</f>
        <v/>
      </c>
      <c r="X93">
        <f>HYPERLINK("https://klasma.github.io/Logging_2161/tillsyn/A 28531-2025 tillsynsbegäran.docx", "A 28531-2025")</f>
        <v/>
      </c>
      <c r="Y93">
        <f>HYPERLINK("https://klasma.github.io/Logging_2161/tillsynsmail/A 28531-2025 tillsynsbegäran mail.docx", "A 28531-2025")</f>
        <v/>
      </c>
    </row>
    <row r="94" ht="15" customHeight="1">
      <c r="A94" t="inlineStr">
        <is>
          <t>A 49799-2023</t>
        </is>
      </c>
      <c r="B94" s="1" t="n">
        <v>45212</v>
      </c>
      <c r="C94" s="1" t="n">
        <v>45911</v>
      </c>
      <c r="D94" t="inlineStr">
        <is>
          <t>GÄVLEBORGS LÄN</t>
        </is>
      </c>
      <c r="E94" t="inlineStr">
        <is>
          <t>HUDIKSVALL</t>
        </is>
      </c>
      <c r="G94" t="n">
        <v>4</v>
      </c>
      <c r="H94" t="n">
        <v>0</v>
      </c>
      <c r="I94" t="n">
        <v>1</v>
      </c>
      <c r="J94" t="n">
        <v>4</v>
      </c>
      <c r="K94" t="n">
        <v>0</v>
      </c>
      <c r="L94" t="n">
        <v>0</v>
      </c>
      <c r="M94" t="n">
        <v>0</v>
      </c>
      <c r="N94" t="n">
        <v>0</v>
      </c>
      <c r="O94" t="n">
        <v>4</v>
      </c>
      <c r="P94" t="n">
        <v>0</v>
      </c>
      <c r="Q94" t="n">
        <v>5</v>
      </c>
      <c r="R94" s="2" t="inlineStr">
        <is>
          <t>Rosenticka
Ullticka
Violettgrå tagellav
Vitgrynig nållav
Vedticka</t>
        </is>
      </c>
      <c r="S94">
        <f>HYPERLINK("https://klasma.github.io/Logging_2184/artfynd/A 49799-2023 artfynd.xlsx", "A 49799-2023")</f>
        <v/>
      </c>
      <c r="T94">
        <f>HYPERLINK("https://klasma.github.io/Logging_2184/kartor/A 49799-2023 karta.png", "A 49799-2023")</f>
        <v/>
      </c>
      <c r="V94">
        <f>HYPERLINK("https://klasma.github.io/Logging_2184/klagomål/A 49799-2023 FSC-klagomål.docx", "A 49799-2023")</f>
        <v/>
      </c>
      <c r="W94">
        <f>HYPERLINK("https://klasma.github.io/Logging_2184/klagomålsmail/A 49799-2023 FSC-klagomål mail.docx", "A 49799-2023")</f>
        <v/>
      </c>
      <c r="X94">
        <f>HYPERLINK("https://klasma.github.io/Logging_2184/tillsyn/A 49799-2023 tillsynsbegäran.docx", "A 49799-2023")</f>
        <v/>
      </c>
      <c r="Y94">
        <f>HYPERLINK("https://klasma.github.io/Logging_2184/tillsynsmail/A 49799-2023 tillsynsbegäran mail.docx", "A 49799-2023")</f>
        <v/>
      </c>
    </row>
    <row r="95" ht="15" customHeight="1">
      <c r="A95" t="inlineStr">
        <is>
          <t>A 68600-2020</t>
        </is>
      </c>
      <c r="B95" s="1" t="n">
        <v>44186</v>
      </c>
      <c r="C95" s="1" t="n">
        <v>45911</v>
      </c>
      <c r="D95" t="inlineStr">
        <is>
          <t>GÄVLEBORGS LÄN</t>
        </is>
      </c>
      <c r="E95" t="inlineStr">
        <is>
          <t>HUDIKSVALL</t>
        </is>
      </c>
      <c r="F95" t="inlineStr">
        <is>
          <t>Kommuner</t>
        </is>
      </c>
      <c r="G95" t="n">
        <v>4.6</v>
      </c>
      <c r="H95" t="n">
        <v>1</v>
      </c>
      <c r="I95" t="n">
        <v>0</v>
      </c>
      <c r="J95" t="n">
        <v>4</v>
      </c>
      <c r="K95" t="n">
        <v>1</v>
      </c>
      <c r="L95" t="n">
        <v>0</v>
      </c>
      <c r="M95" t="n">
        <v>0</v>
      </c>
      <c r="N95" t="n">
        <v>0</v>
      </c>
      <c r="O95" t="n">
        <v>5</v>
      </c>
      <c r="P95" t="n">
        <v>1</v>
      </c>
      <c r="Q95" t="n">
        <v>5</v>
      </c>
      <c r="R95" s="2" t="inlineStr">
        <is>
          <t>Sprickporing
Garnlav
Grönsångare
Rosenticka
Ullticka</t>
        </is>
      </c>
      <c r="S95">
        <f>HYPERLINK("https://klasma.github.io/Logging_2184/artfynd/A 68600-2020 artfynd.xlsx", "A 68600-2020")</f>
        <v/>
      </c>
      <c r="T95">
        <f>HYPERLINK("https://klasma.github.io/Logging_2184/kartor/A 68600-2020 karta.png", "A 68600-2020")</f>
        <v/>
      </c>
      <c r="V95">
        <f>HYPERLINK("https://klasma.github.io/Logging_2184/klagomål/A 68600-2020 FSC-klagomål.docx", "A 68600-2020")</f>
        <v/>
      </c>
      <c r="W95">
        <f>HYPERLINK("https://klasma.github.io/Logging_2184/klagomålsmail/A 68600-2020 FSC-klagomål mail.docx", "A 68600-2020")</f>
        <v/>
      </c>
      <c r="X95">
        <f>HYPERLINK("https://klasma.github.io/Logging_2184/tillsyn/A 68600-2020 tillsynsbegäran.docx", "A 68600-2020")</f>
        <v/>
      </c>
      <c r="Y95">
        <f>HYPERLINK("https://klasma.github.io/Logging_2184/tillsynsmail/A 68600-2020 tillsynsbegäran mail.docx", "A 68600-2020")</f>
        <v/>
      </c>
      <c r="Z95">
        <f>HYPERLINK("https://klasma.github.io/Logging_2184/fåglar/A 68600-2020 prioriterade fågelarter.docx", "A 68600-2020")</f>
        <v/>
      </c>
    </row>
    <row r="96" ht="15" customHeight="1">
      <c r="A96" t="inlineStr">
        <is>
          <t>A 55280-2022</t>
        </is>
      </c>
      <c r="B96" s="1" t="n">
        <v>44887</v>
      </c>
      <c r="C96" s="1" t="n">
        <v>45911</v>
      </c>
      <c r="D96" t="inlineStr">
        <is>
          <t>GÄVLEBORGS LÄN</t>
        </is>
      </c>
      <c r="E96" t="inlineStr">
        <is>
          <t>HUDIKSVALL</t>
        </is>
      </c>
      <c r="F96" t="inlineStr">
        <is>
          <t>Holmen skog AB</t>
        </is>
      </c>
      <c r="G96" t="n">
        <v>3.3</v>
      </c>
      <c r="H96" t="n">
        <v>0</v>
      </c>
      <c r="I96" t="n">
        <v>1</v>
      </c>
      <c r="J96" t="n">
        <v>4</v>
      </c>
      <c r="K96" t="n">
        <v>0</v>
      </c>
      <c r="L96" t="n">
        <v>0</v>
      </c>
      <c r="M96" t="n">
        <v>0</v>
      </c>
      <c r="N96" t="n">
        <v>0</v>
      </c>
      <c r="O96" t="n">
        <v>4</v>
      </c>
      <c r="P96" t="n">
        <v>0</v>
      </c>
      <c r="Q96" t="n">
        <v>5</v>
      </c>
      <c r="R96" s="2" t="inlineStr">
        <is>
          <t>Granticka
Ullticka
Veckticka
Vedtrappmossa
Korallblylav</t>
        </is>
      </c>
      <c r="S96">
        <f>HYPERLINK("https://klasma.github.io/Logging_2184/artfynd/A 55280-2022 artfynd.xlsx", "A 55280-2022")</f>
        <v/>
      </c>
      <c r="T96">
        <f>HYPERLINK("https://klasma.github.io/Logging_2184/kartor/A 55280-2022 karta.png", "A 55280-2022")</f>
        <v/>
      </c>
      <c r="V96">
        <f>HYPERLINK("https://klasma.github.io/Logging_2184/klagomål/A 55280-2022 FSC-klagomål.docx", "A 55280-2022")</f>
        <v/>
      </c>
      <c r="W96">
        <f>HYPERLINK("https://klasma.github.io/Logging_2184/klagomålsmail/A 55280-2022 FSC-klagomål mail.docx", "A 55280-2022")</f>
        <v/>
      </c>
      <c r="X96">
        <f>HYPERLINK("https://klasma.github.io/Logging_2184/tillsyn/A 55280-2022 tillsynsbegäran.docx", "A 55280-2022")</f>
        <v/>
      </c>
      <c r="Y96">
        <f>HYPERLINK("https://klasma.github.io/Logging_2184/tillsynsmail/A 55280-2022 tillsynsbegäran mail.docx", "A 55280-2022")</f>
        <v/>
      </c>
    </row>
    <row r="97" ht="15" customHeight="1">
      <c r="A97" t="inlineStr">
        <is>
          <t>A 39028-2025</t>
        </is>
      </c>
      <c r="B97" s="1" t="n">
        <v>45888.40666666667</v>
      </c>
      <c r="C97" s="1" t="n">
        <v>45911</v>
      </c>
      <c r="D97" t="inlineStr">
        <is>
          <t>GÄVLEBORGS LÄN</t>
        </is>
      </c>
      <c r="E97" t="inlineStr">
        <is>
          <t>LJUSDAL</t>
        </is>
      </c>
      <c r="F97" t="inlineStr">
        <is>
          <t>SCA</t>
        </is>
      </c>
      <c r="G97" t="n">
        <v>21.4</v>
      </c>
      <c r="H97" t="n">
        <v>2</v>
      </c>
      <c r="I97" t="n">
        <v>1</v>
      </c>
      <c r="J97" t="n">
        <v>2</v>
      </c>
      <c r="K97" t="n">
        <v>0</v>
      </c>
      <c r="L97" t="n">
        <v>0</v>
      </c>
      <c r="M97" t="n">
        <v>0</v>
      </c>
      <c r="N97" t="n">
        <v>0</v>
      </c>
      <c r="O97" t="n">
        <v>2</v>
      </c>
      <c r="P97" t="n">
        <v>0</v>
      </c>
      <c r="Q97" t="n">
        <v>5</v>
      </c>
      <c r="R97" s="2" t="inlineStr">
        <is>
          <t>Gammelgransskål
Garnlav
Spädstarr
Nattviol
Revlummer</t>
        </is>
      </c>
      <c r="S97">
        <f>HYPERLINK("https://klasma.github.io/Logging_2161/artfynd/A 39028-2025 artfynd.xlsx", "A 39028-2025")</f>
        <v/>
      </c>
      <c r="T97">
        <f>HYPERLINK("https://klasma.github.io/Logging_2161/kartor/A 39028-2025 karta.png", "A 39028-2025")</f>
        <v/>
      </c>
      <c r="V97">
        <f>HYPERLINK("https://klasma.github.io/Logging_2161/klagomål/A 39028-2025 FSC-klagomål.docx", "A 39028-2025")</f>
        <v/>
      </c>
      <c r="W97">
        <f>HYPERLINK("https://klasma.github.io/Logging_2161/klagomålsmail/A 39028-2025 FSC-klagomål mail.docx", "A 39028-2025")</f>
        <v/>
      </c>
      <c r="X97">
        <f>HYPERLINK("https://klasma.github.io/Logging_2161/tillsyn/A 39028-2025 tillsynsbegäran.docx", "A 39028-2025")</f>
        <v/>
      </c>
      <c r="Y97">
        <f>HYPERLINK("https://klasma.github.io/Logging_2161/tillsynsmail/A 39028-2025 tillsynsbegäran mail.docx", "A 39028-2025")</f>
        <v/>
      </c>
    </row>
    <row r="98" ht="15" customHeight="1">
      <c r="A98" t="inlineStr">
        <is>
          <t>A 11233-2025</t>
        </is>
      </c>
      <c r="B98" s="1" t="n">
        <v>45726.35946759259</v>
      </c>
      <c r="C98" s="1" t="n">
        <v>45911</v>
      </c>
      <c r="D98" t="inlineStr">
        <is>
          <t>GÄVLEBORGS LÄN</t>
        </is>
      </c>
      <c r="E98" t="inlineStr">
        <is>
          <t>GÄVLE</t>
        </is>
      </c>
      <c r="F98" t="inlineStr">
        <is>
          <t>Bergvik skog öst AB</t>
        </is>
      </c>
      <c r="G98" t="n">
        <v>3.8</v>
      </c>
      <c r="H98" t="n">
        <v>1</v>
      </c>
      <c r="I98" t="n">
        <v>0</v>
      </c>
      <c r="J98" t="n">
        <v>4</v>
      </c>
      <c r="K98" t="n">
        <v>0</v>
      </c>
      <c r="L98" t="n">
        <v>0</v>
      </c>
      <c r="M98" t="n">
        <v>0</v>
      </c>
      <c r="N98" t="n">
        <v>0</v>
      </c>
      <c r="O98" t="n">
        <v>4</v>
      </c>
      <c r="P98" t="n">
        <v>0</v>
      </c>
      <c r="Q98" t="n">
        <v>5</v>
      </c>
      <c r="R98" s="2" t="inlineStr">
        <is>
          <t>Almsnabbvinge
Bredbrämad bastardsvärmare
Smalsprötad bastardsvärmare
Sotnätfjäril
Blåsippa</t>
        </is>
      </c>
      <c r="S98">
        <f>HYPERLINK("https://klasma.github.io/Logging_2180/artfynd/A 11233-2025 artfynd.xlsx", "A 11233-2025")</f>
        <v/>
      </c>
      <c r="T98">
        <f>HYPERLINK("https://klasma.github.io/Logging_2180/kartor/A 11233-2025 karta.png", "A 11233-2025")</f>
        <v/>
      </c>
      <c r="V98">
        <f>HYPERLINK("https://klasma.github.io/Logging_2180/klagomål/A 11233-2025 FSC-klagomål.docx", "A 11233-2025")</f>
        <v/>
      </c>
      <c r="W98">
        <f>HYPERLINK("https://klasma.github.io/Logging_2180/klagomålsmail/A 11233-2025 FSC-klagomål mail.docx", "A 11233-2025")</f>
        <v/>
      </c>
      <c r="X98">
        <f>HYPERLINK("https://klasma.github.io/Logging_2180/tillsyn/A 11233-2025 tillsynsbegäran.docx", "A 11233-2025")</f>
        <v/>
      </c>
      <c r="Y98">
        <f>HYPERLINK("https://klasma.github.io/Logging_2180/tillsynsmail/A 11233-2025 tillsynsbegäran mail.docx", "A 11233-2025")</f>
        <v/>
      </c>
    </row>
    <row r="99" ht="15" customHeight="1">
      <c r="A99" t="inlineStr">
        <is>
          <t>A 35626-2025</t>
        </is>
      </c>
      <c r="B99" s="1" t="n">
        <v>45859.43328703703</v>
      </c>
      <c r="C99" s="1" t="n">
        <v>45911</v>
      </c>
      <c r="D99" t="inlineStr">
        <is>
          <t>GÄVLEBORGS LÄN</t>
        </is>
      </c>
      <c r="E99" t="inlineStr">
        <is>
          <t>LJUSDAL</t>
        </is>
      </c>
      <c r="F99" t="inlineStr">
        <is>
          <t>Bergvik skog väst AB</t>
        </is>
      </c>
      <c r="G99" t="n">
        <v>4</v>
      </c>
      <c r="H99" t="n">
        <v>0</v>
      </c>
      <c r="I99" t="n">
        <v>1</v>
      </c>
      <c r="J99" t="n">
        <v>4</v>
      </c>
      <c r="K99" t="n">
        <v>0</v>
      </c>
      <c r="L99" t="n">
        <v>0</v>
      </c>
      <c r="M99" t="n">
        <v>0</v>
      </c>
      <c r="N99" t="n">
        <v>0</v>
      </c>
      <c r="O99" t="n">
        <v>4</v>
      </c>
      <c r="P99" t="n">
        <v>0</v>
      </c>
      <c r="Q99" t="n">
        <v>5</v>
      </c>
      <c r="R99" s="2" t="inlineStr">
        <is>
          <t>Blanksvart spiklav
Kolflarnlav
Vedflamlav
Vedskivlav
Bollvitmossa</t>
        </is>
      </c>
      <c r="S99">
        <f>HYPERLINK("https://klasma.github.io/Logging_2161/artfynd/A 35626-2025 artfynd.xlsx", "A 35626-2025")</f>
        <v/>
      </c>
      <c r="T99">
        <f>HYPERLINK("https://klasma.github.io/Logging_2161/kartor/A 35626-2025 karta.png", "A 35626-2025")</f>
        <v/>
      </c>
      <c r="V99">
        <f>HYPERLINK("https://klasma.github.io/Logging_2161/klagomål/A 35626-2025 FSC-klagomål.docx", "A 35626-2025")</f>
        <v/>
      </c>
      <c r="W99">
        <f>HYPERLINK("https://klasma.github.io/Logging_2161/klagomålsmail/A 35626-2025 FSC-klagomål mail.docx", "A 35626-2025")</f>
        <v/>
      </c>
      <c r="X99">
        <f>HYPERLINK("https://klasma.github.io/Logging_2161/tillsyn/A 35626-2025 tillsynsbegäran.docx", "A 35626-2025")</f>
        <v/>
      </c>
      <c r="Y99">
        <f>HYPERLINK("https://klasma.github.io/Logging_2161/tillsynsmail/A 35626-2025 tillsynsbegäran mail.docx", "A 35626-2025")</f>
        <v/>
      </c>
    </row>
    <row r="100" ht="15" customHeight="1">
      <c r="A100" t="inlineStr">
        <is>
          <t>A 21488-2022</t>
        </is>
      </c>
      <c r="B100" s="1" t="n">
        <v>44706.44454861111</v>
      </c>
      <c r="C100" s="1" t="n">
        <v>45911</v>
      </c>
      <c r="D100" t="inlineStr">
        <is>
          <t>GÄVLEBORGS LÄN</t>
        </is>
      </c>
      <c r="E100" t="inlineStr">
        <is>
          <t>SÖDERHAMN</t>
        </is>
      </c>
      <c r="F100" t="inlineStr">
        <is>
          <t>Bergvik skog väst AB</t>
        </is>
      </c>
      <c r="G100" t="n">
        <v>6</v>
      </c>
      <c r="H100" t="n">
        <v>5</v>
      </c>
      <c r="I100" t="n">
        <v>0</v>
      </c>
      <c r="J100" t="n">
        <v>1</v>
      </c>
      <c r="K100" t="n">
        <v>0</v>
      </c>
      <c r="L100" t="n">
        <v>0</v>
      </c>
      <c r="M100" t="n">
        <v>0</v>
      </c>
      <c r="N100" t="n">
        <v>0</v>
      </c>
      <c r="O100" t="n">
        <v>1</v>
      </c>
      <c r="P100" t="n">
        <v>0</v>
      </c>
      <c r="Q100" t="n">
        <v>5</v>
      </c>
      <c r="R100" s="2" t="inlineStr">
        <is>
          <t>Talltita
Grönsiska
Järnsparv
Kungsfågel
Fläcknycklar</t>
        </is>
      </c>
      <c r="S100">
        <f>HYPERLINK("https://klasma.github.io/Logging_2182/artfynd/A 21488-2022 artfynd.xlsx", "A 21488-2022")</f>
        <v/>
      </c>
      <c r="T100">
        <f>HYPERLINK("https://klasma.github.io/Logging_2182/kartor/A 21488-2022 karta.png", "A 21488-2022")</f>
        <v/>
      </c>
      <c r="V100">
        <f>HYPERLINK("https://klasma.github.io/Logging_2182/klagomål/A 21488-2022 FSC-klagomål.docx", "A 21488-2022")</f>
        <v/>
      </c>
      <c r="W100">
        <f>HYPERLINK("https://klasma.github.io/Logging_2182/klagomålsmail/A 21488-2022 FSC-klagomål mail.docx", "A 21488-2022")</f>
        <v/>
      </c>
      <c r="X100">
        <f>HYPERLINK("https://klasma.github.io/Logging_2182/tillsyn/A 21488-2022 tillsynsbegäran.docx", "A 21488-2022")</f>
        <v/>
      </c>
      <c r="Y100">
        <f>HYPERLINK("https://klasma.github.io/Logging_2182/tillsynsmail/A 21488-2022 tillsynsbegäran mail.docx", "A 21488-2022")</f>
        <v/>
      </c>
      <c r="Z100">
        <f>HYPERLINK("https://klasma.github.io/Logging_2182/fåglar/A 21488-2022 prioriterade fågelarter.docx", "A 21488-2022")</f>
        <v/>
      </c>
    </row>
    <row r="101" ht="15" customHeight="1">
      <c r="A101" t="inlineStr">
        <is>
          <t>A 26687-2025</t>
        </is>
      </c>
      <c r="B101" s="1" t="n">
        <v>45810</v>
      </c>
      <c r="C101" s="1" t="n">
        <v>45911</v>
      </c>
      <c r="D101" t="inlineStr">
        <is>
          <t>GÄVLEBORGS LÄN</t>
        </is>
      </c>
      <c r="E101" t="inlineStr">
        <is>
          <t>BOLLNÄS</t>
        </is>
      </c>
      <c r="F101" t="inlineStr">
        <is>
          <t>Bergvik skog väst AB</t>
        </is>
      </c>
      <c r="G101" t="n">
        <v>13.4</v>
      </c>
      <c r="H101" t="n">
        <v>4</v>
      </c>
      <c r="I101" t="n">
        <v>0</v>
      </c>
      <c r="J101" t="n">
        <v>1</v>
      </c>
      <c r="K101" t="n">
        <v>1</v>
      </c>
      <c r="L101" t="n">
        <v>0</v>
      </c>
      <c r="M101" t="n">
        <v>0</v>
      </c>
      <c r="N101" t="n">
        <v>0</v>
      </c>
      <c r="O101" t="n">
        <v>2</v>
      </c>
      <c r="P101" t="n">
        <v>1</v>
      </c>
      <c r="Q101" t="n">
        <v>5</v>
      </c>
      <c r="R101" s="2" t="inlineStr">
        <is>
          <t>Knärot
Slåtterfibbla
Fläcknycklar
Nattviol
Revlummer</t>
        </is>
      </c>
      <c r="S101">
        <f>HYPERLINK("https://klasma.github.io/Logging_2183/artfynd/A 26687-2025 artfynd.xlsx", "A 26687-2025")</f>
        <v/>
      </c>
      <c r="T101">
        <f>HYPERLINK("https://klasma.github.io/Logging_2183/kartor/A 26687-2025 karta.png", "A 26687-2025")</f>
        <v/>
      </c>
      <c r="U101">
        <f>HYPERLINK("https://klasma.github.io/Logging_2183/knärot/A 26687-2025 karta knärot.png", "A 26687-2025")</f>
        <v/>
      </c>
      <c r="V101">
        <f>HYPERLINK("https://klasma.github.io/Logging_2183/klagomål/A 26687-2025 FSC-klagomål.docx", "A 26687-2025")</f>
        <v/>
      </c>
      <c r="W101">
        <f>HYPERLINK("https://klasma.github.io/Logging_2183/klagomålsmail/A 26687-2025 FSC-klagomål mail.docx", "A 26687-2025")</f>
        <v/>
      </c>
      <c r="X101">
        <f>HYPERLINK("https://klasma.github.io/Logging_2183/tillsyn/A 26687-2025 tillsynsbegäran.docx", "A 26687-2025")</f>
        <v/>
      </c>
      <c r="Y101">
        <f>HYPERLINK("https://klasma.github.io/Logging_2183/tillsynsmail/A 26687-2025 tillsynsbegäran mail.docx", "A 26687-2025")</f>
        <v/>
      </c>
    </row>
    <row r="102" ht="15" customHeight="1">
      <c r="A102" t="inlineStr">
        <is>
          <t>A 31312-2025</t>
        </is>
      </c>
      <c r="B102" s="1" t="n">
        <v>45833</v>
      </c>
      <c r="C102" s="1" t="n">
        <v>45911</v>
      </c>
      <c r="D102" t="inlineStr">
        <is>
          <t>GÄVLEBORGS LÄN</t>
        </is>
      </c>
      <c r="E102" t="inlineStr">
        <is>
          <t>BOLLNÄS</t>
        </is>
      </c>
      <c r="G102" t="n">
        <v>7.7</v>
      </c>
      <c r="H102" t="n">
        <v>5</v>
      </c>
      <c r="I102" t="n">
        <v>0</v>
      </c>
      <c r="J102" t="n">
        <v>3</v>
      </c>
      <c r="K102" t="n">
        <v>0</v>
      </c>
      <c r="L102" t="n">
        <v>0</v>
      </c>
      <c r="M102" t="n">
        <v>0</v>
      </c>
      <c r="N102" t="n">
        <v>0</v>
      </c>
      <c r="O102" t="n">
        <v>3</v>
      </c>
      <c r="P102" t="n">
        <v>0</v>
      </c>
      <c r="Q102" t="n">
        <v>5</v>
      </c>
      <c r="R102" s="2" t="inlineStr">
        <is>
          <t>Brunlångöra
Fransfladdermus
Nordfladdermus
Mustaschfladdermus
Vattenfladdermus</t>
        </is>
      </c>
      <c r="S102">
        <f>HYPERLINK("https://klasma.github.io/Logging_2183/artfynd/A 31312-2025 artfynd.xlsx", "A 31312-2025")</f>
        <v/>
      </c>
      <c r="T102">
        <f>HYPERLINK("https://klasma.github.io/Logging_2183/kartor/A 31312-2025 karta.png", "A 31312-2025")</f>
        <v/>
      </c>
      <c r="V102">
        <f>HYPERLINK("https://klasma.github.io/Logging_2183/klagomål/A 31312-2025 FSC-klagomål.docx", "A 31312-2025")</f>
        <v/>
      </c>
      <c r="W102">
        <f>HYPERLINK("https://klasma.github.io/Logging_2183/klagomålsmail/A 31312-2025 FSC-klagomål mail.docx", "A 31312-2025")</f>
        <v/>
      </c>
      <c r="X102">
        <f>HYPERLINK("https://klasma.github.io/Logging_2183/tillsyn/A 31312-2025 tillsynsbegäran.docx", "A 31312-2025")</f>
        <v/>
      </c>
      <c r="Y102">
        <f>HYPERLINK("https://klasma.github.io/Logging_2183/tillsynsmail/A 31312-2025 tillsynsbegäran mail.docx", "A 31312-2025")</f>
        <v/>
      </c>
    </row>
    <row r="103" ht="15" customHeight="1">
      <c r="A103" t="inlineStr">
        <is>
          <t>A 45278-2022</t>
        </is>
      </c>
      <c r="B103" s="1" t="n">
        <v>44840</v>
      </c>
      <c r="C103" s="1" t="n">
        <v>45911</v>
      </c>
      <c r="D103" t="inlineStr">
        <is>
          <t>GÄVLEBORGS LÄN</t>
        </is>
      </c>
      <c r="E103" t="inlineStr">
        <is>
          <t>GÄVLE</t>
        </is>
      </c>
      <c r="F103" t="inlineStr">
        <is>
          <t>Bergvik skog väst AB</t>
        </is>
      </c>
      <c r="G103" t="n">
        <v>8.5</v>
      </c>
      <c r="H103" t="n">
        <v>1</v>
      </c>
      <c r="I103" t="n">
        <v>4</v>
      </c>
      <c r="J103" t="n">
        <v>0</v>
      </c>
      <c r="K103" t="n">
        <v>0</v>
      </c>
      <c r="L103" t="n">
        <v>0</v>
      </c>
      <c r="M103" t="n">
        <v>0</v>
      </c>
      <c r="N103" t="n">
        <v>0</v>
      </c>
      <c r="O103" t="n">
        <v>0</v>
      </c>
      <c r="P103" t="n">
        <v>0</v>
      </c>
      <c r="Q103" t="n">
        <v>5</v>
      </c>
      <c r="R103" s="2" t="inlineStr">
        <is>
          <t>Grönpyrola
Svart trolldruva
Underviol
Vårärt
Blåsippa</t>
        </is>
      </c>
      <c r="S103">
        <f>HYPERLINK("https://klasma.github.io/Logging_2180/artfynd/A 45278-2022 artfynd.xlsx", "A 45278-2022")</f>
        <v/>
      </c>
      <c r="T103">
        <f>HYPERLINK("https://klasma.github.io/Logging_2180/kartor/A 45278-2022 karta.png", "A 45278-2022")</f>
        <v/>
      </c>
      <c r="V103">
        <f>HYPERLINK("https://klasma.github.io/Logging_2180/klagomål/A 45278-2022 FSC-klagomål.docx", "A 45278-2022")</f>
        <v/>
      </c>
      <c r="W103">
        <f>HYPERLINK("https://klasma.github.io/Logging_2180/klagomålsmail/A 45278-2022 FSC-klagomål mail.docx", "A 45278-2022")</f>
        <v/>
      </c>
      <c r="X103">
        <f>HYPERLINK("https://klasma.github.io/Logging_2180/tillsyn/A 45278-2022 tillsynsbegäran.docx", "A 45278-2022")</f>
        <v/>
      </c>
      <c r="Y103">
        <f>HYPERLINK("https://klasma.github.io/Logging_2180/tillsynsmail/A 45278-2022 tillsynsbegäran mail.docx", "A 45278-2022")</f>
        <v/>
      </c>
    </row>
    <row r="104" ht="15" customHeight="1">
      <c r="A104" t="inlineStr">
        <is>
          <t>A 45388-2024</t>
        </is>
      </c>
      <c r="B104" s="1" t="n">
        <v>45576.54619212963</v>
      </c>
      <c r="C104" s="1" t="n">
        <v>45911</v>
      </c>
      <c r="D104" t="inlineStr">
        <is>
          <t>GÄVLEBORGS LÄN</t>
        </is>
      </c>
      <c r="E104" t="inlineStr">
        <is>
          <t>LJUSDAL</t>
        </is>
      </c>
      <c r="F104" t="inlineStr">
        <is>
          <t>Sveaskog</t>
        </is>
      </c>
      <c r="G104" t="n">
        <v>13.2</v>
      </c>
      <c r="H104" t="n">
        <v>0</v>
      </c>
      <c r="I104" t="n">
        <v>3</v>
      </c>
      <c r="J104" t="n">
        <v>2</v>
      </c>
      <c r="K104" t="n">
        <v>0</v>
      </c>
      <c r="L104" t="n">
        <v>0</v>
      </c>
      <c r="M104" t="n">
        <v>0</v>
      </c>
      <c r="N104" t="n">
        <v>0</v>
      </c>
      <c r="O104" t="n">
        <v>2</v>
      </c>
      <c r="P104" t="n">
        <v>0</v>
      </c>
      <c r="Q104" t="n">
        <v>5</v>
      </c>
      <c r="R104" s="2" t="inlineStr">
        <is>
          <t>Garnlav
Vedskivlav
Gullgröppa
Mindre märgborre
Skinnlav</t>
        </is>
      </c>
      <c r="S104">
        <f>HYPERLINK("https://klasma.github.io/Logging_2161/artfynd/A 45388-2024 artfynd.xlsx", "A 45388-2024")</f>
        <v/>
      </c>
      <c r="T104">
        <f>HYPERLINK("https://klasma.github.io/Logging_2161/kartor/A 45388-2024 karta.png", "A 45388-2024")</f>
        <v/>
      </c>
      <c r="V104">
        <f>HYPERLINK("https://klasma.github.io/Logging_2161/klagomål/A 45388-2024 FSC-klagomål.docx", "A 45388-2024")</f>
        <v/>
      </c>
      <c r="W104">
        <f>HYPERLINK("https://klasma.github.io/Logging_2161/klagomålsmail/A 45388-2024 FSC-klagomål mail.docx", "A 45388-2024")</f>
        <v/>
      </c>
      <c r="X104">
        <f>HYPERLINK("https://klasma.github.io/Logging_2161/tillsyn/A 45388-2024 tillsynsbegäran.docx", "A 45388-2024")</f>
        <v/>
      </c>
      <c r="Y104">
        <f>HYPERLINK("https://klasma.github.io/Logging_2161/tillsynsmail/A 45388-2024 tillsynsbegäran mail.docx", "A 45388-2024")</f>
        <v/>
      </c>
    </row>
    <row r="105" ht="15" customHeight="1">
      <c r="A105" t="inlineStr">
        <is>
          <t>A 23581-2024</t>
        </is>
      </c>
      <c r="B105" s="1" t="n">
        <v>45454</v>
      </c>
      <c r="C105" s="1" t="n">
        <v>45911</v>
      </c>
      <c r="D105" t="inlineStr">
        <is>
          <t>GÄVLEBORGS LÄN</t>
        </is>
      </c>
      <c r="E105" t="inlineStr">
        <is>
          <t>OVANÅKER</t>
        </is>
      </c>
      <c r="F105" t="inlineStr">
        <is>
          <t>Sveaskog</t>
        </is>
      </c>
      <c r="G105" t="n">
        <v>9.199999999999999</v>
      </c>
      <c r="H105" t="n">
        <v>3</v>
      </c>
      <c r="I105" t="n">
        <v>2</v>
      </c>
      <c r="J105" t="n">
        <v>2</v>
      </c>
      <c r="K105" t="n">
        <v>1</v>
      </c>
      <c r="L105" t="n">
        <v>0</v>
      </c>
      <c r="M105" t="n">
        <v>0</v>
      </c>
      <c r="N105" t="n">
        <v>0</v>
      </c>
      <c r="O105" t="n">
        <v>3</v>
      </c>
      <c r="P105" t="n">
        <v>1</v>
      </c>
      <c r="Q105" t="n">
        <v>5</v>
      </c>
      <c r="R105" s="2" t="inlineStr">
        <is>
          <t>Knärot
Mörk kolflarnlav
Spillkråka
Korallrot
Stuplav</t>
        </is>
      </c>
      <c r="S105">
        <f>HYPERLINK("https://klasma.github.io/Logging_2121/artfynd/A 23581-2024 artfynd.xlsx", "A 23581-2024")</f>
        <v/>
      </c>
      <c r="T105">
        <f>HYPERLINK("https://klasma.github.io/Logging_2121/kartor/A 23581-2024 karta.png", "A 23581-2024")</f>
        <v/>
      </c>
      <c r="U105">
        <f>HYPERLINK("https://klasma.github.io/Logging_2121/knärot/A 23581-2024 karta knärot.png", "A 23581-2024")</f>
        <v/>
      </c>
      <c r="V105">
        <f>HYPERLINK("https://klasma.github.io/Logging_2121/klagomål/A 23581-2024 FSC-klagomål.docx", "A 23581-2024")</f>
        <v/>
      </c>
      <c r="W105">
        <f>HYPERLINK("https://klasma.github.io/Logging_2121/klagomålsmail/A 23581-2024 FSC-klagomål mail.docx", "A 23581-2024")</f>
        <v/>
      </c>
      <c r="X105">
        <f>HYPERLINK("https://klasma.github.io/Logging_2121/tillsyn/A 23581-2024 tillsynsbegäran.docx", "A 23581-2024")</f>
        <v/>
      </c>
      <c r="Y105">
        <f>HYPERLINK("https://klasma.github.io/Logging_2121/tillsynsmail/A 23581-2024 tillsynsbegäran mail.docx", "A 23581-2024")</f>
        <v/>
      </c>
      <c r="Z105">
        <f>HYPERLINK("https://klasma.github.io/Logging_2121/fåglar/A 23581-2024 prioriterade fågelarter.docx", "A 23581-2024")</f>
        <v/>
      </c>
    </row>
    <row r="106" ht="15" customHeight="1">
      <c r="A106" t="inlineStr">
        <is>
          <t>A 382-2024</t>
        </is>
      </c>
      <c r="B106" s="1" t="n">
        <v>45296</v>
      </c>
      <c r="C106" s="1" t="n">
        <v>45911</v>
      </c>
      <c r="D106" t="inlineStr">
        <is>
          <t>GÄVLEBORGS LÄN</t>
        </is>
      </c>
      <c r="E106" t="inlineStr">
        <is>
          <t>NORDANSTIG</t>
        </is>
      </c>
      <c r="F106" t="inlineStr">
        <is>
          <t>Holmen skog AB</t>
        </is>
      </c>
      <c r="G106" t="n">
        <v>2.7</v>
      </c>
      <c r="H106" t="n">
        <v>0</v>
      </c>
      <c r="I106" t="n">
        <v>2</v>
      </c>
      <c r="J106" t="n">
        <v>2</v>
      </c>
      <c r="K106" t="n">
        <v>1</v>
      </c>
      <c r="L106" t="n">
        <v>0</v>
      </c>
      <c r="M106" t="n">
        <v>0</v>
      </c>
      <c r="N106" t="n">
        <v>0</v>
      </c>
      <c r="O106" t="n">
        <v>3</v>
      </c>
      <c r="P106" t="n">
        <v>1</v>
      </c>
      <c r="Q106" t="n">
        <v>5</v>
      </c>
      <c r="R106" s="2" t="inlineStr">
        <is>
          <t>Ringlav
Lunglav
Violettgrå tagellav
Stuplav
Vedticka</t>
        </is>
      </c>
      <c r="S106">
        <f>HYPERLINK("https://klasma.github.io/Logging_2132/artfynd/A 382-2024 artfynd.xlsx", "A 382-2024")</f>
        <v/>
      </c>
      <c r="T106">
        <f>HYPERLINK("https://klasma.github.io/Logging_2132/kartor/A 382-2024 karta.png", "A 382-2024")</f>
        <v/>
      </c>
      <c r="V106">
        <f>HYPERLINK("https://klasma.github.io/Logging_2132/klagomål/A 382-2024 FSC-klagomål.docx", "A 382-2024")</f>
        <v/>
      </c>
      <c r="W106">
        <f>HYPERLINK("https://klasma.github.io/Logging_2132/klagomålsmail/A 382-2024 FSC-klagomål mail.docx", "A 382-2024")</f>
        <v/>
      </c>
      <c r="X106">
        <f>HYPERLINK("https://klasma.github.io/Logging_2132/tillsyn/A 382-2024 tillsynsbegäran.docx", "A 382-2024")</f>
        <v/>
      </c>
      <c r="Y106">
        <f>HYPERLINK("https://klasma.github.io/Logging_2132/tillsynsmail/A 382-2024 tillsynsbegäran mail.docx", "A 382-2024")</f>
        <v/>
      </c>
    </row>
    <row r="107" ht="15" customHeight="1">
      <c r="A107" t="inlineStr">
        <is>
          <t>A 21038-2025</t>
        </is>
      </c>
      <c r="B107" s="1" t="n">
        <v>45777.53201388889</v>
      </c>
      <c r="C107" s="1" t="n">
        <v>45911</v>
      </c>
      <c r="D107" t="inlineStr">
        <is>
          <t>GÄVLEBORGS LÄN</t>
        </is>
      </c>
      <c r="E107" t="inlineStr">
        <is>
          <t>LJUSDAL</t>
        </is>
      </c>
      <c r="F107" t="inlineStr">
        <is>
          <t>SCA</t>
        </is>
      </c>
      <c r="G107" t="n">
        <v>3.8</v>
      </c>
      <c r="H107" t="n">
        <v>1</v>
      </c>
      <c r="I107" t="n">
        <v>0</v>
      </c>
      <c r="J107" t="n">
        <v>4</v>
      </c>
      <c r="K107" t="n">
        <v>0</v>
      </c>
      <c r="L107" t="n">
        <v>0</v>
      </c>
      <c r="M107" t="n">
        <v>0</v>
      </c>
      <c r="N107" t="n">
        <v>0</v>
      </c>
      <c r="O107" t="n">
        <v>4</v>
      </c>
      <c r="P107" t="n">
        <v>0</v>
      </c>
      <c r="Q107" t="n">
        <v>5</v>
      </c>
      <c r="R107" s="2" t="inlineStr">
        <is>
          <t>Gammelgransskål
Garnlav
Kolflarnlav
Lunglav
Revlummer</t>
        </is>
      </c>
      <c r="S107">
        <f>HYPERLINK("https://klasma.github.io/Logging_2161/artfynd/A 21038-2025 artfynd.xlsx", "A 21038-2025")</f>
        <v/>
      </c>
      <c r="T107">
        <f>HYPERLINK("https://klasma.github.io/Logging_2161/kartor/A 21038-2025 karta.png", "A 21038-2025")</f>
        <v/>
      </c>
      <c r="V107">
        <f>HYPERLINK("https://klasma.github.io/Logging_2161/klagomål/A 21038-2025 FSC-klagomål.docx", "A 21038-2025")</f>
        <v/>
      </c>
      <c r="W107">
        <f>HYPERLINK("https://klasma.github.io/Logging_2161/klagomålsmail/A 21038-2025 FSC-klagomål mail.docx", "A 21038-2025")</f>
        <v/>
      </c>
      <c r="X107">
        <f>HYPERLINK("https://klasma.github.io/Logging_2161/tillsyn/A 21038-2025 tillsynsbegäran.docx", "A 21038-2025")</f>
        <v/>
      </c>
      <c r="Y107">
        <f>HYPERLINK("https://klasma.github.io/Logging_2161/tillsynsmail/A 21038-2025 tillsynsbegäran mail.docx", "A 21038-2025")</f>
        <v/>
      </c>
    </row>
    <row r="108" ht="15" customHeight="1">
      <c r="A108" t="inlineStr">
        <is>
          <t>A 44589-2022</t>
        </is>
      </c>
      <c r="B108" s="1" t="n">
        <v>44840.52716435185</v>
      </c>
      <c r="C108" s="1" t="n">
        <v>45911</v>
      </c>
      <c r="D108" t="inlineStr">
        <is>
          <t>GÄVLEBORGS LÄN</t>
        </is>
      </c>
      <c r="E108" t="inlineStr">
        <is>
          <t>NORDANSTIG</t>
        </is>
      </c>
      <c r="F108" t="inlineStr">
        <is>
          <t>Holmen skog AB</t>
        </is>
      </c>
      <c r="G108" t="n">
        <v>8.199999999999999</v>
      </c>
      <c r="H108" t="n">
        <v>0</v>
      </c>
      <c r="I108" t="n">
        <v>1</v>
      </c>
      <c r="J108" t="n">
        <v>3</v>
      </c>
      <c r="K108" t="n">
        <v>0</v>
      </c>
      <c r="L108" t="n">
        <v>0</v>
      </c>
      <c r="M108" t="n">
        <v>0</v>
      </c>
      <c r="N108" t="n">
        <v>0</v>
      </c>
      <c r="O108" t="n">
        <v>3</v>
      </c>
      <c r="P108" t="n">
        <v>0</v>
      </c>
      <c r="Q108" t="n">
        <v>4</v>
      </c>
      <c r="R108" s="2" t="inlineStr">
        <is>
          <t>Gammelgransskål
Vedtrappmossa
Vitgrynig nållav
Bollvitmossa</t>
        </is>
      </c>
      <c r="S108">
        <f>HYPERLINK("https://klasma.github.io/Logging_2132/artfynd/A 44589-2022 artfynd.xlsx", "A 44589-2022")</f>
        <v/>
      </c>
      <c r="T108">
        <f>HYPERLINK("https://klasma.github.io/Logging_2132/kartor/A 44589-2022 karta.png", "A 44589-2022")</f>
        <v/>
      </c>
      <c r="V108">
        <f>HYPERLINK("https://klasma.github.io/Logging_2132/klagomål/A 44589-2022 FSC-klagomål.docx", "A 44589-2022")</f>
        <v/>
      </c>
      <c r="W108">
        <f>HYPERLINK("https://klasma.github.io/Logging_2132/klagomålsmail/A 44589-2022 FSC-klagomål mail.docx", "A 44589-2022")</f>
        <v/>
      </c>
      <c r="X108">
        <f>HYPERLINK("https://klasma.github.io/Logging_2132/tillsyn/A 44589-2022 tillsynsbegäran.docx", "A 44589-2022")</f>
        <v/>
      </c>
      <c r="Y108">
        <f>HYPERLINK("https://klasma.github.io/Logging_2132/tillsynsmail/A 44589-2022 tillsynsbegäran mail.docx", "A 44589-2022")</f>
        <v/>
      </c>
    </row>
    <row r="109" ht="15" customHeight="1">
      <c r="A109" t="inlineStr">
        <is>
          <t>A 50160-2020</t>
        </is>
      </c>
      <c r="B109" s="1" t="n">
        <v>44109</v>
      </c>
      <c r="C109" s="1" t="n">
        <v>45911</v>
      </c>
      <c r="D109" t="inlineStr">
        <is>
          <t>GÄVLEBORGS LÄN</t>
        </is>
      </c>
      <c r="E109" t="inlineStr">
        <is>
          <t>HUDIKSVALL</t>
        </is>
      </c>
      <c r="G109" t="n">
        <v>1.8</v>
      </c>
      <c r="H109" t="n">
        <v>1</v>
      </c>
      <c r="I109" t="n">
        <v>1</v>
      </c>
      <c r="J109" t="n">
        <v>2</v>
      </c>
      <c r="K109" t="n">
        <v>0</v>
      </c>
      <c r="L109" t="n">
        <v>0</v>
      </c>
      <c r="M109" t="n">
        <v>0</v>
      </c>
      <c r="N109" t="n">
        <v>0</v>
      </c>
      <c r="O109" t="n">
        <v>2</v>
      </c>
      <c r="P109" t="n">
        <v>0</v>
      </c>
      <c r="Q109" t="n">
        <v>4</v>
      </c>
      <c r="R109" s="2" t="inlineStr">
        <is>
          <t>Gammelgransskål
Garnlav
Bollvitmossa
Revlummer</t>
        </is>
      </c>
      <c r="S109">
        <f>HYPERLINK("https://klasma.github.io/Logging_2184/artfynd/A 50160-2020 artfynd.xlsx", "A 50160-2020")</f>
        <v/>
      </c>
      <c r="T109">
        <f>HYPERLINK("https://klasma.github.io/Logging_2184/kartor/A 50160-2020 karta.png", "A 50160-2020")</f>
        <v/>
      </c>
      <c r="V109">
        <f>HYPERLINK("https://klasma.github.io/Logging_2184/klagomål/A 50160-2020 FSC-klagomål.docx", "A 50160-2020")</f>
        <v/>
      </c>
      <c r="W109">
        <f>HYPERLINK("https://klasma.github.io/Logging_2184/klagomålsmail/A 50160-2020 FSC-klagomål mail.docx", "A 50160-2020")</f>
        <v/>
      </c>
      <c r="X109">
        <f>HYPERLINK("https://klasma.github.io/Logging_2184/tillsyn/A 50160-2020 tillsynsbegäran.docx", "A 50160-2020")</f>
        <v/>
      </c>
      <c r="Y109">
        <f>HYPERLINK("https://klasma.github.io/Logging_2184/tillsynsmail/A 50160-2020 tillsynsbegäran mail.docx", "A 50160-2020")</f>
        <v/>
      </c>
    </row>
    <row r="110" ht="15" customHeight="1">
      <c r="A110" t="inlineStr">
        <is>
          <t>A 48181-2021</t>
        </is>
      </c>
      <c r="B110" s="1" t="n">
        <v>44449</v>
      </c>
      <c r="C110" s="1" t="n">
        <v>45911</v>
      </c>
      <c r="D110" t="inlineStr">
        <is>
          <t>GÄVLEBORGS LÄN</t>
        </is>
      </c>
      <c r="E110" t="inlineStr">
        <is>
          <t>LJUSDAL</t>
        </is>
      </c>
      <c r="F110" t="inlineStr">
        <is>
          <t>Sveaskog</t>
        </is>
      </c>
      <c r="G110" t="n">
        <v>3.9</v>
      </c>
      <c r="H110" t="n">
        <v>0</v>
      </c>
      <c r="I110" t="n">
        <v>1</v>
      </c>
      <c r="J110" t="n">
        <v>3</v>
      </c>
      <c r="K110" t="n">
        <v>0</v>
      </c>
      <c r="L110" t="n">
        <v>0</v>
      </c>
      <c r="M110" t="n">
        <v>0</v>
      </c>
      <c r="N110" t="n">
        <v>0</v>
      </c>
      <c r="O110" t="n">
        <v>3</v>
      </c>
      <c r="P110" t="n">
        <v>0</v>
      </c>
      <c r="Q110" t="n">
        <v>4</v>
      </c>
      <c r="R110" s="2" t="inlineStr">
        <is>
          <t>Garnlav
Kolflarnlav
Lunglav
Dropptaggsvamp</t>
        </is>
      </c>
      <c r="S110">
        <f>HYPERLINK("https://klasma.github.io/Logging_2161/artfynd/A 48181-2021 artfynd.xlsx", "A 48181-2021")</f>
        <v/>
      </c>
      <c r="T110">
        <f>HYPERLINK("https://klasma.github.io/Logging_2161/kartor/A 48181-2021 karta.png", "A 48181-2021")</f>
        <v/>
      </c>
      <c r="V110">
        <f>HYPERLINK("https://klasma.github.io/Logging_2161/klagomål/A 48181-2021 FSC-klagomål.docx", "A 48181-2021")</f>
        <v/>
      </c>
      <c r="W110">
        <f>HYPERLINK("https://klasma.github.io/Logging_2161/klagomålsmail/A 48181-2021 FSC-klagomål mail.docx", "A 48181-2021")</f>
        <v/>
      </c>
      <c r="X110">
        <f>HYPERLINK("https://klasma.github.io/Logging_2161/tillsyn/A 48181-2021 tillsynsbegäran.docx", "A 48181-2021")</f>
        <v/>
      </c>
      <c r="Y110">
        <f>HYPERLINK("https://klasma.github.io/Logging_2161/tillsynsmail/A 48181-2021 tillsynsbegäran mail.docx", "A 48181-2021")</f>
        <v/>
      </c>
    </row>
    <row r="111" ht="15" customHeight="1">
      <c r="A111" t="inlineStr">
        <is>
          <t>A 53249-2023</t>
        </is>
      </c>
      <c r="B111" s="1" t="n">
        <v>45229.5156712963</v>
      </c>
      <c r="C111" s="1" t="n">
        <v>45911</v>
      </c>
      <c r="D111" t="inlineStr">
        <is>
          <t>GÄVLEBORGS LÄN</t>
        </is>
      </c>
      <c r="E111" t="inlineStr">
        <is>
          <t>LJUSDAL</t>
        </is>
      </c>
      <c r="F111" t="inlineStr">
        <is>
          <t>Sveaskog</t>
        </is>
      </c>
      <c r="G111" t="n">
        <v>3.2</v>
      </c>
      <c r="H111" t="n">
        <v>0</v>
      </c>
      <c r="I111" t="n">
        <v>0</v>
      </c>
      <c r="J111" t="n">
        <v>4</v>
      </c>
      <c r="K111" t="n">
        <v>0</v>
      </c>
      <c r="L111" t="n">
        <v>0</v>
      </c>
      <c r="M111" t="n">
        <v>0</v>
      </c>
      <c r="N111" t="n">
        <v>0</v>
      </c>
      <c r="O111" t="n">
        <v>4</v>
      </c>
      <c r="P111" t="n">
        <v>0</v>
      </c>
      <c r="Q111" t="n">
        <v>4</v>
      </c>
      <c r="R111" s="2" t="inlineStr">
        <is>
          <t>Kolflarnlav
Motaggsvamp
Orange taggsvamp
Vedflamlav</t>
        </is>
      </c>
      <c r="S111">
        <f>HYPERLINK("https://klasma.github.io/Logging_2161/artfynd/A 53249-2023 artfynd.xlsx", "A 53249-2023")</f>
        <v/>
      </c>
      <c r="T111">
        <f>HYPERLINK("https://klasma.github.io/Logging_2161/kartor/A 53249-2023 karta.png", "A 53249-2023")</f>
        <v/>
      </c>
      <c r="V111">
        <f>HYPERLINK("https://klasma.github.io/Logging_2161/klagomål/A 53249-2023 FSC-klagomål.docx", "A 53249-2023")</f>
        <v/>
      </c>
      <c r="W111">
        <f>HYPERLINK("https://klasma.github.io/Logging_2161/klagomålsmail/A 53249-2023 FSC-klagomål mail.docx", "A 53249-2023")</f>
        <v/>
      </c>
      <c r="X111">
        <f>HYPERLINK("https://klasma.github.io/Logging_2161/tillsyn/A 53249-2023 tillsynsbegäran.docx", "A 53249-2023")</f>
        <v/>
      </c>
      <c r="Y111">
        <f>HYPERLINK("https://klasma.github.io/Logging_2161/tillsynsmail/A 53249-2023 tillsynsbegäran mail.docx", "A 53249-2023")</f>
        <v/>
      </c>
    </row>
    <row r="112" ht="15" customHeight="1">
      <c r="A112" t="inlineStr">
        <is>
          <t>A 22978-2023</t>
        </is>
      </c>
      <c r="B112" s="1" t="n">
        <v>45072</v>
      </c>
      <c r="C112" s="1" t="n">
        <v>45911</v>
      </c>
      <c r="D112" t="inlineStr">
        <is>
          <t>GÄVLEBORGS LÄN</t>
        </is>
      </c>
      <c r="E112" t="inlineStr">
        <is>
          <t>LJUSDAL</t>
        </is>
      </c>
      <c r="G112" t="n">
        <v>1.8</v>
      </c>
      <c r="H112" t="n">
        <v>2</v>
      </c>
      <c r="I112" t="n">
        <v>0</v>
      </c>
      <c r="J112" t="n">
        <v>2</v>
      </c>
      <c r="K112" t="n">
        <v>1</v>
      </c>
      <c r="L112" t="n">
        <v>0</v>
      </c>
      <c r="M112" t="n">
        <v>0</v>
      </c>
      <c r="N112" t="n">
        <v>0</v>
      </c>
      <c r="O112" t="n">
        <v>3</v>
      </c>
      <c r="P112" t="n">
        <v>1</v>
      </c>
      <c r="Q112" t="n">
        <v>4</v>
      </c>
      <c r="R112" s="2" t="inlineStr">
        <is>
          <t>Knärot
Rosenticka
Ullticka
Revlummer</t>
        </is>
      </c>
      <c r="S112">
        <f>HYPERLINK("https://klasma.github.io/Logging_2161/artfynd/A 22978-2023 artfynd.xlsx", "A 22978-2023")</f>
        <v/>
      </c>
      <c r="T112">
        <f>HYPERLINK("https://klasma.github.io/Logging_2161/kartor/A 22978-2023 karta.png", "A 22978-2023")</f>
        <v/>
      </c>
      <c r="U112">
        <f>HYPERLINK("https://klasma.github.io/Logging_2161/knärot/A 22978-2023 karta knärot.png", "A 22978-2023")</f>
        <v/>
      </c>
      <c r="V112">
        <f>HYPERLINK("https://klasma.github.io/Logging_2161/klagomål/A 22978-2023 FSC-klagomål.docx", "A 22978-2023")</f>
        <v/>
      </c>
      <c r="W112">
        <f>HYPERLINK("https://klasma.github.io/Logging_2161/klagomålsmail/A 22978-2023 FSC-klagomål mail.docx", "A 22978-2023")</f>
        <v/>
      </c>
      <c r="X112">
        <f>HYPERLINK("https://klasma.github.io/Logging_2161/tillsyn/A 22978-2023 tillsynsbegäran.docx", "A 22978-2023")</f>
        <v/>
      </c>
      <c r="Y112">
        <f>HYPERLINK("https://klasma.github.io/Logging_2161/tillsynsmail/A 22978-2023 tillsynsbegäran mail.docx", "A 22978-2023")</f>
        <v/>
      </c>
    </row>
    <row r="113" ht="15" customHeight="1">
      <c r="A113" t="inlineStr">
        <is>
          <t>A 34757-2024</t>
        </is>
      </c>
      <c r="B113" s="1" t="n">
        <v>45526.61099537037</v>
      </c>
      <c r="C113" s="1" t="n">
        <v>45911</v>
      </c>
      <c r="D113" t="inlineStr">
        <is>
          <t>GÄVLEBORGS LÄN</t>
        </is>
      </c>
      <c r="E113" t="inlineStr">
        <is>
          <t>LJUSDAL</t>
        </is>
      </c>
      <c r="F113" t="inlineStr">
        <is>
          <t>Sveaskog</t>
        </is>
      </c>
      <c r="G113" t="n">
        <v>8.300000000000001</v>
      </c>
      <c r="H113" t="n">
        <v>0</v>
      </c>
      <c r="I113" t="n">
        <v>0</v>
      </c>
      <c r="J113" t="n">
        <v>4</v>
      </c>
      <c r="K113" t="n">
        <v>0</v>
      </c>
      <c r="L113" t="n">
        <v>0</v>
      </c>
      <c r="M113" t="n">
        <v>0</v>
      </c>
      <c r="N113" t="n">
        <v>0</v>
      </c>
      <c r="O113" t="n">
        <v>4</v>
      </c>
      <c r="P113" t="n">
        <v>0</v>
      </c>
      <c r="Q113" t="n">
        <v>4</v>
      </c>
      <c r="R113" s="2" t="inlineStr">
        <is>
          <t>Blå taggsvamp
Garnlav
Kolflarnlav
Lunglav</t>
        </is>
      </c>
      <c r="S113">
        <f>HYPERLINK("https://klasma.github.io/Logging_2161/artfynd/A 34757-2024 artfynd.xlsx", "A 34757-2024")</f>
        <v/>
      </c>
      <c r="T113">
        <f>HYPERLINK("https://klasma.github.io/Logging_2161/kartor/A 34757-2024 karta.png", "A 34757-2024")</f>
        <v/>
      </c>
      <c r="V113">
        <f>HYPERLINK("https://klasma.github.io/Logging_2161/klagomål/A 34757-2024 FSC-klagomål.docx", "A 34757-2024")</f>
        <v/>
      </c>
      <c r="W113">
        <f>HYPERLINK("https://klasma.github.io/Logging_2161/klagomålsmail/A 34757-2024 FSC-klagomål mail.docx", "A 34757-2024")</f>
        <v/>
      </c>
      <c r="X113">
        <f>HYPERLINK("https://klasma.github.io/Logging_2161/tillsyn/A 34757-2024 tillsynsbegäran.docx", "A 34757-2024")</f>
        <v/>
      </c>
      <c r="Y113">
        <f>HYPERLINK("https://klasma.github.io/Logging_2161/tillsynsmail/A 34757-2024 tillsynsbegäran mail.docx", "A 34757-2024")</f>
        <v/>
      </c>
    </row>
    <row r="114" ht="15" customHeight="1">
      <c r="A114" t="inlineStr">
        <is>
          <t>A 55773-2024</t>
        </is>
      </c>
      <c r="B114" s="1" t="n">
        <v>45623.39265046296</v>
      </c>
      <c r="C114" s="1" t="n">
        <v>45911</v>
      </c>
      <c r="D114" t="inlineStr">
        <is>
          <t>GÄVLEBORGS LÄN</t>
        </is>
      </c>
      <c r="E114" t="inlineStr">
        <is>
          <t>GÄVLE</t>
        </is>
      </c>
      <c r="F114" t="inlineStr">
        <is>
          <t>Bergvik skog öst AB</t>
        </is>
      </c>
      <c r="G114" t="n">
        <v>19.2</v>
      </c>
      <c r="H114" t="n">
        <v>0</v>
      </c>
      <c r="I114" t="n">
        <v>3</v>
      </c>
      <c r="J114" t="n">
        <v>1</v>
      </c>
      <c r="K114" t="n">
        <v>0</v>
      </c>
      <c r="L114" t="n">
        <v>0</v>
      </c>
      <c r="M114" t="n">
        <v>0</v>
      </c>
      <c r="N114" t="n">
        <v>0</v>
      </c>
      <c r="O114" t="n">
        <v>1</v>
      </c>
      <c r="P114" t="n">
        <v>0</v>
      </c>
      <c r="Q114" t="n">
        <v>4</v>
      </c>
      <c r="R114" s="2" t="inlineStr">
        <is>
          <t>Rutskinn
Sårläka
Underviol
Vårärt</t>
        </is>
      </c>
      <c r="S114">
        <f>HYPERLINK("https://klasma.github.io/Logging_2180/artfynd/A 55773-2024 artfynd.xlsx", "A 55773-2024")</f>
        <v/>
      </c>
      <c r="T114">
        <f>HYPERLINK("https://klasma.github.io/Logging_2180/kartor/A 55773-2024 karta.png", "A 55773-2024")</f>
        <v/>
      </c>
      <c r="V114">
        <f>HYPERLINK("https://klasma.github.io/Logging_2180/klagomål/A 55773-2024 FSC-klagomål.docx", "A 55773-2024")</f>
        <v/>
      </c>
      <c r="W114">
        <f>HYPERLINK("https://klasma.github.io/Logging_2180/klagomålsmail/A 55773-2024 FSC-klagomål mail.docx", "A 55773-2024")</f>
        <v/>
      </c>
      <c r="X114">
        <f>HYPERLINK("https://klasma.github.io/Logging_2180/tillsyn/A 55773-2024 tillsynsbegäran.docx", "A 55773-2024")</f>
        <v/>
      </c>
      <c r="Y114">
        <f>HYPERLINK("https://klasma.github.io/Logging_2180/tillsynsmail/A 55773-2024 tillsynsbegäran mail.docx", "A 55773-2024")</f>
        <v/>
      </c>
    </row>
    <row r="115" ht="15" customHeight="1">
      <c r="A115" t="inlineStr">
        <is>
          <t>A 48689-2024</t>
        </is>
      </c>
      <c r="B115" s="1" t="n">
        <v>45593.50650462963</v>
      </c>
      <c r="C115" s="1" t="n">
        <v>45911</v>
      </c>
      <c r="D115" t="inlineStr">
        <is>
          <t>GÄVLEBORGS LÄN</t>
        </is>
      </c>
      <c r="E115" t="inlineStr">
        <is>
          <t>LJUSDAL</t>
        </is>
      </c>
      <c r="F115" t="inlineStr">
        <is>
          <t>Sveaskog</t>
        </is>
      </c>
      <c r="G115" t="n">
        <v>32.6</v>
      </c>
      <c r="H115" t="n">
        <v>0</v>
      </c>
      <c r="I115" t="n">
        <v>0</v>
      </c>
      <c r="J115" t="n">
        <v>4</v>
      </c>
      <c r="K115" t="n">
        <v>0</v>
      </c>
      <c r="L115" t="n">
        <v>0</v>
      </c>
      <c r="M115" t="n">
        <v>0</v>
      </c>
      <c r="N115" t="n">
        <v>0</v>
      </c>
      <c r="O115" t="n">
        <v>4</v>
      </c>
      <c r="P115" t="n">
        <v>0</v>
      </c>
      <c r="Q115" t="n">
        <v>4</v>
      </c>
      <c r="R115" s="2" t="inlineStr">
        <is>
          <t>Kolflarnlav
Lunglav
Motaggsvamp
Skrovellav</t>
        </is>
      </c>
      <c r="S115">
        <f>HYPERLINK("https://klasma.github.io/Logging_2161/artfynd/A 48689-2024 artfynd.xlsx", "A 48689-2024")</f>
        <v/>
      </c>
      <c r="T115">
        <f>HYPERLINK("https://klasma.github.io/Logging_2161/kartor/A 48689-2024 karta.png", "A 48689-2024")</f>
        <v/>
      </c>
      <c r="V115">
        <f>HYPERLINK("https://klasma.github.io/Logging_2161/klagomål/A 48689-2024 FSC-klagomål.docx", "A 48689-2024")</f>
        <v/>
      </c>
      <c r="W115">
        <f>HYPERLINK("https://klasma.github.io/Logging_2161/klagomålsmail/A 48689-2024 FSC-klagomål mail.docx", "A 48689-2024")</f>
        <v/>
      </c>
      <c r="X115">
        <f>HYPERLINK("https://klasma.github.io/Logging_2161/tillsyn/A 48689-2024 tillsynsbegäran.docx", "A 48689-2024")</f>
        <v/>
      </c>
      <c r="Y115">
        <f>HYPERLINK("https://klasma.github.io/Logging_2161/tillsynsmail/A 48689-2024 tillsynsbegäran mail.docx", "A 48689-2024")</f>
        <v/>
      </c>
    </row>
    <row r="116" ht="15" customHeight="1">
      <c r="A116" t="inlineStr">
        <is>
          <t>A 23404-2021</t>
        </is>
      </c>
      <c r="B116" s="1" t="n">
        <v>44333.65168981482</v>
      </c>
      <c r="C116" s="1" t="n">
        <v>45911</v>
      </c>
      <c r="D116" t="inlineStr">
        <is>
          <t>GÄVLEBORGS LÄN</t>
        </is>
      </c>
      <c r="E116" t="inlineStr">
        <is>
          <t>BOLLNÄS</t>
        </is>
      </c>
      <c r="G116" t="n">
        <v>5.9</v>
      </c>
      <c r="H116" t="n">
        <v>1</v>
      </c>
      <c r="I116" t="n">
        <v>3</v>
      </c>
      <c r="J116" t="n">
        <v>0</v>
      </c>
      <c r="K116" t="n">
        <v>1</v>
      </c>
      <c r="L116" t="n">
        <v>0</v>
      </c>
      <c r="M116" t="n">
        <v>0</v>
      </c>
      <c r="N116" t="n">
        <v>0</v>
      </c>
      <c r="O116" t="n">
        <v>1</v>
      </c>
      <c r="P116" t="n">
        <v>1</v>
      </c>
      <c r="Q116" t="n">
        <v>4</v>
      </c>
      <c r="R116" s="2" t="inlineStr">
        <is>
          <t>Knärot
Dropptaggsvamp
Kattfotslav
Skarp dropptaggsvamp</t>
        </is>
      </c>
      <c r="S116">
        <f>HYPERLINK("https://klasma.github.io/Logging_2183/artfynd/A 23404-2021 artfynd.xlsx", "A 23404-2021")</f>
        <v/>
      </c>
      <c r="T116">
        <f>HYPERLINK("https://klasma.github.io/Logging_2183/kartor/A 23404-2021 karta.png", "A 23404-2021")</f>
        <v/>
      </c>
      <c r="U116">
        <f>HYPERLINK("https://klasma.github.io/Logging_2183/knärot/A 23404-2021 karta knärot.png", "A 23404-2021")</f>
        <v/>
      </c>
      <c r="V116">
        <f>HYPERLINK("https://klasma.github.io/Logging_2183/klagomål/A 23404-2021 FSC-klagomål.docx", "A 23404-2021")</f>
        <v/>
      </c>
      <c r="W116">
        <f>HYPERLINK("https://klasma.github.io/Logging_2183/klagomålsmail/A 23404-2021 FSC-klagomål mail.docx", "A 23404-2021")</f>
        <v/>
      </c>
      <c r="X116">
        <f>HYPERLINK("https://klasma.github.io/Logging_2183/tillsyn/A 23404-2021 tillsynsbegäran.docx", "A 23404-2021")</f>
        <v/>
      </c>
      <c r="Y116">
        <f>HYPERLINK("https://klasma.github.io/Logging_2183/tillsynsmail/A 23404-2021 tillsynsbegäran mail.docx", "A 23404-2021")</f>
        <v/>
      </c>
    </row>
    <row r="117" ht="15" customHeight="1">
      <c r="A117" t="inlineStr">
        <is>
          <t>A 45074-2020</t>
        </is>
      </c>
      <c r="B117" s="1" t="n">
        <v>44088</v>
      </c>
      <c r="C117" s="1" t="n">
        <v>45911</v>
      </c>
      <c r="D117" t="inlineStr">
        <is>
          <t>GÄVLEBORGS LÄN</t>
        </is>
      </c>
      <c r="E117" t="inlineStr">
        <is>
          <t>OCKELBO</t>
        </is>
      </c>
      <c r="G117" t="n">
        <v>3.8</v>
      </c>
      <c r="H117" t="n">
        <v>0</v>
      </c>
      <c r="I117" t="n">
        <v>0</v>
      </c>
      <c r="J117" t="n">
        <v>3</v>
      </c>
      <c r="K117" t="n">
        <v>1</v>
      </c>
      <c r="L117" t="n">
        <v>0</v>
      </c>
      <c r="M117" t="n">
        <v>0</v>
      </c>
      <c r="N117" t="n">
        <v>0</v>
      </c>
      <c r="O117" t="n">
        <v>4</v>
      </c>
      <c r="P117" t="n">
        <v>1</v>
      </c>
      <c r="Q117" t="n">
        <v>4</v>
      </c>
      <c r="R117" s="2" t="inlineStr">
        <is>
          <t>Ostticka
Tallticka
Ullticka
Vedskivlav</t>
        </is>
      </c>
      <c r="S117">
        <f>HYPERLINK("https://klasma.github.io/Logging_2101/artfynd/A 45074-2020 artfynd.xlsx", "A 45074-2020")</f>
        <v/>
      </c>
      <c r="T117">
        <f>HYPERLINK("https://klasma.github.io/Logging_2101/kartor/A 45074-2020 karta.png", "A 45074-2020")</f>
        <v/>
      </c>
      <c r="V117">
        <f>HYPERLINK("https://klasma.github.io/Logging_2101/klagomål/A 45074-2020 FSC-klagomål.docx", "A 45074-2020")</f>
        <v/>
      </c>
      <c r="W117">
        <f>HYPERLINK("https://klasma.github.io/Logging_2101/klagomålsmail/A 45074-2020 FSC-klagomål mail.docx", "A 45074-2020")</f>
        <v/>
      </c>
      <c r="X117">
        <f>HYPERLINK("https://klasma.github.io/Logging_2101/tillsyn/A 45074-2020 tillsynsbegäran.docx", "A 45074-2020")</f>
        <v/>
      </c>
      <c r="Y117">
        <f>HYPERLINK("https://klasma.github.io/Logging_2101/tillsynsmail/A 45074-2020 tillsynsbegäran mail.docx", "A 45074-2020")</f>
        <v/>
      </c>
    </row>
    <row r="118" ht="15" customHeight="1">
      <c r="A118" t="inlineStr">
        <is>
          <t>A 51118-2024</t>
        </is>
      </c>
      <c r="B118" s="1" t="n">
        <v>45603</v>
      </c>
      <c r="C118" s="1" t="n">
        <v>45911</v>
      </c>
      <c r="D118" t="inlineStr">
        <is>
          <t>GÄVLEBORGS LÄN</t>
        </is>
      </c>
      <c r="E118" t="inlineStr">
        <is>
          <t>LJUSDAL</t>
        </is>
      </c>
      <c r="F118" t="inlineStr">
        <is>
          <t>Sveaskog</t>
        </is>
      </c>
      <c r="G118" t="n">
        <v>1.3</v>
      </c>
      <c r="H118" t="n">
        <v>0</v>
      </c>
      <c r="I118" t="n">
        <v>0</v>
      </c>
      <c r="J118" t="n">
        <v>3</v>
      </c>
      <c r="K118" t="n">
        <v>1</v>
      </c>
      <c r="L118" t="n">
        <v>0</v>
      </c>
      <c r="M118" t="n">
        <v>0</v>
      </c>
      <c r="N118" t="n">
        <v>0</v>
      </c>
      <c r="O118" t="n">
        <v>4</v>
      </c>
      <c r="P118" t="n">
        <v>1</v>
      </c>
      <c r="Q118" t="n">
        <v>4</v>
      </c>
      <c r="R118" s="2" t="inlineStr">
        <is>
          <t>Småvänderot
Garnlav
Motaggsvamp
Tallticka</t>
        </is>
      </c>
      <c r="S118">
        <f>HYPERLINK("https://klasma.github.io/Logging_2161/artfynd/A 51118-2024 artfynd.xlsx", "A 51118-2024")</f>
        <v/>
      </c>
      <c r="T118">
        <f>HYPERLINK("https://klasma.github.io/Logging_2161/kartor/A 51118-2024 karta.png", "A 51118-2024")</f>
        <v/>
      </c>
      <c r="V118">
        <f>HYPERLINK("https://klasma.github.io/Logging_2161/klagomål/A 51118-2024 FSC-klagomål.docx", "A 51118-2024")</f>
        <v/>
      </c>
      <c r="W118">
        <f>HYPERLINK("https://klasma.github.io/Logging_2161/klagomålsmail/A 51118-2024 FSC-klagomål mail.docx", "A 51118-2024")</f>
        <v/>
      </c>
      <c r="X118">
        <f>HYPERLINK("https://klasma.github.io/Logging_2161/tillsyn/A 51118-2024 tillsynsbegäran.docx", "A 51118-2024")</f>
        <v/>
      </c>
      <c r="Y118">
        <f>HYPERLINK("https://klasma.github.io/Logging_2161/tillsynsmail/A 51118-2024 tillsynsbegäran mail.docx", "A 51118-2024")</f>
        <v/>
      </c>
    </row>
    <row r="119" ht="15" customHeight="1">
      <c r="A119" t="inlineStr">
        <is>
          <t>A 26446-2025</t>
        </is>
      </c>
      <c r="B119" s="1" t="n">
        <v>45807.4155787037</v>
      </c>
      <c r="C119" s="1" t="n">
        <v>45911</v>
      </c>
      <c r="D119" t="inlineStr">
        <is>
          <t>GÄVLEBORGS LÄN</t>
        </is>
      </c>
      <c r="E119" t="inlineStr">
        <is>
          <t>LJUSDAL</t>
        </is>
      </c>
      <c r="G119" t="n">
        <v>10.4</v>
      </c>
      <c r="H119" t="n">
        <v>2</v>
      </c>
      <c r="I119" t="n">
        <v>1</v>
      </c>
      <c r="J119" t="n">
        <v>2</v>
      </c>
      <c r="K119" t="n">
        <v>0</v>
      </c>
      <c r="L119" t="n">
        <v>0</v>
      </c>
      <c r="M119" t="n">
        <v>0</v>
      </c>
      <c r="N119" t="n">
        <v>0</v>
      </c>
      <c r="O119" t="n">
        <v>2</v>
      </c>
      <c r="P119" t="n">
        <v>0</v>
      </c>
      <c r="Q119" t="n">
        <v>4</v>
      </c>
      <c r="R119" s="2" t="inlineStr">
        <is>
          <t>Garnlav
Talltita
Skinnlav
Revlummer</t>
        </is>
      </c>
      <c r="S119">
        <f>HYPERLINK("https://klasma.github.io/Logging_2161/artfynd/A 26446-2025 artfynd.xlsx", "A 26446-2025")</f>
        <v/>
      </c>
      <c r="T119">
        <f>HYPERLINK("https://klasma.github.io/Logging_2161/kartor/A 26446-2025 karta.png", "A 26446-2025")</f>
        <v/>
      </c>
      <c r="V119">
        <f>HYPERLINK("https://klasma.github.io/Logging_2161/klagomål/A 26446-2025 FSC-klagomål.docx", "A 26446-2025")</f>
        <v/>
      </c>
      <c r="W119">
        <f>HYPERLINK("https://klasma.github.io/Logging_2161/klagomålsmail/A 26446-2025 FSC-klagomål mail.docx", "A 26446-2025")</f>
        <v/>
      </c>
      <c r="X119">
        <f>HYPERLINK("https://klasma.github.io/Logging_2161/tillsyn/A 26446-2025 tillsynsbegäran.docx", "A 26446-2025")</f>
        <v/>
      </c>
      <c r="Y119">
        <f>HYPERLINK("https://klasma.github.io/Logging_2161/tillsynsmail/A 26446-2025 tillsynsbegäran mail.docx", "A 26446-2025")</f>
        <v/>
      </c>
      <c r="Z119">
        <f>HYPERLINK("https://klasma.github.io/Logging_2161/fåglar/A 26446-2025 prioriterade fågelarter.docx", "A 26446-2025")</f>
        <v/>
      </c>
    </row>
    <row r="120" ht="15" customHeight="1">
      <c r="A120" t="inlineStr">
        <is>
          <t>A 27029-2025</t>
        </is>
      </c>
      <c r="B120" s="1" t="n">
        <v>45811.5847337963</v>
      </c>
      <c r="C120" s="1" t="n">
        <v>45911</v>
      </c>
      <c r="D120" t="inlineStr">
        <is>
          <t>GÄVLEBORGS LÄN</t>
        </is>
      </c>
      <c r="E120" t="inlineStr">
        <is>
          <t>LJUSDAL</t>
        </is>
      </c>
      <c r="F120" t="inlineStr">
        <is>
          <t>Allmännings- och besparingsskogar</t>
        </is>
      </c>
      <c r="G120" t="n">
        <v>1.6</v>
      </c>
      <c r="H120" t="n">
        <v>1</v>
      </c>
      <c r="I120" t="n">
        <v>0</v>
      </c>
      <c r="J120" t="n">
        <v>3</v>
      </c>
      <c r="K120" t="n">
        <v>0</v>
      </c>
      <c r="L120" t="n">
        <v>0</v>
      </c>
      <c r="M120" t="n">
        <v>0</v>
      </c>
      <c r="N120" t="n">
        <v>0</v>
      </c>
      <c r="O120" t="n">
        <v>3</v>
      </c>
      <c r="P120" t="n">
        <v>0</v>
      </c>
      <c r="Q120" t="n">
        <v>4</v>
      </c>
      <c r="R120" s="2" t="inlineStr">
        <is>
          <t>Garnlav
Tallticka
Vedskivlav
Tjäder</t>
        </is>
      </c>
      <c r="S120">
        <f>HYPERLINK("https://klasma.github.io/Logging_2161/artfynd/A 27029-2025 artfynd.xlsx", "A 27029-2025")</f>
        <v/>
      </c>
      <c r="T120">
        <f>HYPERLINK("https://klasma.github.io/Logging_2161/kartor/A 27029-2025 karta.png", "A 27029-2025")</f>
        <v/>
      </c>
      <c r="V120">
        <f>HYPERLINK("https://klasma.github.io/Logging_2161/klagomål/A 27029-2025 FSC-klagomål.docx", "A 27029-2025")</f>
        <v/>
      </c>
      <c r="W120">
        <f>HYPERLINK("https://klasma.github.io/Logging_2161/klagomålsmail/A 27029-2025 FSC-klagomål mail.docx", "A 27029-2025")</f>
        <v/>
      </c>
      <c r="X120">
        <f>HYPERLINK("https://klasma.github.io/Logging_2161/tillsyn/A 27029-2025 tillsynsbegäran.docx", "A 27029-2025")</f>
        <v/>
      </c>
      <c r="Y120">
        <f>HYPERLINK("https://klasma.github.io/Logging_2161/tillsynsmail/A 27029-2025 tillsynsbegäran mail.docx", "A 27029-2025")</f>
        <v/>
      </c>
      <c r="Z120">
        <f>HYPERLINK("https://klasma.github.io/Logging_2161/fåglar/A 27029-2025 prioriterade fågelarter.docx", "A 27029-2025")</f>
        <v/>
      </c>
    </row>
    <row r="121" ht="15" customHeight="1">
      <c r="A121" t="inlineStr">
        <is>
          <t>A 31615-2024</t>
        </is>
      </c>
      <c r="B121" s="1" t="n">
        <v>45506.45282407408</v>
      </c>
      <c r="C121" s="1" t="n">
        <v>45911</v>
      </c>
      <c r="D121" t="inlineStr">
        <is>
          <t>GÄVLEBORGS LÄN</t>
        </is>
      </c>
      <c r="E121" t="inlineStr">
        <is>
          <t>LJUSDAL</t>
        </is>
      </c>
      <c r="F121" t="inlineStr">
        <is>
          <t>Sveaskog</t>
        </is>
      </c>
      <c r="G121" t="n">
        <v>15.8</v>
      </c>
      <c r="H121" t="n">
        <v>0</v>
      </c>
      <c r="I121" t="n">
        <v>0</v>
      </c>
      <c r="J121" t="n">
        <v>4</v>
      </c>
      <c r="K121" t="n">
        <v>0</v>
      </c>
      <c r="L121" t="n">
        <v>0</v>
      </c>
      <c r="M121" t="n">
        <v>0</v>
      </c>
      <c r="N121" t="n">
        <v>0</v>
      </c>
      <c r="O121" t="n">
        <v>4</v>
      </c>
      <c r="P121" t="n">
        <v>0</v>
      </c>
      <c r="Q121" t="n">
        <v>4</v>
      </c>
      <c r="R121" s="2" t="inlineStr">
        <is>
          <t>Blanksvart spiklav
Kolflarnlav
Lunglav
Mörk kolflarnlav</t>
        </is>
      </c>
      <c r="S121">
        <f>HYPERLINK("https://klasma.github.io/Logging_2161/artfynd/A 31615-2024 artfynd.xlsx", "A 31615-2024")</f>
        <v/>
      </c>
      <c r="T121">
        <f>HYPERLINK("https://klasma.github.io/Logging_2161/kartor/A 31615-2024 karta.png", "A 31615-2024")</f>
        <v/>
      </c>
      <c r="V121">
        <f>HYPERLINK("https://klasma.github.io/Logging_2161/klagomål/A 31615-2024 FSC-klagomål.docx", "A 31615-2024")</f>
        <v/>
      </c>
      <c r="W121">
        <f>HYPERLINK("https://klasma.github.io/Logging_2161/klagomålsmail/A 31615-2024 FSC-klagomål mail.docx", "A 31615-2024")</f>
        <v/>
      </c>
      <c r="X121">
        <f>HYPERLINK("https://klasma.github.io/Logging_2161/tillsyn/A 31615-2024 tillsynsbegäran.docx", "A 31615-2024")</f>
        <v/>
      </c>
      <c r="Y121">
        <f>HYPERLINK("https://klasma.github.io/Logging_2161/tillsynsmail/A 31615-2024 tillsynsbegäran mail.docx", "A 31615-2024")</f>
        <v/>
      </c>
    </row>
    <row r="122" ht="15" customHeight="1">
      <c r="A122" t="inlineStr">
        <is>
          <t>A 28058-2025</t>
        </is>
      </c>
      <c r="B122" s="1" t="n">
        <v>45817.66333333333</v>
      </c>
      <c r="C122" s="1" t="n">
        <v>45911</v>
      </c>
      <c r="D122" t="inlineStr">
        <is>
          <t>GÄVLEBORGS LÄN</t>
        </is>
      </c>
      <c r="E122" t="inlineStr">
        <is>
          <t>LJUSDAL</t>
        </is>
      </c>
      <c r="F122" t="inlineStr">
        <is>
          <t>Bergvik skog väst AB</t>
        </is>
      </c>
      <c r="G122" t="n">
        <v>27</v>
      </c>
      <c r="H122" t="n">
        <v>1</v>
      </c>
      <c r="I122" t="n">
        <v>2</v>
      </c>
      <c r="J122" t="n">
        <v>1</v>
      </c>
      <c r="K122" t="n">
        <v>0</v>
      </c>
      <c r="L122" t="n">
        <v>0</v>
      </c>
      <c r="M122" t="n">
        <v>0</v>
      </c>
      <c r="N122" t="n">
        <v>0</v>
      </c>
      <c r="O122" t="n">
        <v>1</v>
      </c>
      <c r="P122" t="n">
        <v>0</v>
      </c>
      <c r="Q122" t="n">
        <v>4</v>
      </c>
      <c r="R122" s="2" t="inlineStr">
        <is>
          <t>Lunglav
Korallblylav
Mörk husmossa
Blåsippa</t>
        </is>
      </c>
      <c r="S122">
        <f>HYPERLINK("https://klasma.github.io/Logging_2161/artfynd/A 28058-2025 artfynd.xlsx", "A 28058-2025")</f>
        <v/>
      </c>
      <c r="T122">
        <f>HYPERLINK("https://klasma.github.io/Logging_2161/kartor/A 28058-2025 karta.png", "A 28058-2025")</f>
        <v/>
      </c>
      <c r="V122">
        <f>HYPERLINK("https://klasma.github.io/Logging_2161/klagomål/A 28058-2025 FSC-klagomål.docx", "A 28058-2025")</f>
        <v/>
      </c>
      <c r="W122">
        <f>HYPERLINK("https://klasma.github.io/Logging_2161/klagomålsmail/A 28058-2025 FSC-klagomål mail.docx", "A 28058-2025")</f>
        <v/>
      </c>
      <c r="X122">
        <f>HYPERLINK("https://klasma.github.io/Logging_2161/tillsyn/A 28058-2025 tillsynsbegäran.docx", "A 28058-2025")</f>
        <v/>
      </c>
      <c r="Y122">
        <f>HYPERLINK("https://klasma.github.io/Logging_2161/tillsynsmail/A 28058-2025 tillsynsbegäran mail.docx", "A 28058-2025")</f>
        <v/>
      </c>
    </row>
    <row r="123" ht="15" customHeight="1">
      <c r="A123" t="inlineStr">
        <is>
          <t>A 28857-2025</t>
        </is>
      </c>
      <c r="B123" s="1" t="n">
        <v>45820</v>
      </c>
      <c r="C123" s="1" t="n">
        <v>45911</v>
      </c>
      <c r="D123" t="inlineStr">
        <is>
          <t>GÄVLEBORGS LÄN</t>
        </is>
      </c>
      <c r="E123" t="inlineStr">
        <is>
          <t>LJUSDAL</t>
        </is>
      </c>
      <c r="F123" t="inlineStr">
        <is>
          <t>Bergvik skog väst AB</t>
        </is>
      </c>
      <c r="G123" t="n">
        <v>12.5</v>
      </c>
      <c r="H123" t="n">
        <v>3</v>
      </c>
      <c r="I123" t="n">
        <v>0</v>
      </c>
      <c r="J123" t="n">
        <v>2</v>
      </c>
      <c r="K123" t="n">
        <v>0</v>
      </c>
      <c r="L123" t="n">
        <v>0</v>
      </c>
      <c r="M123" t="n">
        <v>0</v>
      </c>
      <c r="N123" t="n">
        <v>0</v>
      </c>
      <c r="O123" t="n">
        <v>2</v>
      </c>
      <c r="P123" t="n">
        <v>0</v>
      </c>
      <c r="Q123" t="n">
        <v>4</v>
      </c>
      <c r="R123" s="2" t="inlineStr">
        <is>
          <t>Garnlav
Järpe
Grönsiska
Tjäder</t>
        </is>
      </c>
      <c r="S123">
        <f>HYPERLINK("https://klasma.github.io/Logging_2161/artfynd/A 28857-2025 artfynd.xlsx", "A 28857-2025")</f>
        <v/>
      </c>
      <c r="T123">
        <f>HYPERLINK("https://klasma.github.io/Logging_2161/kartor/A 28857-2025 karta.png", "A 28857-2025")</f>
        <v/>
      </c>
      <c r="V123">
        <f>HYPERLINK("https://klasma.github.io/Logging_2161/klagomål/A 28857-2025 FSC-klagomål.docx", "A 28857-2025")</f>
        <v/>
      </c>
      <c r="W123">
        <f>HYPERLINK("https://klasma.github.io/Logging_2161/klagomålsmail/A 28857-2025 FSC-klagomål mail.docx", "A 28857-2025")</f>
        <v/>
      </c>
      <c r="X123">
        <f>HYPERLINK("https://klasma.github.io/Logging_2161/tillsyn/A 28857-2025 tillsynsbegäran.docx", "A 28857-2025")</f>
        <v/>
      </c>
      <c r="Y123">
        <f>HYPERLINK("https://klasma.github.io/Logging_2161/tillsynsmail/A 28857-2025 tillsynsbegäran mail.docx", "A 28857-2025")</f>
        <v/>
      </c>
      <c r="Z123">
        <f>HYPERLINK("https://klasma.github.io/Logging_2161/fåglar/A 28857-2025 prioriterade fågelarter.docx", "A 28857-2025")</f>
        <v/>
      </c>
    </row>
    <row r="124" ht="15" customHeight="1">
      <c r="A124" t="inlineStr">
        <is>
          <t>A 49419-2024</t>
        </is>
      </c>
      <c r="B124" s="1" t="n">
        <v>45595.74886574074</v>
      </c>
      <c r="C124" s="1" t="n">
        <v>45911</v>
      </c>
      <c r="D124" t="inlineStr">
        <is>
          <t>GÄVLEBORGS LÄN</t>
        </is>
      </c>
      <c r="E124" t="inlineStr">
        <is>
          <t>NORDANSTIG</t>
        </is>
      </c>
      <c r="G124" t="n">
        <v>1.3</v>
      </c>
      <c r="H124" t="n">
        <v>0</v>
      </c>
      <c r="I124" t="n">
        <v>2</v>
      </c>
      <c r="J124" t="n">
        <v>1</v>
      </c>
      <c r="K124" t="n">
        <v>1</v>
      </c>
      <c r="L124" t="n">
        <v>0</v>
      </c>
      <c r="M124" t="n">
        <v>0</v>
      </c>
      <c r="N124" t="n">
        <v>0</v>
      </c>
      <c r="O124" t="n">
        <v>2</v>
      </c>
      <c r="P124" t="n">
        <v>1</v>
      </c>
      <c r="Q124" t="n">
        <v>4</v>
      </c>
      <c r="R124" s="2" t="inlineStr">
        <is>
          <t>Goliatmusseron
Skrovlig taggsvamp
Dropptaggsvamp
Skarp dropptaggsvamp</t>
        </is>
      </c>
      <c r="S124">
        <f>HYPERLINK("https://klasma.github.io/Logging_2132/artfynd/A 49419-2024 artfynd.xlsx", "A 49419-2024")</f>
        <v/>
      </c>
      <c r="T124">
        <f>HYPERLINK("https://klasma.github.io/Logging_2132/kartor/A 49419-2024 karta.png", "A 49419-2024")</f>
        <v/>
      </c>
      <c r="V124">
        <f>HYPERLINK("https://klasma.github.io/Logging_2132/klagomål/A 49419-2024 FSC-klagomål.docx", "A 49419-2024")</f>
        <v/>
      </c>
      <c r="W124">
        <f>HYPERLINK("https://klasma.github.io/Logging_2132/klagomålsmail/A 49419-2024 FSC-klagomål mail.docx", "A 49419-2024")</f>
        <v/>
      </c>
      <c r="X124">
        <f>HYPERLINK("https://klasma.github.io/Logging_2132/tillsyn/A 49419-2024 tillsynsbegäran.docx", "A 49419-2024")</f>
        <v/>
      </c>
      <c r="Y124">
        <f>HYPERLINK("https://klasma.github.io/Logging_2132/tillsynsmail/A 49419-2024 tillsynsbegäran mail.docx", "A 49419-2024")</f>
        <v/>
      </c>
    </row>
    <row r="125" ht="15" customHeight="1">
      <c r="A125" t="inlineStr">
        <is>
          <t>A 15650-2024</t>
        </is>
      </c>
      <c r="B125" s="1" t="n">
        <v>45404</v>
      </c>
      <c r="C125" s="1" t="n">
        <v>45911</v>
      </c>
      <c r="D125" t="inlineStr">
        <is>
          <t>GÄVLEBORGS LÄN</t>
        </is>
      </c>
      <c r="E125" t="inlineStr">
        <is>
          <t>SANDVIKEN</t>
        </is>
      </c>
      <c r="F125" t="inlineStr">
        <is>
          <t>Bergvik skog öst AB</t>
        </is>
      </c>
      <c r="G125" t="n">
        <v>9.300000000000001</v>
      </c>
      <c r="H125" t="n">
        <v>1</v>
      </c>
      <c r="I125" t="n">
        <v>3</v>
      </c>
      <c r="J125" t="n">
        <v>0</v>
      </c>
      <c r="K125" t="n">
        <v>1</v>
      </c>
      <c r="L125" t="n">
        <v>0</v>
      </c>
      <c r="M125" t="n">
        <v>0</v>
      </c>
      <c r="N125" t="n">
        <v>0</v>
      </c>
      <c r="O125" t="n">
        <v>1</v>
      </c>
      <c r="P125" t="n">
        <v>1</v>
      </c>
      <c r="Q125" t="n">
        <v>4</v>
      </c>
      <c r="R125" s="2" t="inlineStr">
        <is>
          <t>Knärot
Dropptaggsvamp
Fjällig taggsvamp s.str.
Grönpyrola</t>
        </is>
      </c>
      <c r="S125">
        <f>HYPERLINK("https://klasma.github.io/Logging_2181/artfynd/A 15650-2024 artfynd.xlsx", "A 15650-2024")</f>
        <v/>
      </c>
      <c r="T125">
        <f>HYPERLINK("https://klasma.github.io/Logging_2181/kartor/A 15650-2024 karta.png", "A 15650-2024")</f>
        <v/>
      </c>
      <c r="U125">
        <f>HYPERLINK("https://klasma.github.io/Logging_2181/knärot/A 15650-2024 karta knärot.png", "A 15650-2024")</f>
        <v/>
      </c>
      <c r="V125">
        <f>HYPERLINK("https://klasma.github.io/Logging_2181/klagomål/A 15650-2024 FSC-klagomål.docx", "A 15650-2024")</f>
        <v/>
      </c>
      <c r="W125">
        <f>HYPERLINK("https://klasma.github.io/Logging_2181/klagomålsmail/A 15650-2024 FSC-klagomål mail.docx", "A 15650-2024")</f>
        <v/>
      </c>
      <c r="X125">
        <f>HYPERLINK("https://klasma.github.io/Logging_2181/tillsyn/A 15650-2024 tillsynsbegäran.docx", "A 15650-2024")</f>
        <v/>
      </c>
      <c r="Y125">
        <f>HYPERLINK("https://klasma.github.io/Logging_2181/tillsynsmail/A 15650-2024 tillsynsbegäran mail.docx", "A 15650-2024")</f>
        <v/>
      </c>
    </row>
    <row r="126" ht="15" customHeight="1">
      <c r="A126" t="inlineStr">
        <is>
          <t>A 56774-2023</t>
        </is>
      </c>
      <c r="B126" s="1" t="n">
        <v>45244</v>
      </c>
      <c r="C126" s="1" t="n">
        <v>45911</v>
      </c>
      <c r="D126" t="inlineStr">
        <is>
          <t>GÄVLEBORGS LÄN</t>
        </is>
      </c>
      <c r="E126" t="inlineStr">
        <is>
          <t>LJUSDAL</t>
        </is>
      </c>
      <c r="F126" t="inlineStr">
        <is>
          <t>Sveaskog</t>
        </is>
      </c>
      <c r="G126" t="n">
        <v>2.6</v>
      </c>
      <c r="H126" t="n">
        <v>0</v>
      </c>
      <c r="I126" t="n">
        <v>0</v>
      </c>
      <c r="J126" t="n">
        <v>2</v>
      </c>
      <c r="K126" t="n">
        <v>2</v>
      </c>
      <c r="L126" t="n">
        <v>0</v>
      </c>
      <c r="M126" t="n">
        <v>0</v>
      </c>
      <c r="N126" t="n">
        <v>0</v>
      </c>
      <c r="O126" t="n">
        <v>4</v>
      </c>
      <c r="P126" t="n">
        <v>2</v>
      </c>
      <c r="Q126" t="n">
        <v>4</v>
      </c>
      <c r="R126" s="2" t="inlineStr">
        <is>
          <t>Gräddporing
Turkos blåvinge
Garnlav
Skrovellav</t>
        </is>
      </c>
      <c r="S126">
        <f>HYPERLINK("https://klasma.github.io/Logging_2161/artfynd/A 56774-2023 artfynd.xlsx", "A 56774-2023")</f>
        <v/>
      </c>
      <c r="T126">
        <f>HYPERLINK("https://klasma.github.io/Logging_2161/kartor/A 56774-2023 karta.png", "A 56774-2023")</f>
        <v/>
      </c>
      <c r="V126">
        <f>HYPERLINK("https://klasma.github.io/Logging_2161/klagomål/A 56774-2023 FSC-klagomål.docx", "A 56774-2023")</f>
        <v/>
      </c>
      <c r="W126">
        <f>HYPERLINK("https://klasma.github.io/Logging_2161/klagomålsmail/A 56774-2023 FSC-klagomål mail.docx", "A 56774-2023")</f>
        <v/>
      </c>
      <c r="X126">
        <f>HYPERLINK("https://klasma.github.io/Logging_2161/tillsyn/A 56774-2023 tillsynsbegäran.docx", "A 56774-2023")</f>
        <v/>
      </c>
      <c r="Y126">
        <f>HYPERLINK("https://klasma.github.io/Logging_2161/tillsynsmail/A 56774-2023 tillsynsbegäran mail.docx", "A 56774-2023")</f>
        <v/>
      </c>
    </row>
    <row r="127" ht="15" customHeight="1">
      <c r="A127" t="inlineStr">
        <is>
          <t>A 50308-2024</t>
        </is>
      </c>
      <c r="B127" s="1" t="n">
        <v>45600</v>
      </c>
      <c r="C127" s="1" t="n">
        <v>45911</v>
      </c>
      <c r="D127" t="inlineStr">
        <is>
          <t>GÄVLEBORGS LÄN</t>
        </is>
      </c>
      <c r="E127" t="inlineStr">
        <is>
          <t>LJUSDAL</t>
        </is>
      </c>
      <c r="F127" t="inlineStr">
        <is>
          <t>Sveaskog</t>
        </is>
      </c>
      <c r="G127" t="n">
        <v>22.3</v>
      </c>
      <c r="H127" t="n">
        <v>2</v>
      </c>
      <c r="I127" t="n">
        <v>1</v>
      </c>
      <c r="J127" t="n">
        <v>2</v>
      </c>
      <c r="K127" t="n">
        <v>0</v>
      </c>
      <c r="L127" t="n">
        <v>0</v>
      </c>
      <c r="M127" t="n">
        <v>0</v>
      </c>
      <c r="N127" t="n">
        <v>0</v>
      </c>
      <c r="O127" t="n">
        <v>2</v>
      </c>
      <c r="P127" t="n">
        <v>0</v>
      </c>
      <c r="Q127" t="n">
        <v>4</v>
      </c>
      <c r="R127" s="2" t="inlineStr">
        <is>
          <t>Lunglav
Motaggsvamp
Plattlummer
Fläcknycklar</t>
        </is>
      </c>
      <c r="S127">
        <f>HYPERLINK("https://klasma.github.io/Logging_2161/artfynd/A 50308-2024 artfynd.xlsx", "A 50308-2024")</f>
        <v/>
      </c>
      <c r="T127">
        <f>HYPERLINK("https://klasma.github.io/Logging_2161/kartor/A 50308-2024 karta.png", "A 50308-2024")</f>
        <v/>
      </c>
      <c r="V127">
        <f>HYPERLINK("https://klasma.github.io/Logging_2161/klagomål/A 50308-2024 FSC-klagomål.docx", "A 50308-2024")</f>
        <v/>
      </c>
      <c r="W127">
        <f>HYPERLINK("https://klasma.github.io/Logging_2161/klagomålsmail/A 50308-2024 FSC-klagomål mail.docx", "A 50308-2024")</f>
        <v/>
      </c>
      <c r="X127">
        <f>HYPERLINK("https://klasma.github.io/Logging_2161/tillsyn/A 50308-2024 tillsynsbegäran.docx", "A 50308-2024")</f>
        <v/>
      </c>
      <c r="Y127">
        <f>HYPERLINK("https://klasma.github.io/Logging_2161/tillsynsmail/A 50308-2024 tillsynsbegäran mail.docx", "A 50308-2024")</f>
        <v/>
      </c>
    </row>
    <row r="128" ht="15" customHeight="1">
      <c r="A128" t="inlineStr">
        <is>
          <t>A 38738-2023</t>
        </is>
      </c>
      <c r="B128" s="1" t="n">
        <v>45163</v>
      </c>
      <c r="C128" s="1" t="n">
        <v>45911</v>
      </c>
      <c r="D128" t="inlineStr">
        <is>
          <t>GÄVLEBORGS LÄN</t>
        </is>
      </c>
      <c r="E128" t="inlineStr">
        <is>
          <t>HOFORS</t>
        </is>
      </c>
      <c r="F128" t="inlineStr">
        <is>
          <t>Kyrkan</t>
        </is>
      </c>
      <c r="G128" t="n">
        <v>1.3</v>
      </c>
      <c r="H128" t="n">
        <v>1</v>
      </c>
      <c r="I128" t="n">
        <v>2</v>
      </c>
      <c r="J128" t="n">
        <v>1</v>
      </c>
      <c r="K128" t="n">
        <v>1</v>
      </c>
      <c r="L128" t="n">
        <v>0</v>
      </c>
      <c r="M128" t="n">
        <v>0</v>
      </c>
      <c r="N128" t="n">
        <v>0</v>
      </c>
      <c r="O128" t="n">
        <v>2</v>
      </c>
      <c r="P128" t="n">
        <v>1</v>
      </c>
      <c r="Q128" t="n">
        <v>4</v>
      </c>
      <c r="R128" s="2" t="inlineStr">
        <is>
          <t>Knärot
Svartvit taggsvamp
Fjällig taggsvamp s.str.
Grönpyrola</t>
        </is>
      </c>
      <c r="S128">
        <f>HYPERLINK("https://klasma.github.io/Logging_2104/artfynd/A 38738-2023 artfynd.xlsx", "A 38738-2023")</f>
        <v/>
      </c>
      <c r="T128">
        <f>HYPERLINK("https://klasma.github.io/Logging_2104/kartor/A 38738-2023 karta.png", "A 38738-2023")</f>
        <v/>
      </c>
      <c r="U128">
        <f>HYPERLINK("https://klasma.github.io/Logging_2104/knärot/A 38738-2023 karta knärot.png", "A 38738-2023")</f>
        <v/>
      </c>
      <c r="V128">
        <f>HYPERLINK("https://klasma.github.io/Logging_2104/klagomål/A 38738-2023 FSC-klagomål.docx", "A 38738-2023")</f>
        <v/>
      </c>
      <c r="W128">
        <f>HYPERLINK("https://klasma.github.io/Logging_2104/klagomålsmail/A 38738-2023 FSC-klagomål mail.docx", "A 38738-2023")</f>
        <v/>
      </c>
      <c r="X128">
        <f>HYPERLINK("https://klasma.github.io/Logging_2104/tillsyn/A 38738-2023 tillsynsbegäran.docx", "A 38738-2023")</f>
        <v/>
      </c>
      <c r="Y128">
        <f>HYPERLINK("https://klasma.github.io/Logging_2104/tillsynsmail/A 38738-2023 tillsynsbegäran mail.docx", "A 38738-2023")</f>
        <v/>
      </c>
    </row>
    <row r="129" ht="15" customHeight="1">
      <c r="A129" t="inlineStr">
        <is>
          <t>A 36697-2025</t>
        </is>
      </c>
      <c r="B129" s="1" t="n">
        <v>45873.44015046296</v>
      </c>
      <c r="C129" s="1" t="n">
        <v>45911</v>
      </c>
      <c r="D129" t="inlineStr">
        <is>
          <t>GÄVLEBORGS LÄN</t>
        </is>
      </c>
      <c r="E129" t="inlineStr">
        <is>
          <t>LJUSDAL</t>
        </is>
      </c>
      <c r="F129" t="inlineStr">
        <is>
          <t>Bergvik skog väst AB</t>
        </is>
      </c>
      <c r="G129" t="n">
        <v>8.199999999999999</v>
      </c>
      <c r="H129" t="n">
        <v>2</v>
      </c>
      <c r="I129" t="n">
        <v>0</v>
      </c>
      <c r="J129" t="n">
        <v>4</v>
      </c>
      <c r="K129" t="n">
        <v>0</v>
      </c>
      <c r="L129" t="n">
        <v>0</v>
      </c>
      <c r="M129" t="n">
        <v>0</v>
      </c>
      <c r="N129" t="n">
        <v>0</v>
      </c>
      <c r="O129" t="n">
        <v>4</v>
      </c>
      <c r="P129" t="n">
        <v>0</v>
      </c>
      <c r="Q129" t="n">
        <v>4</v>
      </c>
      <c r="R129" s="2" t="inlineStr">
        <is>
          <t>Kolflarnlav
Spillkråka
Tretåig hackspett
Vedskivlav</t>
        </is>
      </c>
      <c r="S129">
        <f>HYPERLINK("https://klasma.github.io/Logging_2161/artfynd/A 36697-2025 artfynd.xlsx", "A 36697-2025")</f>
        <v/>
      </c>
      <c r="T129">
        <f>HYPERLINK("https://klasma.github.io/Logging_2161/kartor/A 36697-2025 karta.png", "A 36697-2025")</f>
        <v/>
      </c>
      <c r="V129">
        <f>HYPERLINK("https://klasma.github.io/Logging_2161/klagomål/A 36697-2025 FSC-klagomål.docx", "A 36697-2025")</f>
        <v/>
      </c>
      <c r="W129">
        <f>HYPERLINK("https://klasma.github.io/Logging_2161/klagomålsmail/A 36697-2025 FSC-klagomål mail.docx", "A 36697-2025")</f>
        <v/>
      </c>
      <c r="X129">
        <f>HYPERLINK("https://klasma.github.io/Logging_2161/tillsyn/A 36697-2025 tillsynsbegäran.docx", "A 36697-2025")</f>
        <v/>
      </c>
      <c r="Y129">
        <f>HYPERLINK("https://klasma.github.io/Logging_2161/tillsynsmail/A 36697-2025 tillsynsbegäran mail.docx", "A 36697-2025")</f>
        <v/>
      </c>
      <c r="Z129">
        <f>HYPERLINK("https://klasma.github.io/Logging_2161/fåglar/A 36697-2025 prioriterade fågelarter.docx", "A 36697-2025")</f>
        <v/>
      </c>
    </row>
    <row r="130" ht="15" customHeight="1">
      <c r="A130" t="inlineStr">
        <is>
          <t>A 48800-2024</t>
        </is>
      </c>
      <c r="B130" s="1" t="n">
        <v>45593.66131944444</v>
      </c>
      <c r="C130" s="1" t="n">
        <v>45911</v>
      </c>
      <c r="D130" t="inlineStr">
        <is>
          <t>GÄVLEBORGS LÄN</t>
        </is>
      </c>
      <c r="E130" t="inlineStr">
        <is>
          <t>GÄVLE</t>
        </is>
      </c>
      <c r="G130" t="n">
        <v>15.3</v>
      </c>
      <c r="H130" t="n">
        <v>2</v>
      </c>
      <c r="I130" t="n">
        <v>0</v>
      </c>
      <c r="J130" t="n">
        <v>2</v>
      </c>
      <c r="K130" t="n">
        <v>1</v>
      </c>
      <c r="L130" t="n">
        <v>0</v>
      </c>
      <c r="M130" t="n">
        <v>0</v>
      </c>
      <c r="N130" t="n">
        <v>0</v>
      </c>
      <c r="O130" t="n">
        <v>3</v>
      </c>
      <c r="P130" t="n">
        <v>1</v>
      </c>
      <c r="Q130" t="n">
        <v>4</v>
      </c>
      <c r="R130" s="2" t="inlineStr">
        <is>
          <t>Rynkskinn
Järpe
Rosenticka
Fläcknycklar</t>
        </is>
      </c>
      <c r="S130">
        <f>HYPERLINK("https://klasma.github.io/Logging_2180/artfynd/A 48800-2024 artfynd.xlsx", "A 48800-2024")</f>
        <v/>
      </c>
      <c r="T130">
        <f>HYPERLINK("https://klasma.github.io/Logging_2180/kartor/A 48800-2024 karta.png", "A 48800-2024")</f>
        <v/>
      </c>
      <c r="V130">
        <f>HYPERLINK("https://klasma.github.io/Logging_2180/klagomål/A 48800-2024 FSC-klagomål.docx", "A 48800-2024")</f>
        <v/>
      </c>
      <c r="W130">
        <f>HYPERLINK("https://klasma.github.io/Logging_2180/klagomålsmail/A 48800-2024 FSC-klagomål mail.docx", "A 48800-2024")</f>
        <v/>
      </c>
      <c r="X130">
        <f>HYPERLINK("https://klasma.github.io/Logging_2180/tillsyn/A 48800-2024 tillsynsbegäran.docx", "A 48800-2024")</f>
        <v/>
      </c>
      <c r="Y130">
        <f>HYPERLINK("https://klasma.github.io/Logging_2180/tillsynsmail/A 48800-2024 tillsynsbegäran mail.docx", "A 48800-2024")</f>
        <v/>
      </c>
      <c r="Z130">
        <f>HYPERLINK("https://klasma.github.io/Logging_2180/fåglar/A 48800-2024 prioriterade fågelarter.docx", "A 48800-2024")</f>
        <v/>
      </c>
    </row>
    <row r="131" ht="15" customHeight="1">
      <c r="A131" t="inlineStr">
        <is>
          <t>A 32157-2025</t>
        </is>
      </c>
      <c r="B131" s="1" t="n">
        <v>45835.53603009259</v>
      </c>
      <c r="C131" s="1" t="n">
        <v>45911</v>
      </c>
      <c r="D131" t="inlineStr">
        <is>
          <t>GÄVLEBORGS LÄN</t>
        </is>
      </c>
      <c r="E131" t="inlineStr">
        <is>
          <t>HUDIKSVALL</t>
        </is>
      </c>
      <c r="G131" t="n">
        <v>4.5</v>
      </c>
      <c r="H131" t="n">
        <v>3</v>
      </c>
      <c r="I131" t="n">
        <v>0</v>
      </c>
      <c r="J131" t="n">
        <v>1</v>
      </c>
      <c r="K131" t="n">
        <v>1</v>
      </c>
      <c r="L131" t="n">
        <v>0</v>
      </c>
      <c r="M131" t="n">
        <v>0</v>
      </c>
      <c r="N131" t="n">
        <v>0</v>
      </c>
      <c r="O131" t="n">
        <v>2</v>
      </c>
      <c r="P131" t="n">
        <v>1</v>
      </c>
      <c r="Q131" t="n">
        <v>4</v>
      </c>
      <c r="R131" s="2" t="inlineStr">
        <is>
          <t>Knärot
Ullticka
Fläcknycklar
Nattviol</t>
        </is>
      </c>
      <c r="S131">
        <f>HYPERLINK("https://klasma.github.io/Logging_2184/artfynd/A 32157-2025 artfynd.xlsx", "A 32157-2025")</f>
        <v/>
      </c>
      <c r="T131">
        <f>HYPERLINK("https://klasma.github.io/Logging_2184/kartor/A 32157-2025 karta.png", "A 32157-2025")</f>
        <v/>
      </c>
      <c r="U131">
        <f>HYPERLINK("https://klasma.github.io/Logging_2184/knärot/A 32157-2025 karta knärot.png", "A 32157-2025")</f>
        <v/>
      </c>
      <c r="V131">
        <f>HYPERLINK("https://klasma.github.io/Logging_2184/klagomål/A 32157-2025 FSC-klagomål.docx", "A 32157-2025")</f>
        <v/>
      </c>
      <c r="W131">
        <f>HYPERLINK("https://klasma.github.io/Logging_2184/klagomålsmail/A 32157-2025 FSC-klagomål mail.docx", "A 32157-2025")</f>
        <v/>
      </c>
      <c r="X131">
        <f>HYPERLINK("https://klasma.github.io/Logging_2184/tillsyn/A 32157-2025 tillsynsbegäran.docx", "A 32157-2025")</f>
        <v/>
      </c>
      <c r="Y131">
        <f>HYPERLINK("https://klasma.github.io/Logging_2184/tillsynsmail/A 32157-2025 tillsynsbegäran mail.docx", "A 32157-2025")</f>
        <v/>
      </c>
    </row>
    <row r="132" ht="15" customHeight="1">
      <c r="A132" t="inlineStr">
        <is>
          <t>A 31054-2024</t>
        </is>
      </c>
      <c r="B132" s="1" t="n">
        <v>45502.36863425926</v>
      </c>
      <c r="C132" s="1" t="n">
        <v>45911</v>
      </c>
      <c r="D132" t="inlineStr">
        <is>
          <t>GÄVLEBORGS LÄN</t>
        </is>
      </c>
      <c r="E132" t="inlineStr">
        <is>
          <t>NORDANSTIG</t>
        </is>
      </c>
      <c r="F132" t="inlineStr">
        <is>
          <t>Holmen skog AB</t>
        </is>
      </c>
      <c r="G132" t="n">
        <v>4.7</v>
      </c>
      <c r="H132" t="n">
        <v>0</v>
      </c>
      <c r="I132" t="n">
        <v>3</v>
      </c>
      <c r="J132" t="n">
        <v>1</v>
      </c>
      <c r="K132" t="n">
        <v>0</v>
      </c>
      <c r="L132" t="n">
        <v>0</v>
      </c>
      <c r="M132" t="n">
        <v>0</v>
      </c>
      <c r="N132" t="n">
        <v>0</v>
      </c>
      <c r="O132" t="n">
        <v>1</v>
      </c>
      <c r="P132" t="n">
        <v>0</v>
      </c>
      <c r="Q132" t="n">
        <v>4</v>
      </c>
      <c r="R132" s="2" t="inlineStr">
        <is>
          <t>Rosenticka
Kamjordstjärna
Smal svampklubba
Stor aspticka</t>
        </is>
      </c>
      <c r="S132">
        <f>HYPERLINK("https://klasma.github.io/Logging_2132/artfynd/A 31054-2024 artfynd.xlsx", "A 31054-2024")</f>
        <v/>
      </c>
      <c r="T132">
        <f>HYPERLINK("https://klasma.github.io/Logging_2132/kartor/A 31054-2024 karta.png", "A 31054-2024")</f>
        <v/>
      </c>
      <c r="V132">
        <f>HYPERLINK("https://klasma.github.io/Logging_2132/klagomål/A 31054-2024 FSC-klagomål.docx", "A 31054-2024")</f>
        <v/>
      </c>
      <c r="W132">
        <f>HYPERLINK("https://klasma.github.io/Logging_2132/klagomålsmail/A 31054-2024 FSC-klagomål mail.docx", "A 31054-2024")</f>
        <v/>
      </c>
      <c r="X132">
        <f>HYPERLINK("https://klasma.github.io/Logging_2132/tillsyn/A 31054-2024 tillsynsbegäran.docx", "A 31054-2024")</f>
        <v/>
      </c>
      <c r="Y132">
        <f>HYPERLINK("https://klasma.github.io/Logging_2132/tillsynsmail/A 31054-2024 tillsynsbegäran mail.docx", "A 31054-2024")</f>
        <v/>
      </c>
    </row>
    <row r="133" ht="15" customHeight="1">
      <c r="A133" t="inlineStr">
        <is>
          <t>A 37833-2025</t>
        </is>
      </c>
      <c r="B133" s="1" t="n">
        <v>45881.42224537037</v>
      </c>
      <c r="C133" s="1" t="n">
        <v>45911</v>
      </c>
      <c r="D133" t="inlineStr">
        <is>
          <t>GÄVLEBORGS LÄN</t>
        </is>
      </c>
      <c r="E133" t="inlineStr">
        <is>
          <t>LJUSDAL</t>
        </is>
      </c>
      <c r="F133" t="inlineStr">
        <is>
          <t>Bergvik skog väst AB</t>
        </is>
      </c>
      <c r="G133" t="n">
        <v>8.5</v>
      </c>
      <c r="H133" t="n">
        <v>2</v>
      </c>
      <c r="I133" t="n">
        <v>0</v>
      </c>
      <c r="J133" t="n">
        <v>3</v>
      </c>
      <c r="K133" t="n">
        <v>1</v>
      </c>
      <c r="L133" t="n">
        <v>0</v>
      </c>
      <c r="M133" t="n">
        <v>0</v>
      </c>
      <c r="N133" t="n">
        <v>0</v>
      </c>
      <c r="O133" t="n">
        <v>4</v>
      </c>
      <c r="P133" t="n">
        <v>1</v>
      </c>
      <c r="Q133" t="n">
        <v>4</v>
      </c>
      <c r="R133" s="2" t="inlineStr">
        <is>
          <t>Knärot
Lunglav
Skrovellav
Talltita</t>
        </is>
      </c>
      <c r="S133">
        <f>HYPERLINK("https://klasma.github.io/Logging_2161/artfynd/A 37833-2025 artfynd.xlsx", "A 37833-2025")</f>
        <v/>
      </c>
      <c r="T133">
        <f>HYPERLINK("https://klasma.github.io/Logging_2161/kartor/A 37833-2025 karta.png", "A 37833-2025")</f>
        <v/>
      </c>
      <c r="U133">
        <f>HYPERLINK("https://klasma.github.io/Logging_2161/knärot/A 37833-2025 karta knärot.png", "A 37833-2025")</f>
        <v/>
      </c>
      <c r="V133">
        <f>HYPERLINK("https://klasma.github.io/Logging_2161/klagomål/A 37833-2025 FSC-klagomål.docx", "A 37833-2025")</f>
        <v/>
      </c>
      <c r="W133">
        <f>HYPERLINK("https://klasma.github.io/Logging_2161/klagomålsmail/A 37833-2025 FSC-klagomål mail.docx", "A 37833-2025")</f>
        <v/>
      </c>
      <c r="X133">
        <f>HYPERLINK("https://klasma.github.io/Logging_2161/tillsyn/A 37833-2025 tillsynsbegäran.docx", "A 37833-2025")</f>
        <v/>
      </c>
      <c r="Y133">
        <f>HYPERLINK("https://klasma.github.io/Logging_2161/tillsynsmail/A 37833-2025 tillsynsbegäran mail.docx", "A 37833-2025")</f>
        <v/>
      </c>
      <c r="Z133">
        <f>HYPERLINK("https://klasma.github.io/Logging_2161/fåglar/A 37833-2025 prioriterade fågelarter.docx", "A 37833-2025")</f>
        <v/>
      </c>
    </row>
    <row r="134" ht="15" customHeight="1">
      <c r="A134" t="inlineStr">
        <is>
          <t>A 1100-2024</t>
        </is>
      </c>
      <c r="B134" s="1" t="n">
        <v>45302</v>
      </c>
      <c r="C134" s="1" t="n">
        <v>45911</v>
      </c>
      <c r="D134" t="inlineStr">
        <is>
          <t>GÄVLEBORGS LÄN</t>
        </is>
      </c>
      <c r="E134" t="inlineStr">
        <is>
          <t>GÄVLE</t>
        </is>
      </c>
      <c r="F134" t="inlineStr">
        <is>
          <t>Bergvik skog väst AB</t>
        </is>
      </c>
      <c r="G134" t="n">
        <v>3.9</v>
      </c>
      <c r="H134" t="n">
        <v>0</v>
      </c>
      <c r="I134" t="n">
        <v>2</v>
      </c>
      <c r="J134" t="n">
        <v>2</v>
      </c>
      <c r="K134" t="n">
        <v>0</v>
      </c>
      <c r="L134" t="n">
        <v>0</v>
      </c>
      <c r="M134" t="n">
        <v>0</v>
      </c>
      <c r="N134" t="n">
        <v>0</v>
      </c>
      <c r="O134" t="n">
        <v>2</v>
      </c>
      <c r="P134" t="n">
        <v>0</v>
      </c>
      <c r="Q134" t="n">
        <v>4</v>
      </c>
      <c r="R134" s="2" t="inlineStr">
        <is>
          <t>Svart taggsvamp
Vedskivlav
Dropptaggsvamp
Vågbandad barkbock</t>
        </is>
      </c>
      <c r="S134">
        <f>HYPERLINK("https://klasma.github.io/Logging_2180/artfynd/A 1100-2024 artfynd.xlsx", "A 1100-2024")</f>
        <v/>
      </c>
      <c r="T134">
        <f>HYPERLINK("https://klasma.github.io/Logging_2180/kartor/A 1100-2024 karta.png", "A 1100-2024")</f>
        <v/>
      </c>
      <c r="V134">
        <f>HYPERLINK("https://klasma.github.io/Logging_2180/klagomål/A 1100-2024 FSC-klagomål.docx", "A 1100-2024")</f>
        <v/>
      </c>
      <c r="W134">
        <f>HYPERLINK("https://klasma.github.io/Logging_2180/klagomålsmail/A 1100-2024 FSC-klagomål mail.docx", "A 1100-2024")</f>
        <v/>
      </c>
      <c r="X134">
        <f>HYPERLINK("https://klasma.github.io/Logging_2180/tillsyn/A 1100-2024 tillsynsbegäran.docx", "A 1100-2024")</f>
        <v/>
      </c>
      <c r="Y134">
        <f>HYPERLINK("https://klasma.github.io/Logging_2180/tillsynsmail/A 1100-2024 tillsynsbegäran mail.docx", "A 1100-2024")</f>
        <v/>
      </c>
    </row>
    <row r="135" ht="15" customHeight="1">
      <c r="A135" t="inlineStr">
        <is>
          <t>A 26675-2023</t>
        </is>
      </c>
      <c r="B135" s="1" t="n">
        <v>45093</v>
      </c>
      <c r="C135" s="1" t="n">
        <v>45911</v>
      </c>
      <c r="D135" t="inlineStr">
        <is>
          <t>GÄVLEBORGS LÄN</t>
        </is>
      </c>
      <c r="E135" t="inlineStr">
        <is>
          <t>LJUSDAL</t>
        </is>
      </c>
      <c r="F135" t="inlineStr">
        <is>
          <t>Sveaskog</t>
        </is>
      </c>
      <c r="G135" t="n">
        <v>8.300000000000001</v>
      </c>
      <c r="H135" t="n">
        <v>1</v>
      </c>
      <c r="I135" t="n">
        <v>0</v>
      </c>
      <c r="J135" t="n">
        <v>4</v>
      </c>
      <c r="K135" t="n">
        <v>0</v>
      </c>
      <c r="L135" t="n">
        <v>0</v>
      </c>
      <c r="M135" t="n">
        <v>0</v>
      </c>
      <c r="N135" t="n">
        <v>0</v>
      </c>
      <c r="O135" t="n">
        <v>4</v>
      </c>
      <c r="P135" t="n">
        <v>0</v>
      </c>
      <c r="Q135" t="n">
        <v>4</v>
      </c>
      <c r="R135" s="2" t="inlineStr">
        <is>
          <t>Garnlav
Kolflarnlav
Mörk kolflarnlav
Talltita</t>
        </is>
      </c>
      <c r="S135">
        <f>HYPERLINK("https://klasma.github.io/Logging_2161/artfynd/A 26675-2023 artfynd.xlsx", "A 26675-2023")</f>
        <v/>
      </c>
      <c r="T135">
        <f>HYPERLINK("https://klasma.github.io/Logging_2161/kartor/A 26675-2023 karta.png", "A 26675-2023")</f>
        <v/>
      </c>
      <c r="V135">
        <f>HYPERLINK("https://klasma.github.io/Logging_2161/klagomål/A 26675-2023 FSC-klagomål.docx", "A 26675-2023")</f>
        <v/>
      </c>
      <c r="W135">
        <f>HYPERLINK("https://klasma.github.io/Logging_2161/klagomålsmail/A 26675-2023 FSC-klagomål mail.docx", "A 26675-2023")</f>
        <v/>
      </c>
      <c r="X135">
        <f>HYPERLINK("https://klasma.github.io/Logging_2161/tillsyn/A 26675-2023 tillsynsbegäran.docx", "A 26675-2023")</f>
        <v/>
      </c>
      <c r="Y135">
        <f>HYPERLINK("https://klasma.github.io/Logging_2161/tillsynsmail/A 26675-2023 tillsynsbegäran mail.docx", "A 26675-2023")</f>
        <v/>
      </c>
      <c r="Z135">
        <f>HYPERLINK("https://klasma.github.io/Logging_2161/fåglar/A 26675-2023 prioriterade fågelarter.docx", "A 26675-2023")</f>
        <v/>
      </c>
    </row>
    <row r="136" ht="15" customHeight="1">
      <c r="A136" t="inlineStr">
        <is>
          <t>A 38591-2025</t>
        </is>
      </c>
      <c r="B136" s="1" t="n">
        <v>45884.48002314815</v>
      </c>
      <c r="C136" s="1" t="n">
        <v>45911</v>
      </c>
      <c r="D136" t="inlineStr">
        <is>
          <t>GÄVLEBORGS LÄN</t>
        </is>
      </c>
      <c r="E136" t="inlineStr">
        <is>
          <t>LJUSDAL</t>
        </is>
      </c>
      <c r="F136" t="inlineStr">
        <is>
          <t>Bergvik skog väst AB</t>
        </is>
      </c>
      <c r="G136" t="n">
        <v>0.7</v>
      </c>
      <c r="H136" t="n">
        <v>0</v>
      </c>
      <c r="I136" t="n">
        <v>2</v>
      </c>
      <c r="J136" t="n">
        <v>2</v>
      </c>
      <c r="K136" t="n">
        <v>0</v>
      </c>
      <c r="L136" t="n">
        <v>0</v>
      </c>
      <c r="M136" t="n">
        <v>0</v>
      </c>
      <c r="N136" t="n">
        <v>0</v>
      </c>
      <c r="O136" t="n">
        <v>2</v>
      </c>
      <c r="P136" t="n">
        <v>0</v>
      </c>
      <c r="Q136" t="n">
        <v>4</v>
      </c>
      <c r="R136" s="2" t="inlineStr">
        <is>
          <t>Lunglav
Skrovellav
Skinnlav
Stuplav</t>
        </is>
      </c>
      <c r="S136">
        <f>HYPERLINK("https://klasma.github.io/Logging_2161/artfynd/A 38591-2025 artfynd.xlsx", "A 38591-2025")</f>
        <v/>
      </c>
      <c r="T136">
        <f>HYPERLINK("https://klasma.github.io/Logging_2161/kartor/A 38591-2025 karta.png", "A 38591-2025")</f>
        <v/>
      </c>
      <c r="V136">
        <f>HYPERLINK("https://klasma.github.io/Logging_2161/klagomål/A 38591-2025 FSC-klagomål.docx", "A 38591-2025")</f>
        <v/>
      </c>
      <c r="W136">
        <f>HYPERLINK("https://klasma.github.io/Logging_2161/klagomålsmail/A 38591-2025 FSC-klagomål mail.docx", "A 38591-2025")</f>
        <v/>
      </c>
      <c r="X136">
        <f>HYPERLINK("https://klasma.github.io/Logging_2161/tillsyn/A 38591-2025 tillsynsbegäran.docx", "A 38591-2025")</f>
        <v/>
      </c>
      <c r="Y136">
        <f>HYPERLINK("https://klasma.github.io/Logging_2161/tillsynsmail/A 38591-2025 tillsynsbegäran mail.docx", "A 38591-2025")</f>
        <v/>
      </c>
    </row>
    <row r="137" ht="15" customHeight="1">
      <c r="A137" t="inlineStr">
        <is>
          <t>A 33904-2025</t>
        </is>
      </c>
      <c r="B137" s="1" t="n">
        <v>45842</v>
      </c>
      <c r="C137" s="1" t="n">
        <v>45911</v>
      </c>
      <c r="D137" t="inlineStr">
        <is>
          <t>GÄVLEBORGS LÄN</t>
        </is>
      </c>
      <c r="E137" t="inlineStr">
        <is>
          <t>GÄVLE</t>
        </is>
      </c>
      <c r="G137" t="n">
        <v>5.6</v>
      </c>
      <c r="H137" t="n">
        <v>4</v>
      </c>
      <c r="I137" t="n">
        <v>3</v>
      </c>
      <c r="J137" t="n">
        <v>0</v>
      </c>
      <c r="K137" t="n">
        <v>0</v>
      </c>
      <c r="L137" t="n">
        <v>0</v>
      </c>
      <c r="M137" t="n">
        <v>0</v>
      </c>
      <c r="N137" t="n">
        <v>0</v>
      </c>
      <c r="O137" t="n">
        <v>0</v>
      </c>
      <c r="P137" t="n">
        <v>0</v>
      </c>
      <c r="Q137" t="n">
        <v>4</v>
      </c>
      <c r="R137" s="2" t="inlineStr">
        <is>
          <t>Nästrot
Skogsknipprot
Tvåblad
Blåsippa</t>
        </is>
      </c>
      <c r="S137">
        <f>HYPERLINK("https://klasma.github.io/Logging_2180/artfynd/A 33904-2025 artfynd.xlsx", "A 33904-2025")</f>
        <v/>
      </c>
      <c r="T137">
        <f>HYPERLINK("https://klasma.github.io/Logging_2180/kartor/A 33904-2025 karta.png", "A 33904-2025")</f>
        <v/>
      </c>
      <c r="V137">
        <f>HYPERLINK("https://klasma.github.io/Logging_2180/klagomål/A 33904-2025 FSC-klagomål.docx", "A 33904-2025")</f>
        <v/>
      </c>
      <c r="W137">
        <f>HYPERLINK("https://klasma.github.io/Logging_2180/klagomålsmail/A 33904-2025 FSC-klagomål mail.docx", "A 33904-2025")</f>
        <v/>
      </c>
      <c r="X137">
        <f>HYPERLINK("https://klasma.github.io/Logging_2180/tillsyn/A 33904-2025 tillsynsbegäran.docx", "A 33904-2025")</f>
        <v/>
      </c>
      <c r="Y137">
        <f>HYPERLINK("https://klasma.github.io/Logging_2180/tillsynsmail/A 33904-2025 tillsynsbegäran mail.docx", "A 33904-2025")</f>
        <v/>
      </c>
    </row>
    <row r="138" ht="15" customHeight="1">
      <c r="A138" t="inlineStr">
        <is>
          <t>A 14769-2025</t>
        </is>
      </c>
      <c r="B138" s="1" t="n">
        <v>45742.6846875</v>
      </c>
      <c r="C138" s="1" t="n">
        <v>45911</v>
      </c>
      <c r="D138" t="inlineStr">
        <is>
          <t>GÄVLEBORGS LÄN</t>
        </is>
      </c>
      <c r="E138" t="inlineStr">
        <is>
          <t>LJUSDAL</t>
        </is>
      </c>
      <c r="F138" t="inlineStr">
        <is>
          <t>Sveaskog</t>
        </is>
      </c>
      <c r="G138" t="n">
        <v>10.2</v>
      </c>
      <c r="H138" t="n">
        <v>1</v>
      </c>
      <c r="I138" t="n">
        <v>0</v>
      </c>
      <c r="J138" t="n">
        <v>3</v>
      </c>
      <c r="K138" t="n">
        <v>0</v>
      </c>
      <c r="L138" t="n">
        <v>0</v>
      </c>
      <c r="M138" t="n">
        <v>0</v>
      </c>
      <c r="N138" t="n">
        <v>0</v>
      </c>
      <c r="O138" t="n">
        <v>3</v>
      </c>
      <c r="P138" t="n">
        <v>0</v>
      </c>
      <c r="Q138" t="n">
        <v>4</v>
      </c>
      <c r="R138" s="2" t="inlineStr">
        <is>
          <t>Garnlav
Kolflarnlav
Vedflamlav
Fläcknycklar</t>
        </is>
      </c>
      <c r="S138">
        <f>HYPERLINK("https://klasma.github.io/Logging_2161/artfynd/A 14769-2025 artfynd.xlsx", "A 14769-2025")</f>
        <v/>
      </c>
      <c r="T138">
        <f>HYPERLINK("https://klasma.github.io/Logging_2161/kartor/A 14769-2025 karta.png", "A 14769-2025")</f>
        <v/>
      </c>
      <c r="V138">
        <f>HYPERLINK("https://klasma.github.io/Logging_2161/klagomål/A 14769-2025 FSC-klagomål.docx", "A 14769-2025")</f>
        <v/>
      </c>
      <c r="W138">
        <f>HYPERLINK("https://klasma.github.io/Logging_2161/klagomålsmail/A 14769-2025 FSC-klagomål mail.docx", "A 14769-2025")</f>
        <v/>
      </c>
      <c r="X138">
        <f>HYPERLINK("https://klasma.github.io/Logging_2161/tillsyn/A 14769-2025 tillsynsbegäran.docx", "A 14769-2025")</f>
        <v/>
      </c>
      <c r="Y138">
        <f>HYPERLINK("https://klasma.github.io/Logging_2161/tillsynsmail/A 14769-2025 tillsynsbegäran mail.docx", "A 14769-2025")</f>
        <v/>
      </c>
    </row>
    <row r="139" ht="15" customHeight="1">
      <c r="A139" t="inlineStr">
        <is>
          <t>A 69255-2020</t>
        </is>
      </c>
      <c r="B139" s="1" t="n">
        <v>44192</v>
      </c>
      <c r="C139" s="1" t="n">
        <v>45911</v>
      </c>
      <c r="D139" t="inlineStr">
        <is>
          <t>GÄVLEBORGS LÄN</t>
        </is>
      </c>
      <c r="E139" t="inlineStr">
        <is>
          <t>GÄVLE</t>
        </is>
      </c>
      <c r="F139" t="inlineStr">
        <is>
          <t>Kommuner</t>
        </is>
      </c>
      <c r="G139" t="n">
        <v>3.5</v>
      </c>
      <c r="H139" t="n">
        <v>2</v>
      </c>
      <c r="I139" t="n">
        <v>1</v>
      </c>
      <c r="J139" t="n">
        <v>1</v>
      </c>
      <c r="K139" t="n">
        <v>1</v>
      </c>
      <c r="L139" t="n">
        <v>0</v>
      </c>
      <c r="M139" t="n">
        <v>0</v>
      </c>
      <c r="N139" t="n">
        <v>0</v>
      </c>
      <c r="O139" t="n">
        <v>2</v>
      </c>
      <c r="P139" t="n">
        <v>1</v>
      </c>
      <c r="Q139" t="n">
        <v>4</v>
      </c>
      <c r="R139" s="2" t="inlineStr">
        <is>
          <t>Blackticka
Spillkråka
Tjockfotad fingersvamp
Revlummer</t>
        </is>
      </c>
      <c r="S139">
        <f>HYPERLINK("https://klasma.github.io/Logging_2180/artfynd/A 69255-2020 artfynd.xlsx", "A 69255-2020")</f>
        <v/>
      </c>
      <c r="T139">
        <f>HYPERLINK("https://klasma.github.io/Logging_2180/kartor/A 69255-2020 karta.png", "A 69255-2020")</f>
        <v/>
      </c>
      <c r="U139">
        <f>HYPERLINK("https://klasma.github.io/Logging_2180/knärot/A 69255-2020 karta knärot.png", "A 69255-2020")</f>
        <v/>
      </c>
      <c r="V139">
        <f>HYPERLINK("https://klasma.github.io/Logging_2180/klagomål/A 69255-2020 FSC-klagomål.docx", "A 69255-2020")</f>
        <v/>
      </c>
      <c r="W139">
        <f>HYPERLINK("https://klasma.github.io/Logging_2180/klagomålsmail/A 69255-2020 FSC-klagomål mail.docx", "A 69255-2020")</f>
        <v/>
      </c>
      <c r="X139">
        <f>HYPERLINK("https://klasma.github.io/Logging_2180/tillsyn/A 69255-2020 tillsynsbegäran.docx", "A 69255-2020")</f>
        <v/>
      </c>
      <c r="Y139">
        <f>HYPERLINK("https://klasma.github.io/Logging_2180/tillsynsmail/A 69255-2020 tillsynsbegäran mail.docx", "A 69255-2020")</f>
        <v/>
      </c>
      <c r="Z139">
        <f>HYPERLINK("https://klasma.github.io/Logging_2180/fåglar/A 69255-2020 prioriterade fågelarter.docx", "A 69255-2020")</f>
        <v/>
      </c>
    </row>
    <row r="140" ht="15" customHeight="1">
      <c r="A140" t="inlineStr">
        <is>
          <t>A 23393-2024</t>
        </is>
      </c>
      <c r="B140" s="1" t="n">
        <v>45453</v>
      </c>
      <c r="C140" s="1" t="n">
        <v>45911</v>
      </c>
      <c r="D140" t="inlineStr">
        <is>
          <t>GÄVLEBORGS LÄN</t>
        </is>
      </c>
      <c r="E140" t="inlineStr">
        <is>
          <t>LJUSDAL</t>
        </is>
      </c>
      <c r="G140" t="n">
        <v>4</v>
      </c>
      <c r="H140" t="n">
        <v>1</v>
      </c>
      <c r="I140" t="n">
        <v>0</v>
      </c>
      <c r="J140" t="n">
        <v>3</v>
      </c>
      <c r="K140" t="n">
        <v>0</v>
      </c>
      <c r="L140" t="n">
        <v>0</v>
      </c>
      <c r="M140" t="n">
        <v>0</v>
      </c>
      <c r="N140" t="n">
        <v>0</v>
      </c>
      <c r="O140" t="n">
        <v>3</v>
      </c>
      <c r="P140" t="n">
        <v>0</v>
      </c>
      <c r="Q140" t="n">
        <v>4</v>
      </c>
      <c r="R140" s="2" t="inlineStr">
        <is>
          <t>Kolflarnlav
Lunglav
Vedflamlav
Nattviol</t>
        </is>
      </c>
      <c r="S140">
        <f>HYPERLINK("https://klasma.github.io/Logging_2161/artfynd/A 23393-2024 artfynd.xlsx", "A 23393-2024")</f>
        <v/>
      </c>
      <c r="T140">
        <f>HYPERLINK("https://klasma.github.io/Logging_2161/kartor/A 23393-2024 karta.png", "A 23393-2024")</f>
        <v/>
      </c>
      <c r="V140">
        <f>HYPERLINK("https://klasma.github.io/Logging_2161/klagomål/A 23393-2024 FSC-klagomål.docx", "A 23393-2024")</f>
        <v/>
      </c>
      <c r="W140">
        <f>HYPERLINK("https://klasma.github.io/Logging_2161/klagomålsmail/A 23393-2024 FSC-klagomål mail.docx", "A 23393-2024")</f>
        <v/>
      </c>
      <c r="X140">
        <f>HYPERLINK("https://klasma.github.io/Logging_2161/tillsyn/A 23393-2024 tillsynsbegäran.docx", "A 23393-2024")</f>
        <v/>
      </c>
      <c r="Y140">
        <f>HYPERLINK("https://klasma.github.io/Logging_2161/tillsynsmail/A 23393-2024 tillsynsbegäran mail.docx", "A 23393-2024")</f>
        <v/>
      </c>
    </row>
    <row r="141" ht="15" customHeight="1">
      <c r="A141" t="inlineStr">
        <is>
          <t>A 40791-2025</t>
        </is>
      </c>
      <c r="B141" s="1" t="n">
        <v>45897.4484375</v>
      </c>
      <c r="C141" s="1" t="n">
        <v>45911</v>
      </c>
      <c r="D141" t="inlineStr">
        <is>
          <t>GÄVLEBORGS LÄN</t>
        </is>
      </c>
      <c r="E141" t="inlineStr">
        <is>
          <t>LJUSDAL</t>
        </is>
      </c>
      <c r="F141" t="inlineStr">
        <is>
          <t>SCA</t>
        </is>
      </c>
      <c r="G141" t="n">
        <v>1.6</v>
      </c>
      <c r="H141" t="n">
        <v>1</v>
      </c>
      <c r="I141" t="n">
        <v>2</v>
      </c>
      <c r="J141" t="n">
        <v>1</v>
      </c>
      <c r="K141" t="n">
        <v>0</v>
      </c>
      <c r="L141" t="n">
        <v>0</v>
      </c>
      <c r="M141" t="n">
        <v>0</v>
      </c>
      <c r="N141" t="n">
        <v>0</v>
      </c>
      <c r="O141" t="n">
        <v>1</v>
      </c>
      <c r="P141" t="n">
        <v>0</v>
      </c>
      <c r="Q141" t="n">
        <v>4</v>
      </c>
      <c r="R141" s="2" t="inlineStr">
        <is>
          <t>Lunglav
Gulnål
Stuplav
Revlummer</t>
        </is>
      </c>
      <c r="S141">
        <f>HYPERLINK("https://klasma.github.io/Logging_2161/artfynd/A 40791-2025 artfynd.xlsx", "A 40791-2025")</f>
        <v/>
      </c>
      <c r="T141">
        <f>HYPERLINK("https://klasma.github.io/Logging_2161/kartor/A 40791-2025 karta.png", "A 40791-2025")</f>
        <v/>
      </c>
      <c r="V141">
        <f>HYPERLINK("https://klasma.github.io/Logging_2161/klagomål/A 40791-2025 FSC-klagomål.docx", "A 40791-2025")</f>
        <v/>
      </c>
      <c r="W141">
        <f>HYPERLINK("https://klasma.github.io/Logging_2161/klagomålsmail/A 40791-2025 FSC-klagomål mail.docx", "A 40791-2025")</f>
        <v/>
      </c>
      <c r="X141">
        <f>HYPERLINK("https://klasma.github.io/Logging_2161/tillsyn/A 40791-2025 tillsynsbegäran.docx", "A 40791-2025")</f>
        <v/>
      </c>
      <c r="Y141">
        <f>HYPERLINK("https://klasma.github.io/Logging_2161/tillsynsmail/A 40791-2025 tillsynsbegäran mail.docx", "A 40791-2025")</f>
        <v/>
      </c>
    </row>
    <row r="142" ht="15" customHeight="1">
      <c r="A142" t="inlineStr">
        <is>
          <t>A 56800-2023</t>
        </is>
      </c>
      <c r="B142" s="1" t="n">
        <v>45244</v>
      </c>
      <c r="C142" s="1" t="n">
        <v>45911</v>
      </c>
      <c r="D142" t="inlineStr">
        <is>
          <t>GÄVLEBORGS LÄN</t>
        </is>
      </c>
      <c r="E142" t="inlineStr">
        <is>
          <t>LJUSDAL</t>
        </is>
      </c>
      <c r="F142" t="inlineStr">
        <is>
          <t>Sveaskog</t>
        </is>
      </c>
      <c r="G142" t="n">
        <v>7.3</v>
      </c>
      <c r="H142" t="n">
        <v>0</v>
      </c>
      <c r="I142" t="n">
        <v>1</v>
      </c>
      <c r="J142" t="n">
        <v>2</v>
      </c>
      <c r="K142" t="n">
        <v>1</v>
      </c>
      <c r="L142" t="n">
        <v>0</v>
      </c>
      <c r="M142" t="n">
        <v>0</v>
      </c>
      <c r="N142" t="n">
        <v>0</v>
      </c>
      <c r="O142" t="n">
        <v>3</v>
      </c>
      <c r="P142" t="n">
        <v>1</v>
      </c>
      <c r="Q142" t="n">
        <v>4</v>
      </c>
      <c r="R142" s="2" t="inlineStr">
        <is>
          <t>Gräddporing
Gränsticka
Lunglav
Trådticka</t>
        </is>
      </c>
      <c r="S142">
        <f>HYPERLINK("https://klasma.github.io/Logging_2161/artfynd/A 56800-2023 artfynd.xlsx", "A 56800-2023")</f>
        <v/>
      </c>
      <c r="T142">
        <f>HYPERLINK("https://klasma.github.io/Logging_2161/kartor/A 56800-2023 karta.png", "A 56800-2023")</f>
        <v/>
      </c>
      <c r="V142">
        <f>HYPERLINK("https://klasma.github.io/Logging_2161/klagomål/A 56800-2023 FSC-klagomål.docx", "A 56800-2023")</f>
        <v/>
      </c>
      <c r="W142">
        <f>HYPERLINK("https://klasma.github.io/Logging_2161/klagomålsmail/A 56800-2023 FSC-klagomål mail.docx", "A 56800-2023")</f>
        <v/>
      </c>
      <c r="X142">
        <f>HYPERLINK("https://klasma.github.io/Logging_2161/tillsyn/A 56800-2023 tillsynsbegäran.docx", "A 56800-2023")</f>
        <v/>
      </c>
      <c r="Y142">
        <f>HYPERLINK("https://klasma.github.io/Logging_2161/tillsynsmail/A 56800-2023 tillsynsbegäran mail.docx", "A 56800-2023")</f>
        <v/>
      </c>
    </row>
    <row r="143" ht="15" customHeight="1">
      <c r="A143" t="inlineStr">
        <is>
          <t>A 35647-2025</t>
        </is>
      </c>
      <c r="B143" s="1" t="n">
        <v>45859.50240740741</v>
      </c>
      <c r="C143" s="1" t="n">
        <v>45911</v>
      </c>
      <c r="D143" t="inlineStr">
        <is>
          <t>GÄVLEBORGS LÄN</t>
        </is>
      </c>
      <c r="E143" t="inlineStr">
        <is>
          <t>GÄVLE</t>
        </is>
      </c>
      <c r="F143" t="inlineStr">
        <is>
          <t>Bergvik skog väst AB</t>
        </is>
      </c>
      <c r="G143" t="n">
        <v>8.4</v>
      </c>
      <c r="H143" t="n">
        <v>2</v>
      </c>
      <c r="I143" t="n">
        <v>1</v>
      </c>
      <c r="J143" t="n">
        <v>0</v>
      </c>
      <c r="K143" t="n">
        <v>0</v>
      </c>
      <c r="L143" t="n">
        <v>1</v>
      </c>
      <c r="M143" t="n">
        <v>0</v>
      </c>
      <c r="N143" t="n">
        <v>0</v>
      </c>
      <c r="O143" t="n">
        <v>1</v>
      </c>
      <c r="P143" t="n">
        <v>1</v>
      </c>
      <c r="Q143" t="n">
        <v>4</v>
      </c>
      <c r="R143" s="2" t="inlineStr">
        <is>
          <t>Ask
Tibast
Blåsippa
Revlummer</t>
        </is>
      </c>
      <c r="S143">
        <f>HYPERLINK("https://klasma.github.io/Logging_2180/artfynd/A 35647-2025 artfynd.xlsx", "A 35647-2025")</f>
        <v/>
      </c>
      <c r="T143">
        <f>HYPERLINK("https://klasma.github.io/Logging_2180/kartor/A 35647-2025 karta.png", "A 35647-2025")</f>
        <v/>
      </c>
      <c r="V143">
        <f>HYPERLINK("https://klasma.github.io/Logging_2180/klagomål/A 35647-2025 FSC-klagomål.docx", "A 35647-2025")</f>
        <v/>
      </c>
      <c r="W143">
        <f>HYPERLINK("https://klasma.github.io/Logging_2180/klagomålsmail/A 35647-2025 FSC-klagomål mail.docx", "A 35647-2025")</f>
        <v/>
      </c>
      <c r="X143">
        <f>HYPERLINK("https://klasma.github.io/Logging_2180/tillsyn/A 35647-2025 tillsynsbegäran.docx", "A 35647-2025")</f>
        <v/>
      </c>
      <c r="Y143">
        <f>HYPERLINK("https://klasma.github.io/Logging_2180/tillsynsmail/A 35647-2025 tillsynsbegäran mail.docx", "A 35647-2025")</f>
        <v/>
      </c>
    </row>
    <row r="144" ht="15" customHeight="1">
      <c r="A144" t="inlineStr">
        <is>
          <t>A 36672-2023</t>
        </is>
      </c>
      <c r="B144" s="1" t="n">
        <v>45153</v>
      </c>
      <c r="C144" s="1" t="n">
        <v>45911</v>
      </c>
      <c r="D144" t="inlineStr">
        <is>
          <t>GÄVLEBORGS LÄN</t>
        </is>
      </c>
      <c r="E144" t="inlineStr">
        <is>
          <t>SANDVIKEN</t>
        </is>
      </c>
      <c r="G144" t="n">
        <v>6.4</v>
      </c>
      <c r="H144" t="n">
        <v>4</v>
      </c>
      <c r="I144" t="n">
        <v>0</v>
      </c>
      <c r="J144" t="n">
        <v>0</v>
      </c>
      <c r="K144" t="n">
        <v>0</v>
      </c>
      <c r="L144" t="n">
        <v>0</v>
      </c>
      <c r="M144" t="n">
        <v>0</v>
      </c>
      <c r="N144" t="n">
        <v>0</v>
      </c>
      <c r="O144" t="n">
        <v>0</v>
      </c>
      <c r="P144" t="n">
        <v>0</v>
      </c>
      <c r="Q144" t="n">
        <v>4</v>
      </c>
      <c r="R144" s="2" t="inlineStr">
        <is>
          <t>Större vattensalamander
Åkergroda
Mindre vattensalamander
Vanlig groda</t>
        </is>
      </c>
      <c r="S144">
        <f>HYPERLINK("https://klasma.github.io/Logging_2181/artfynd/A 36672-2023 artfynd.xlsx", "A 36672-2023")</f>
        <v/>
      </c>
      <c r="T144">
        <f>HYPERLINK("https://klasma.github.io/Logging_2181/kartor/A 36672-2023 karta.png", "A 36672-2023")</f>
        <v/>
      </c>
      <c r="V144">
        <f>HYPERLINK("https://klasma.github.io/Logging_2181/klagomål/A 36672-2023 FSC-klagomål.docx", "A 36672-2023")</f>
        <v/>
      </c>
      <c r="W144">
        <f>HYPERLINK("https://klasma.github.io/Logging_2181/klagomålsmail/A 36672-2023 FSC-klagomål mail.docx", "A 36672-2023")</f>
        <v/>
      </c>
      <c r="X144">
        <f>HYPERLINK("https://klasma.github.io/Logging_2181/tillsyn/A 36672-2023 tillsynsbegäran.docx", "A 36672-2023")</f>
        <v/>
      </c>
      <c r="Y144">
        <f>HYPERLINK("https://klasma.github.io/Logging_2181/tillsynsmail/A 36672-2023 tillsynsbegäran mail.docx", "A 36672-2023")</f>
        <v/>
      </c>
    </row>
    <row r="145" ht="15" customHeight="1">
      <c r="A145" t="inlineStr">
        <is>
          <t>A 42022-2025</t>
        </is>
      </c>
      <c r="B145" s="1" t="n">
        <v>45903.59134259259</v>
      </c>
      <c r="C145" s="1" t="n">
        <v>45911</v>
      </c>
      <c r="D145" t="inlineStr">
        <is>
          <t>GÄVLEBORGS LÄN</t>
        </is>
      </c>
      <c r="E145" t="inlineStr">
        <is>
          <t>LJUSDAL</t>
        </is>
      </c>
      <c r="F145" t="inlineStr">
        <is>
          <t>Sveaskog</t>
        </is>
      </c>
      <c r="G145" t="n">
        <v>17.7</v>
      </c>
      <c r="H145" t="n">
        <v>1</v>
      </c>
      <c r="I145" t="n">
        <v>0</v>
      </c>
      <c r="J145" t="n">
        <v>3</v>
      </c>
      <c r="K145" t="n">
        <v>0</v>
      </c>
      <c r="L145" t="n">
        <v>0</v>
      </c>
      <c r="M145" t="n">
        <v>0</v>
      </c>
      <c r="N145" t="n">
        <v>0</v>
      </c>
      <c r="O145" t="n">
        <v>3</v>
      </c>
      <c r="P145" t="n">
        <v>0</v>
      </c>
      <c r="Q145" t="n">
        <v>4</v>
      </c>
      <c r="R145" s="2" t="inlineStr">
        <is>
          <t>Garnlav
Kolflarnlav
Vedflamlav
Lavskrika</t>
        </is>
      </c>
      <c r="S145">
        <f>HYPERLINK("https://klasma.github.io/Logging_2161/artfynd/A 42022-2025 artfynd.xlsx", "A 42022-2025")</f>
        <v/>
      </c>
      <c r="T145">
        <f>HYPERLINK("https://klasma.github.io/Logging_2161/kartor/A 42022-2025 karta.png", "A 42022-2025")</f>
        <v/>
      </c>
      <c r="V145">
        <f>HYPERLINK("https://klasma.github.io/Logging_2161/klagomål/A 42022-2025 FSC-klagomål.docx", "A 42022-2025")</f>
        <v/>
      </c>
      <c r="W145">
        <f>HYPERLINK("https://klasma.github.io/Logging_2161/klagomålsmail/A 42022-2025 FSC-klagomål mail.docx", "A 42022-2025")</f>
        <v/>
      </c>
      <c r="X145">
        <f>HYPERLINK("https://klasma.github.io/Logging_2161/tillsyn/A 42022-2025 tillsynsbegäran.docx", "A 42022-2025")</f>
        <v/>
      </c>
      <c r="Y145">
        <f>HYPERLINK("https://klasma.github.io/Logging_2161/tillsynsmail/A 42022-2025 tillsynsbegäran mail.docx", "A 42022-2025")</f>
        <v/>
      </c>
      <c r="Z145">
        <f>HYPERLINK("https://klasma.github.io/Logging_2161/fåglar/A 42022-2025 prioriterade fågelarter.docx", "A 42022-2025")</f>
        <v/>
      </c>
    </row>
    <row r="146" ht="15" customHeight="1">
      <c r="A146" t="inlineStr">
        <is>
          <t>A 60287-2022</t>
        </is>
      </c>
      <c r="B146" s="1" t="n">
        <v>44910.52899305556</v>
      </c>
      <c r="C146" s="1" t="n">
        <v>45911</v>
      </c>
      <c r="D146" t="inlineStr">
        <is>
          <t>GÄVLEBORGS LÄN</t>
        </is>
      </c>
      <c r="E146" t="inlineStr">
        <is>
          <t>OVANÅKER</t>
        </is>
      </c>
      <c r="F146" t="inlineStr">
        <is>
          <t>Sveaskog</t>
        </is>
      </c>
      <c r="G146" t="n">
        <v>1.2</v>
      </c>
      <c r="H146" t="n">
        <v>3</v>
      </c>
      <c r="I146" t="n">
        <v>0</v>
      </c>
      <c r="J146" t="n">
        <v>2</v>
      </c>
      <c r="K146" t="n">
        <v>0</v>
      </c>
      <c r="L146" t="n">
        <v>0</v>
      </c>
      <c r="M146" t="n">
        <v>0</v>
      </c>
      <c r="N146" t="n">
        <v>0</v>
      </c>
      <c r="O146" t="n">
        <v>2</v>
      </c>
      <c r="P146" t="n">
        <v>0</v>
      </c>
      <c r="Q146" t="n">
        <v>4</v>
      </c>
      <c r="R146" s="2" t="inlineStr">
        <is>
          <t>Skogshare
Talltita
Törnskata
Kopparödla</t>
        </is>
      </c>
      <c r="S146">
        <f>HYPERLINK("https://klasma.github.io/Logging_2121/artfynd/A 60287-2022 artfynd.xlsx", "A 60287-2022")</f>
        <v/>
      </c>
      <c r="T146">
        <f>HYPERLINK("https://klasma.github.io/Logging_2121/kartor/A 60287-2022 karta.png", "A 60287-2022")</f>
        <v/>
      </c>
      <c r="V146">
        <f>HYPERLINK("https://klasma.github.io/Logging_2121/klagomål/A 60287-2022 FSC-klagomål.docx", "A 60287-2022")</f>
        <v/>
      </c>
      <c r="W146">
        <f>HYPERLINK("https://klasma.github.io/Logging_2121/klagomålsmail/A 60287-2022 FSC-klagomål mail.docx", "A 60287-2022")</f>
        <v/>
      </c>
      <c r="X146">
        <f>HYPERLINK("https://klasma.github.io/Logging_2121/tillsyn/A 60287-2022 tillsynsbegäran.docx", "A 60287-2022")</f>
        <v/>
      </c>
      <c r="Y146">
        <f>HYPERLINK("https://klasma.github.io/Logging_2121/tillsynsmail/A 60287-2022 tillsynsbegäran mail.docx", "A 60287-2022")</f>
        <v/>
      </c>
      <c r="Z146">
        <f>HYPERLINK("https://klasma.github.io/Logging_2121/fåglar/A 60287-2022 prioriterade fågelarter.docx", "A 60287-2022")</f>
        <v/>
      </c>
    </row>
    <row r="147" ht="15" customHeight="1">
      <c r="A147" t="inlineStr">
        <is>
          <t>A 42046-2025</t>
        </is>
      </c>
      <c r="B147" s="1" t="n">
        <v>45903.62723379629</v>
      </c>
      <c r="C147" s="1" t="n">
        <v>45911</v>
      </c>
      <c r="D147" t="inlineStr">
        <is>
          <t>GÄVLEBORGS LÄN</t>
        </is>
      </c>
      <c r="E147" t="inlineStr">
        <is>
          <t>LJUSDAL</t>
        </is>
      </c>
      <c r="F147" t="inlineStr">
        <is>
          <t>Sveaskog</t>
        </is>
      </c>
      <c r="G147" t="n">
        <v>7.8</v>
      </c>
      <c r="H147" t="n">
        <v>0</v>
      </c>
      <c r="I147" t="n">
        <v>1</v>
      </c>
      <c r="J147" t="n">
        <v>3</v>
      </c>
      <c r="K147" t="n">
        <v>0</v>
      </c>
      <c r="L147" t="n">
        <v>0</v>
      </c>
      <c r="M147" t="n">
        <v>0</v>
      </c>
      <c r="N147" t="n">
        <v>0</v>
      </c>
      <c r="O147" t="n">
        <v>3</v>
      </c>
      <c r="P147" t="n">
        <v>0</v>
      </c>
      <c r="Q147" t="n">
        <v>4</v>
      </c>
      <c r="R147" s="2" t="inlineStr">
        <is>
          <t>Kolflarnlav
Orange taggsvamp
Vedflamlav
Dropptaggsvamp</t>
        </is>
      </c>
      <c r="S147">
        <f>HYPERLINK("https://klasma.github.io/Logging_2161/artfynd/A 42046-2025 artfynd.xlsx", "A 42046-2025")</f>
        <v/>
      </c>
      <c r="T147">
        <f>HYPERLINK("https://klasma.github.io/Logging_2161/kartor/A 42046-2025 karta.png", "A 42046-2025")</f>
        <v/>
      </c>
      <c r="V147">
        <f>HYPERLINK("https://klasma.github.io/Logging_2161/klagomål/A 42046-2025 FSC-klagomål.docx", "A 42046-2025")</f>
        <v/>
      </c>
      <c r="W147">
        <f>HYPERLINK("https://klasma.github.io/Logging_2161/klagomålsmail/A 42046-2025 FSC-klagomål mail.docx", "A 42046-2025")</f>
        <v/>
      </c>
      <c r="X147">
        <f>HYPERLINK("https://klasma.github.io/Logging_2161/tillsyn/A 42046-2025 tillsynsbegäran.docx", "A 42046-2025")</f>
        <v/>
      </c>
      <c r="Y147">
        <f>HYPERLINK("https://klasma.github.io/Logging_2161/tillsynsmail/A 42046-2025 tillsynsbegäran mail.docx", "A 42046-2025")</f>
        <v/>
      </c>
    </row>
    <row r="148" ht="15" customHeight="1">
      <c r="A148" t="inlineStr">
        <is>
          <t>A 42460-2025</t>
        </is>
      </c>
      <c r="B148" s="1" t="n">
        <v>45905.4566087963</v>
      </c>
      <c r="C148" s="1" t="n">
        <v>45911</v>
      </c>
      <c r="D148" t="inlineStr">
        <is>
          <t>GÄVLEBORGS LÄN</t>
        </is>
      </c>
      <c r="E148" t="inlineStr">
        <is>
          <t>LJUSDAL</t>
        </is>
      </c>
      <c r="F148" t="inlineStr">
        <is>
          <t>Sveaskog</t>
        </is>
      </c>
      <c r="G148" t="n">
        <v>7.8</v>
      </c>
      <c r="H148" t="n">
        <v>0</v>
      </c>
      <c r="I148" t="n">
        <v>1</v>
      </c>
      <c r="J148" t="n">
        <v>3</v>
      </c>
      <c r="K148" t="n">
        <v>0</v>
      </c>
      <c r="L148" t="n">
        <v>0</v>
      </c>
      <c r="M148" t="n">
        <v>0</v>
      </c>
      <c r="N148" t="n">
        <v>0</v>
      </c>
      <c r="O148" t="n">
        <v>3</v>
      </c>
      <c r="P148" t="n">
        <v>0</v>
      </c>
      <c r="Q148" t="n">
        <v>4</v>
      </c>
      <c r="R148" s="2" t="inlineStr">
        <is>
          <t>Kolflarnlav
Orange taggsvamp
Vedflamlav
Dropptaggsvamp</t>
        </is>
      </c>
      <c r="S148">
        <f>HYPERLINK("https://klasma.github.io/Logging_2161/artfynd/A 42460-2025 artfynd.xlsx", "A 42460-2025")</f>
        <v/>
      </c>
      <c r="T148">
        <f>HYPERLINK("https://klasma.github.io/Logging_2161/kartor/A 42460-2025 karta.png", "A 42460-2025")</f>
        <v/>
      </c>
      <c r="V148">
        <f>HYPERLINK("https://klasma.github.io/Logging_2161/klagomål/A 42460-2025 FSC-klagomål.docx", "A 42460-2025")</f>
        <v/>
      </c>
      <c r="W148">
        <f>HYPERLINK("https://klasma.github.io/Logging_2161/klagomålsmail/A 42460-2025 FSC-klagomål mail.docx", "A 42460-2025")</f>
        <v/>
      </c>
      <c r="X148">
        <f>HYPERLINK("https://klasma.github.io/Logging_2161/tillsyn/A 42460-2025 tillsynsbegäran.docx", "A 42460-2025")</f>
        <v/>
      </c>
      <c r="Y148">
        <f>HYPERLINK("https://klasma.github.io/Logging_2161/tillsynsmail/A 42460-2025 tillsynsbegäran mail.docx", "A 42460-2025")</f>
        <v/>
      </c>
    </row>
    <row r="149" ht="15" customHeight="1">
      <c r="A149" t="inlineStr">
        <is>
          <t>A 36356-2025</t>
        </is>
      </c>
      <c r="B149" s="1" t="n">
        <v>45868.5106712963</v>
      </c>
      <c r="C149" s="1" t="n">
        <v>45911</v>
      </c>
      <c r="D149" t="inlineStr">
        <is>
          <t>GÄVLEBORGS LÄN</t>
        </is>
      </c>
      <c r="E149" t="inlineStr">
        <is>
          <t>LJUSDAL</t>
        </is>
      </c>
      <c r="G149" t="n">
        <v>23.1</v>
      </c>
      <c r="H149" t="n">
        <v>2</v>
      </c>
      <c r="I149" t="n">
        <v>0</v>
      </c>
      <c r="J149" t="n">
        <v>3</v>
      </c>
      <c r="K149" t="n">
        <v>1</v>
      </c>
      <c r="L149" t="n">
        <v>0</v>
      </c>
      <c r="M149" t="n">
        <v>0</v>
      </c>
      <c r="N149" t="n">
        <v>0</v>
      </c>
      <c r="O149" t="n">
        <v>4</v>
      </c>
      <c r="P149" t="n">
        <v>1</v>
      </c>
      <c r="Q149" t="n">
        <v>4</v>
      </c>
      <c r="R149" s="2" t="inlineStr">
        <is>
          <t>Tallbit
Kolflarnlav
Mörk kolflarnlav
Pilgrimsfalk</t>
        </is>
      </c>
      <c r="S149">
        <f>HYPERLINK("https://klasma.github.io/Logging_2161/artfynd/A 36356-2025 artfynd.xlsx", "A 36356-2025")</f>
        <v/>
      </c>
      <c r="T149">
        <f>HYPERLINK("https://klasma.github.io/Logging_2161/kartor/A 36356-2025 karta.png", "A 36356-2025")</f>
        <v/>
      </c>
      <c r="V149">
        <f>HYPERLINK("https://klasma.github.io/Logging_2161/klagomål/A 36356-2025 FSC-klagomål.docx", "A 36356-2025")</f>
        <v/>
      </c>
      <c r="W149">
        <f>HYPERLINK("https://klasma.github.io/Logging_2161/klagomålsmail/A 36356-2025 FSC-klagomål mail.docx", "A 36356-2025")</f>
        <v/>
      </c>
      <c r="X149">
        <f>HYPERLINK("https://klasma.github.io/Logging_2161/tillsyn/A 36356-2025 tillsynsbegäran.docx", "A 36356-2025")</f>
        <v/>
      </c>
      <c r="Y149">
        <f>HYPERLINK("https://klasma.github.io/Logging_2161/tillsynsmail/A 36356-2025 tillsynsbegäran mail.docx", "A 36356-2025")</f>
        <v/>
      </c>
      <c r="Z149">
        <f>HYPERLINK("https://klasma.github.io/Logging_2161/fåglar/A 36356-2025 prioriterade fågelarter.docx", "A 36356-2025")</f>
        <v/>
      </c>
    </row>
    <row r="150" ht="15" customHeight="1">
      <c r="A150" t="inlineStr">
        <is>
          <t>A 55473-2022</t>
        </is>
      </c>
      <c r="B150" s="1" t="n">
        <v>44887</v>
      </c>
      <c r="C150" s="1" t="n">
        <v>45911</v>
      </c>
      <c r="D150" t="inlineStr">
        <is>
          <t>GÄVLEBORGS LÄN</t>
        </is>
      </c>
      <c r="E150" t="inlineStr">
        <is>
          <t>OVANÅKER</t>
        </is>
      </c>
      <c r="G150" t="n">
        <v>7.9</v>
      </c>
      <c r="H150" t="n">
        <v>0</v>
      </c>
      <c r="I150" t="n">
        <v>1</v>
      </c>
      <c r="J150" t="n">
        <v>3</v>
      </c>
      <c r="K150" t="n">
        <v>0</v>
      </c>
      <c r="L150" t="n">
        <v>0</v>
      </c>
      <c r="M150" t="n">
        <v>0</v>
      </c>
      <c r="N150" t="n">
        <v>0</v>
      </c>
      <c r="O150" t="n">
        <v>3</v>
      </c>
      <c r="P150" t="n">
        <v>0</v>
      </c>
      <c r="Q150" t="n">
        <v>4</v>
      </c>
      <c r="R150" s="2" t="inlineStr">
        <is>
          <t>Dvärgbägarlav
Kolflarnlav
Mörk kolflarnlav
Dropptaggsvamp</t>
        </is>
      </c>
      <c r="S150">
        <f>HYPERLINK("https://klasma.github.io/Logging_2121/artfynd/A 55473-2022 artfynd.xlsx", "A 55473-2022")</f>
        <v/>
      </c>
      <c r="T150">
        <f>HYPERLINK("https://klasma.github.io/Logging_2121/kartor/A 55473-2022 karta.png", "A 55473-2022")</f>
        <v/>
      </c>
      <c r="V150">
        <f>HYPERLINK("https://klasma.github.io/Logging_2121/klagomål/A 55473-2022 FSC-klagomål.docx", "A 55473-2022")</f>
        <v/>
      </c>
      <c r="W150">
        <f>HYPERLINK("https://klasma.github.io/Logging_2121/klagomålsmail/A 55473-2022 FSC-klagomål mail.docx", "A 55473-2022")</f>
        <v/>
      </c>
      <c r="X150">
        <f>HYPERLINK("https://klasma.github.io/Logging_2121/tillsyn/A 55473-2022 tillsynsbegäran.docx", "A 55473-2022")</f>
        <v/>
      </c>
      <c r="Y150">
        <f>HYPERLINK("https://klasma.github.io/Logging_2121/tillsynsmail/A 55473-2022 tillsynsbegäran mail.docx", "A 55473-2022")</f>
        <v/>
      </c>
    </row>
    <row r="151" ht="15" customHeight="1">
      <c r="A151" t="inlineStr">
        <is>
          <t>A 36150-2025</t>
        </is>
      </c>
      <c r="B151" s="1" t="n">
        <v>45867.29993055556</v>
      </c>
      <c r="C151" s="1" t="n">
        <v>45911</v>
      </c>
      <c r="D151" t="inlineStr">
        <is>
          <t>GÄVLEBORGS LÄN</t>
        </is>
      </c>
      <c r="E151" t="inlineStr">
        <is>
          <t>LJUSDAL</t>
        </is>
      </c>
      <c r="F151" t="inlineStr">
        <is>
          <t>Bergvik skog väst AB</t>
        </is>
      </c>
      <c r="G151" t="n">
        <v>6.1</v>
      </c>
      <c r="H151" t="n">
        <v>1</v>
      </c>
      <c r="I151" t="n">
        <v>0</v>
      </c>
      <c r="J151" t="n">
        <v>4</v>
      </c>
      <c r="K151" t="n">
        <v>0</v>
      </c>
      <c r="L151" t="n">
        <v>0</v>
      </c>
      <c r="M151" t="n">
        <v>0</v>
      </c>
      <c r="N151" t="n">
        <v>0</v>
      </c>
      <c r="O151" t="n">
        <v>4</v>
      </c>
      <c r="P151" t="n">
        <v>0</v>
      </c>
      <c r="Q151" t="n">
        <v>4</v>
      </c>
      <c r="R151" s="2" t="inlineStr">
        <is>
          <t>Garnlav
Lunglav
Skrovellav
Tretåig hackspett</t>
        </is>
      </c>
      <c r="S151">
        <f>HYPERLINK("https://klasma.github.io/Logging_2161/artfynd/A 36150-2025 artfynd.xlsx", "A 36150-2025")</f>
        <v/>
      </c>
      <c r="T151">
        <f>HYPERLINK("https://klasma.github.io/Logging_2161/kartor/A 36150-2025 karta.png", "A 36150-2025")</f>
        <v/>
      </c>
      <c r="V151">
        <f>HYPERLINK("https://klasma.github.io/Logging_2161/klagomål/A 36150-2025 FSC-klagomål.docx", "A 36150-2025")</f>
        <v/>
      </c>
      <c r="W151">
        <f>HYPERLINK("https://klasma.github.io/Logging_2161/klagomålsmail/A 36150-2025 FSC-klagomål mail.docx", "A 36150-2025")</f>
        <v/>
      </c>
      <c r="X151">
        <f>HYPERLINK("https://klasma.github.io/Logging_2161/tillsyn/A 36150-2025 tillsynsbegäran.docx", "A 36150-2025")</f>
        <v/>
      </c>
      <c r="Y151">
        <f>HYPERLINK("https://klasma.github.io/Logging_2161/tillsynsmail/A 36150-2025 tillsynsbegäran mail.docx", "A 36150-2025")</f>
        <v/>
      </c>
      <c r="Z151">
        <f>HYPERLINK("https://klasma.github.io/Logging_2161/fåglar/A 36150-2025 prioriterade fågelarter.docx", "A 36150-2025")</f>
        <v/>
      </c>
    </row>
    <row r="152" ht="15" customHeight="1">
      <c r="A152" t="inlineStr">
        <is>
          <t>A 14729-2025</t>
        </is>
      </c>
      <c r="B152" s="1" t="n">
        <v>45742.63572916666</v>
      </c>
      <c r="C152" s="1" t="n">
        <v>45911</v>
      </c>
      <c r="D152" t="inlineStr">
        <is>
          <t>GÄVLEBORGS LÄN</t>
        </is>
      </c>
      <c r="E152" t="inlineStr">
        <is>
          <t>NORDANSTIG</t>
        </is>
      </c>
      <c r="F152" t="inlineStr">
        <is>
          <t>Holmen skog AB</t>
        </is>
      </c>
      <c r="G152" t="n">
        <v>18.5</v>
      </c>
      <c r="H152" t="n">
        <v>1</v>
      </c>
      <c r="I152" t="n">
        <v>0</v>
      </c>
      <c r="J152" t="n">
        <v>1</v>
      </c>
      <c r="K152" t="n">
        <v>1</v>
      </c>
      <c r="L152" t="n">
        <v>2</v>
      </c>
      <c r="M152" t="n">
        <v>0</v>
      </c>
      <c r="N152" t="n">
        <v>0</v>
      </c>
      <c r="O152" t="n">
        <v>4</v>
      </c>
      <c r="P152" t="n">
        <v>3</v>
      </c>
      <c r="Q152" t="n">
        <v>4</v>
      </c>
      <c r="R152" s="2" t="inlineStr">
        <is>
          <t>Mikroskapania
Timmerskapania
Liten hornflikmossa
Vedtrappmossa</t>
        </is>
      </c>
      <c r="S152">
        <f>HYPERLINK("https://klasma.github.io/Logging_2132/artfynd/A 14729-2025 artfynd.xlsx", "A 14729-2025")</f>
        <v/>
      </c>
      <c r="T152">
        <f>HYPERLINK("https://klasma.github.io/Logging_2132/kartor/A 14729-2025 karta.png", "A 14729-2025")</f>
        <v/>
      </c>
      <c r="V152">
        <f>HYPERLINK("https://klasma.github.io/Logging_2132/klagomål/A 14729-2025 FSC-klagomål.docx", "A 14729-2025")</f>
        <v/>
      </c>
      <c r="W152">
        <f>HYPERLINK("https://klasma.github.io/Logging_2132/klagomålsmail/A 14729-2025 FSC-klagomål mail.docx", "A 14729-2025")</f>
        <v/>
      </c>
      <c r="X152">
        <f>HYPERLINK("https://klasma.github.io/Logging_2132/tillsyn/A 14729-2025 tillsynsbegäran.docx", "A 14729-2025")</f>
        <v/>
      </c>
      <c r="Y152">
        <f>HYPERLINK("https://klasma.github.io/Logging_2132/tillsynsmail/A 14729-2025 tillsynsbegäran mail.docx", "A 14729-2025")</f>
        <v/>
      </c>
    </row>
    <row r="153" ht="15" customHeight="1">
      <c r="A153" t="inlineStr">
        <is>
          <t>A 45153-2023</t>
        </is>
      </c>
      <c r="B153" s="1" t="n">
        <v>45191</v>
      </c>
      <c r="C153" s="1" t="n">
        <v>45911</v>
      </c>
      <c r="D153" t="inlineStr">
        <is>
          <t>GÄVLEBORGS LÄN</t>
        </is>
      </c>
      <c r="E153" t="inlineStr">
        <is>
          <t>HUDIKSVALL</t>
        </is>
      </c>
      <c r="G153" t="n">
        <v>0.6</v>
      </c>
      <c r="H153" t="n">
        <v>2</v>
      </c>
      <c r="I153" t="n">
        <v>2</v>
      </c>
      <c r="J153" t="n">
        <v>0</v>
      </c>
      <c r="K153" t="n">
        <v>0</v>
      </c>
      <c r="L153" t="n">
        <v>0</v>
      </c>
      <c r="M153" t="n">
        <v>0</v>
      </c>
      <c r="N153" t="n">
        <v>0</v>
      </c>
      <c r="O153" t="n">
        <v>0</v>
      </c>
      <c r="P153" t="n">
        <v>0</v>
      </c>
      <c r="Q153" t="n">
        <v>4</v>
      </c>
      <c r="R153" s="2" t="inlineStr">
        <is>
          <t>Rödgul trumpetsvamp
Tibast
Sparvuggla
Skogsödla</t>
        </is>
      </c>
      <c r="S153">
        <f>HYPERLINK("https://klasma.github.io/Logging_2184/artfynd/A 45153-2023 artfynd.xlsx", "A 45153-2023")</f>
        <v/>
      </c>
      <c r="T153">
        <f>HYPERLINK("https://klasma.github.io/Logging_2184/kartor/A 45153-2023 karta.png", "A 45153-2023")</f>
        <v/>
      </c>
      <c r="V153">
        <f>HYPERLINK("https://klasma.github.io/Logging_2184/klagomål/A 45153-2023 FSC-klagomål.docx", "A 45153-2023")</f>
        <v/>
      </c>
      <c r="W153">
        <f>HYPERLINK("https://klasma.github.io/Logging_2184/klagomålsmail/A 45153-2023 FSC-klagomål mail.docx", "A 45153-2023")</f>
        <v/>
      </c>
      <c r="X153">
        <f>HYPERLINK("https://klasma.github.io/Logging_2184/tillsyn/A 45153-2023 tillsynsbegäran.docx", "A 45153-2023")</f>
        <v/>
      </c>
      <c r="Y153">
        <f>HYPERLINK("https://klasma.github.io/Logging_2184/tillsynsmail/A 45153-2023 tillsynsbegäran mail.docx", "A 45153-2023")</f>
        <v/>
      </c>
      <c r="Z153">
        <f>HYPERLINK("https://klasma.github.io/Logging_2184/fåglar/A 45153-2023 prioriterade fågelarter.docx", "A 45153-2023")</f>
        <v/>
      </c>
    </row>
    <row r="154" ht="15" customHeight="1">
      <c r="A154" t="inlineStr">
        <is>
          <t>A 34231-2024</t>
        </is>
      </c>
      <c r="B154" s="1" t="n">
        <v>45524.56362268519</v>
      </c>
      <c r="C154" s="1" t="n">
        <v>45911</v>
      </c>
      <c r="D154" t="inlineStr">
        <is>
          <t>GÄVLEBORGS LÄN</t>
        </is>
      </c>
      <c r="E154" t="inlineStr">
        <is>
          <t>LJUSDAL</t>
        </is>
      </c>
      <c r="F154" t="inlineStr">
        <is>
          <t>Sveaskog</t>
        </is>
      </c>
      <c r="G154" t="n">
        <v>11.2</v>
      </c>
      <c r="H154" t="n">
        <v>3</v>
      </c>
      <c r="I154" t="n">
        <v>2</v>
      </c>
      <c r="J154" t="n">
        <v>1</v>
      </c>
      <c r="K154" t="n">
        <v>0</v>
      </c>
      <c r="L154" t="n">
        <v>0</v>
      </c>
      <c r="M154" t="n">
        <v>0</v>
      </c>
      <c r="N154" t="n">
        <v>0</v>
      </c>
      <c r="O154" t="n">
        <v>1</v>
      </c>
      <c r="P154" t="n">
        <v>0</v>
      </c>
      <c r="Q154" t="n">
        <v>4</v>
      </c>
      <c r="R154" s="2" t="inlineStr">
        <is>
          <t>Garnlav
Korallrot
Spindelblomster
Fläcknycklar</t>
        </is>
      </c>
      <c r="S154">
        <f>HYPERLINK("https://klasma.github.io/Logging_2161/artfynd/A 34231-2024 artfynd.xlsx", "A 34231-2024")</f>
        <v/>
      </c>
      <c r="T154">
        <f>HYPERLINK("https://klasma.github.io/Logging_2161/kartor/A 34231-2024 karta.png", "A 34231-2024")</f>
        <v/>
      </c>
      <c r="V154">
        <f>HYPERLINK("https://klasma.github.io/Logging_2161/klagomål/A 34231-2024 FSC-klagomål.docx", "A 34231-2024")</f>
        <v/>
      </c>
      <c r="W154">
        <f>HYPERLINK("https://klasma.github.io/Logging_2161/klagomålsmail/A 34231-2024 FSC-klagomål mail.docx", "A 34231-2024")</f>
        <v/>
      </c>
      <c r="X154">
        <f>HYPERLINK("https://klasma.github.io/Logging_2161/tillsyn/A 34231-2024 tillsynsbegäran.docx", "A 34231-2024")</f>
        <v/>
      </c>
      <c r="Y154">
        <f>HYPERLINK("https://klasma.github.io/Logging_2161/tillsynsmail/A 34231-2024 tillsynsbegäran mail.docx", "A 34231-2024")</f>
        <v/>
      </c>
    </row>
    <row r="155" ht="15" customHeight="1">
      <c r="A155" t="inlineStr">
        <is>
          <t>A 30608-2023</t>
        </is>
      </c>
      <c r="B155" s="1" t="n">
        <v>45112.39802083333</v>
      </c>
      <c r="C155" s="1" t="n">
        <v>45911</v>
      </c>
      <c r="D155" t="inlineStr">
        <is>
          <t>GÄVLEBORGS LÄN</t>
        </is>
      </c>
      <c r="E155" t="inlineStr">
        <is>
          <t>LJUSDAL</t>
        </is>
      </c>
      <c r="F155" t="inlineStr">
        <is>
          <t>Sveaskog</t>
        </is>
      </c>
      <c r="G155" t="n">
        <v>11.6</v>
      </c>
      <c r="H155" t="n">
        <v>2</v>
      </c>
      <c r="I155" t="n">
        <v>0</v>
      </c>
      <c r="J155" t="n">
        <v>3</v>
      </c>
      <c r="K155" t="n">
        <v>1</v>
      </c>
      <c r="L155" t="n">
        <v>0</v>
      </c>
      <c r="M155" t="n">
        <v>0</v>
      </c>
      <c r="N155" t="n">
        <v>0</v>
      </c>
      <c r="O155" t="n">
        <v>4</v>
      </c>
      <c r="P155" t="n">
        <v>1</v>
      </c>
      <c r="Q155" t="n">
        <v>4</v>
      </c>
      <c r="R155" s="2" t="inlineStr">
        <is>
          <t>Knärot
Kolflarnlav
Skogshare
Tretåig hackspett</t>
        </is>
      </c>
      <c r="S155">
        <f>HYPERLINK("https://klasma.github.io/Logging_2161/artfynd/A 30608-2023 artfynd.xlsx", "A 30608-2023")</f>
        <v/>
      </c>
      <c r="T155">
        <f>HYPERLINK("https://klasma.github.io/Logging_2161/kartor/A 30608-2023 karta.png", "A 30608-2023")</f>
        <v/>
      </c>
      <c r="U155">
        <f>HYPERLINK("https://klasma.github.io/Logging_2161/knärot/A 30608-2023 karta knärot.png", "A 30608-2023")</f>
        <v/>
      </c>
      <c r="V155">
        <f>HYPERLINK("https://klasma.github.io/Logging_2161/klagomål/A 30608-2023 FSC-klagomål.docx", "A 30608-2023")</f>
        <v/>
      </c>
      <c r="W155">
        <f>HYPERLINK("https://klasma.github.io/Logging_2161/klagomålsmail/A 30608-2023 FSC-klagomål mail.docx", "A 30608-2023")</f>
        <v/>
      </c>
      <c r="X155">
        <f>HYPERLINK("https://klasma.github.io/Logging_2161/tillsyn/A 30608-2023 tillsynsbegäran.docx", "A 30608-2023")</f>
        <v/>
      </c>
      <c r="Y155">
        <f>HYPERLINK("https://klasma.github.io/Logging_2161/tillsynsmail/A 30608-2023 tillsynsbegäran mail.docx", "A 30608-2023")</f>
        <v/>
      </c>
      <c r="Z155">
        <f>HYPERLINK("https://klasma.github.io/Logging_2161/fåglar/A 30608-2023 prioriterade fågelarter.docx", "A 30608-2023")</f>
        <v/>
      </c>
    </row>
    <row r="156" ht="15" customHeight="1">
      <c r="A156" t="inlineStr">
        <is>
          <t>A 33684-2024</t>
        </is>
      </c>
      <c r="B156" s="1" t="n">
        <v>45520.50998842593</v>
      </c>
      <c r="C156" s="1" t="n">
        <v>45911</v>
      </c>
      <c r="D156" t="inlineStr">
        <is>
          <t>GÄVLEBORGS LÄN</t>
        </is>
      </c>
      <c r="E156" t="inlineStr">
        <is>
          <t>LJUSDAL</t>
        </is>
      </c>
      <c r="F156" t="inlineStr">
        <is>
          <t>Bergvik skog väst AB</t>
        </is>
      </c>
      <c r="G156" t="n">
        <v>2.6</v>
      </c>
      <c r="H156" t="n">
        <v>0</v>
      </c>
      <c r="I156" t="n">
        <v>0</v>
      </c>
      <c r="J156" t="n">
        <v>4</v>
      </c>
      <c r="K156" t="n">
        <v>0</v>
      </c>
      <c r="L156" t="n">
        <v>0</v>
      </c>
      <c r="M156" t="n">
        <v>0</v>
      </c>
      <c r="N156" t="n">
        <v>0</v>
      </c>
      <c r="O156" t="n">
        <v>4</v>
      </c>
      <c r="P156" t="n">
        <v>0</v>
      </c>
      <c r="Q156" t="n">
        <v>4</v>
      </c>
      <c r="R156" s="2" t="inlineStr">
        <is>
          <t>Dvärgbägarlav
Garnlav
Kolflarnlav
Vedskivlav</t>
        </is>
      </c>
      <c r="S156">
        <f>HYPERLINK("https://klasma.github.io/Logging_2161/artfynd/A 33684-2024 artfynd.xlsx", "A 33684-2024")</f>
        <v/>
      </c>
      <c r="T156">
        <f>HYPERLINK("https://klasma.github.io/Logging_2161/kartor/A 33684-2024 karta.png", "A 33684-2024")</f>
        <v/>
      </c>
      <c r="V156">
        <f>HYPERLINK("https://klasma.github.io/Logging_2161/klagomål/A 33684-2024 FSC-klagomål.docx", "A 33684-2024")</f>
        <v/>
      </c>
      <c r="W156">
        <f>HYPERLINK("https://klasma.github.io/Logging_2161/klagomålsmail/A 33684-2024 FSC-klagomål mail.docx", "A 33684-2024")</f>
        <v/>
      </c>
      <c r="X156">
        <f>HYPERLINK("https://klasma.github.io/Logging_2161/tillsyn/A 33684-2024 tillsynsbegäran.docx", "A 33684-2024")</f>
        <v/>
      </c>
      <c r="Y156">
        <f>HYPERLINK("https://klasma.github.io/Logging_2161/tillsynsmail/A 33684-2024 tillsynsbegäran mail.docx", "A 33684-2024")</f>
        <v/>
      </c>
    </row>
    <row r="157" ht="15" customHeight="1">
      <c r="A157" t="inlineStr">
        <is>
          <t>A 56787-2023</t>
        </is>
      </c>
      <c r="B157" s="1" t="n">
        <v>45244</v>
      </c>
      <c r="C157" s="1" t="n">
        <v>45911</v>
      </c>
      <c r="D157" t="inlineStr">
        <is>
          <t>GÄVLEBORGS LÄN</t>
        </is>
      </c>
      <c r="E157" t="inlineStr">
        <is>
          <t>LJUSDAL</t>
        </is>
      </c>
      <c r="F157" t="inlineStr">
        <is>
          <t>Sveaskog</t>
        </is>
      </c>
      <c r="G157" t="n">
        <v>2.6</v>
      </c>
      <c r="H157" t="n">
        <v>0</v>
      </c>
      <c r="I157" t="n">
        <v>0</v>
      </c>
      <c r="J157" t="n">
        <v>2</v>
      </c>
      <c r="K157" t="n">
        <v>2</v>
      </c>
      <c r="L157" t="n">
        <v>0</v>
      </c>
      <c r="M157" t="n">
        <v>0</v>
      </c>
      <c r="N157" t="n">
        <v>0</v>
      </c>
      <c r="O157" t="n">
        <v>4</v>
      </c>
      <c r="P157" t="n">
        <v>2</v>
      </c>
      <c r="Q157" t="n">
        <v>4</v>
      </c>
      <c r="R157" s="2" t="inlineStr">
        <is>
          <t>Gräddporing
Turkos blåvinge
Garnlav
Skrovellav</t>
        </is>
      </c>
      <c r="S157">
        <f>HYPERLINK("https://klasma.github.io/Logging_2161/artfynd/A 56787-2023 artfynd.xlsx", "A 56787-2023")</f>
        <v/>
      </c>
      <c r="T157">
        <f>HYPERLINK("https://klasma.github.io/Logging_2161/kartor/A 56787-2023 karta.png", "A 56787-2023")</f>
        <v/>
      </c>
      <c r="V157">
        <f>HYPERLINK("https://klasma.github.io/Logging_2161/klagomål/A 56787-2023 FSC-klagomål.docx", "A 56787-2023")</f>
        <v/>
      </c>
      <c r="W157">
        <f>HYPERLINK("https://klasma.github.io/Logging_2161/klagomålsmail/A 56787-2023 FSC-klagomål mail.docx", "A 56787-2023")</f>
        <v/>
      </c>
      <c r="X157">
        <f>HYPERLINK("https://klasma.github.io/Logging_2161/tillsyn/A 56787-2023 tillsynsbegäran.docx", "A 56787-2023")</f>
        <v/>
      </c>
      <c r="Y157">
        <f>HYPERLINK("https://klasma.github.io/Logging_2161/tillsynsmail/A 56787-2023 tillsynsbegäran mail.docx", "A 56787-2023")</f>
        <v/>
      </c>
    </row>
    <row r="158" ht="15" customHeight="1">
      <c r="A158" t="inlineStr">
        <is>
          <t>A 29544-2023</t>
        </is>
      </c>
      <c r="B158" s="1" t="n">
        <v>45106.64317129629</v>
      </c>
      <c r="C158" s="1" t="n">
        <v>45911</v>
      </c>
      <c r="D158" t="inlineStr">
        <is>
          <t>GÄVLEBORGS LÄN</t>
        </is>
      </c>
      <c r="E158" t="inlineStr">
        <is>
          <t>OCKELBO</t>
        </is>
      </c>
      <c r="F158" t="inlineStr">
        <is>
          <t>Bergvik skog väst AB</t>
        </is>
      </c>
      <c r="G158" t="n">
        <v>6.5</v>
      </c>
      <c r="H158" t="n">
        <v>3</v>
      </c>
      <c r="I158" t="n">
        <v>2</v>
      </c>
      <c r="J158" t="n">
        <v>0</v>
      </c>
      <c r="K158" t="n">
        <v>0</v>
      </c>
      <c r="L158" t="n">
        <v>0</v>
      </c>
      <c r="M158" t="n">
        <v>0</v>
      </c>
      <c r="N158" t="n">
        <v>0</v>
      </c>
      <c r="O158" t="n">
        <v>0</v>
      </c>
      <c r="P158" t="n">
        <v>0</v>
      </c>
      <c r="Q158" t="n">
        <v>4</v>
      </c>
      <c r="R158" s="2" t="inlineStr">
        <is>
          <t>Skogsknipprot
Vårärt
Blåsippa
Revlummer</t>
        </is>
      </c>
      <c r="S158">
        <f>HYPERLINK("https://klasma.github.io/Logging_2101/artfynd/A 29544-2023 artfynd.xlsx", "A 29544-2023")</f>
        <v/>
      </c>
      <c r="T158">
        <f>HYPERLINK("https://klasma.github.io/Logging_2101/kartor/A 29544-2023 karta.png", "A 29544-2023")</f>
        <v/>
      </c>
      <c r="V158">
        <f>HYPERLINK("https://klasma.github.io/Logging_2101/klagomål/A 29544-2023 FSC-klagomål.docx", "A 29544-2023")</f>
        <v/>
      </c>
      <c r="W158">
        <f>HYPERLINK("https://klasma.github.io/Logging_2101/klagomålsmail/A 29544-2023 FSC-klagomål mail.docx", "A 29544-2023")</f>
        <v/>
      </c>
      <c r="X158">
        <f>HYPERLINK("https://klasma.github.io/Logging_2101/tillsyn/A 29544-2023 tillsynsbegäran.docx", "A 29544-2023")</f>
        <v/>
      </c>
      <c r="Y158">
        <f>HYPERLINK("https://klasma.github.io/Logging_2101/tillsynsmail/A 29544-2023 tillsynsbegäran mail.docx", "A 29544-2023")</f>
        <v/>
      </c>
    </row>
    <row r="159" ht="15" customHeight="1">
      <c r="A159" t="inlineStr">
        <is>
          <t>A 18115-2024</t>
        </is>
      </c>
      <c r="B159" s="1" t="n">
        <v>45420.50950231482</v>
      </c>
      <c r="C159" s="1" t="n">
        <v>45911</v>
      </c>
      <c r="D159" t="inlineStr">
        <is>
          <t>GÄVLEBORGS LÄN</t>
        </is>
      </c>
      <c r="E159" t="inlineStr">
        <is>
          <t>LJUSDAL</t>
        </is>
      </c>
      <c r="F159" t="inlineStr">
        <is>
          <t>Sveaskog</t>
        </is>
      </c>
      <c r="G159" t="n">
        <v>20.3</v>
      </c>
      <c r="H159" t="n">
        <v>1</v>
      </c>
      <c r="I159" t="n">
        <v>1</v>
      </c>
      <c r="J159" t="n">
        <v>3</v>
      </c>
      <c r="K159" t="n">
        <v>0</v>
      </c>
      <c r="L159" t="n">
        <v>0</v>
      </c>
      <c r="M159" t="n">
        <v>0</v>
      </c>
      <c r="N159" t="n">
        <v>0</v>
      </c>
      <c r="O159" t="n">
        <v>3</v>
      </c>
      <c r="P159" t="n">
        <v>0</v>
      </c>
      <c r="Q159" t="n">
        <v>4</v>
      </c>
      <c r="R159" s="2" t="inlineStr">
        <is>
          <t>Kolflarnlav
Lunglav
Orange taggsvamp
Plattlummer</t>
        </is>
      </c>
      <c r="S159">
        <f>HYPERLINK("https://klasma.github.io/Logging_2161/artfynd/A 18115-2024 artfynd.xlsx", "A 18115-2024")</f>
        <v/>
      </c>
      <c r="T159">
        <f>HYPERLINK("https://klasma.github.io/Logging_2161/kartor/A 18115-2024 karta.png", "A 18115-2024")</f>
        <v/>
      </c>
      <c r="V159">
        <f>HYPERLINK("https://klasma.github.io/Logging_2161/klagomål/A 18115-2024 FSC-klagomål.docx", "A 18115-2024")</f>
        <v/>
      </c>
      <c r="W159">
        <f>HYPERLINK("https://klasma.github.io/Logging_2161/klagomålsmail/A 18115-2024 FSC-klagomål mail.docx", "A 18115-2024")</f>
        <v/>
      </c>
      <c r="X159">
        <f>HYPERLINK("https://klasma.github.io/Logging_2161/tillsyn/A 18115-2024 tillsynsbegäran.docx", "A 18115-2024")</f>
        <v/>
      </c>
      <c r="Y159">
        <f>HYPERLINK("https://klasma.github.io/Logging_2161/tillsynsmail/A 18115-2024 tillsynsbegäran mail.docx", "A 18115-2024")</f>
        <v/>
      </c>
    </row>
    <row r="160" ht="15" customHeight="1">
      <c r="A160" t="inlineStr">
        <is>
          <t>A 64590-2020</t>
        </is>
      </c>
      <c r="B160" s="1" t="n">
        <v>44169</v>
      </c>
      <c r="C160" s="1" t="n">
        <v>45911</v>
      </c>
      <c r="D160" t="inlineStr">
        <is>
          <t>GÄVLEBORGS LÄN</t>
        </is>
      </c>
      <c r="E160" t="inlineStr">
        <is>
          <t>OCKELBO</t>
        </is>
      </c>
      <c r="F160" t="inlineStr">
        <is>
          <t>Bergvik skog väst AB</t>
        </is>
      </c>
      <c r="G160" t="n">
        <v>2.8</v>
      </c>
      <c r="H160" t="n">
        <v>1</v>
      </c>
      <c r="I160" t="n">
        <v>0</v>
      </c>
      <c r="J160" t="n">
        <v>2</v>
      </c>
      <c r="K160" t="n">
        <v>0</v>
      </c>
      <c r="L160" t="n">
        <v>0</v>
      </c>
      <c r="M160" t="n">
        <v>0</v>
      </c>
      <c r="N160" t="n">
        <v>0</v>
      </c>
      <c r="O160" t="n">
        <v>2</v>
      </c>
      <c r="P160" t="n">
        <v>0</v>
      </c>
      <c r="Q160" t="n">
        <v>3</v>
      </c>
      <c r="R160" s="2" t="inlineStr">
        <is>
          <t>Garnlav
Vedskivlav
Revlummer</t>
        </is>
      </c>
      <c r="S160">
        <f>HYPERLINK("https://klasma.github.io/Logging_2101/artfynd/A 64590-2020 artfynd.xlsx", "A 64590-2020")</f>
        <v/>
      </c>
      <c r="T160">
        <f>HYPERLINK("https://klasma.github.io/Logging_2101/kartor/A 64590-2020 karta.png", "A 64590-2020")</f>
        <v/>
      </c>
      <c r="V160">
        <f>HYPERLINK("https://klasma.github.io/Logging_2101/klagomål/A 64590-2020 FSC-klagomål.docx", "A 64590-2020")</f>
        <v/>
      </c>
      <c r="W160">
        <f>HYPERLINK("https://klasma.github.io/Logging_2101/klagomålsmail/A 64590-2020 FSC-klagomål mail.docx", "A 64590-2020")</f>
        <v/>
      </c>
      <c r="X160">
        <f>HYPERLINK("https://klasma.github.io/Logging_2101/tillsyn/A 64590-2020 tillsynsbegäran.docx", "A 64590-2020")</f>
        <v/>
      </c>
      <c r="Y160">
        <f>HYPERLINK("https://klasma.github.io/Logging_2101/tillsynsmail/A 64590-2020 tillsynsbegäran mail.docx", "A 64590-2020")</f>
        <v/>
      </c>
    </row>
    <row r="161" ht="15" customHeight="1">
      <c r="A161" t="inlineStr">
        <is>
          <t>A 21238-2021</t>
        </is>
      </c>
      <c r="B161" s="1" t="n">
        <v>44320.54625</v>
      </c>
      <c r="C161" s="1" t="n">
        <v>45911</v>
      </c>
      <c r="D161" t="inlineStr">
        <is>
          <t>GÄVLEBORGS LÄN</t>
        </is>
      </c>
      <c r="E161" t="inlineStr">
        <is>
          <t>OVANÅKER</t>
        </is>
      </c>
      <c r="F161" t="inlineStr">
        <is>
          <t>Sveaskog</t>
        </is>
      </c>
      <c r="G161" t="n">
        <v>1.7</v>
      </c>
      <c r="H161" t="n">
        <v>0</v>
      </c>
      <c r="I161" t="n">
        <v>0</v>
      </c>
      <c r="J161" t="n">
        <v>3</v>
      </c>
      <c r="K161" t="n">
        <v>0</v>
      </c>
      <c r="L161" t="n">
        <v>0</v>
      </c>
      <c r="M161" t="n">
        <v>0</v>
      </c>
      <c r="N161" t="n">
        <v>0</v>
      </c>
      <c r="O161" t="n">
        <v>3</v>
      </c>
      <c r="P161" t="n">
        <v>0</v>
      </c>
      <c r="Q161" t="n">
        <v>3</v>
      </c>
      <c r="R161" s="2" t="inlineStr">
        <is>
          <t>Dvärgbägarlav
Gammelgransskål
Kolflarnlav</t>
        </is>
      </c>
      <c r="S161">
        <f>HYPERLINK("https://klasma.github.io/Logging_2121/artfynd/A 21238-2021 artfynd.xlsx", "A 21238-2021")</f>
        <v/>
      </c>
      <c r="T161">
        <f>HYPERLINK("https://klasma.github.io/Logging_2121/kartor/A 21238-2021 karta.png", "A 21238-2021")</f>
        <v/>
      </c>
      <c r="V161">
        <f>HYPERLINK("https://klasma.github.io/Logging_2121/klagomål/A 21238-2021 FSC-klagomål.docx", "A 21238-2021")</f>
        <v/>
      </c>
      <c r="W161">
        <f>HYPERLINK("https://klasma.github.io/Logging_2121/klagomålsmail/A 21238-2021 FSC-klagomål mail.docx", "A 21238-2021")</f>
        <v/>
      </c>
      <c r="X161">
        <f>HYPERLINK("https://klasma.github.io/Logging_2121/tillsyn/A 21238-2021 tillsynsbegäran.docx", "A 21238-2021")</f>
        <v/>
      </c>
      <c r="Y161">
        <f>HYPERLINK("https://klasma.github.io/Logging_2121/tillsynsmail/A 21238-2021 tillsynsbegäran mail.docx", "A 21238-2021")</f>
        <v/>
      </c>
    </row>
    <row r="162" ht="15" customHeight="1">
      <c r="A162" t="inlineStr">
        <is>
          <t>A 60162-2020</t>
        </is>
      </c>
      <c r="B162" s="1" t="n">
        <v>44152</v>
      </c>
      <c r="C162" s="1" t="n">
        <v>45911</v>
      </c>
      <c r="D162" t="inlineStr">
        <is>
          <t>GÄVLEBORGS LÄN</t>
        </is>
      </c>
      <c r="E162" t="inlineStr">
        <is>
          <t>LJUSDAL</t>
        </is>
      </c>
      <c r="F162" t="inlineStr">
        <is>
          <t>Sveaskog</t>
        </is>
      </c>
      <c r="G162" t="n">
        <v>8.4</v>
      </c>
      <c r="H162" t="n">
        <v>0</v>
      </c>
      <c r="I162" t="n">
        <v>0</v>
      </c>
      <c r="J162" t="n">
        <v>3</v>
      </c>
      <c r="K162" t="n">
        <v>0</v>
      </c>
      <c r="L162" t="n">
        <v>0</v>
      </c>
      <c r="M162" t="n">
        <v>0</v>
      </c>
      <c r="N162" t="n">
        <v>0</v>
      </c>
      <c r="O162" t="n">
        <v>3</v>
      </c>
      <c r="P162" t="n">
        <v>0</v>
      </c>
      <c r="Q162" t="n">
        <v>3</v>
      </c>
      <c r="R162" s="2" t="inlineStr">
        <is>
          <t>Kolflarnlav
Lunglav
Skrovellav</t>
        </is>
      </c>
      <c r="S162">
        <f>HYPERLINK("https://klasma.github.io/Logging_2161/artfynd/A 60162-2020 artfynd.xlsx", "A 60162-2020")</f>
        <v/>
      </c>
      <c r="T162">
        <f>HYPERLINK("https://klasma.github.io/Logging_2161/kartor/A 60162-2020 karta.png", "A 60162-2020")</f>
        <v/>
      </c>
      <c r="V162">
        <f>HYPERLINK("https://klasma.github.io/Logging_2161/klagomål/A 60162-2020 FSC-klagomål.docx", "A 60162-2020")</f>
        <v/>
      </c>
      <c r="W162">
        <f>HYPERLINK("https://klasma.github.io/Logging_2161/klagomålsmail/A 60162-2020 FSC-klagomål mail.docx", "A 60162-2020")</f>
        <v/>
      </c>
      <c r="X162">
        <f>HYPERLINK("https://klasma.github.io/Logging_2161/tillsyn/A 60162-2020 tillsynsbegäran.docx", "A 60162-2020")</f>
        <v/>
      </c>
      <c r="Y162">
        <f>HYPERLINK("https://klasma.github.io/Logging_2161/tillsynsmail/A 60162-2020 tillsynsbegäran mail.docx", "A 60162-2020")</f>
        <v/>
      </c>
    </row>
    <row r="163" ht="15" customHeight="1">
      <c r="A163" t="inlineStr">
        <is>
          <t>A 8446-2022</t>
        </is>
      </c>
      <c r="B163" s="1" t="n">
        <v>44612.75920138889</v>
      </c>
      <c r="C163" s="1" t="n">
        <v>45911</v>
      </c>
      <c r="D163" t="inlineStr">
        <is>
          <t>GÄVLEBORGS LÄN</t>
        </is>
      </c>
      <c r="E163" t="inlineStr">
        <is>
          <t>HUDIKSVALL</t>
        </is>
      </c>
      <c r="G163" t="n">
        <v>5.4</v>
      </c>
      <c r="H163" t="n">
        <v>3</v>
      </c>
      <c r="I163" t="n">
        <v>0</v>
      </c>
      <c r="J163" t="n">
        <v>0</v>
      </c>
      <c r="K163" t="n">
        <v>0</v>
      </c>
      <c r="L163" t="n">
        <v>0</v>
      </c>
      <c r="M163" t="n">
        <v>0</v>
      </c>
      <c r="N163" t="n">
        <v>0</v>
      </c>
      <c r="O163" t="n">
        <v>0</v>
      </c>
      <c r="P163" t="n">
        <v>0</v>
      </c>
      <c r="Q163" t="n">
        <v>3</v>
      </c>
      <c r="R163" s="2" t="inlineStr">
        <is>
          <t>Fläcknycklar
Nattviol
Blåsippa</t>
        </is>
      </c>
      <c r="S163">
        <f>HYPERLINK("https://klasma.github.io/Logging_2184/artfynd/A 8446-2022 artfynd.xlsx", "A 8446-2022")</f>
        <v/>
      </c>
      <c r="T163">
        <f>HYPERLINK("https://klasma.github.io/Logging_2184/kartor/A 8446-2022 karta.png", "A 8446-2022")</f>
        <v/>
      </c>
      <c r="V163">
        <f>HYPERLINK("https://klasma.github.io/Logging_2184/klagomål/A 8446-2022 FSC-klagomål.docx", "A 8446-2022")</f>
        <v/>
      </c>
      <c r="W163">
        <f>HYPERLINK("https://klasma.github.io/Logging_2184/klagomålsmail/A 8446-2022 FSC-klagomål mail.docx", "A 8446-2022")</f>
        <v/>
      </c>
      <c r="X163">
        <f>HYPERLINK("https://klasma.github.io/Logging_2184/tillsyn/A 8446-2022 tillsynsbegäran.docx", "A 8446-2022")</f>
        <v/>
      </c>
      <c r="Y163">
        <f>HYPERLINK("https://klasma.github.io/Logging_2184/tillsynsmail/A 8446-2022 tillsynsbegäran mail.docx", "A 8446-2022")</f>
        <v/>
      </c>
    </row>
    <row r="164" ht="15" customHeight="1">
      <c r="A164" t="inlineStr">
        <is>
          <t>A 22229-2024</t>
        </is>
      </c>
      <c r="B164" s="1" t="n">
        <v>45446.42638888889</v>
      </c>
      <c r="C164" s="1" t="n">
        <v>45911</v>
      </c>
      <c r="D164" t="inlineStr">
        <is>
          <t>GÄVLEBORGS LÄN</t>
        </is>
      </c>
      <c r="E164" t="inlineStr">
        <is>
          <t>LJUSDAL</t>
        </is>
      </c>
      <c r="F164" t="inlineStr">
        <is>
          <t>Sveaskog</t>
        </is>
      </c>
      <c r="G164" t="n">
        <v>4.2</v>
      </c>
      <c r="H164" t="n">
        <v>2</v>
      </c>
      <c r="I164" t="n">
        <v>0</v>
      </c>
      <c r="J164" t="n">
        <v>2</v>
      </c>
      <c r="K164" t="n">
        <v>1</v>
      </c>
      <c r="L164" t="n">
        <v>0</v>
      </c>
      <c r="M164" t="n">
        <v>0</v>
      </c>
      <c r="N164" t="n">
        <v>0</v>
      </c>
      <c r="O164" t="n">
        <v>3</v>
      </c>
      <c r="P164" t="n">
        <v>1</v>
      </c>
      <c r="Q164" t="n">
        <v>3</v>
      </c>
      <c r="R164" s="2" t="inlineStr">
        <is>
          <t>Topplåsbräken
Höstlåsbräken
Månlåsbräken</t>
        </is>
      </c>
      <c r="S164">
        <f>HYPERLINK("https://klasma.github.io/Logging_2161/artfynd/A 22229-2024 artfynd.xlsx", "A 22229-2024")</f>
        <v/>
      </c>
      <c r="T164">
        <f>HYPERLINK("https://klasma.github.io/Logging_2161/kartor/A 22229-2024 karta.png", "A 22229-2024")</f>
        <v/>
      </c>
      <c r="V164">
        <f>HYPERLINK("https://klasma.github.io/Logging_2161/klagomål/A 22229-2024 FSC-klagomål.docx", "A 22229-2024")</f>
        <v/>
      </c>
      <c r="W164">
        <f>HYPERLINK("https://klasma.github.io/Logging_2161/klagomålsmail/A 22229-2024 FSC-klagomål mail.docx", "A 22229-2024")</f>
        <v/>
      </c>
      <c r="X164">
        <f>HYPERLINK("https://klasma.github.io/Logging_2161/tillsyn/A 22229-2024 tillsynsbegäran.docx", "A 22229-2024")</f>
        <v/>
      </c>
      <c r="Y164">
        <f>HYPERLINK("https://klasma.github.io/Logging_2161/tillsynsmail/A 22229-2024 tillsynsbegäran mail.docx", "A 22229-2024")</f>
        <v/>
      </c>
    </row>
    <row r="165" ht="15" customHeight="1">
      <c r="A165" t="inlineStr">
        <is>
          <t>A 36196-2023</t>
        </is>
      </c>
      <c r="B165" s="1" t="n">
        <v>45149</v>
      </c>
      <c r="C165" s="1" t="n">
        <v>45911</v>
      </c>
      <c r="D165" t="inlineStr">
        <is>
          <t>GÄVLEBORGS LÄN</t>
        </is>
      </c>
      <c r="E165" t="inlineStr">
        <is>
          <t>HUDIKSVALL</t>
        </is>
      </c>
      <c r="F165" t="inlineStr">
        <is>
          <t>Holmen skog AB</t>
        </is>
      </c>
      <c r="G165" t="n">
        <v>11.8</v>
      </c>
      <c r="H165" t="n">
        <v>1</v>
      </c>
      <c r="I165" t="n">
        <v>0</v>
      </c>
      <c r="J165" t="n">
        <v>2</v>
      </c>
      <c r="K165" t="n">
        <v>1</v>
      </c>
      <c r="L165" t="n">
        <v>0</v>
      </c>
      <c r="M165" t="n">
        <v>0</v>
      </c>
      <c r="N165" t="n">
        <v>0</v>
      </c>
      <c r="O165" t="n">
        <v>3</v>
      </c>
      <c r="P165" t="n">
        <v>1</v>
      </c>
      <c r="Q165" t="n">
        <v>3</v>
      </c>
      <c r="R165" s="2" t="inlineStr">
        <is>
          <t>Knärot
Rosenticka
Ullticka</t>
        </is>
      </c>
      <c r="S165">
        <f>HYPERLINK("https://klasma.github.io/Logging_2184/artfynd/A 36196-2023 artfynd.xlsx", "A 36196-2023")</f>
        <v/>
      </c>
      <c r="T165">
        <f>HYPERLINK("https://klasma.github.io/Logging_2184/kartor/A 36196-2023 karta.png", "A 36196-2023")</f>
        <v/>
      </c>
      <c r="U165">
        <f>HYPERLINK("https://klasma.github.io/Logging_2184/knärot/A 36196-2023 karta knärot.png", "A 36196-2023")</f>
        <v/>
      </c>
      <c r="V165">
        <f>HYPERLINK("https://klasma.github.io/Logging_2184/klagomål/A 36196-2023 FSC-klagomål.docx", "A 36196-2023")</f>
        <v/>
      </c>
      <c r="W165">
        <f>HYPERLINK("https://klasma.github.io/Logging_2184/klagomålsmail/A 36196-2023 FSC-klagomål mail.docx", "A 36196-2023")</f>
        <v/>
      </c>
      <c r="X165">
        <f>HYPERLINK("https://klasma.github.io/Logging_2184/tillsyn/A 36196-2023 tillsynsbegäran.docx", "A 36196-2023")</f>
        <v/>
      </c>
      <c r="Y165">
        <f>HYPERLINK("https://klasma.github.io/Logging_2184/tillsynsmail/A 36196-2023 tillsynsbegäran mail.docx", "A 36196-2023")</f>
        <v/>
      </c>
    </row>
    <row r="166" ht="15" customHeight="1">
      <c r="A166" t="inlineStr">
        <is>
          <t>A 19770-2025</t>
        </is>
      </c>
      <c r="B166" s="1" t="n">
        <v>45771</v>
      </c>
      <c r="C166" s="1" t="n">
        <v>45911</v>
      </c>
      <c r="D166" t="inlineStr">
        <is>
          <t>GÄVLEBORGS LÄN</t>
        </is>
      </c>
      <c r="E166" t="inlineStr">
        <is>
          <t>LJUSDAL</t>
        </is>
      </c>
      <c r="F166" t="inlineStr">
        <is>
          <t>Bergvik skog väst AB</t>
        </is>
      </c>
      <c r="G166" t="n">
        <v>3.7</v>
      </c>
      <c r="H166" t="n">
        <v>1</v>
      </c>
      <c r="I166" t="n">
        <v>0</v>
      </c>
      <c r="J166" t="n">
        <v>3</v>
      </c>
      <c r="K166" t="n">
        <v>0</v>
      </c>
      <c r="L166" t="n">
        <v>0</v>
      </c>
      <c r="M166" t="n">
        <v>0</v>
      </c>
      <c r="N166" t="n">
        <v>0</v>
      </c>
      <c r="O166" t="n">
        <v>3</v>
      </c>
      <c r="P166" t="n">
        <v>0</v>
      </c>
      <c r="Q166" t="n">
        <v>3</v>
      </c>
      <c r="R166" s="2" t="inlineStr">
        <is>
          <t>Garnlav
Lunglav
Tretåig hackspett</t>
        </is>
      </c>
      <c r="S166">
        <f>HYPERLINK("https://klasma.github.io/Logging_2161/artfynd/A 19770-2025 artfynd.xlsx", "A 19770-2025")</f>
        <v/>
      </c>
      <c r="T166">
        <f>HYPERLINK("https://klasma.github.io/Logging_2161/kartor/A 19770-2025 karta.png", "A 19770-2025")</f>
        <v/>
      </c>
      <c r="U166">
        <f>HYPERLINK("https://klasma.github.io/Logging_2161/knärot/A 19770-2025 karta knärot.png", "A 19770-2025")</f>
        <v/>
      </c>
      <c r="V166">
        <f>HYPERLINK("https://klasma.github.io/Logging_2161/klagomål/A 19770-2025 FSC-klagomål.docx", "A 19770-2025")</f>
        <v/>
      </c>
      <c r="W166">
        <f>HYPERLINK("https://klasma.github.io/Logging_2161/klagomålsmail/A 19770-2025 FSC-klagomål mail.docx", "A 19770-2025")</f>
        <v/>
      </c>
      <c r="X166">
        <f>HYPERLINK("https://klasma.github.io/Logging_2161/tillsyn/A 19770-2025 tillsynsbegäran.docx", "A 19770-2025")</f>
        <v/>
      </c>
      <c r="Y166">
        <f>HYPERLINK("https://klasma.github.io/Logging_2161/tillsynsmail/A 19770-2025 tillsynsbegäran mail.docx", "A 19770-2025")</f>
        <v/>
      </c>
      <c r="Z166">
        <f>HYPERLINK("https://klasma.github.io/Logging_2161/fåglar/A 19770-2025 prioriterade fågelarter.docx", "A 19770-2025")</f>
        <v/>
      </c>
    </row>
    <row r="167" ht="15" customHeight="1">
      <c r="A167" t="inlineStr">
        <is>
          <t>A 23643-2025</t>
        </is>
      </c>
      <c r="B167" s="1" t="n">
        <v>45792.68582175926</v>
      </c>
      <c r="C167" s="1" t="n">
        <v>45911</v>
      </c>
      <c r="D167" t="inlineStr">
        <is>
          <t>GÄVLEBORGS LÄN</t>
        </is>
      </c>
      <c r="E167" t="inlineStr">
        <is>
          <t>LJUSDAL</t>
        </is>
      </c>
      <c r="F167" t="inlineStr">
        <is>
          <t>Sveaskog</t>
        </is>
      </c>
      <c r="G167" t="n">
        <v>23.8</v>
      </c>
      <c r="H167" t="n">
        <v>0</v>
      </c>
      <c r="I167" t="n">
        <v>0</v>
      </c>
      <c r="J167" t="n">
        <v>3</v>
      </c>
      <c r="K167" t="n">
        <v>0</v>
      </c>
      <c r="L167" t="n">
        <v>0</v>
      </c>
      <c r="M167" t="n">
        <v>0</v>
      </c>
      <c r="N167" t="n">
        <v>0</v>
      </c>
      <c r="O167" t="n">
        <v>3</v>
      </c>
      <c r="P167" t="n">
        <v>0</v>
      </c>
      <c r="Q167" t="n">
        <v>3</v>
      </c>
      <c r="R167" s="2" t="inlineStr">
        <is>
          <t>Kolflarnlav
Lunglav
Vedflamlav</t>
        </is>
      </c>
      <c r="S167">
        <f>HYPERLINK("https://klasma.github.io/Logging_2161/artfynd/A 23643-2025 artfynd.xlsx", "A 23643-2025")</f>
        <v/>
      </c>
      <c r="T167">
        <f>HYPERLINK("https://klasma.github.io/Logging_2161/kartor/A 23643-2025 karta.png", "A 23643-2025")</f>
        <v/>
      </c>
      <c r="V167">
        <f>HYPERLINK("https://klasma.github.io/Logging_2161/klagomål/A 23643-2025 FSC-klagomål.docx", "A 23643-2025")</f>
        <v/>
      </c>
      <c r="W167">
        <f>HYPERLINK("https://klasma.github.io/Logging_2161/klagomålsmail/A 23643-2025 FSC-klagomål mail.docx", "A 23643-2025")</f>
        <v/>
      </c>
      <c r="X167">
        <f>HYPERLINK("https://klasma.github.io/Logging_2161/tillsyn/A 23643-2025 tillsynsbegäran.docx", "A 23643-2025")</f>
        <v/>
      </c>
      <c r="Y167">
        <f>HYPERLINK("https://klasma.github.io/Logging_2161/tillsynsmail/A 23643-2025 tillsynsbegäran mail.docx", "A 23643-2025")</f>
        <v/>
      </c>
    </row>
    <row r="168" ht="15" customHeight="1">
      <c r="A168" t="inlineStr">
        <is>
          <t>A 72433-2021</t>
        </is>
      </c>
      <c r="B168" s="1" t="n">
        <v>44545</v>
      </c>
      <c r="C168" s="1" t="n">
        <v>45911</v>
      </c>
      <c r="D168" t="inlineStr">
        <is>
          <t>GÄVLEBORGS LÄN</t>
        </is>
      </c>
      <c r="E168" t="inlineStr">
        <is>
          <t>NORDANSTIG</t>
        </is>
      </c>
      <c r="G168" t="n">
        <v>6.1</v>
      </c>
      <c r="H168" t="n">
        <v>3</v>
      </c>
      <c r="I168" t="n">
        <v>0</v>
      </c>
      <c r="J168" t="n">
        <v>1</v>
      </c>
      <c r="K168" t="n">
        <v>0</v>
      </c>
      <c r="L168" t="n">
        <v>0</v>
      </c>
      <c r="M168" t="n">
        <v>0</v>
      </c>
      <c r="N168" t="n">
        <v>0</v>
      </c>
      <c r="O168" t="n">
        <v>1</v>
      </c>
      <c r="P168" t="n">
        <v>0</v>
      </c>
      <c r="Q168" t="n">
        <v>3</v>
      </c>
      <c r="R168" s="2" t="inlineStr">
        <is>
          <t>Järpe
Grönsiska
Tjäder</t>
        </is>
      </c>
      <c r="S168">
        <f>HYPERLINK("https://klasma.github.io/Logging_2132/artfynd/A 72433-2021 artfynd.xlsx", "A 72433-2021")</f>
        <v/>
      </c>
      <c r="T168">
        <f>HYPERLINK("https://klasma.github.io/Logging_2132/kartor/A 72433-2021 karta.png", "A 72433-2021")</f>
        <v/>
      </c>
      <c r="V168">
        <f>HYPERLINK("https://klasma.github.io/Logging_2132/klagomål/A 72433-2021 FSC-klagomål.docx", "A 72433-2021")</f>
        <v/>
      </c>
      <c r="W168">
        <f>HYPERLINK("https://klasma.github.io/Logging_2132/klagomålsmail/A 72433-2021 FSC-klagomål mail.docx", "A 72433-2021")</f>
        <v/>
      </c>
      <c r="X168">
        <f>HYPERLINK("https://klasma.github.io/Logging_2132/tillsyn/A 72433-2021 tillsynsbegäran.docx", "A 72433-2021")</f>
        <v/>
      </c>
      <c r="Y168">
        <f>HYPERLINK("https://klasma.github.io/Logging_2132/tillsynsmail/A 72433-2021 tillsynsbegäran mail.docx", "A 72433-2021")</f>
        <v/>
      </c>
      <c r="Z168">
        <f>HYPERLINK("https://klasma.github.io/Logging_2132/fåglar/A 72433-2021 prioriterade fågelarter.docx", "A 72433-2021")</f>
        <v/>
      </c>
    </row>
    <row r="169" ht="15" customHeight="1">
      <c r="A169" t="inlineStr">
        <is>
          <t>A 22239-2024</t>
        </is>
      </c>
      <c r="B169" s="1" t="n">
        <v>45446.44012731482</v>
      </c>
      <c r="C169" s="1" t="n">
        <v>45911</v>
      </c>
      <c r="D169" t="inlineStr">
        <is>
          <t>GÄVLEBORGS LÄN</t>
        </is>
      </c>
      <c r="E169" t="inlineStr">
        <is>
          <t>LJUSDAL</t>
        </is>
      </c>
      <c r="F169" t="inlineStr">
        <is>
          <t>Sveaskog</t>
        </is>
      </c>
      <c r="G169" t="n">
        <v>4.4</v>
      </c>
      <c r="H169" t="n">
        <v>0</v>
      </c>
      <c r="I169" t="n">
        <v>0</v>
      </c>
      <c r="J169" t="n">
        <v>3</v>
      </c>
      <c r="K169" t="n">
        <v>0</v>
      </c>
      <c r="L169" t="n">
        <v>0</v>
      </c>
      <c r="M169" t="n">
        <v>0</v>
      </c>
      <c r="N169" t="n">
        <v>0</v>
      </c>
      <c r="O169" t="n">
        <v>3</v>
      </c>
      <c r="P169" t="n">
        <v>0</v>
      </c>
      <c r="Q169" t="n">
        <v>3</v>
      </c>
      <c r="R169" s="2" t="inlineStr">
        <is>
          <t>Kolflarnlav
Vedflamlav
Vedskivlav</t>
        </is>
      </c>
      <c r="S169">
        <f>HYPERLINK("https://klasma.github.io/Logging_2161/artfynd/A 22239-2024 artfynd.xlsx", "A 22239-2024")</f>
        <v/>
      </c>
      <c r="T169">
        <f>HYPERLINK("https://klasma.github.io/Logging_2161/kartor/A 22239-2024 karta.png", "A 22239-2024")</f>
        <v/>
      </c>
      <c r="V169">
        <f>HYPERLINK("https://klasma.github.io/Logging_2161/klagomål/A 22239-2024 FSC-klagomål.docx", "A 22239-2024")</f>
        <v/>
      </c>
      <c r="W169">
        <f>HYPERLINK("https://klasma.github.io/Logging_2161/klagomålsmail/A 22239-2024 FSC-klagomål mail.docx", "A 22239-2024")</f>
        <v/>
      </c>
      <c r="X169">
        <f>HYPERLINK("https://klasma.github.io/Logging_2161/tillsyn/A 22239-2024 tillsynsbegäran.docx", "A 22239-2024")</f>
        <v/>
      </c>
      <c r="Y169">
        <f>HYPERLINK("https://klasma.github.io/Logging_2161/tillsynsmail/A 22239-2024 tillsynsbegäran mail.docx", "A 22239-2024")</f>
        <v/>
      </c>
    </row>
    <row r="170" ht="15" customHeight="1">
      <c r="A170" t="inlineStr">
        <is>
          <t>A 44451-2024</t>
        </is>
      </c>
      <c r="B170" s="1" t="n">
        <v>45574</v>
      </c>
      <c r="C170" s="1" t="n">
        <v>45911</v>
      </c>
      <c r="D170" t="inlineStr">
        <is>
          <t>GÄVLEBORGS LÄN</t>
        </is>
      </c>
      <c r="E170" t="inlineStr">
        <is>
          <t>LJUSDAL</t>
        </is>
      </c>
      <c r="G170" t="n">
        <v>1.4</v>
      </c>
      <c r="H170" t="n">
        <v>1</v>
      </c>
      <c r="I170" t="n">
        <v>1</v>
      </c>
      <c r="J170" t="n">
        <v>2</v>
      </c>
      <c r="K170" t="n">
        <v>0</v>
      </c>
      <c r="L170" t="n">
        <v>0</v>
      </c>
      <c r="M170" t="n">
        <v>0</v>
      </c>
      <c r="N170" t="n">
        <v>0</v>
      </c>
      <c r="O170" t="n">
        <v>2</v>
      </c>
      <c r="P170" t="n">
        <v>0</v>
      </c>
      <c r="Q170" t="n">
        <v>3</v>
      </c>
      <c r="R170" s="2" t="inlineStr">
        <is>
          <t>Kolflarnlav
Vedflamlav
Plattlummer</t>
        </is>
      </c>
      <c r="S170">
        <f>HYPERLINK("https://klasma.github.io/Logging_2161/artfynd/A 44451-2024 artfynd.xlsx", "A 44451-2024")</f>
        <v/>
      </c>
      <c r="T170">
        <f>HYPERLINK("https://klasma.github.io/Logging_2161/kartor/A 44451-2024 karta.png", "A 44451-2024")</f>
        <v/>
      </c>
      <c r="V170">
        <f>HYPERLINK("https://klasma.github.io/Logging_2161/klagomål/A 44451-2024 FSC-klagomål.docx", "A 44451-2024")</f>
        <v/>
      </c>
      <c r="W170">
        <f>HYPERLINK("https://klasma.github.io/Logging_2161/klagomålsmail/A 44451-2024 FSC-klagomål mail.docx", "A 44451-2024")</f>
        <v/>
      </c>
      <c r="X170">
        <f>HYPERLINK("https://klasma.github.io/Logging_2161/tillsyn/A 44451-2024 tillsynsbegäran.docx", "A 44451-2024")</f>
        <v/>
      </c>
      <c r="Y170">
        <f>HYPERLINK("https://klasma.github.io/Logging_2161/tillsynsmail/A 44451-2024 tillsynsbegäran mail.docx", "A 44451-2024")</f>
        <v/>
      </c>
    </row>
    <row r="171" ht="15" customHeight="1">
      <c r="A171" t="inlineStr">
        <is>
          <t>A 24606-2025</t>
        </is>
      </c>
      <c r="B171" s="1" t="n">
        <v>45798.57554398148</v>
      </c>
      <c r="C171" s="1" t="n">
        <v>45911</v>
      </c>
      <c r="D171" t="inlineStr">
        <is>
          <t>GÄVLEBORGS LÄN</t>
        </is>
      </c>
      <c r="E171" t="inlineStr">
        <is>
          <t>SÖDERHAMN</t>
        </is>
      </c>
      <c r="G171" t="n">
        <v>2.2</v>
      </c>
      <c r="H171" t="n">
        <v>1</v>
      </c>
      <c r="I171" t="n">
        <v>0</v>
      </c>
      <c r="J171" t="n">
        <v>2</v>
      </c>
      <c r="K171" t="n">
        <v>1</v>
      </c>
      <c r="L171" t="n">
        <v>0</v>
      </c>
      <c r="M171" t="n">
        <v>0</v>
      </c>
      <c r="N171" t="n">
        <v>0</v>
      </c>
      <c r="O171" t="n">
        <v>3</v>
      </c>
      <c r="P171" t="n">
        <v>1</v>
      </c>
      <c r="Q171" t="n">
        <v>3</v>
      </c>
      <c r="R171" s="2" t="inlineStr">
        <is>
          <t>Knärot
Rosenticka
Ullticka</t>
        </is>
      </c>
      <c r="S171">
        <f>HYPERLINK("https://klasma.github.io/Logging_2182/artfynd/A 24606-2025 artfynd.xlsx", "A 24606-2025")</f>
        <v/>
      </c>
      <c r="T171">
        <f>HYPERLINK("https://klasma.github.io/Logging_2182/kartor/A 24606-2025 karta.png", "A 24606-2025")</f>
        <v/>
      </c>
      <c r="U171">
        <f>HYPERLINK("https://klasma.github.io/Logging_2182/knärot/A 24606-2025 karta knärot.png", "A 24606-2025")</f>
        <v/>
      </c>
      <c r="V171">
        <f>HYPERLINK("https://klasma.github.io/Logging_2182/klagomål/A 24606-2025 FSC-klagomål.docx", "A 24606-2025")</f>
        <v/>
      </c>
      <c r="W171">
        <f>HYPERLINK("https://klasma.github.io/Logging_2182/klagomålsmail/A 24606-2025 FSC-klagomål mail.docx", "A 24606-2025")</f>
        <v/>
      </c>
      <c r="X171">
        <f>HYPERLINK("https://klasma.github.io/Logging_2182/tillsyn/A 24606-2025 tillsynsbegäran.docx", "A 24606-2025")</f>
        <v/>
      </c>
      <c r="Y171">
        <f>HYPERLINK("https://klasma.github.io/Logging_2182/tillsynsmail/A 24606-2025 tillsynsbegäran mail.docx", "A 24606-2025")</f>
        <v/>
      </c>
    </row>
    <row r="172" ht="15" customHeight="1">
      <c r="A172" t="inlineStr">
        <is>
          <t>A 36627-2024</t>
        </is>
      </c>
      <c r="B172" s="1" t="n">
        <v>45537</v>
      </c>
      <c r="C172" s="1" t="n">
        <v>45911</v>
      </c>
      <c r="D172" t="inlineStr">
        <is>
          <t>GÄVLEBORGS LÄN</t>
        </is>
      </c>
      <c r="E172" t="inlineStr">
        <is>
          <t>LJUSDAL</t>
        </is>
      </c>
      <c r="F172" t="inlineStr">
        <is>
          <t>Sveaskog</t>
        </is>
      </c>
      <c r="G172" t="n">
        <v>11.8</v>
      </c>
      <c r="H172" t="n">
        <v>0</v>
      </c>
      <c r="I172" t="n">
        <v>0</v>
      </c>
      <c r="J172" t="n">
        <v>3</v>
      </c>
      <c r="K172" t="n">
        <v>0</v>
      </c>
      <c r="L172" t="n">
        <v>0</v>
      </c>
      <c r="M172" t="n">
        <v>0</v>
      </c>
      <c r="N172" t="n">
        <v>0</v>
      </c>
      <c r="O172" t="n">
        <v>3</v>
      </c>
      <c r="P172" t="n">
        <v>0</v>
      </c>
      <c r="Q172" t="n">
        <v>3</v>
      </c>
      <c r="R172" s="2" t="inlineStr">
        <is>
          <t>Garnlav
Kolflarnlav
Mörk kolflarnlav</t>
        </is>
      </c>
      <c r="S172">
        <f>HYPERLINK("https://klasma.github.io/Logging_2161/artfynd/A 36627-2024 artfynd.xlsx", "A 36627-2024")</f>
        <v/>
      </c>
      <c r="T172">
        <f>HYPERLINK("https://klasma.github.io/Logging_2161/kartor/A 36627-2024 karta.png", "A 36627-2024")</f>
        <v/>
      </c>
      <c r="V172">
        <f>HYPERLINK("https://klasma.github.io/Logging_2161/klagomål/A 36627-2024 FSC-klagomål.docx", "A 36627-2024")</f>
        <v/>
      </c>
      <c r="W172">
        <f>HYPERLINK("https://klasma.github.io/Logging_2161/klagomålsmail/A 36627-2024 FSC-klagomål mail.docx", "A 36627-2024")</f>
        <v/>
      </c>
      <c r="X172">
        <f>HYPERLINK("https://klasma.github.io/Logging_2161/tillsyn/A 36627-2024 tillsynsbegäran.docx", "A 36627-2024")</f>
        <v/>
      </c>
      <c r="Y172">
        <f>HYPERLINK("https://klasma.github.io/Logging_2161/tillsynsmail/A 36627-2024 tillsynsbegäran mail.docx", "A 36627-2024")</f>
        <v/>
      </c>
    </row>
    <row r="173" ht="15" customHeight="1">
      <c r="A173" t="inlineStr">
        <is>
          <t>A 56674-2020</t>
        </is>
      </c>
      <c r="B173" s="1" t="n">
        <v>44137</v>
      </c>
      <c r="C173" s="1" t="n">
        <v>45911</v>
      </c>
      <c r="D173" t="inlineStr">
        <is>
          <t>GÄVLEBORGS LÄN</t>
        </is>
      </c>
      <c r="E173" t="inlineStr">
        <is>
          <t>LJUSDAL</t>
        </is>
      </c>
      <c r="G173" t="n">
        <v>11</v>
      </c>
      <c r="H173" t="n">
        <v>1</v>
      </c>
      <c r="I173" t="n">
        <v>2</v>
      </c>
      <c r="J173" t="n">
        <v>0</v>
      </c>
      <c r="K173" t="n">
        <v>1</v>
      </c>
      <c r="L173" t="n">
        <v>0</v>
      </c>
      <c r="M173" t="n">
        <v>0</v>
      </c>
      <c r="N173" t="n">
        <v>0</v>
      </c>
      <c r="O173" t="n">
        <v>1</v>
      </c>
      <c r="P173" t="n">
        <v>1</v>
      </c>
      <c r="Q173" t="n">
        <v>3</v>
      </c>
      <c r="R173" s="2" t="inlineStr">
        <is>
          <t>Knärot
Korallblylav
Mörk husmossa</t>
        </is>
      </c>
      <c r="S173">
        <f>HYPERLINK("https://klasma.github.io/Logging_2161/artfynd/A 56674-2020 artfynd.xlsx", "A 56674-2020")</f>
        <v/>
      </c>
      <c r="T173">
        <f>HYPERLINK("https://klasma.github.io/Logging_2161/kartor/A 56674-2020 karta.png", "A 56674-2020")</f>
        <v/>
      </c>
      <c r="U173">
        <f>HYPERLINK("https://klasma.github.io/Logging_2161/knärot/A 56674-2020 karta knärot.png", "A 56674-2020")</f>
        <v/>
      </c>
      <c r="V173">
        <f>HYPERLINK("https://klasma.github.io/Logging_2161/klagomål/A 56674-2020 FSC-klagomål.docx", "A 56674-2020")</f>
        <v/>
      </c>
      <c r="W173">
        <f>HYPERLINK("https://klasma.github.io/Logging_2161/klagomålsmail/A 56674-2020 FSC-klagomål mail.docx", "A 56674-2020")</f>
        <v/>
      </c>
      <c r="X173">
        <f>HYPERLINK("https://klasma.github.io/Logging_2161/tillsyn/A 56674-2020 tillsynsbegäran.docx", "A 56674-2020")</f>
        <v/>
      </c>
      <c r="Y173">
        <f>HYPERLINK("https://klasma.github.io/Logging_2161/tillsynsmail/A 56674-2020 tillsynsbegäran mail.docx", "A 56674-2020")</f>
        <v/>
      </c>
    </row>
    <row r="174" ht="15" customHeight="1">
      <c r="A174" t="inlineStr">
        <is>
          <t>A 12843-2024</t>
        </is>
      </c>
      <c r="B174" s="1" t="n">
        <v>45384.79018518519</v>
      </c>
      <c r="C174" s="1" t="n">
        <v>45911</v>
      </c>
      <c r="D174" t="inlineStr">
        <is>
          <t>GÄVLEBORGS LÄN</t>
        </is>
      </c>
      <c r="E174" t="inlineStr">
        <is>
          <t>HUDIKSVALL</t>
        </is>
      </c>
      <c r="F174" t="inlineStr">
        <is>
          <t>Holmen skog AB</t>
        </is>
      </c>
      <c r="G174" t="n">
        <v>23.4</v>
      </c>
      <c r="H174" t="n">
        <v>3</v>
      </c>
      <c r="I174" t="n">
        <v>1</v>
      </c>
      <c r="J174" t="n">
        <v>0</v>
      </c>
      <c r="K174" t="n">
        <v>0</v>
      </c>
      <c r="L174" t="n">
        <v>0</v>
      </c>
      <c r="M174" t="n">
        <v>0</v>
      </c>
      <c r="N174" t="n">
        <v>0</v>
      </c>
      <c r="O174" t="n">
        <v>0</v>
      </c>
      <c r="P174" t="n">
        <v>0</v>
      </c>
      <c r="Q174" t="n">
        <v>3</v>
      </c>
      <c r="R174" s="2" t="inlineStr">
        <is>
          <t>Spindelblomster
Fläcknycklar
Revlummer</t>
        </is>
      </c>
      <c r="S174">
        <f>HYPERLINK("https://klasma.github.io/Logging_2184/artfynd/A 12843-2024 artfynd.xlsx", "A 12843-2024")</f>
        <v/>
      </c>
      <c r="T174">
        <f>HYPERLINK("https://klasma.github.io/Logging_2184/kartor/A 12843-2024 karta.png", "A 12843-2024")</f>
        <v/>
      </c>
      <c r="V174">
        <f>HYPERLINK("https://klasma.github.io/Logging_2184/klagomål/A 12843-2024 FSC-klagomål.docx", "A 12843-2024")</f>
        <v/>
      </c>
      <c r="W174">
        <f>HYPERLINK("https://klasma.github.io/Logging_2184/klagomålsmail/A 12843-2024 FSC-klagomål mail.docx", "A 12843-2024")</f>
        <v/>
      </c>
      <c r="X174">
        <f>HYPERLINK("https://klasma.github.io/Logging_2184/tillsyn/A 12843-2024 tillsynsbegäran.docx", "A 12843-2024")</f>
        <v/>
      </c>
      <c r="Y174">
        <f>HYPERLINK("https://klasma.github.io/Logging_2184/tillsynsmail/A 12843-2024 tillsynsbegäran mail.docx", "A 12843-2024")</f>
        <v/>
      </c>
    </row>
    <row r="175" ht="15" customHeight="1">
      <c r="A175" t="inlineStr">
        <is>
          <t>A 26606-2025</t>
        </is>
      </c>
      <c r="B175" s="1" t="n">
        <v>45809.8856712963</v>
      </c>
      <c r="C175" s="1" t="n">
        <v>45911</v>
      </c>
      <c r="D175" t="inlineStr">
        <is>
          <t>GÄVLEBORGS LÄN</t>
        </is>
      </c>
      <c r="E175" t="inlineStr">
        <is>
          <t>LJUSDAL</t>
        </is>
      </c>
      <c r="G175" t="n">
        <v>11.1</v>
      </c>
      <c r="H175" t="n">
        <v>0</v>
      </c>
      <c r="I175" t="n">
        <v>0</v>
      </c>
      <c r="J175" t="n">
        <v>3</v>
      </c>
      <c r="K175" t="n">
        <v>0</v>
      </c>
      <c r="L175" t="n">
        <v>0</v>
      </c>
      <c r="M175" t="n">
        <v>0</v>
      </c>
      <c r="N175" t="n">
        <v>0</v>
      </c>
      <c r="O175" t="n">
        <v>3</v>
      </c>
      <c r="P175" t="n">
        <v>0</v>
      </c>
      <c r="Q175" t="n">
        <v>3</v>
      </c>
      <c r="R175" s="2" t="inlineStr">
        <is>
          <t>Garnlav
Talltaggsvamp
Vedskivlav</t>
        </is>
      </c>
      <c r="S175">
        <f>HYPERLINK("https://klasma.github.io/Logging_2161/artfynd/A 26606-2025 artfynd.xlsx", "A 26606-2025")</f>
        <v/>
      </c>
      <c r="T175">
        <f>HYPERLINK("https://klasma.github.io/Logging_2161/kartor/A 26606-2025 karta.png", "A 26606-2025")</f>
        <v/>
      </c>
      <c r="V175">
        <f>HYPERLINK("https://klasma.github.io/Logging_2161/klagomål/A 26606-2025 FSC-klagomål.docx", "A 26606-2025")</f>
        <v/>
      </c>
      <c r="W175">
        <f>HYPERLINK("https://klasma.github.io/Logging_2161/klagomålsmail/A 26606-2025 FSC-klagomål mail.docx", "A 26606-2025")</f>
        <v/>
      </c>
      <c r="X175">
        <f>HYPERLINK("https://klasma.github.io/Logging_2161/tillsyn/A 26606-2025 tillsynsbegäran.docx", "A 26606-2025")</f>
        <v/>
      </c>
      <c r="Y175">
        <f>HYPERLINK("https://klasma.github.io/Logging_2161/tillsynsmail/A 26606-2025 tillsynsbegäran mail.docx", "A 26606-2025")</f>
        <v/>
      </c>
    </row>
    <row r="176" ht="15" customHeight="1">
      <c r="A176" t="inlineStr">
        <is>
          <t>A 17701-2025</t>
        </is>
      </c>
      <c r="B176" s="1" t="n">
        <v>45758</v>
      </c>
      <c r="C176" s="1" t="n">
        <v>45911</v>
      </c>
      <c r="D176" t="inlineStr">
        <is>
          <t>GÄVLEBORGS LÄN</t>
        </is>
      </c>
      <c r="E176" t="inlineStr">
        <is>
          <t>LJUSDAL</t>
        </is>
      </c>
      <c r="F176" t="inlineStr">
        <is>
          <t>Kyrkan</t>
        </is>
      </c>
      <c r="G176" t="n">
        <v>3.5</v>
      </c>
      <c r="H176" t="n">
        <v>2</v>
      </c>
      <c r="I176" t="n">
        <v>0</v>
      </c>
      <c r="J176" t="n">
        <v>0</v>
      </c>
      <c r="K176" t="n">
        <v>2</v>
      </c>
      <c r="L176" t="n">
        <v>0</v>
      </c>
      <c r="M176" t="n">
        <v>0</v>
      </c>
      <c r="N176" t="n">
        <v>0</v>
      </c>
      <c r="O176" t="n">
        <v>2</v>
      </c>
      <c r="P176" t="n">
        <v>2</v>
      </c>
      <c r="Q176" t="n">
        <v>3</v>
      </c>
      <c r="R176" s="2" t="inlineStr">
        <is>
          <t>Knärot
Rynkskinn
Tjäder</t>
        </is>
      </c>
      <c r="S176">
        <f>HYPERLINK("https://klasma.github.io/Logging_2161/artfynd/A 17701-2025 artfynd.xlsx", "A 17701-2025")</f>
        <v/>
      </c>
      <c r="T176">
        <f>HYPERLINK("https://klasma.github.io/Logging_2161/kartor/A 17701-2025 karta.png", "A 17701-2025")</f>
        <v/>
      </c>
      <c r="U176">
        <f>HYPERLINK("https://klasma.github.io/Logging_2161/knärot/A 17701-2025 karta knärot.png", "A 17701-2025")</f>
        <v/>
      </c>
      <c r="V176">
        <f>HYPERLINK("https://klasma.github.io/Logging_2161/klagomål/A 17701-2025 FSC-klagomål.docx", "A 17701-2025")</f>
        <v/>
      </c>
      <c r="W176">
        <f>HYPERLINK("https://klasma.github.io/Logging_2161/klagomålsmail/A 17701-2025 FSC-klagomål mail.docx", "A 17701-2025")</f>
        <v/>
      </c>
      <c r="X176">
        <f>HYPERLINK("https://klasma.github.io/Logging_2161/tillsyn/A 17701-2025 tillsynsbegäran.docx", "A 17701-2025")</f>
        <v/>
      </c>
      <c r="Y176">
        <f>HYPERLINK("https://klasma.github.io/Logging_2161/tillsynsmail/A 17701-2025 tillsynsbegäran mail.docx", "A 17701-2025")</f>
        <v/>
      </c>
      <c r="Z176">
        <f>HYPERLINK("https://klasma.github.io/Logging_2161/fåglar/A 17701-2025 prioriterade fågelarter.docx", "A 17701-2025")</f>
        <v/>
      </c>
    </row>
    <row r="177" ht="15" customHeight="1">
      <c r="A177" t="inlineStr">
        <is>
          <t>A 17707-2025</t>
        </is>
      </c>
      <c r="B177" s="1" t="n">
        <v>45758</v>
      </c>
      <c r="C177" s="1" t="n">
        <v>45911</v>
      </c>
      <c r="D177" t="inlineStr">
        <is>
          <t>GÄVLEBORGS LÄN</t>
        </is>
      </c>
      <c r="E177" t="inlineStr">
        <is>
          <t>LJUSDAL</t>
        </is>
      </c>
      <c r="F177" t="inlineStr">
        <is>
          <t>Kyrkan</t>
        </is>
      </c>
      <c r="G177" t="n">
        <v>7.2</v>
      </c>
      <c r="H177" t="n">
        <v>2</v>
      </c>
      <c r="I177" t="n">
        <v>2</v>
      </c>
      <c r="J177" t="n">
        <v>0</v>
      </c>
      <c r="K177" t="n">
        <v>1</v>
      </c>
      <c r="L177" t="n">
        <v>0</v>
      </c>
      <c r="M177" t="n">
        <v>0</v>
      </c>
      <c r="N177" t="n">
        <v>0</v>
      </c>
      <c r="O177" t="n">
        <v>1</v>
      </c>
      <c r="P177" t="n">
        <v>1</v>
      </c>
      <c r="Q177" t="n">
        <v>3</v>
      </c>
      <c r="R177" s="2" t="inlineStr">
        <is>
          <t>Knärot
Grönpyrola
Plattlummer</t>
        </is>
      </c>
      <c r="S177">
        <f>HYPERLINK("https://klasma.github.io/Logging_2161/artfynd/A 17707-2025 artfynd.xlsx", "A 17707-2025")</f>
        <v/>
      </c>
      <c r="T177">
        <f>HYPERLINK("https://klasma.github.io/Logging_2161/kartor/A 17707-2025 karta.png", "A 17707-2025")</f>
        <v/>
      </c>
      <c r="U177">
        <f>HYPERLINK("https://klasma.github.io/Logging_2161/knärot/A 17707-2025 karta knärot.png", "A 17707-2025")</f>
        <v/>
      </c>
      <c r="V177">
        <f>HYPERLINK("https://klasma.github.io/Logging_2161/klagomål/A 17707-2025 FSC-klagomål.docx", "A 17707-2025")</f>
        <v/>
      </c>
      <c r="W177">
        <f>HYPERLINK("https://klasma.github.io/Logging_2161/klagomålsmail/A 17707-2025 FSC-klagomål mail.docx", "A 17707-2025")</f>
        <v/>
      </c>
      <c r="X177">
        <f>HYPERLINK("https://klasma.github.io/Logging_2161/tillsyn/A 17707-2025 tillsynsbegäran.docx", "A 17707-2025")</f>
        <v/>
      </c>
      <c r="Y177">
        <f>HYPERLINK("https://klasma.github.io/Logging_2161/tillsynsmail/A 17707-2025 tillsynsbegäran mail.docx", "A 17707-2025")</f>
        <v/>
      </c>
    </row>
    <row r="178" ht="15" customHeight="1">
      <c r="A178" t="inlineStr">
        <is>
          <t>A 27859-2025</t>
        </is>
      </c>
      <c r="B178" s="1" t="n">
        <v>45817.41498842592</v>
      </c>
      <c r="C178" s="1" t="n">
        <v>45911</v>
      </c>
      <c r="D178" t="inlineStr">
        <is>
          <t>GÄVLEBORGS LÄN</t>
        </is>
      </c>
      <c r="E178" t="inlineStr">
        <is>
          <t>OVANÅKER</t>
        </is>
      </c>
      <c r="F178" t="inlineStr">
        <is>
          <t>Bergvik skog väst AB</t>
        </is>
      </c>
      <c r="G178" t="n">
        <v>26.5</v>
      </c>
      <c r="H178" t="n">
        <v>0</v>
      </c>
      <c r="I178" t="n">
        <v>0</v>
      </c>
      <c r="J178" t="n">
        <v>3</v>
      </c>
      <c r="K178" t="n">
        <v>0</v>
      </c>
      <c r="L178" t="n">
        <v>0</v>
      </c>
      <c r="M178" t="n">
        <v>0</v>
      </c>
      <c r="N178" t="n">
        <v>0</v>
      </c>
      <c r="O178" t="n">
        <v>3</v>
      </c>
      <c r="P178" t="n">
        <v>0</v>
      </c>
      <c r="Q178" t="n">
        <v>3</v>
      </c>
      <c r="R178" s="2" t="inlineStr">
        <is>
          <t>Kolflarnlav
Mörk kolflarnlav
Vedskivlav</t>
        </is>
      </c>
      <c r="S178">
        <f>HYPERLINK("https://klasma.github.io/Logging_2121/artfynd/A 27859-2025 artfynd.xlsx", "A 27859-2025")</f>
        <v/>
      </c>
      <c r="T178">
        <f>HYPERLINK("https://klasma.github.io/Logging_2121/kartor/A 27859-2025 karta.png", "A 27859-2025")</f>
        <v/>
      </c>
      <c r="V178">
        <f>HYPERLINK("https://klasma.github.io/Logging_2121/klagomål/A 27859-2025 FSC-klagomål.docx", "A 27859-2025")</f>
        <v/>
      </c>
      <c r="W178">
        <f>HYPERLINK("https://klasma.github.io/Logging_2121/klagomålsmail/A 27859-2025 FSC-klagomål mail.docx", "A 27859-2025")</f>
        <v/>
      </c>
      <c r="X178">
        <f>HYPERLINK("https://klasma.github.io/Logging_2121/tillsyn/A 27859-2025 tillsynsbegäran.docx", "A 27859-2025")</f>
        <v/>
      </c>
      <c r="Y178">
        <f>HYPERLINK("https://klasma.github.io/Logging_2121/tillsynsmail/A 27859-2025 tillsynsbegäran mail.docx", "A 27859-2025")</f>
        <v/>
      </c>
    </row>
    <row r="179" ht="15" customHeight="1">
      <c r="A179" t="inlineStr">
        <is>
          <t>A 28866-2025</t>
        </is>
      </c>
      <c r="B179" s="1" t="n">
        <v>45820</v>
      </c>
      <c r="C179" s="1" t="n">
        <v>45911</v>
      </c>
      <c r="D179" t="inlineStr">
        <is>
          <t>GÄVLEBORGS LÄN</t>
        </is>
      </c>
      <c r="E179" t="inlineStr">
        <is>
          <t>LJUSDAL</t>
        </is>
      </c>
      <c r="F179" t="inlineStr">
        <is>
          <t>Bergvik skog väst AB</t>
        </is>
      </c>
      <c r="G179" t="n">
        <v>4.6</v>
      </c>
      <c r="H179" t="n">
        <v>2</v>
      </c>
      <c r="I179" t="n">
        <v>0</v>
      </c>
      <c r="J179" t="n">
        <v>3</v>
      </c>
      <c r="K179" t="n">
        <v>0</v>
      </c>
      <c r="L179" t="n">
        <v>0</v>
      </c>
      <c r="M179" t="n">
        <v>0</v>
      </c>
      <c r="N179" t="n">
        <v>0</v>
      </c>
      <c r="O179" t="n">
        <v>3</v>
      </c>
      <c r="P179" t="n">
        <v>0</v>
      </c>
      <c r="Q179" t="n">
        <v>3</v>
      </c>
      <c r="R179" s="2" t="inlineStr">
        <is>
          <t>Garnlav
Järpe
Talltita</t>
        </is>
      </c>
      <c r="S179">
        <f>HYPERLINK("https://klasma.github.io/Logging_2161/artfynd/A 28866-2025 artfynd.xlsx", "A 28866-2025")</f>
        <v/>
      </c>
      <c r="T179">
        <f>HYPERLINK("https://klasma.github.io/Logging_2161/kartor/A 28866-2025 karta.png", "A 28866-2025")</f>
        <v/>
      </c>
      <c r="V179">
        <f>HYPERLINK("https://klasma.github.io/Logging_2161/klagomål/A 28866-2025 FSC-klagomål.docx", "A 28866-2025")</f>
        <v/>
      </c>
      <c r="W179">
        <f>HYPERLINK("https://klasma.github.io/Logging_2161/klagomålsmail/A 28866-2025 FSC-klagomål mail.docx", "A 28866-2025")</f>
        <v/>
      </c>
      <c r="X179">
        <f>HYPERLINK("https://klasma.github.io/Logging_2161/tillsyn/A 28866-2025 tillsynsbegäran.docx", "A 28866-2025")</f>
        <v/>
      </c>
      <c r="Y179">
        <f>HYPERLINK("https://klasma.github.io/Logging_2161/tillsynsmail/A 28866-2025 tillsynsbegäran mail.docx", "A 28866-2025")</f>
        <v/>
      </c>
      <c r="Z179">
        <f>HYPERLINK("https://klasma.github.io/Logging_2161/fåglar/A 28866-2025 prioriterade fågelarter.docx", "A 28866-2025")</f>
        <v/>
      </c>
    </row>
    <row r="180" ht="15" customHeight="1">
      <c r="A180" t="inlineStr">
        <is>
          <t>A 29239-2025</t>
        </is>
      </c>
      <c r="B180" s="1" t="n">
        <v>45824.35663194444</v>
      </c>
      <c r="C180" s="1" t="n">
        <v>45911</v>
      </c>
      <c r="D180" t="inlineStr">
        <is>
          <t>GÄVLEBORGS LÄN</t>
        </is>
      </c>
      <c r="E180" t="inlineStr">
        <is>
          <t>LJUSDAL</t>
        </is>
      </c>
      <c r="F180" t="inlineStr">
        <is>
          <t>Bergvik skog väst AB</t>
        </is>
      </c>
      <c r="G180" t="n">
        <v>12.1</v>
      </c>
      <c r="H180" t="n">
        <v>0</v>
      </c>
      <c r="I180" t="n">
        <v>1</v>
      </c>
      <c r="J180" t="n">
        <v>2</v>
      </c>
      <c r="K180" t="n">
        <v>0</v>
      </c>
      <c r="L180" t="n">
        <v>0</v>
      </c>
      <c r="M180" t="n">
        <v>0</v>
      </c>
      <c r="N180" t="n">
        <v>0</v>
      </c>
      <c r="O180" t="n">
        <v>2</v>
      </c>
      <c r="P180" t="n">
        <v>0</v>
      </c>
      <c r="Q180" t="n">
        <v>3</v>
      </c>
      <c r="R180" s="2" t="inlineStr">
        <is>
          <t>Garnlav
Ullticka
Vedticka</t>
        </is>
      </c>
      <c r="S180">
        <f>HYPERLINK("https://klasma.github.io/Logging_2161/artfynd/A 29239-2025 artfynd.xlsx", "A 29239-2025")</f>
        <v/>
      </c>
      <c r="T180">
        <f>HYPERLINK("https://klasma.github.io/Logging_2161/kartor/A 29239-2025 karta.png", "A 29239-2025")</f>
        <v/>
      </c>
      <c r="V180">
        <f>HYPERLINK("https://klasma.github.io/Logging_2161/klagomål/A 29239-2025 FSC-klagomål.docx", "A 29239-2025")</f>
        <v/>
      </c>
      <c r="W180">
        <f>HYPERLINK("https://klasma.github.io/Logging_2161/klagomålsmail/A 29239-2025 FSC-klagomål mail.docx", "A 29239-2025")</f>
        <v/>
      </c>
      <c r="X180">
        <f>HYPERLINK("https://klasma.github.io/Logging_2161/tillsyn/A 29239-2025 tillsynsbegäran.docx", "A 29239-2025")</f>
        <v/>
      </c>
      <c r="Y180">
        <f>HYPERLINK("https://klasma.github.io/Logging_2161/tillsynsmail/A 29239-2025 tillsynsbegäran mail.docx", "A 29239-2025")</f>
        <v/>
      </c>
    </row>
    <row r="181" ht="15" customHeight="1">
      <c r="A181" t="inlineStr">
        <is>
          <t>A 29661-2025</t>
        </is>
      </c>
      <c r="B181" s="1" t="n">
        <v>45825</v>
      </c>
      <c r="C181" s="1" t="n">
        <v>45911</v>
      </c>
      <c r="D181" t="inlineStr">
        <is>
          <t>GÄVLEBORGS LÄN</t>
        </is>
      </c>
      <c r="E181" t="inlineStr">
        <is>
          <t>GÄVLE</t>
        </is>
      </c>
      <c r="F181" t="inlineStr">
        <is>
          <t>Bergvik skog väst AB</t>
        </is>
      </c>
      <c r="G181" t="n">
        <v>10.1</v>
      </c>
      <c r="H181" t="n">
        <v>0</v>
      </c>
      <c r="I181" t="n">
        <v>0</v>
      </c>
      <c r="J181" t="n">
        <v>3</v>
      </c>
      <c r="K181" t="n">
        <v>0</v>
      </c>
      <c r="L181" t="n">
        <v>0</v>
      </c>
      <c r="M181" t="n">
        <v>0</v>
      </c>
      <c r="N181" t="n">
        <v>0</v>
      </c>
      <c r="O181" t="n">
        <v>3</v>
      </c>
      <c r="P181" t="n">
        <v>0</v>
      </c>
      <c r="Q181" t="n">
        <v>3</v>
      </c>
      <c r="R181" s="2" t="inlineStr">
        <is>
          <t>Kalkkärrsgrynsnäcka
Skogsklocka
Tandsnäcka</t>
        </is>
      </c>
      <c r="S181">
        <f>HYPERLINK("https://klasma.github.io/Logging_2180/artfynd/A 29661-2025 artfynd.xlsx", "A 29661-2025")</f>
        <v/>
      </c>
      <c r="T181">
        <f>HYPERLINK("https://klasma.github.io/Logging_2180/kartor/A 29661-2025 karta.png", "A 29661-2025")</f>
        <v/>
      </c>
      <c r="V181">
        <f>HYPERLINK("https://klasma.github.io/Logging_2180/klagomål/A 29661-2025 FSC-klagomål.docx", "A 29661-2025")</f>
        <v/>
      </c>
      <c r="W181">
        <f>HYPERLINK("https://klasma.github.io/Logging_2180/klagomålsmail/A 29661-2025 FSC-klagomål mail.docx", "A 29661-2025")</f>
        <v/>
      </c>
      <c r="X181">
        <f>HYPERLINK("https://klasma.github.io/Logging_2180/tillsyn/A 29661-2025 tillsynsbegäran.docx", "A 29661-2025")</f>
        <v/>
      </c>
      <c r="Y181">
        <f>HYPERLINK("https://klasma.github.io/Logging_2180/tillsynsmail/A 29661-2025 tillsynsbegäran mail.docx", "A 29661-2025")</f>
        <v/>
      </c>
    </row>
    <row r="182" ht="15" customHeight="1">
      <c r="A182" t="inlineStr">
        <is>
          <t>A 29626-2025</t>
        </is>
      </c>
      <c r="B182" s="1" t="n">
        <v>45825</v>
      </c>
      <c r="C182" s="1" t="n">
        <v>45911</v>
      </c>
      <c r="D182" t="inlineStr">
        <is>
          <t>GÄVLEBORGS LÄN</t>
        </is>
      </c>
      <c r="E182" t="inlineStr">
        <is>
          <t>GÄVLE</t>
        </is>
      </c>
      <c r="F182" t="inlineStr">
        <is>
          <t>Bergvik skog väst AB</t>
        </is>
      </c>
      <c r="G182" t="n">
        <v>22.2</v>
      </c>
      <c r="H182" t="n">
        <v>2</v>
      </c>
      <c r="I182" t="n">
        <v>0</v>
      </c>
      <c r="J182" t="n">
        <v>2</v>
      </c>
      <c r="K182" t="n">
        <v>0</v>
      </c>
      <c r="L182" t="n">
        <v>0</v>
      </c>
      <c r="M182" t="n">
        <v>0</v>
      </c>
      <c r="N182" t="n">
        <v>0</v>
      </c>
      <c r="O182" t="n">
        <v>2</v>
      </c>
      <c r="P182" t="n">
        <v>0</v>
      </c>
      <c r="Q182" t="n">
        <v>3</v>
      </c>
      <c r="R182" s="2" t="inlineStr">
        <is>
          <t>Brunklöver
Höstlåsbräken
Mattlummer</t>
        </is>
      </c>
      <c r="S182">
        <f>HYPERLINK("https://klasma.github.io/Logging_2180/artfynd/A 29626-2025 artfynd.xlsx", "A 29626-2025")</f>
        <v/>
      </c>
      <c r="T182">
        <f>HYPERLINK("https://klasma.github.io/Logging_2180/kartor/A 29626-2025 karta.png", "A 29626-2025")</f>
        <v/>
      </c>
      <c r="V182">
        <f>HYPERLINK("https://klasma.github.io/Logging_2180/klagomål/A 29626-2025 FSC-klagomål.docx", "A 29626-2025")</f>
        <v/>
      </c>
      <c r="W182">
        <f>HYPERLINK("https://klasma.github.io/Logging_2180/klagomålsmail/A 29626-2025 FSC-klagomål mail.docx", "A 29626-2025")</f>
        <v/>
      </c>
      <c r="X182">
        <f>HYPERLINK("https://klasma.github.io/Logging_2180/tillsyn/A 29626-2025 tillsynsbegäran.docx", "A 29626-2025")</f>
        <v/>
      </c>
      <c r="Y182">
        <f>HYPERLINK("https://klasma.github.io/Logging_2180/tillsynsmail/A 29626-2025 tillsynsbegäran mail.docx", "A 29626-2025")</f>
        <v/>
      </c>
    </row>
    <row r="183" ht="15" customHeight="1">
      <c r="A183" t="inlineStr">
        <is>
          <t>A 46244-2024</t>
        </is>
      </c>
      <c r="B183" s="1" t="n">
        <v>45581.59032407407</v>
      </c>
      <c r="C183" s="1" t="n">
        <v>45911</v>
      </c>
      <c r="D183" t="inlineStr">
        <is>
          <t>GÄVLEBORGS LÄN</t>
        </is>
      </c>
      <c r="E183" t="inlineStr">
        <is>
          <t>LJUSDAL</t>
        </is>
      </c>
      <c r="F183" t="inlineStr">
        <is>
          <t>Sveaskog</t>
        </is>
      </c>
      <c r="G183" t="n">
        <v>5.8</v>
      </c>
      <c r="H183" t="n">
        <v>0</v>
      </c>
      <c r="I183" t="n">
        <v>1</v>
      </c>
      <c r="J183" t="n">
        <v>2</v>
      </c>
      <c r="K183" t="n">
        <v>0</v>
      </c>
      <c r="L183" t="n">
        <v>0</v>
      </c>
      <c r="M183" t="n">
        <v>0</v>
      </c>
      <c r="N183" t="n">
        <v>0</v>
      </c>
      <c r="O183" t="n">
        <v>2</v>
      </c>
      <c r="P183" t="n">
        <v>0</v>
      </c>
      <c r="Q183" t="n">
        <v>3</v>
      </c>
      <c r="R183" s="2" t="inlineStr">
        <is>
          <t>Motaggsvamp
Skrovlig taggsvamp
Dropptaggsvamp</t>
        </is>
      </c>
      <c r="S183">
        <f>HYPERLINK("https://klasma.github.io/Logging_2161/artfynd/A 46244-2024 artfynd.xlsx", "A 46244-2024")</f>
        <v/>
      </c>
      <c r="T183">
        <f>HYPERLINK("https://klasma.github.io/Logging_2161/kartor/A 46244-2024 karta.png", "A 46244-2024")</f>
        <v/>
      </c>
      <c r="V183">
        <f>HYPERLINK("https://klasma.github.io/Logging_2161/klagomål/A 46244-2024 FSC-klagomål.docx", "A 46244-2024")</f>
        <v/>
      </c>
      <c r="W183">
        <f>HYPERLINK("https://klasma.github.io/Logging_2161/klagomålsmail/A 46244-2024 FSC-klagomål mail.docx", "A 46244-2024")</f>
        <v/>
      </c>
      <c r="X183">
        <f>HYPERLINK("https://klasma.github.io/Logging_2161/tillsyn/A 46244-2024 tillsynsbegäran.docx", "A 46244-2024")</f>
        <v/>
      </c>
      <c r="Y183">
        <f>HYPERLINK("https://klasma.github.io/Logging_2161/tillsynsmail/A 46244-2024 tillsynsbegäran mail.docx", "A 46244-2024")</f>
        <v/>
      </c>
    </row>
    <row r="184" ht="15" customHeight="1">
      <c r="A184" t="inlineStr">
        <is>
          <t>A 30295-2025</t>
        </is>
      </c>
      <c r="B184" s="1" t="n">
        <v>45827.47322916667</v>
      </c>
      <c r="C184" s="1" t="n">
        <v>45911</v>
      </c>
      <c r="D184" t="inlineStr">
        <is>
          <t>GÄVLEBORGS LÄN</t>
        </is>
      </c>
      <c r="E184" t="inlineStr">
        <is>
          <t>LJUSDAL</t>
        </is>
      </c>
      <c r="F184" t="inlineStr">
        <is>
          <t>Sveaskog</t>
        </is>
      </c>
      <c r="G184" t="n">
        <v>9.1</v>
      </c>
      <c r="H184" t="n">
        <v>0</v>
      </c>
      <c r="I184" t="n">
        <v>0</v>
      </c>
      <c r="J184" t="n">
        <v>3</v>
      </c>
      <c r="K184" t="n">
        <v>0</v>
      </c>
      <c r="L184" t="n">
        <v>0</v>
      </c>
      <c r="M184" t="n">
        <v>0</v>
      </c>
      <c r="N184" t="n">
        <v>0</v>
      </c>
      <c r="O184" t="n">
        <v>3</v>
      </c>
      <c r="P184" t="n">
        <v>0</v>
      </c>
      <c r="Q184" t="n">
        <v>3</v>
      </c>
      <c r="R184" s="2" t="inlineStr">
        <is>
          <t>Garnlav
Kolflarnlav
Lunglav</t>
        </is>
      </c>
      <c r="S184">
        <f>HYPERLINK("https://klasma.github.io/Logging_2161/artfynd/A 30295-2025 artfynd.xlsx", "A 30295-2025")</f>
        <v/>
      </c>
      <c r="T184">
        <f>HYPERLINK("https://klasma.github.io/Logging_2161/kartor/A 30295-2025 karta.png", "A 30295-2025")</f>
        <v/>
      </c>
      <c r="V184">
        <f>HYPERLINK("https://klasma.github.io/Logging_2161/klagomål/A 30295-2025 FSC-klagomål.docx", "A 30295-2025")</f>
        <v/>
      </c>
      <c r="W184">
        <f>HYPERLINK("https://klasma.github.io/Logging_2161/klagomålsmail/A 30295-2025 FSC-klagomål mail.docx", "A 30295-2025")</f>
        <v/>
      </c>
      <c r="X184">
        <f>HYPERLINK("https://klasma.github.io/Logging_2161/tillsyn/A 30295-2025 tillsynsbegäran.docx", "A 30295-2025")</f>
        <v/>
      </c>
      <c r="Y184">
        <f>HYPERLINK("https://klasma.github.io/Logging_2161/tillsynsmail/A 30295-2025 tillsynsbegäran mail.docx", "A 30295-2025")</f>
        <v/>
      </c>
    </row>
    <row r="185" ht="15" customHeight="1">
      <c r="A185" t="inlineStr">
        <is>
          <t>A 43259-2021</t>
        </is>
      </c>
      <c r="B185" s="1" t="n">
        <v>44432</v>
      </c>
      <c r="C185" s="1" t="n">
        <v>45911</v>
      </c>
      <c r="D185" t="inlineStr">
        <is>
          <t>GÄVLEBORGS LÄN</t>
        </is>
      </c>
      <c r="E185" t="inlineStr">
        <is>
          <t>BOLLNÄS</t>
        </is>
      </c>
      <c r="G185" t="n">
        <v>3.8</v>
      </c>
      <c r="H185" t="n">
        <v>2</v>
      </c>
      <c r="I185" t="n">
        <v>1</v>
      </c>
      <c r="J185" t="n">
        <v>1</v>
      </c>
      <c r="K185" t="n">
        <v>1</v>
      </c>
      <c r="L185" t="n">
        <v>0</v>
      </c>
      <c r="M185" t="n">
        <v>0</v>
      </c>
      <c r="N185" t="n">
        <v>0</v>
      </c>
      <c r="O185" t="n">
        <v>2</v>
      </c>
      <c r="P185" t="n">
        <v>1</v>
      </c>
      <c r="Q185" t="n">
        <v>3</v>
      </c>
      <c r="R185" s="2" t="inlineStr">
        <is>
          <t>Knärot
Brunlångöra
Grönpyrola</t>
        </is>
      </c>
      <c r="S185">
        <f>HYPERLINK("https://klasma.github.io/Logging_2183/artfynd/A 43259-2021 artfynd.xlsx", "A 43259-2021")</f>
        <v/>
      </c>
      <c r="T185">
        <f>HYPERLINK("https://klasma.github.io/Logging_2183/kartor/A 43259-2021 karta.png", "A 43259-2021")</f>
        <v/>
      </c>
      <c r="U185">
        <f>HYPERLINK("https://klasma.github.io/Logging_2183/knärot/A 43259-2021 karta knärot.png", "A 43259-2021")</f>
        <v/>
      </c>
      <c r="V185">
        <f>HYPERLINK("https://klasma.github.io/Logging_2183/klagomål/A 43259-2021 FSC-klagomål.docx", "A 43259-2021")</f>
        <v/>
      </c>
      <c r="W185">
        <f>HYPERLINK("https://klasma.github.io/Logging_2183/klagomålsmail/A 43259-2021 FSC-klagomål mail.docx", "A 43259-2021")</f>
        <v/>
      </c>
      <c r="X185">
        <f>HYPERLINK("https://klasma.github.io/Logging_2183/tillsyn/A 43259-2021 tillsynsbegäran.docx", "A 43259-2021")</f>
        <v/>
      </c>
      <c r="Y185">
        <f>HYPERLINK("https://klasma.github.io/Logging_2183/tillsynsmail/A 43259-2021 tillsynsbegäran mail.docx", "A 43259-2021")</f>
        <v/>
      </c>
    </row>
    <row r="186" ht="15" customHeight="1">
      <c r="A186" t="inlineStr">
        <is>
          <t>A 34590-2021</t>
        </is>
      </c>
      <c r="B186" s="1" t="n">
        <v>44382</v>
      </c>
      <c r="C186" s="1" t="n">
        <v>45911</v>
      </c>
      <c r="D186" t="inlineStr">
        <is>
          <t>GÄVLEBORGS LÄN</t>
        </is>
      </c>
      <c r="E186" t="inlineStr">
        <is>
          <t>BOLLNÄS</t>
        </is>
      </c>
      <c r="F186" t="inlineStr">
        <is>
          <t>Bergvik skog väst AB</t>
        </is>
      </c>
      <c r="G186" t="n">
        <v>5.6</v>
      </c>
      <c r="H186" t="n">
        <v>2</v>
      </c>
      <c r="I186" t="n">
        <v>1</v>
      </c>
      <c r="J186" t="n">
        <v>0</v>
      </c>
      <c r="K186" t="n">
        <v>0</v>
      </c>
      <c r="L186" t="n">
        <v>0</v>
      </c>
      <c r="M186" t="n">
        <v>0</v>
      </c>
      <c r="N186" t="n">
        <v>0</v>
      </c>
      <c r="O186" t="n">
        <v>0</v>
      </c>
      <c r="P186" t="n">
        <v>0</v>
      </c>
      <c r="Q186" t="n">
        <v>3</v>
      </c>
      <c r="R186" s="2" t="inlineStr">
        <is>
          <t>Tibast
Brudsporre
Fläcknycklar</t>
        </is>
      </c>
      <c r="S186">
        <f>HYPERLINK("https://klasma.github.io/Logging_2183/artfynd/A 34590-2021 artfynd.xlsx", "A 34590-2021")</f>
        <v/>
      </c>
      <c r="T186">
        <f>HYPERLINK("https://klasma.github.io/Logging_2183/kartor/A 34590-2021 karta.png", "A 34590-2021")</f>
        <v/>
      </c>
      <c r="V186">
        <f>HYPERLINK("https://klasma.github.io/Logging_2183/klagomål/A 34590-2021 FSC-klagomål.docx", "A 34590-2021")</f>
        <v/>
      </c>
      <c r="W186">
        <f>HYPERLINK("https://klasma.github.io/Logging_2183/klagomålsmail/A 34590-2021 FSC-klagomål mail.docx", "A 34590-2021")</f>
        <v/>
      </c>
      <c r="X186">
        <f>HYPERLINK("https://klasma.github.io/Logging_2183/tillsyn/A 34590-2021 tillsynsbegäran.docx", "A 34590-2021")</f>
        <v/>
      </c>
      <c r="Y186">
        <f>HYPERLINK("https://klasma.github.io/Logging_2183/tillsynsmail/A 34590-2021 tillsynsbegäran mail.docx", "A 34590-2021")</f>
        <v/>
      </c>
    </row>
    <row r="187" ht="15" customHeight="1">
      <c r="A187" t="inlineStr">
        <is>
          <t>A 36621-2024</t>
        </is>
      </c>
      <c r="B187" s="1" t="n">
        <v>45537.58864583333</v>
      </c>
      <c r="C187" s="1" t="n">
        <v>45911</v>
      </c>
      <c r="D187" t="inlineStr">
        <is>
          <t>GÄVLEBORGS LÄN</t>
        </is>
      </c>
      <c r="E187" t="inlineStr">
        <is>
          <t>LJUSDAL</t>
        </is>
      </c>
      <c r="F187" t="inlineStr">
        <is>
          <t>Sveaskog</t>
        </is>
      </c>
      <c r="G187" t="n">
        <v>2.9</v>
      </c>
      <c r="H187" t="n">
        <v>0</v>
      </c>
      <c r="I187" t="n">
        <v>0</v>
      </c>
      <c r="J187" t="n">
        <v>3</v>
      </c>
      <c r="K187" t="n">
        <v>0</v>
      </c>
      <c r="L187" t="n">
        <v>0</v>
      </c>
      <c r="M187" t="n">
        <v>0</v>
      </c>
      <c r="N187" t="n">
        <v>0</v>
      </c>
      <c r="O187" t="n">
        <v>3</v>
      </c>
      <c r="P187" t="n">
        <v>0</v>
      </c>
      <c r="Q187" t="n">
        <v>3</v>
      </c>
      <c r="R187" s="2" t="inlineStr">
        <is>
          <t>Kolflarnlav
Lunglav
Mörk kolflarnlav</t>
        </is>
      </c>
      <c r="S187">
        <f>HYPERLINK("https://klasma.github.io/Logging_2161/artfynd/A 36621-2024 artfynd.xlsx", "A 36621-2024")</f>
        <v/>
      </c>
      <c r="T187">
        <f>HYPERLINK("https://klasma.github.io/Logging_2161/kartor/A 36621-2024 karta.png", "A 36621-2024")</f>
        <v/>
      </c>
      <c r="V187">
        <f>HYPERLINK("https://klasma.github.io/Logging_2161/klagomål/A 36621-2024 FSC-klagomål.docx", "A 36621-2024")</f>
        <v/>
      </c>
      <c r="W187">
        <f>HYPERLINK("https://klasma.github.io/Logging_2161/klagomålsmail/A 36621-2024 FSC-klagomål mail.docx", "A 36621-2024")</f>
        <v/>
      </c>
      <c r="X187">
        <f>HYPERLINK("https://klasma.github.io/Logging_2161/tillsyn/A 36621-2024 tillsynsbegäran.docx", "A 36621-2024")</f>
        <v/>
      </c>
      <c r="Y187">
        <f>HYPERLINK("https://klasma.github.io/Logging_2161/tillsynsmail/A 36621-2024 tillsynsbegäran mail.docx", "A 36621-2024")</f>
        <v/>
      </c>
    </row>
    <row r="188" ht="15" customHeight="1">
      <c r="A188" t="inlineStr">
        <is>
          <t>A 32536-2025</t>
        </is>
      </c>
      <c r="B188" s="1" t="n">
        <v>45838.49390046296</v>
      </c>
      <c r="C188" s="1" t="n">
        <v>45911</v>
      </c>
      <c r="D188" t="inlineStr">
        <is>
          <t>GÄVLEBORGS LÄN</t>
        </is>
      </c>
      <c r="E188" t="inlineStr">
        <is>
          <t>LJUSDAL</t>
        </is>
      </c>
      <c r="F188" t="inlineStr">
        <is>
          <t>Sveaskog</t>
        </is>
      </c>
      <c r="G188" t="n">
        <v>4.6</v>
      </c>
      <c r="H188" t="n">
        <v>0</v>
      </c>
      <c r="I188" t="n">
        <v>0</v>
      </c>
      <c r="J188" t="n">
        <v>3</v>
      </c>
      <c r="K188" t="n">
        <v>0</v>
      </c>
      <c r="L188" t="n">
        <v>0</v>
      </c>
      <c r="M188" t="n">
        <v>0</v>
      </c>
      <c r="N188" t="n">
        <v>0</v>
      </c>
      <c r="O188" t="n">
        <v>3</v>
      </c>
      <c r="P188" t="n">
        <v>0</v>
      </c>
      <c r="Q188" t="n">
        <v>3</v>
      </c>
      <c r="R188" s="2" t="inlineStr">
        <is>
          <t>Kolflarnlav
Lunglav
Vedflamlav</t>
        </is>
      </c>
      <c r="S188">
        <f>HYPERLINK("https://klasma.github.io/Logging_2161/artfynd/A 32536-2025 artfynd.xlsx", "A 32536-2025")</f>
        <v/>
      </c>
      <c r="T188">
        <f>HYPERLINK("https://klasma.github.io/Logging_2161/kartor/A 32536-2025 karta.png", "A 32536-2025")</f>
        <v/>
      </c>
      <c r="V188">
        <f>HYPERLINK("https://klasma.github.io/Logging_2161/klagomål/A 32536-2025 FSC-klagomål.docx", "A 32536-2025")</f>
        <v/>
      </c>
      <c r="W188">
        <f>HYPERLINK("https://klasma.github.io/Logging_2161/klagomålsmail/A 32536-2025 FSC-klagomål mail.docx", "A 32536-2025")</f>
        <v/>
      </c>
      <c r="X188">
        <f>HYPERLINK("https://klasma.github.io/Logging_2161/tillsyn/A 32536-2025 tillsynsbegäran.docx", "A 32536-2025")</f>
        <v/>
      </c>
      <c r="Y188">
        <f>HYPERLINK("https://klasma.github.io/Logging_2161/tillsynsmail/A 32536-2025 tillsynsbegäran mail.docx", "A 32536-2025")</f>
        <v/>
      </c>
    </row>
    <row r="189" ht="15" customHeight="1">
      <c r="A189" t="inlineStr">
        <is>
          <t>A 37835-2025</t>
        </is>
      </c>
      <c r="B189" s="1" t="n">
        <v>45881.42501157407</v>
      </c>
      <c r="C189" s="1" t="n">
        <v>45911</v>
      </c>
      <c r="D189" t="inlineStr">
        <is>
          <t>GÄVLEBORGS LÄN</t>
        </is>
      </c>
      <c r="E189" t="inlineStr">
        <is>
          <t>LJUSDAL</t>
        </is>
      </c>
      <c r="F189" t="inlineStr">
        <is>
          <t>Bergvik skog väst AB</t>
        </is>
      </c>
      <c r="G189" t="n">
        <v>2.3</v>
      </c>
      <c r="H189" t="n">
        <v>1</v>
      </c>
      <c r="I189" t="n">
        <v>0</v>
      </c>
      <c r="J189" t="n">
        <v>3</v>
      </c>
      <c r="K189" t="n">
        <v>0</v>
      </c>
      <c r="L189" t="n">
        <v>0</v>
      </c>
      <c r="M189" t="n">
        <v>0</v>
      </c>
      <c r="N189" t="n">
        <v>0</v>
      </c>
      <c r="O189" t="n">
        <v>3</v>
      </c>
      <c r="P189" t="n">
        <v>0</v>
      </c>
      <c r="Q189" t="n">
        <v>3</v>
      </c>
      <c r="R189" s="2" t="inlineStr">
        <is>
          <t>Garnlav
Lunglav
Talltita</t>
        </is>
      </c>
      <c r="S189">
        <f>HYPERLINK("https://klasma.github.io/Logging_2161/artfynd/A 37835-2025 artfynd.xlsx", "A 37835-2025")</f>
        <v/>
      </c>
      <c r="T189">
        <f>HYPERLINK("https://klasma.github.io/Logging_2161/kartor/A 37835-2025 karta.png", "A 37835-2025")</f>
        <v/>
      </c>
      <c r="V189">
        <f>HYPERLINK("https://klasma.github.io/Logging_2161/klagomål/A 37835-2025 FSC-klagomål.docx", "A 37835-2025")</f>
        <v/>
      </c>
      <c r="W189">
        <f>HYPERLINK("https://klasma.github.io/Logging_2161/klagomålsmail/A 37835-2025 FSC-klagomål mail.docx", "A 37835-2025")</f>
        <v/>
      </c>
      <c r="X189">
        <f>HYPERLINK("https://klasma.github.io/Logging_2161/tillsyn/A 37835-2025 tillsynsbegäran.docx", "A 37835-2025")</f>
        <v/>
      </c>
      <c r="Y189">
        <f>HYPERLINK("https://klasma.github.io/Logging_2161/tillsynsmail/A 37835-2025 tillsynsbegäran mail.docx", "A 37835-2025")</f>
        <v/>
      </c>
      <c r="Z189">
        <f>HYPERLINK("https://klasma.github.io/Logging_2161/fåglar/A 37835-2025 prioriterade fågelarter.docx", "A 37835-2025")</f>
        <v/>
      </c>
    </row>
    <row r="190" ht="15" customHeight="1">
      <c r="A190" t="inlineStr">
        <is>
          <t>A 32818-2025</t>
        </is>
      </c>
      <c r="B190" s="1" t="n">
        <v>45839.53280092592</v>
      </c>
      <c r="C190" s="1" t="n">
        <v>45911</v>
      </c>
      <c r="D190" t="inlineStr">
        <is>
          <t>GÄVLEBORGS LÄN</t>
        </is>
      </c>
      <c r="E190" t="inlineStr">
        <is>
          <t>LJUSDAL</t>
        </is>
      </c>
      <c r="F190" t="inlineStr">
        <is>
          <t>Sveaskog</t>
        </is>
      </c>
      <c r="G190" t="n">
        <v>2.8</v>
      </c>
      <c r="H190" t="n">
        <v>1</v>
      </c>
      <c r="I190" t="n">
        <v>0</v>
      </c>
      <c r="J190" t="n">
        <v>2</v>
      </c>
      <c r="K190" t="n">
        <v>0</v>
      </c>
      <c r="L190" t="n">
        <v>0</v>
      </c>
      <c r="M190" t="n">
        <v>0</v>
      </c>
      <c r="N190" t="n">
        <v>0</v>
      </c>
      <c r="O190" t="n">
        <v>2</v>
      </c>
      <c r="P190" t="n">
        <v>0</v>
      </c>
      <c r="Q190" t="n">
        <v>3</v>
      </c>
      <c r="R190" s="2" t="inlineStr">
        <is>
          <t>Kolflarnlav
Lunglav
Fläcknycklar</t>
        </is>
      </c>
      <c r="S190">
        <f>HYPERLINK("https://klasma.github.io/Logging_2161/artfynd/A 32818-2025 artfynd.xlsx", "A 32818-2025")</f>
        <v/>
      </c>
      <c r="T190">
        <f>HYPERLINK("https://klasma.github.io/Logging_2161/kartor/A 32818-2025 karta.png", "A 32818-2025")</f>
        <v/>
      </c>
      <c r="V190">
        <f>HYPERLINK("https://klasma.github.io/Logging_2161/klagomål/A 32818-2025 FSC-klagomål.docx", "A 32818-2025")</f>
        <v/>
      </c>
      <c r="W190">
        <f>HYPERLINK("https://klasma.github.io/Logging_2161/klagomålsmail/A 32818-2025 FSC-klagomål mail.docx", "A 32818-2025")</f>
        <v/>
      </c>
      <c r="X190">
        <f>HYPERLINK("https://klasma.github.io/Logging_2161/tillsyn/A 32818-2025 tillsynsbegäran.docx", "A 32818-2025")</f>
        <v/>
      </c>
      <c r="Y190">
        <f>HYPERLINK("https://klasma.github.io/Logging_2161/tillsynsmail/A 32818-2025 tillsynsbegäran mail.docx", "A 32818-2025")</f>
        <v/>
      </c>
    </row>
    <row r="191" ht="15" customHeight="1">
      <c r="A191" t="inlineStr">
        <is>
          <t>A 12105-2023</t>
        </is>
      </c>
      <c r="B191" s="1" t="n">
        <v>44998</v>
      </c>
      <c r="C191" s="1" t="n">
        <v>45911</v>
      </c>
      <c r="D191" t="inlineStr">
        <is>
          <t>GÄVLEBORGS LÄN</t>
        </is>
      </c>
      <c r="E191" t="inlineStr">
        <is>
          <t>LJUSDAL</t>
        </is>
      </c>
      <c r="G191" t="n">
        <v>11.7</v>
      </c>
      <c r="H191" t="n">
        <v>1</v>
      </c>
      <c r="I191" t="n">
        <v>2</v>
      </c>
      <c r="J191" t="n">
        <v>0</v>
      </c>
      <c r="K191" t="n">
        <v>1</v>
      </c>
      <c r="L191" t="n">
        <v>0</v>
      </c>
      <c r="M191" t="n">
        <v>0</v>
      </c>
      <c r="N191" t="n">
        <v>0</v>
      </c>
      <c r="O191" t="n">
        <v>1</v>
      </c>
      <c r="P191" t="n">
        <v>1</v>
      </c>
      <c r="Q191" t="n">
        <v>3</v>
      </c>
      <c r="R191" s="2" t="inlineStr">
        <is>
          <t>Knärot
Korallblylav
Mörk husmossa</t>
        </is>
      </c>
      <c r="S191">
        <f>HYPERLINK("https://klasma.github.io/Logging_2161/artfynd/A 12105-2023 artfynd.xlsx", "A 12105-2023")</f>
        <v/>
      </c>
      <c r="T191">
        <f>HYPERLINK("https://klasma.github.io/Logging_2161/kartor/A 12105-2023 karta.png", "A 12105-2023")</f>
        <v/>
      </c>
      <c r="U191">
        <f>HYPERLINK("https://klasma.github.io/Logging_2161/knärot/A 12105-2023 karta knärot.png", "A 12105-2023")</f>
        <v/>
      </c>
      <c r="V191">
        <f>HYPERLINK("https://klasma.github.io/Logging_2161/klagomål/A 12105-2023 FSC-klagomål.docx", "A 12105-2023")</f>
        <v/>
      </c>
      <c r="W191">
        <f>HYPERLINK("https://klasma.github.io/Logging_2161/klagomålsmail/A 12105-2023 FSC-klagomål mail.docx", "A 12105-2023")</f>
        <v/>
      </c>
      <c r="X191">
        <f>HYPERLINK("https://klasma.github.io/Logging_2161/tillsyn/A 12105-2023 tillsynsbegäran.docx", "A 12105-2023")</f>
        <v/>
      </c>
      <c r="Y191">
        <f>HYPERLINK("https://klasma.github.io/Logging_2161/tillsynsmail/A 12105-2023 tillsynsbegäran mail.docx", "A 12105-2023")</f>
        <v/>
      </c>
    </row>
    <row r="192" ht="15" customHeight="1">
      <c r="A192" t="inlineStr">
        <is>
          <t>A 38485-2025</t>
        </is>
      </c>
      <c r="B192" s="1" t="n">
        <v>45884.3415625</v>
      </c>
      <c r="C192" s="1" t="n">
        <v>45911</v>
      </c>
      <c r="D192" t="inlineStr">
        <is>
          <t>GÄVLEBORGS LÄN</t>
        </is>
      </c>
      <c r="E192" t="inlineStr">
        <is>
          <t>LJUSDAL</t>
        </is>
      </c>
      <c r="F192" t="inlineStr">
        <is>
          <t>Bergvik skog väst AB</t>
        </is>
      </c>
      <c r="G192" t="n">
        <v>9.300000000000001</v>
      </c>
      <c r="H192" t="n">
        <v>0</v>
      </c>
      <c r="I192" t="n">
        <v>1</v>
      </c>
      <c r="J192" t="n">
        <v>2</v>
      </c>
      <c r="K192" t="n">
        <v>0</v>
      </c>
      <c r="L192" t="n">
        <v>0</v>
      </c>
      <c r="M192" t="n">
        <v>0</v>
      </c>
      <c r="N192" t="n">
        <v>0</v>
      </c>
      <c r="O192" t="n">
        <v>2</v>
      </c>
      <c r="P192" t="n">
        <v>0</v>
      </c>
      <c r="Q192" t="n">
        <v>3</v>
      </c>
      <c r="R192" s="2" t="inlineStr">
        <is>
          <t>Kortskaftad ärgspik
Lunglav
Skinnlav</t>
        </is>
      </c>
      <c r="S192">
        <f>HYPERLINK("https://klasma.github.io/Logging_2161/artfynd/A 38485-2025 artfynd.xlsx", "A 38485-2025")</f>
        <v/>
      </c>
      <c r="T192">
        <f>HYPERLINK("https://klasma.github.io/Logging_2161/kartor/A 38485-2025 karta.png", "A 38485-2025")</f>
        <v/>
      </c>
      <c r="V192">
        <f>HYPERLINK("https://klasma.github.io/Logging_2161/klagomål/A 38485-2025 FSC-klagomål.docx", "A 38485-2025")</f>
        <v/>
      </c>
      <c r="W192">
        <f>HYPERLINK("https://klasma.github.io/Logging_2161/klagomålsmail/A 38485-2025 FSC-klagomål mail.docx", "A 38485-2025")</f>
        <v/>
      </c>
      <c r="X192">
        <f>HYPERLINK("https://klasma.github.io/Logging_2161/tillsyn/A 38485-2025 tillsynsbegäran.docx", "A 38485-2025")</f>
        <v/>
      </c>
      <c r="Y192">
        <f>HYPERLINK("https://klasma.github.io/Logging_2161/tillsynsmail/A 38485-2025 tillsynsbegäran mail.docx", "A 38485-2025")</f>
        <v/>
      </c>
    </row>
    <row r="193" ht="15" customHeight="1">
      <c r="A193" t="inlineStr">
        <is>
          <t>A 34376-2025</t>
        </is>
      </c>
      <c r="B193" s="1" t="n">
        <v>45846.53386574074</v>
      </c>
      <c r="C193" s="1" t="n">
        <v>45911</v>
      </c>
      <c r="D193" t="inlineStr">
        <is>
          <t>GÄVLEBORGS LÄN</t>
        </is>
      </c>
      <c r="E193" t="inlineStr">
        <is>
          <t>LJUSDAL</t>
        </is>
      </c>
      <c r="F193" t="inlineStr">
        <is>
          <t>Bergvik skog väst AB</t>
        </is>
      </c>
      <c r="G193" t="n">
        <v>0.8</v>
      </c>
      <c r="H193" t="n">
        <v>0</v>
      </c>
      <c r="I193" t="n">
        <v>1</v>
      </c>
      <c r="J193" t="n">
        <v>2</v>
      </c>
      <c r="K193" t="n">
        <v>0</v>
      </c>
      <c r="L193" t="n">
        <v>0</v>
      </c>
      <c r="M193" t="n">
        <v>0</v>
      </c>
      <c r="N193" t="n">
        <v>0</v>
      </c>
      <c r="O193" t="n">
        <v>2</v>
      </c>
      <c r="P193" t="n">
        <v>0</v>
      </c>
      <c r="Q193" t="n">
        <v>3</v>
      </c>
      <c r="R193" s="2" t="inlineStr">
        <is>
          <t>Garnlav
Vedskivlav
Dropptaggsvamp</t>
        </is>
      </c>
      <c r="S193">
        <f>HYPERLINK("https://klasma.github.io/Logging_2161/artfynd/A 34376-2025 artfynd.xlsx", "A 34376-2025")</f>
        <v/>
      </c>
      <c r="T193">
        <f>HYPERLINK("https://klasma.github.io/Logging_2161/kartor/A 34376-2025 karta.png", "A 34376-2025")</f>
        <v/>
      </c>
      <c r="V193">
        <f>HYPERLINK("https://klasma.github.io/Logging_2161/klagomål/A 34376-2025 FSC-klagomål.docx", "A 34376-2025")</f>
        <v/>
      </c>
      <c r="W193">
        <f>HYPERLINK("https://klasma.github.io/Logging_2161/klagomålsmail/A 34376-2025 FSC-klagomål mail.docx", "A 34376-2025")</f>
        <v/>
      </c>
      <c r="X193">
        <f>HYPERLINK("https://klasma.github.io/Logging_2161/tillsyn/A 34376-2025 tillsynsbegäran.docx", "A 34376-2025")</f>
        <v/>
      </c>
      <c r="Y193">
        <f>HYPERLINK("https://klasma.github.io/Logging_2161/tillsynsmail/A 34376-2025 tillsynsbegäran mail.docx", "A 34376-2025")</f>
        <v/>
      </c>
    </row>
    <row r="194" ht="15" customHeight="1">
      <c r="A194" t="inlineStr">
        <is>
          <t>A 34324-2025</t>
        </is>
      </c>
      <c r="B194" s="1" t="n">
        <v>45846.43172453704</v>
      </c>
      <c r="C194" s="1" t="n">
        <v>45911</v>
      </c>
      <c r="D194" t="inlineStr">
        <is>
          <t>GÄVLEBORGS LÄN</t>
        </is>
      </c>
      <c r="E194" t="inlineStr">
        <is>
          <t>LJUSDAL</t>
        </is>
      </c>
      <c r="F194" t="inlineStr">
        <is>
          <t>Bergvik skog väst AB</t>
        </is>
      </c>
      <c r="G194" t="n">
        <v>1.7</v>
      </c>
      <c r="H194" t="n">
        <v>0</v>
      </c>
      <c r="I194" t="n">
        <v>0</v>
      </c>
      <c r="J194" t="n">
        <v>3</v>
      </c>
      <c r="K194" t="n">
        <v>0</v>
      </c>
      <c r="L194" t="n">
        <v>0</v>
      </c>
      <c r="M194" t="n">
        <v>0</v>
      </c>
      <c r="N194" t="n">
        <v>0</v>
      </c>
      <c r="O194" t="n">
        <v>3</v>
      </c>
      <c r="P194" t="n">
        <v>0</v>
      </c>
      <c r="Q194" t="n">
        <v>3</v>
      </c>
      <c r="R194" s="2" t="inlineStr">
        <is>
          <t>Blanksvart spiklav
Kolflarnlav
Nordtagging</t>
        </is>
      </c>
      <c r="S194">
        <f>HYPERLINK("https://klasma.github.io/Logging_2161/artfynd/A 34324-2025 artfynd.xlsx", "A 34324-2025")</f>
        <v/>
      </c>
      <c r="T194">
        <f>HYPERLINK("https://klasma.github.io/Logging_2161/kartor/A 34324-2025 karta.png", "A 34324-2025")</f>
        <v/>
      </c>
      <c r="V194">
        <f>HYPERLINK("https://klasma.github.io/Logging_2161/klagomål/A 34324-2025 FSC-klagomål.docx", "A 34324-2025")</f>
        <v/>
      </c>
      <c r="W194">
        <f>HYPERLINK("https://klasma.github.io/Logging_2161/klagomålsmail/A 34324-2025 FSC-klagomål mail.docx", "A 34324-2025")</f>
        <v/>
      </c>
      <c r="X194">
        <f>HYPERLINK("https://klasma.github.io/Logging_2161/tillsyn/A 34324-2025 tillsynsbegäran.docx", "A 34324-2025")</f>
        <v/>
      </c>
      <c r="Y194">
        <f>HYPERLINK("https://klasma.github.io/Logging_2161/tillsynsmail/A 34324-2025 tillsynsbegäran mail.docx", "A 34324-2025")</f>
        <v/>
      </c>
    </row>
    <row r="195" ht="15" customHeight="1">
      <c r="A195" t="inlineStr">
        <is>
          <t>A 77-2025</t>
        </is>
      </c>
      <c r="B195" s="1" t="n">
        <v>45659.44060185185</v>
      </c>
      <c r="C195" s="1" t="n">
        <v>45911</v>
      </c>
      <c r="D195" t="inlineStr">
        <is>
          <t>GÄVLEBORGS LÄN</t>
        </is>
      </c>
      <c r="E195" t="inlineStr">
        <is>
          <t>LJUSDAL</t>
        </is>
      </c>
      <c r="F195" t="inlineStr">
        <is>
          <t>Allmännings- och besparingsskogar</t>
        </is>
      </c>
      <c r="G195" t="n">
        <v>15.6</v>
      </c>
      <c r="H195" t="n">
        <v>2</v>
      </c>
      <c r="I195" t="n">
        <v>0</v>
      </c>
      <c r="J195" t="n">
        <v>2</v>
      </c>
      <c r="K195" t="n">
        <v>1</v>
      </c>
      <c r="L195" t="n">
        <v>0</v>
      </c>
      <c r="M195" t="n">
        <v>0</v>
      </c>
      <c r="N195" t="n">
        <v>0</v>
      </c>
      <c r="O195" t="n">
        <v>3</v>
      </c>
      <c r="P195" t="n">
        <v>1</v>
      </c>
      <c r="Q195" t="n">
        <v>3</v>
      </c>
      <c r="R195" s="2" t="inlineStr">
        <is>
          <t>Knärot
Garnlav
Tretåig hackspett</t>
        </is>
      </c>
      <c r="S195">
        <f>HYPERLINK("https://klasma.github.io/Logging_2161/artfynd/A 77-2025 artfynd.xlsx", "A 77-2025")</f>
        <v/>
      </c>
      <c r="T195">
        <f>HYPERLINK("https://klasma.github.io/Logging_2161/kartor/A 77-2025 karta.png", "A 77-2025")</f>
        <v/>
      </c>
      <c r="U195">
        <f>HYPERLINK("https://klasma.github.io/Logging_2161/knärot/A 77-2025 karta knärot.png", "A 77-2025")</f>
        <v/>
      </c>
      <c r="V195">
        <f>HYPERLINK("https://klasma.github.io/Logging_2161/klagomål/A 77-2025 FSC-klagomål.docx", "A 77-2025")</f>
        <v/>
      </c>
      <c r="W195">
        <f>HYPERLINK("https://klasma.github.io/Logging_2161/klagomålsmail/A 77-2025 FSC-klagomål mail.docx", "A 77-2025")</f>
        <v/>
      </c>
      <c r="X195">
        <f>HYPERLINK("https://klasma.github.io/Logging_2161/tillsyn/A 77-2025 tillsynsbegäran.docx", "A 77-2025")</f>
        <v/>
      </c>
      <c r="Y195">
        <f>HYPERLINK("https://klasma.github.io/Logging_2161/tillsynsmail/A 77-2025 tillsynsbegäran mail.docx", "A 77-2025")</f>
        <v/>
      </c>
      <c r="Z195">
        <f>HYPERLINK("https://klasma.github.io/Logging_2161/fåglar/A 77-2025 prioriterade fågelarter.docx", "A 77-2025")</f>
        <v/>
      </c>
    </row>
    <row r="196" ht="15" customHeight="1">
      <c r="A196" t="inlineStr">
        <is>
          <t>A 21474-2023</t>
        </is>
      </c>
      <c r="B196" s="1" t="n">
        <v>45063.47291666667</v>
      </c>
      <c r="C196" s="1" t="n">
        <v>45911</v>
      </c>
      <c r="D196" t="inlineStr">
        <is>
          <t>GÄVLEBORGS LÄN</t>
        </is>
      </c>
      <c r="E196" t="inlineStr">
        <is>
          <t>LJUSDAL</t>
        </is>
      </c>
      <c r="F196" t="inlineStr">
        <is>
          <t>Sveaskog</t>
        </is>
      </c>
      <c r="G196" t="n">
        <v>4.3</v>
      </c>
      <c r="H196" t="n">
        <v>2</v>
      </c>
      <c r="I196" t="n">
        <v>0</v>
      </c>
      <c r="J196" t="n">
        <v>1</v>
      </c>
      <c r="K196" t="n">
        <v>1</v>
      </c>
      <c r="L196" t="n">
        <v>0</v>
      </c>
      <c r="M196" t="n">
        <v>0</v>
      </c>
      <c r="N196" t="n">
        <v>0</v>
      </c>
      <c r="O196" t="n">
        <v>2</v>
      </c>
      <c r="P196" t="n">
        <v>1</v>
      </c>
      <c r="Q196" t="n">
        <v>3</v>
      </c>
      <c r="R196" s="2" t="inlineStr">
        <is>
          <t>Knärot
Garnlav
Tjäder</t>
        </is>
      </c>
      <c r="S196">
        <f>HYPERLINK("https://klasma.github.io/Logging_2161/artfynd/A 21474-2023 artfynd.xlsx", "A 21474-2023")</f>
        <v/>
      </c>
      <c r="T196">
        <f>HYPERLINK("https://klasma.github.io/Logging_2161/kartor/A 21474-2023 karta.png", "A 21474-2023")</f>
        <v/>
      </c>
      <c r="U196">
        <f>HYPERLINK("https://klasma.github.io/Logging_2161/knärot/A 21474-2023 karta knärot.png", "A 21474-2023")</f>
        <v/>
      </c>
      <c r="V196">
        <f>HYPERLINK("https://klasma.github.io/Logging_2161/klagomål/A 21474-2023 FSC-klagomål.docx", "A 21474-2023")</f>
        <v/>
      </c>
      <c r="W196">
        <f>HYPERLINK("https://klasma.github.io/Logging_2161/klagomålsmail/A 21474-2023 FSC-klagomål mail.docx", "A 21474-2023")</f>
        <v/>
      </c>
      <c r="X196">
        <f>HYPERLINK("https://klasma.github.io/Logging_2161/tillsyn/A 21474-2023 tillsynsbegäran.docx", "A 21474-2023")</f>
        <v/>
      </c>
      <c r="Y196">
        <f>HYPERLINK("https://klasma.github.io/Logging_2161/tillsynsmail/A 21474-2023 tillsynsbegäran mail.docx", "A 21474-2023")</f>
        <v/>
      </c>
      <c r="Z196">
        <f>HYPERLINK("https://klasma.github.io/Logging_2161/fåglar/A 21474-2023 prioriterade fågelarter.docx", "A 21474-2023")</f>
        <v/>
      </c>
    </row>
    <row r="197" ht="15" customHeight="1">
      <c r="A197" t="inlineStr">
        <is>
          <t>A 49922-2021</t>
        </is>
      </c>
      <c r="B197" s="1" t="n">
        <v>44455</v>
      </c>
      <c r="C197" s="1" t="n">
        <v>45911</v>
      </c>
      <c r="D197" t="inlineStr">
        <is>
          <t>GÄVLEBORGS LÄN</t>
        </is>
      </c>
      <c r="E197" t="inlineStr">
        <is>
          <t>HUDIKSVALL</t>
        </is>
      </c>
      <c r="G197" t="n">
        <v>4.5</v>
      </c>
      <c r="H197" t="n">
        <v>0</v>
      </c>
      <c r="I197" t="n">
        <v>3</v>
      </c>
      <c r="J197" t="n">
        <v>0</v>
      </c>
      <c r="K197" t="n">
        <v>0</v>
      </c>
      <c r="L197" t="n">
        <v>0</v>
      </c>
      <c r="M197" t="n">
        <v>0</v>
      </c>
      <c r="N197" t="n">
        <v>0</v>
      </c>
      <c r="O197" t="n">
        <v>0</v>
      </c>
      <c r="P197" t="n">
        <v>0</v>
      </c>
      <c r="Q197" t="n">
        <v>3</v>
      </c>
      <c r="R197" s="2" t="inlineStr">
        <is>
          <t>Kattfotslav
Korallblylav
Skinnlav</t>
        </is>
      </c>
      <c r="S197">
        <f>HYPERLINK("https://klasma.github.io/Logging_2184/artfynd/A 49922-2021 artfynd.xlsx", "A 49922-2021")</f>
        <v/>
      </c>
      <c r="T197">
        <f>HYPERLINK("https://klasma.github.io/Logging_2184/kartor/A 49922-2021 karta.png", "A 49922-2021")</f>
        <v/>
      </c>
      <c r="V197">
        <f>HYPERLINK("https://klasma.github.io/Logging_2184/klagomål/A 49922-2021 FSC-klagomål.docx", "A 49922-2021")</f>
        <v/>
      </c>
      <c r="W197">
        <f>HYPERLINK("https://klasma.github.io/Logging_2184/klagomålsmail/A 49922-2021 FSC-klagomål mail.docx", "A 49922-2021")</f>
        <v/>
      </c>
      <c r="X197">
        <f>HYPERLINK("https://klasma.github.io/Logging_2184/tillsyn/A 49922-2021 tillsynsbegäran.docx", "A 49922-2021")</f>
        <v/>
      </c>
      <c r="Y197">
        <f>HYPERLINK("https://klasma.github.io/Logging_2184/tillsynsmail/A 49922-2021 tillsynsbegäran mail.docx", "A 49922-2021")</f>
        <v/>
      </c>
    </row>
    <row r="198" ht="15" customHeight="1">
      <c r="A198" t="inlineStr">
        <is>
          <t>A 58515-2021</t>
        </is>
      </c>
      <c r="B198" s="1" t="n">
        <v>44488.65100694444</v>
      </c>
      <c r="C198" s="1" t="n">
        <v>45911</v>
      </c>
      <c r="D198" t="inlineStr">
        <is>
          <t>GÄVLEBORGS LÄN</t>
        </is>
      </c>
      <c r="E198" t="inlineStr">
        <is>
          <t>BOLLNÄS</t>
        </is>
      </c>
      <c r="G198" t="n">
        <v>1.1</v>
      </c>
      <c r="H198" t="n">
        <v>1</v>
      </c>
      <c r="I198" t="n">
        <v>0</v>
      </c>
      <c r="J198" t="n">
        <v>2</v>
      </c>
      <c r="K198" t="n">
        <v>1</v>
      </c>
      <c r="L198" t="n">
        <v>0</v>
      </c>
      <c r="M198" t="n">
        <v>0</v>
      </c>
      <c r="N198" t="n">
        <v>0</v>
      </c>
      <c r="O198" t="n">
        <v>3</v>
      </c>
      <c r="P198" t="n">
        <v>1</v>
      </c>
      <c r="Q198" t="n">
        <v>3</v>
      </c>
      <c r="R198" s="2" t="inlineStr">
        <is>
          <t>Knärot
Rosenticka
Ullticka</t>
        </is>
      </c>
      <c r="S198">
        <f>HYPERLINK("https://klasma.github.io/Logging_2183/artfynd/A 58515-2021 artfynd.xlsx", "A 58515-2021")</f>
        <v/>
      </c>
      <c r="T198">
        <f>HYPERLINK("https://klasma.github.io/Logging_2183/kartor/A 58515-2021 karta.png", "A 58515-2021")</f>
        <v/>
      </c>
      <c r="U198">
        <f>HYPERLINK("https://klasma.github.io/Logging_2183/knärot/A 58515-2021 karta knärot.png", "A 58515-2021")</f>
        <v/>
      </c>
      <c r="V198">
        <f>HYPERLINK("https://klasma.github.io/Logging_2183/klagomål/A 58515-2021 FSC-klagomål.docx", "A 58515-2021")</f>
        <v/>
      </c>
      <c r="W198">
        <f>HYPERLINK("https://klasma.github.io/Logging_2183/klagomålsmail/A 58515-2021 FSC-klagomål mail.docx", "A 58515-2021")</f>
        <v/>
      </c>
      <c r="X198">
        <f>HYPERLINK("https://klasma.github.io/Logging_2183/tillsyn/A 58515-2021 tillsynsbegäran.docx", "A 58515-2021")</f>
        <v/>
      </c>
      <c r="Y198">
        <f>HYPERLINK("https://klasma.github.io/Logging_2183/tillsynsmail/A 58515-2021 tillsynsbegäran mail.docx", "A 58515-2021")</f>
        <v/>
      </c>
    </row>
    <row r="199" ht="15" customHeight="1">
      <c r="A199" t="inlineStr">
        <is>
          <t>A 33783-2023</t>
        </is>
      </c>
      <c r="B199" s="1" t="n">
        <v>45133.528125</v>
      </c>
      <c r="C199" s="1" t="n">
        <v>45911</v>
      </c>
      <c r="D199" t="inlineStr">
        <is>
          <t>GÄVLEBORGS LÄN</t>
        </is>
      </c>
      <c r="E199" t="inlineStr">
        <is>
          <t>HUDIKSVALL</t>
        </is>
      </c>
      <c r="F199" t="inlineStr">
        <is>
          <t>Holmen skog AB</t>
        </is>
      </c>
      <c r="G199" t="n">
        <v>2.6</v>
      </c>
      <c r="H199" t="n">
        <v>0</v>
      </c>
      <c r="I199" t="n">
        <v>1</v>
      </c>
      <c r="J199" t="n">
        <v>2</v>
      </c>
      <c r="K199" t="n">
        <v>0</v>
      </c>
      <c r="L199" t="n">
        <v>0</v>
      </c>
      <c r="M199" t="n">
        <v>0</v>
      </c>
      <c r="N199" t="n">
        <v>0</v>
      </c>
      <c r="O199" t="n">
        <v>2</v>
      </c>
      <c r="P199" t="n">
        <v>0</v>
      </c>
      <c r="Q199" t="n">
        <v>3</v>
      </c>
      <c r="R199" s="2" t="inlineStr">
        <is>
          <t>Garnlav
Lunglav
Stuplav</t>
        </is>
      </c>
      <c r="S199">
        <f>HYPERLINK("https://klasma.github.io/Logging_2184/artfynd/A 33783-2023 artfynd.xlsx", "A 33783-2023")</f>
        <v/>
      </c>
      <c r="T199">
        <f>HYPERLINK("https://klasma.github.io/Logging_2184/kartor/A 33783-2023 karta.png", "A 33783-2023")</f>
        <v/>
      </c>
      <c r="V199">
        <f>HYPERLINK("https://klasma.github.io/Logging_2184/klagomål/A 33783-2023 FSC-klagomål.docx", "A 33783-2023")</f>
        <v/>
      </c>
      <c r="W199">
        <f>HYPERLINK("https://klasma.github.io/Logging_2184/klagomålsmail/A 33783-2023 FSC-klagomål mail.docx", "A 33783-2023")</f>
        <v/>
      </c>
      <c r="X199">
        <f>HYPERLINK("https://klasma.github.io/Logging_2184/tillsyn/A 33783-2023 tillsynsbegäran.docx", "A 33783-2023")</f>
        <v/>
      </c>
      <c r="Y199">
        <f>HYPERLINK("https://klasma.github.io/Logging_2184/tillsynsmail/A 33783-2023 tillsynsbegäran mail.docx", "A 33783-2023")</f>
        <v/>
      </c>
    </row>
    <row r="200" ht="15" customHeight="1">
      <c r="A200" t="inlineStr">
        <is>
          <t>A 41028-2025</t>
        </is>
      </c>
      <c r="B200" s="1" t="n">
        <v>45898.37387731481</v>
      </c>
      <c r="C200" s="1" t="n">
        <v>45911</v>
      </c>
      <c r="D200" t="inlineStr">
        <is>
          <t>GÄVLEBORGS LÄN</t>
        </is>
      </c>
      <c r="E200" t="inlineStr">
        <is>
          <t>GÄVLE</t>
        </is>
      </c>
      <c r="F200" t="inlineStr">
        <is>
          <t>Bergvik skog väst AB</t>
        </is>
      </c>
      <c r="G200" t="n">
        <v>2</v>
      </c>
      <c r="H200" t="n">
        <v>0</v>
      </c>
      <c r="I200" t="n">
        <v>0</v>
      </c>
      <c r="J200" t="n">
        <v>3</v>
      </c>
      <c r="K200" t="n">
        <v>0</v>
      </c>
      <c r="L200" t="n">
        <v>0</v>
      </c>
      <c r="M200" t="n">
        <v>0</v>
      </c>
      <c r="N200" t="n">
        <v>0</v>
      </c>
      <c r="O200" t="n">
        <v>3</v>
      </c>
      <c r="P200" t="n">
        <v>0</v>
      </c>
      <c r="Q200" t="n">
        <v>3</v>
      </c>
      <c r="R200" s="2" t="inlineStr">
        <is>
          <t>Kolflarnlav
Vedflamlav
Vedskivlav</t>
        </is>
      </c>
      <c r="S200">
        <f>HYPERLINK("https://klasma.github.io/Logging_2180/artfynd/A 41028-2025 artfynd.xlsx", "A 41028-2025")</f>
        <v/>
      </c>
      <c r="T200">
        <f>HYPERLINK("https://klasma.github.io/Logging_2180/kartor/A 41028-2025 karta.png", "A 41028-2025")</f>
        <v/>
      </c>
      <c r="V200">
        <f>HYPERLINK("https://klasma.github.io/Logging_2180/klagomål/A 41028-2025 FSC-klagomål.docx", "A 41028-2025")</f>
        <v/>
      </c>
      <c r="W200">
        <f>HYPERLINK("https://klasma.github.io/Logging_2180/klagomålsmail/A 41028-2025 FSC-klagomål mail.docx", "A 41028-2025")</f>
        <v/>
      </c>
      <c r="X200">
        <f>HYPERLINK("https://klasma.github.io/Logging_2180/tillsyn/A 41028-2025 tillsynsbegäran.docx", "A 41028-2025")</f>
        <v/>
      </c>
      <c r="Y200">
        <f>HYPERLINK("https://klasma.github.io/Logging_2180/tillsynsmail/A 41028-2025 tillsynsbegäran mail.docx", "A 41028-2025")</f>
        <v/>
      </c>
    </row>
    <row r="201" ht="15" customHeight="1">
      <c r="A201" t="inlineStr">
        <is>
          <t>A 35610-2025</t>
        </is>
      </c>
      <c r="B201" s="1" t="n">
        <v>45859.35157407408</v>
      </c>
      <c r="C201" s="1" t="n">
        <v>45911</v>
      </c>
      <c r="D201" t="inlineStr">
        <is>
          <t>GÄVLEBORGS LÄN</t>
        </is>
      </c>
      <c r="E201" t="inlineStr">
        <is>
          <t>OCKELBO</t>
        </is>
      </c>
      <c r="F201" t="inlineStr">
        <is>
          <t>Bergvik skog väst AB</t>
        </is>
      </c>
      <c r="G201" t="n">
        <v>8.4</v>
      </c>
      <c r="H201" t="n">
        <v>0</v>
      </c>
      <c r="I201" t="n">
        <v>1</v>
      </c>
      <c r="J201" t="n">
        <v>2</v>
      </c>
      <c r="K201" t="n">
        <v>0</v>
      </c>
      <c r="L201" t="n">
        <v>0</v>
      </c>
      <c r="M201" t="n">
        <v>0</v>
      </c>
      <c r="N201" t="n">
        <v>0</v>
      </c>
      <c r="O201" t="n">
        <v>2</v>
      </c>
      <c r="P201" t="n">
        <v>0</v>
      </c>
      <c r="Q201" t="n">
        <v>3</v>
      </c>
      <c r="R201" s="2" t="inlineStr">
        <is>
          <t>Garnlav
Vedskivlav
Dropptaggsvamp</t>
        </is>
      </c>
      <c r="S201">
        <f>HYPERLINK("https://klasma.github.io/Logging_2101/artfynd/A 35610-2025 artfynd.xlsx", "A 35610-2025")</f>
        <v/>
      </c>
      <c r="T201">
        <f>HYPERLINK("https://klasma.github.io/Logging_2101/kartor/A 35610-2025 karta.png", "A 35610-2025")</f>
        <v/>
      </c>
      <c r="V201">
        <f>HYPERLINK("https://klasma.github.io/Logging_2101/klagomål/A 35610-2025 FSC-klagomål.docx", "A 35610-2025")</f>
        <v/>
      </c>
      <c r="W201">
        <f>HYPERLINK("https://klasma.github.io/Logging_2101/klagomålsmail/A 35610-2025 FSC-klagomål mail.docx", "A 35610-2025")</f>
        <v/>
      </c>
      <c r="X201">
        <f>HYPERLINK("https://klasma.github.io/Logging_2101/tillsyn/A 35610-2025 tillsynsbegäran.docx", "A 35610-2025")</f>
        <v/>
      </c>
      <c r="Y201">
        <f>HYPERLINK("https://klasma.github.io/Logging_2101/tillsynsmail/A 35610-2025 tillsynsbegäran mail.docx", "A 35610-2025")</f>
        <v/>
      </c>
    </row>
    <row r="202" ht="15" customHeight="1">
      <c r="A202" t="inlineStr">
        <is>
          <t>A 35739-2025</t>
        </is>
      </c>
      <c r="B202" s="1" t="n">
        <v>45860.524375</v>
      </c>
      <c r="C202" s="1" t="n">
        <v>45911</v>
      </c>
      <c r="D202" t="inlineStr">
        <is>
          <t>GÄVLEBORGS LÄN</t>
        </is>
      </c>
      <c r="E202" t="inlineStr">
        <is>
          <t>LJUSDAL</t>
        </is>
      </c>
      <c r="F202" t="inlineStr">
        <is>
          <t>Bergvik skog väst AB</t>
        </is>
      </c>
      <c r="G202" t="n">
        <v>11</v>
      </c>
      <c r="H202" t="n">
        <v>1</v>
      </c>
      <c r="I202" t="n">
        <v>0</v>
      </c>
      <c r="J202" t="n">
        <v>2</v>
      </c>
      <c r="K202" t="n">
        <v>0</v>
      </c>
      <c r="L202" t="n">
        <v>0</v>
      </c>
      <c r="M202" t="n">
        <v>0</v>
      </c>
      <c r="N202" t="n">
        <v>0</v>
      </c>
      <c r="O202" t="n">
        <v>2</v>
      </c>
      <c r="P202" t="n">
        <v>0</v>
      </c>
      <c r="Q202" t="n">
        <v>3</v>
      </c>
      <c r="R202" s="2" t="inlineStr">
        <is>
          <t>Garnlav
Lunglav
Revlummer</t>
        </is>
      </c>
      <c r="S202">
        <f>HYPERLINK("https://klasma.github.io/Logging_2161/artfynd/A 35739-2025 artfynd.xlsx", "A 35739-2025")</f>
        <v/>
      </c>
      <c r="T202">
        <f>HYPERLINK("https://klasma.github.io/Logging_2161/kartor/A 35739-2025 karta.png", "A 35739-2025")</f>
        <v/>
      </c>
      <c r="V202">
        <f>HYPERLINK("https://klasma.github.io/Logging_2161/klagomål/A 35739-2025 FSC-klagomål.docx", "A 35739-2025")</f>
        <v/>
      </c>
      <c r="W202">
        <f>HYPERLINK("https://klasma.github.io/Logging_2161/klagomålsmail/A 35739-2025 FSC-klagomål mail.docx", "A 35739-2025")</f>
        <v/>
      </c>
      <c r="X202">
        <f>HYPERLINK("https://klasma.github.io/Logging_2161/tillsyn/A 35739-2025 tillsynsbegäran.docx", "A 35739-2025")</f>
        <v/>
      </c>
      <c r="Y202">
        <f>HYPERLINK("https://klasma.github.io/Logging_2161/tillsynsmail/A 35739-2025 tillsynsbegäran mail.docx", "A 35739-2025")</f>
        <v/>
      </c>
    </row>
    <row r="203" ht="15" customHeight="1">
      <c r="A203" t="inlineStr">
        <is>
          <t>A 10436-2022</t>
        </is>
      </c>
      <c r="B203" s="1" t="n">
        <v>44623</v>
      </c>
      <c r="C203" s="1" t="n">
        <v>45911</v>
      </c>
      <c r="D203" t="inlineStr">
        <is>
          <t>GÄVLEBORGS LÄN</t>
        </is>
      </c>
      <c r="E203" t="inlineStr">
        <is>
          <t>HOFORS</t>
        </is>
      </c>
      <c r="G203" t="n">
        <v>6.3</v>
      </c>
      <c r="H203" t="n">
        <v>1</v>
      </c>
      <c r="I203" t="n">
        <v>2</v>
      </c>
      <c r="J203" t="n">
        <v>0</v>
      </c>
      <c r="K203" t="n">
        <v>1</v>
      </c>
      <c r="L203" t="n">
        <v>0</v>
      </c>
      <c r="M203" t="n">
        <v>0</v>
      </c>
      <c r="N203" t="n">
        <v>0</v>
      </c>
      <c r="O203" t="n">
        <v>1</v>
      </c>
      <c r="P203" t="n">
        <v>1</v>
      </c>
      <c r="Q203" t="n">
        <v>3</v>
      </c>
      <c r="R203" s="2" t="inlineStr">
        <is>
          <t>Knärot
Björksplintborre
Vedticka</t>
        </is>
      </c>
      <c r="S203">
        <f>HYPERLINK("https://klasma.github.io/Logging_2104/artfynd/A 10436-2022 artfynd.xlsx", "A 10436-2022")</f>
        <v/>
      </c>
      <c r="T203">
        <f>HYPERLINK("https://klasma.github.io/Logging_2104/kartor/A 10436-2022 karta.png", "A 10436-2022")</f>
        <v/>
      </c>
      <c r="U203">
        <f>HYPERLINK("https://klasma.github.io/Logging_2104/knärot/A 10436-2022 karta knärot.png", "A 10436-2022")</f>
        <v/>
      </c>
      <c r="V203">
        <f>HYPERLINK("https://klasma.github.io/Logging_2104/klagomål/A 10436-2022 FSC-klagomål.docx", "A 10436-2022")</f>
        <v/>
      </c>
      <c r="W203">
        <f>HYPERLINK("https://klasma.github.io/Logging_2104/klagomålsmail/A 10436-2022 FSC-klagomål mail.docx", "A 10436-2022")</f>
        <v/>
      </c>
      <c r="X203">
        <f>HYPERLINK("https://klasma.github.io/Logging_2104/tillsyn/A 10436-2022 tillsynsbegäran.docx", "A 10436-2022")</f>
        <v/>
      </c>
      <c r="Y203">
        <f>HYPERLINK("https://klasma.github.io/Logging_2104/tillsynsmail/A 10436-2022 tillsynsbegäran mail.docx", "A 10436-2022")</f>
        <v/>
      </c>
    </row>
    <row r="204" ht="15" customHeight="1">
      <c r="A204" t="inlineStr">
        <is>
          <t>A 41922-2025</t>
        </is>
      </c>
      <c r="B204" s="1" t="n">
        <v>45903.42525462963</v>
      </c>
      <c r="C204" s="1" t="n">
        <v>45911</v>
      </c>
      <c r="D204" t="inlineStr">
        <is>
          <t>GÄVLEBORGS LÄN</t>
        </is>
      </c>
      <c r="E204" t="inlineStr">
        <is>
          <t>LJUSDAL</t>
        </is>
      </c>
      <c r="F204" t="inlineStr">
        <is>
          <t>Bergvik skog väst AB</t>
        </is>
      </c>
      <c r="G204" t="n">
        <v>3.7</v>
      </c>
      <c r="H204" t="n">
        <v>0</v>
      </c>
      <c r="I204" t="n">
        <v>0</v>
      </c>
      <c r="J204" t="n">
        <v>3</v>
      </c>
      <c r="K204" t="n">
        <v>0</v>
      </c>
      <c r="L204" t="n">
        <v>0</v>
      </c>
      <c r="M204" t="n">
        <v>0</v>
      </c>
      <c r="N204" t="n">
        <v>0</v>
      </c>
      <c r="O204" t="n">
        <v>3</v>
      </c>
      <c r="P204" t="n">
        <v>0</v>
      </c>
      <c r="Q204" t="n">
        <v>3</v>
      </c>
      <c r="R204" s="2" t="inlineStr">
        <is>
          <t>Blanksvart spiklav
Garnlav
Kolflarnlav</t>
        </is>
      </c>
      <c r="S204">
        <f>HYPERLINK("https://klasma.github.io/Logging_2161/artfynd/A 41922-2025 artfynd.xlsx", "A 41922-2025")</f>
        <v/>
      </c>
      <c r="T204">
        <f>HYPERLINK("https://klasma.github.io/Logging_2161/kartor/A 41922-2025 karta.png", "A 41922-2025")</f>
        <v/>
      </c>
      <c r="V204">
        <f>HYPERLINK("https://klasma.github.io/Logging_2161/klagomål/A 41922-2025 FSC-klagomål.docx", "A 41922-2025")</f>
        <v/>
      </c>
      <c r="W204">
        <f>HYPERLINK("https://klasma.github.io/Logging_2161/klagomålsmail/A 41922-2025 FSC-klagomål mail.docx", "A 41922-2025")</f>
        <v/>
      </c>
      <c r="X204">
        <f>HYPERLINK("https://klasma.github.io/Logging_2161/tillsyn/A 41922-2025 tillsynsbegäran.docx", "A 41922-2025")</f>
        <v/>
      </c>
      <c r="Y204">
        <f>HYPERLINK("https://klasma.github.io/Logging_2161/tillsynsmail/A 41922-2025 tillsynsbegäran mail.docx", "A 41922-2025")</f>
        <v/>
      </c>
    </row>
    <row r="205" ht="15" customHeight="1">
      <c r="A205" t="inlineStr">
        <is>
          <t>A 56788-2023</t>
        </is>
      </c>
      <c r="B205" s="1" t="n">
        <v>45244</v>
      </c>
      <c r="C205" s="1" t="n">
        <v>45911</v>
      </c>
      <c r="D205" t="inlineStr">
        <is>
          <t>GÄVLEBORGS LÄN</t>
        </is>
      </c>
      <c r="E205" t="inlineStr">
        <is>
          <t>LJUSDAL</t>
        </is>
      </c>
      <c r="F205" t="inlineStr">
        <is>
          <t>Sveaskog</t>
        </is>
      </c>
      <c r="G205" t="n">
        <v>2.2</v>
      </c>
      <c r="H205" t="n">
        <v>2</v>
      </c>
      <c r="I205" t="n">
        <v>0</v>
      </c>
      <c r="J205" t="n">
        <v>2</v>
      </c>
      <c r="K205" t="n">
        <v>1</v>
      </c>
      <c r="L205" t="n">
        <v>0</v>
      </c>
      <c r="M205" t="n">
        <v>0</v>
      </c>
      <c r="N205" t="n">
        <v>0</v>
      </c>
      <c r="O205" t="n">
        <v>3</v>
      </c>
      <c r="P205" t="n">
        <v>1</v>
      </c>
      <c r="Q205" t="n">
        <v>3</v>
      </c>
      <c r="R205" s="2" t="inlineStr">
        <is>
          <t>Knärot
Garnlav
Järpe</t>
        </is>
      </c>
      <c r="S205">
        <f>HYPERLINK("https://klasma.github.io/Logging_2161/artfynd/A 56788-2023 artfynd.xlsx", "A 56788-2023")</f>
        <v/>
      </c>
      <c r="T205">
        <f>HYPERLINK("https://klasma.github.io/Logging_2161/kartor/A 56788-2023 karta.png", "A 56788-2023")</f>
        <v/>
      </c>
      <c r="U205">
        <f>HYPERLINK("https://klasma.github.io/Logging_2161/knärot/A 56788-2023 karta knärot.png", "A 56788-2023")</f>
        <v/>
      </c>
      <c r="V205">
        <f>HYPERLINK("https://klasma.github.io/Logging_2161/klagomål/A 56788-2023 FSC-klagomål.docx", "A 56788-2023")</f>
        <v/>
      </c>
      <c r="W205">
        <f>HYPERLINK("https://klasma.github.io/Logging_2161/klagomålsmail/A 56788-2023 FSC-klagomål mail.docx", "A 56788-2023")</f>
        <v/>
      </c>
      <c r="X205">
        <f>HYPERLINK("https://klasma.github.io/Logging_2161/tillsyn/A 56788-2023 tillsynsbegäran.docx", "A 56788-2023")</f>
        <v/>
      </c>
      <c r="Y205">
        <f>HYPERLINK("https://klasma.github.io/Logging_2161/tillsynsmail/A 56788-2023 tillsynsbegäran mail.docx", "A 56788-2023")</f>
        <v/>
      </c>
      <c r="Z205">
        <f>HYPERLINK("https://klasma.github.io/Logging_2161/fåglar/A 56788-2023 prioriterade fågelarter.docx", "A 56788-2023")</f>
        <v/>
      </c>
    </row>
    <row r="206" ht="15" customHeight="1">
      <c r="A206" t="inlineStr">
        <is>
          <t>A 23161-2023</t>
        </is>
      </c>
      <c r="B206" s="1" t="n">
        <v>45075</v>
      </c>
      <c r="C206" s="1" t="n">
        <v>45911</v>
      </c>
      <c r="D206" t="inlineStr">
        <is>
          <t>GÄVLEBORGS LÄN</t>
        </is>
      </c>
      <c r="E206" t="inlineStr">
        <is>
          <t>SANDVIKEN</t>
        </is>
      </c>
      <c r="F206" t="inlineStr">
        <is>
          <t>Bergvik skog öst AB</t>
        </is>
      </c>
      <c r="G206" t="n">
        <v>6.1</v>
      </c>
      <c r="H206" t="n">
        <v>0</v>
      </c>
      <c r="I206" t="n">
        <v>3</v>
      </c>
      <c r="J206" t="n">
        <v>0</v>
      </c>
      <c r="K206" t="n">
        <v>0</v>
      </c>
      <c r="L206" t="n">
        <v>0</v>
      </c>
      <c r="M206" t="n">
        <v>0</v>
      </c>
      <c r="N206" t="n">
        <v>0</v>
      </c>
      <c r="O206" t="n">
        <v>0</v>
      </c>
      <c r="P206" t="n">
        <v>0</v>
      </c>
      <c r="Q206" t="n">
        <v>3</v>
      </c>
      <c r="R206" s="2" t="inlineStr">
        <is>
          <t>Brandticka
Slanklav
Stubbspretmossa</t>
        </is>
      </c>
      <c r="S206">
        <f>HYPERLINK("https://klasma.github.io/Logging_2181/artfynd/A 23161-2023 artfynd.xlsx", "A 23161-2023")</f>
        <v/>
      </c>
      <c r="T206">
        <f>HYPERLINK("https://klasma.github.io/Logging_2181/kartor/A 23161-2023 karta.png", "A 23161-2023")</f>
        <v/>
      </c>
      <c r="V206">
        <f>HYPERLINK("https://klasma.github.io/Logging_2181/klagomål/A 23161-2023 FSC-klagomål.docx", "A 23161-2023")</f>
        <v/>
      </c>
      <c r="W206">
        <f>HYPERLINK("https://klasma.github.io/Logging_2181/klagomålsmail/A 23161-2023 FSC-klagomål mail.docx", "A 23161-2023")</f>
        <v/>
      </c>
      <c r="X206">
        <f>HYPERLINK("https://klasma.github.io/Logging_2181/tillsyn/A 23161-2023 tillsynsbegäran.docx", "A 23161-2023")</f>
        <v/>
      </c>
      <c r="Y206">
        <f>HYPERLINK("https://klasma.github.io/Logging_2181/tillsynsmail/A 23161-2023 tillsynsbegäran mail.docx", "A 23161-2023")</f>
        <v/>
      </c>
    </row>
    <row r="207" ht="15" customHeight="1">
      <c r="A207" t="inlineStr">
        <is>
          <t>A 36629-2024</t>
        </is>
      </c>
      <c r="B207" s="1" t="n">
        <v>45537</v>
      </c>
      <c r="C207" s="1" t="n">
        <v>45911</v>
      </c>
      <c r="D207" t="inlineStr">
        <is>
          <t>GÄVLEBORGS LÄN</t>
        </is>
      </c>
      <c r="E207" t="inlineStr">
        <is>
          <t>LJUSDAL</t>
        </is>
      </c>
      <c r="F207" t="inlineStr">
        <is>
          <t>Sveaskog</t>
        </is>
      </c>
      <c r="G207" t="n">
        <v>1.1</v>
      </c>
      <c r="H207" t="n">
        <v>0</v>
      </c>
      <c r="I207" t="n">
        <v>0</v>
      </c>
      <c r="J207" t="n">
        <v>3</v>
      </c>
      <c r="K207" t="n">
        <v>0</v>
      </c>
      <c r="L207" t="n">
        <v>0</v>
      </c>
      <c r="M207" t="n">
        <v>0</v>
      </c>
      <c r="N207" t="n">
        <v>0</v>
      </c>
      <c r="O207" t="n">
        <v>3</v>
      </c>
      <c r="P207" t="n">
        <v>0</v>
      </c>
      <c r="Q207" t="n">
        <v>3</v>
      </c>
      <c r="R207" s="2" t="inlineStr">
        <is>
          <t>Garnlav
Kolflarnlav
Mörk kolflarnlav</t>
        </is>
      </c>
      <c r="S207">
        <f>HYPERLINK("https://klasma.github.io/Logging_2161/artfynd/A 36629-2024 artfynd.xlsx", "A 36629-2024")</f>
        <v/>
      </c>
      <c r="T207">
        <f>HYPERLINK("https://klasma.github.io/Logging_2161/kartor/A 36629-2024 karta.png", "A 36629-2024")</f>
        <v/>
      </c>
      <c r="V207">
        <f>HYPERLINK("https://klasma.github.io/Logging_2161/klagomål/A 36629-2024 FSC-klagomål.docx", "A 36629-2024")</f>
        <v/>
      </c>
      <c r="W207">
        <f>HYPERLINK("https://klasma.github.io/Logging_2161/klagomålsmail/A 36629-2024 FSC-klagomål mail.docx", "A 36629-2024")</f>
        <v/>
      </c>
      <c r="X207">
        <f>HYPERLINK("https://klasma.github.io/Logging_2161/tillsyn/A 36629-2024 tillsynsbegäran.docx", "A 36629-2024")</f>
        <v/>
      </c>
      <c r="Y207">
        <f>HYPERLINK("https://klasma.github.io/Logging_2161/tillsynsmail/A 36629-2024 tillsynsbegäran mail.docx", "A 36629-2024")</f>
        <v/>
      </c>
    </row>
    <row r="208" ht="15" customHeight="1">
      <c r="A208" t="inlineStr">
        <is>
          <t>A 31473-2023</t>
        </is>
      </c>
      <c r="B208" s="1" t="n">
        <v>45114</v>
      </c>
      <c r="C208" s="1" t="n">
        <v>45911</v>
      </c>
      <c r="D208" t="inlineStr">
        <is>
          <t>GÄVLEBORGS LÄN</t>
        </is>
      </c>
      <c r="E208" t="inlineStr">
        <is>
          <t>LJUSDAL</t>
        </is>
      </c>
      <c r="F208" t="inlineStr">
        <is>
          <t>Sveaskog</t>
        </is>
      </c>
      <c r="G208" t="n">
        <v>15.5</v>
      </c>
      <c r="H208" t="n">
        <v>1</v>
      </c>
      <c r="I208" t="n">
        <v>1</v>
      </c>
      <c r="J208" t="n">
        <v>2</v>
      </c>
      <c r="K208" t="n">
        <v>0</v>
      </c>
      <c r="L208" t="n">
        <v>0</v>
      </c>
      <c r="M208" t="n">
        <v>0</v>
      </c>
      <c r="N208" t="n">
        <v>0</v>
      </c>
      <c r="O208" t="n">
        <v>2</v>
      </c>
      <c r="P208" t="n">
        <v>0</v>
      </c>
      <c r="Q208" t="n">
        <v>3</v>
      </c>
      <c r="R208" s="2" t="inlineStr">
        <is>
          <t>Kolflarnlav
Lunglav
Plattlummer</t>
        </is>
      </c>
      <c r="S208">
        <f>HYPERLINK("https://klasma.github.io/Logging_2161/artfynd/A 31473-2023 artfynd.xlsx", "A 31473-2023")</f>
        <v/>
      </c>
      <c r="T208">
        <f>HYPERLINK("https://klasma.github.io/Logging_2161/kartor/A 31473-2023 karta.png", "A 31473-2023")</f>
        <v/>
      </c>
      <c r="V208">
        <f>HYPERLINK("https://klasma.github.io/Logging_2161/klagomål/A 31473-2023 FSC-klagomål.docx", "A 31473-2023")</f>
        <v/>
      </c>
      <c r="W208">
        <f>HYPERLINK("https://klasma.github.io/Logging_2161/klagomålsmail/A 31473-2023 FSC-klagomål mail.docx", "A 31473-2023")</f>
        <v/>
      </c>
      <c r="X208">
        <f>HYPERLINK("https://klasma.github.io/Logging_2161/tillsyn/A 31473-2023 tillsynsbegäran.docx", "A 31473-2023")</f>
        <v/>
      </c>
      <c r="Y208">
        <f>HYPERLINK("https://klasma.github.io/Logging_2161/tillsynsmail/A 31473-2023 tillsynsbegäran mail.docx", "A 31473-2023")</f>
        <v/>
      </c>
    </row>
    <row r="209" ht="15" customHeight="1">
      <c r="A209" t="inlineStr">
        <is>
          <t>A 7362-2025</t>
        </is>
      </c>
      <c r="B209" s="1" t="n">
        <v>45704.64761574074</v>
      </c>
      <c r="C209" s="1" t="n">
        <v>45911</v>
      </c>
      <c r="D209" t="inlineStr">
        <is>
          <t>GÄVLEBORGS LÄN</t>
        </is>
      </c>
      <c r="E209" t="inlineStr">
        <is>
          <t>GÄVLE</t>
        </is>
      </c>
      <c r="G209" t="n">
        <v>2</v>
      </c>
      <c r="H209" t="n">
        <v>2</v>
      </c>
      <c r="I209" t="n">
        <v>0</v>
      </c>
      <c r="J209" t="n">
        <v>1</v>
      </c>
      <c r="K209" t="n">
        <v>1</v>
      </c>
      <c r="L209" t="n">
        <v>0</v>
      </c>
      <c r="M209" t="n">
        <v>0</v>
      </c>
      <c r="N209" t="n">
        <v>0</v>
      </c>
      <c r="O209" t="n">
        <v>2</v>
      </c>
      <c r="P209" t="n">
        <v>1</v>
      </c>
      <c r="Q209" t="n">
        <v>3</v>
      </c>
      <c r="R209" s="2" t="inlineStr">
        <is>
          <t>Knärot
Orange taggsvamp
Gröngöling</t>
        </is>
      </c>
      <c r="S209">
        <f>HYPERLINK("https://klasma.github.io/Logging_2180/artfynd/A 7362-2025 artfynd.xlsx", "A 7362-2025")</f>
        <v/>
      </c>
      <c r="T209">
        <f>HYPERLINK("https://klasma.github.io/Logging_2180/kartor/A 7362-2025 karta.png", "A 7362-2025")</f>
        <v/>
      </c>
      <c r="U209">
        <f>HYPERLINK("https://klasma.github.io/Logging_2180/knärot/A 7362-2025 karta knärot.png", "A 7362-2025")</f>
        <v/>
      </c>
      <c r="V209">
        <f>HYPERLINK("https://klasma.github.io/Logging_2180/klagomål/A 7362-2025 FSC-klagomål.docx", "A 7362-2025")</f>
        <v/>
      </c>
      <c r="W209">
        <f>HYPERLINK("https://klasma.github.io/Logging_2180/klagomålsmail/A 7362-2025 FSC-klagomål mail.docx", "A 7362-2025")</f>
        <v/>
      </c>
      <c r="X209">
        <f>HYPERLINK("https://klasma.github.io/Logging_2180/tillsyn/A 7362-2025 tillsynsbegäran.docx", "A 7362-2025")</f>
        <v/>
      </c>
      <c r="Y209">
        <f>HYPERLINK("https://klasma.github.io/Logging_2180/tillsynsmail/A 7362-2025 tillsynsbegäran mail.docx", "A 7362-2025")</f>
        <v/>
      </c>
      <c r="Z209">
        <f>HYPERLINK("https://klasma.github.io/Logging_2180/fåglar/A 7362-2025 prioriterade fågelarter.docx", "A 7362-2025")</f>
        <v/>
      </c>
    </row>
    <row r="210" ht="15" customHeight="1">
      <c r="A210" t="inlineStr">
        <is>
          <t>A 30610-2023</t>
        </is>
      </c>
      <c r="B210" s="1" t="n">
        <v>45112.40128472223</v>
      </c>
      <c r="C210" s="1" t="n">
        <v>45911</v>
      </c>
      <c r="D210" t="inlineStr">
        <is>
          <t>GÄVLEBORGS LÄN</t>
        </is>
      </c>
      <c r="E210" t="inlineStr">
        <is>
          <t>LJUSDAL</t>
        </is>
      </c>
      <c r="F210" t="inlineStr">
        <is>
          <t>Sveaskog</t>
        </is>
      </c>
      <c r="G210" t="n">
        <v>3.2</v>
      </c>
      <c r="H210" t="n">
        <v>2</v>
      </c>
      <c r="I210" t="n">
        <v>0</v>
      </c>
      <c r="J210" t="n">
        <v>2</v>
      </c>
      <c r="K210" t="n">
        <v>1</v>
      </c>
      <c r="L210" t="n">
        <v>0</v>
      </c>
      <c r="M210" t="n">
        <v>0</v>
      </c>
      <c r="N210" t="n">
        <v>0</v>
      </c>
      <c r="O210" t="n">
        <v>3</v>
      </c>
      <c r="P210" t="n">
        <v>1</v>
      </c>
      <c r="Q210" t="n">
        <v>3</v>
      </c>
      <c r="R210" s="2" t="inlineStr">
        <is>
          <t>Knärot
Knottrig blåslav
Talltita</t>
        </is>
      </c>
      <c r="S210">
        <f>HYPERLINK("https://klasma.github.io/Logging_2161/artfynd/A 30610-2023 artfynd.xlsx", "A 30610-2023")</f>
        <v/>
      </c>
      <c r="T210">
        <f>HYPERLINK("https://klasma.github.io/Logging_2161/kartor/A 30610-2023 karta.png", "A 30610-2023")</f>
        <v/>
      </c>
      <c r="U210">
        <f>HYPERLINK("https://klasma.github.io/Logging_2161/knärot/A 30610-2023 karta knärot.png", "A 30610-2023")</f>
        <v/>
      </c>
      <c r="V210">
        <f>HYPERLINK("https://klasma.github.io/Logging_2161/klagomål/A 30610-2023 FSC-klagomål.docx", "A 30610-2023")</f>
        <v/>
      </c>
      <c r="W210">
        <f>HYPERLINK("https://klasma.github.io/Logging_2161/klagomålsmail/A 30610-2023 FSC-klagomål mail.docx", "A 30610-2023")</f>
        <v/>
      </c>
      <c r="X210">
        <f>HYPERLINK("https://klasma.github.io/Logging_2161/tillsyn/A 30610-2023 tillsynsbegäran.docx", "A 30610-2023")</f>
        <v/>
      </c>
      <c r="Y210">
        <f>HYPERLINK("https://klasma.github.io/Logging_2161/tillsynsmail/A 30610-2023 tillsynsbegäran mail.docx", "A 30610-2023")</f>
        <v/>
      </c>
      <c r="Z210">
        <f>HYPERLINK("https://klasma.github.io/Logging_2161/fåglar/A 30610-2023 prioriterade fågelarter.docx", "A 30610-2023")</f>
        <v/>
      </c>
    </row>
    <row r="211" ht="15" customHeight="1">
      <c r="A211" t="inlineStr">
        <is>
          <t>A 24802-2023</t>
        </is>
      </c>
      <c r="B211" s="1" t="n">
        <v>45084</v>
      </c>
      <c r="C211" s="1" t="n">
        <v>45911</v>
      </c>
      <c r="D211" t="inlineStr">
        <is>
          <t>GÄVLEBORGS LÄN</t>
        </is>
      </c>
      <c r="E211" t="inlineStr">
        <is>
          <t>SANDVIKEN</t>
        </is>
      </c>
      <c r="F211" t="inlineStr">
        <is>
          <t>Bergvik skog öst AB</t>
        </is>
      </c>
      <c r="G211" t="n">
        <v>3</v>
      </c>
      <c r="H211" t="n">
        <v>0</v>
      </c>
      <c r="I211" t="n">
        <v>2</v>
      </c>
      <c r="J211" t="n">
        <v>1</v>
      </c>
      <c r="K211" t="n">
        <v>0</v>
      </c>
      <c r="L211" t="n">
        <v>0</v>
      </c>
      <c r="M211" t="n">
        <v>0</v>
      </c>
      <c r="N211" t="n">
        <v>0</v>
      </c>
      <c r="O211" t="n">
        <v>1</v>
      </c>
      <c r="P211" t="n">
        <v>0</v>
      </c>
      <c r="Q211" t="n">
        <v>3</v>
      </c>
      <c r="R211" s="2" t="inlineStr">
        <is>
          <t>Koralltaggsvamp
Brandticka
Svart trolldruva</t>
        </is>
      </c>
      <c r="S211">
        <f>HYPERLINK("https://klasma.github.io/Logging_2181/artfynd/A 24802-2023 artfynd.xlsx", "A 24802-2023")</f>
        <v/>
      </c>
      <c r="T211">
        <f>HYPERLINK("https://klasma.github.io/Logging_2181/kartor/A 24802-2023 karta.png", "A 24802-2023")</f>
        <v/>
      </c>
      <c r="V211">
        <f>HYPERLINK("https://klasma.github.io/Logging_2181/klagomål/A 24802-2023 FSC-klagomål.docx", "A 24802-2023")</f>
        <v/>
      </c>
      <c r="W211">
        <f>HYPERLINK("https://klasma.github.io/Logging_2181/klagomålsmail/A 24802-2023 FSC-klagomål mail.docx", "A 24802-2023")</f>
        <v/>
      </c>
      <c r="X211">
        <f>HYPERLINK("https://klasma.github.io/Logging_2181/tillsyn/A 24802-2023 tillsynsbegäran.docx", "A 24802-2023")</f>
        <v/>
      </c>
      <c r="Y211">
        <f>HYPERLINK("https://klasma.github.io/Logging_2181/tillsynsmail/A 24802-2023 tillsynsbegäran mail.docx", "A 24802-2023")</f>
        <v/>
      </c>
    </row>
    <row r="212" ht="15" customHeight="1">
      <c r="A212" t="inlineStr">
        <is>
          <t>A 13640-2025</t>
        </is>
      </c>
      <c r="B212" s="1" t="n">
        <v>45736</v>
      </c>
      <c r="C212" s="1" t="n">
        <v>45911</v>
      </c>
      <c r="D212" t="inlineStr">
        <is>
          <t>GÄVLEBORGS LÄN</t>
        </is>
      </c>
      <c r="E212" t="inlineStr">
        <is>
          <t>HUDIKSVALL</t>
        </is>
      </c>
      <c r="G212" t="n">
        <v>6.9</v>
      </c>
      <c r="H212" t="n">
        <v>3</v>
      </c>
      <c r="I212" t="n">
        <v>0</v>
      </c>
      <c r="J212" t="n">
        <v>1</v>
      </c>
      <c r="K212" t="n">
        <v>0</v>
      </c>
      <c r="L212" t="n">
        <v>0</v>
      </c>
      <c r="M212" t="n">
        <v>0</v>
      </c>
      <c r="N212" t="n">
        <v>0</v>
      </c>
      <c r="O212" t="n">
        <v>1</v>
      </c>
      <c r="P212" t="n">
        <v>0</v>
      </c>
      <c r="Q212" t="n">
        <v>3</v>
      </c>
      <c r="R212" s="2" t="inlineStr">
        <is>
          <t>Spillkråka
Fläcknycklar
Nattviol</t>
        </is>
      </c>
      <c r="S212">
        <f>HYPERLINK("https://klasma.github.io/Logging_2184/artfynd/A 13640-2025 artfynd.xlsx", "A 13640-2025")</f>
        <v/>
      </c>
      <c r="T212">
        <f>HYPERLINK("https://klasma.github.io/Logging_2184/kartor/A 13640-2025 karta.png", "A 13640-2025")</f>
        <v/>
      </c>
      <c r="V212">
        <f>HYPERLINK("https://klasma.github.io/Logging_2184/klagomål/A 13640-2025 FSC-klagomål.docx", "A 13640-2025")</f>
        <v/>
      </c>
      <c r="W212">
        <f>HYPERLINK("https://klasma.github.io/Logging_2184/klagomålsmail/A 13640-2025 FSC-klagomål mail.docx", "A 13640-2025")</f>
        <v/>
      </c>
      <c r="X212">
        <f>HYPERLINK("https://klasma.github.io/Logging_2184/tillsyn/A 13640-2025 tillsynsbegäran.docx", "A 13640-2025")</f>
        <v/>
      </c>
      <c r="Y212">
        <f>HYPERLINK("https://klasma.github.io/Logging_2184/tillsynsmail/A 13640-2025 tillsynsbegäran mail.docx", "A 13640-2025")</f>
        <v/>
      </c>
      <c r="Z212">
        <f>HYPERLINK("https://klasma.github.io/Logging_2184/fåglar/A 13640-2025 prioriterade fågelarter.docx", "A 13640-2025")</f>
        <v/>
      </c>
    </row>
    <row r="213" ht="15" customHeight="1">
      <c r="A213" t="inlineStr">
        <is>
          <t>A 64533-2023</t>
        </is>
      </c>
      <c r="B213" s="1" t="n">
        <v>45281</v>
      </c>
      <c r="C213" s="1" t="n">
        <v>45911</v>
      </c>
      <c r="D213" t="inlineStr">
        <is>
          <t>GÄVLEBORGS LÄN</t>
        </is>
      </c>
      <c r="E213" t="inlineStr">
        <is>
          <t>GÄVLE</t>
        </is>
      </c>
      <c r="G213" t="n">
        <v>1.1</v>
      </c>
      <c r="H213" t="n">
        <v>0</v>
      </c>
      <c r="I213" t="n">
        <v>2</v>
      </c>
      <c r="J213" t="n">
        <v>1</v>
      </c>
      <c r="K213" t="n">
        <v>0</v>
      </c>
      <c r="L213" t="n">
        <v>0</v>
      </c>
      <c r="M213" t="n">
        <v>0</v>
      </c>
      <c r="N213" t="n">
        <v>0</v>
      </c>
      <c r="O213" t="n">
        <v>1</v>
      </c>
      <c r="P213" t="n">
        <v>0</v>
      </c>
      <c r="Q213" t="n">
        <v>3</v>
      </c>
      <c r="R213" s="2" t="inlineStr">
        <is>
          <t>Asppraktbagge
Aspvedgnagare
Jättesvampmal</t>
        </is>
      </c>
      <c r="S213">
        <f>HYPERLINK("https://klasma.github.io/Logging_2180/artfynd/A 64533-2023 artfynd.xlsx", "A 64533-2023")</f>
        <v/>
      </c>
      <c r="T213">
        <f>HYPERLINK("https://klasma.github.io/Logging_2180/kartor/A 64533-2023 karta.png", "A 64533-2023")</f>
        <v/>
      </c>
      <c r="V213">
        <f>HYPERLINK("https://klasma.github.io/Logging_2180/klagomål/A 64533-2023 FSC-klagomål.docx", "A 64533-2023")</f>
        <v/>
      </c>
      <c r="W213">
        <f>HYPERLINK("https://klasma.github.io/Logging_2180/klagomålsmail/A 64533-2023 FSC-klagomål mail.docx", "A 64533-2023")</f>
        <v/>
      </c>
      <c r="X213">
        <f>HYPERLINK("https://klasma.github.io/Logging_2180/tillsyn/A 64533-2023 tillsynsbegäran.docx", "A 64533-2023")</f>
        <v/>
      </c>
      <c r="Y213">
        <f>HYPERLINK("https://klasma.github.io/Logging_2180/tillsynsmail/A 64533-2023 tillsynsbegäran mail.docx", "A 64533-2023")</f>
        <v/>
      </c>
    </row>
    <row r="214" ht="15" customHeight="1">
      <c r="A214" t="inlineStr">
        <is>
          <t>A 20931-2025</t>
        </is>
      </c>
      <c r="B214" s="1" t="n">
        <v>45777.42643518518</v>
      </c>
      <c r="C214" s="1" t="n">
        <v>45911</v>
      </c>
      <c r="D214" t="inlineStr">
        <is>
          <t>GÄVLEBORGS LÄN</t>
        </is>
      </c>
      <c r="E214" t="inlineStr">
        <is>
          <t>OVANÅKER</t>
        </is>
      </c>
      <c r="F214" t="inlineStr">
        <is>
          <t>Sveaskog</t>
        </is>
      </c>
      <c r="G214" t="n">
        <v>17.4</v>
      </c>
      <c r="H214" t="n">
        <v>1</v>
      </c>
      <c r="I214" t="n">
        <v>0</v>
      </c>
      <c r="J214" t="n">
        <v>2</v>
      </c>
      <c r="K214" t="n">
        <v>0</v>
      </c>
      <c r="L214" t="n">
        <v>0</v>
      </c>
      <c r="M214" t="n">
        <v>0</v>
      </c>
      <c r="N214" t="n">
        <v>0</v>
      </c>
      <c r="O214" t="n">
        <v>2</v>
      </c>
      <c r="P214" t="n">
        <v>0</v>
      </c>
      <c r="Q214" t="n">
        <v>3</v>
      </c>
      <c r="R214" s="2" t="inlineStr">
        <is>
          <t>Garnlav
Lunglav
Nattviol</t>
        </is>
      </c>
      <c r="S214">
        <f>HYPERLINK("https://klasma.github.io/Logging_2121/artfynd/A 20931-2025 artfynd.xlsx", "A 20931-2025")</f>
        <v/>
      </c>
      <c r="T214">
        <f>HYPERLINK("https://klasma.github.io/Logging_2121/kartor/A 20931-2025 karta.png", "A 20931-2025")</f>
        <v/>
      </c>
      <c r="V214">
        <f>HYPERLINK("https://klasma.github.io/Logging_2121/klagomål/A 20931-2025 FSC-klagomål.docx", "A 20931-2025")</f>
        <v/>
      </c>
      <c r="W214">
        <f>HYPERLINK("https://klasma.github.io/Logging_2121/klagomålsmail/A 20931-2025 FSC-klagomål mail.docx", "A 20931-2025")</f>
        <v/>
      </c>
      <c r="X214">
        <f>HYPERLINK("https://klasma.github.io/Logging_2121/tillsyn/A 20931-2025 tillsynsbegäran.docx", "A 20931-2025")</f>
        <v/>
      </c>
      <c r="Y214">
        <f>HYPERLINK("https://klasma.github.io/Logging_2121/tillsynsmail/A 20931-2025 tillsynsbegäran mail.docx", "A 20931-2025")</f>
        <v/>
      </c>
    </row>
    <row r="215" ht="15" customHeight="1">
      <c r="A215" t="inlineStr">
        <is>
          <t>A 44116-2022</t>
        </is>
      </c>
      <c r="B215" s="1" t="n">
        <v>44839</v>
      </c>
      <c r="C215" s="1" t="n">
        <v>45911</v>
      </c>
      <c r="D215" t="inlineStr">
        <is>
          <t>GÄVLEBORGS LÄN</t>
        </is>
      </c>
      <c r="E215" t="inlineStr">
        <is>
          <t>LJUSDAL</t>
        </is>
      </c>
      <c r="F215" t="inlineStr">
        <is>
          <t>Sveaskog</t>
        </is>
      </c>
      <c r="G215" t="n">
        <v>9.199999999999999</v>
      </c>
      <c r="H215" t="n">
        <v>0</v>
      </c>
      <c r="I215" t="n">
        <v>0</v>
      </c>
      <c r="J215" t="n">
        <v>2</v>
      </c>
      <c r="K215" t="n">
        <v>0</v>
      </c>
      <c r="L215" t="n">
        <v>0</v>
      </c>
      <c r="M215" t="n">
        <v>0</v>
      </c>
      <c r="N215" t="n">
        <v>0</v>
      </c>
      <c r="O215" t="n">
        <v>2</v>
      </c>
      <c r="P215" t="n">
        <v>0</v>
      </c>
      <c r="Q215" t="n">
        <v>2</v>
      </c>
      <c r="R215" s="2" t="inlineStr">
        <is>
          <t>Kolflarnlav
Lunglav</t>
        </is>
      </c>
      <c r="S215">
        <f>HYPERLINK("https://klasma.github.io/Logging_2161/artfynd/A 44116-2022 artfynd.xlsx", "A 44116-2022")</f>
        <v/>
      </c>
      <c r="T215">
        <f>HYPERLINK("https://klasma.github.io/Logging_2161/kartor/A 44116-2022 karta.png", "A 44116-2022")</f>
        <v/>
      </c>
      <c r="V215">
        <f>HYPERLINK("https://klasma.github.io/Logging_2161/klagomål/A 44116-2022 FSC-klagomål.docx", "A 44116-2022")</f>
        <v/>
      </c>
      <c r="W215">
        <f>HYPERLINK("https://klasma.github.io/Logging_2161/klagomålsmail/A 44116-2022 FSC-klagomål mail.docx", "A 44116-2022")</f>
        <v/>
      </c>
      <c r="X215">
        <f>HYPERLINK("https://klasma.github.io/Logging_2161/tillsyn/A 44116-2022 tillsynsbegäran.docx", "A 44116-2022")</f>
        <v/>
      </c>
      <c r="Y215">
        <f>HYPERLINK("https://klasma.github.io/Logging_2161/tillsynsmail/A 44116-2022 tillsynsbegäran mail.docx", "A 44116-2022")</f>
        <v/>
      </c>
    </row>
    <row r="216" ht="15" customHeight="1">
      <c r="A216" t="inlineStr">
        <is>
          <t>A 44692-2021</t>
        </is>
      </c>
      <c r="B216" s="1" t="n">
        <v>44438</v>
      </c>
      <c r="C216" s="1" t="n">
        <v>45911</v>
      </c>
      <c r="D216" t="inlineStr">
        <is>
          <t>GÄVLEBORGS LÄN</t>
        </is>
      </c>
      <c r="E216" t="inlineStr">
        <is>
          <t>LJUSDAL</t>
        </is>
      </c>
      <c r="F216" t="inlineStr">
        <is>
          <t>Sveaskog</t>
        </is>
      </c>
      <c r="G216" t="n">
        <v>2.5</v>
      </c>
      <c r="H216" t="n">
        <v>0</v>
      </c>
      <c r="I216" t="n">
        <v>0</v>
      </c>
      <c r="J216" t="n">
        <v>2</v>
      </c>
      <c r="K216" t="n">
        <v>0</v>
      </c>
      <c r="L216" t="n">
        <v>0</v>
      </c>
      <c r="M216" t="n">
        <v>0</v>
      </c>
      <c r="N216" t="n">
        <v>0</v>
      </c>
      <c r="O216" t="n">
        <v>2</v>
      </c>
      <c r="P216" t="n">
        <v>0</v>
      </c>
      <c r="Q216" t="n">
        <v>2</v>
      </c>
      <c r="R216" s="2" t="inlineStr">
        <is>
          <t>Kolflarnlav
Lunglav</t>
        </is>
      </c>
      <c r="S216">
        <f>HYPERLINK("https://klasma.github.io/Logging_2161/artfynd/A 44692-2021 artfynd.xlsx", "A 44692-2021")</f>
        <v/>
      </c>
      <c r="T216">
        <f>HYPERLINK("https://klasma.github.io/Logging_2161/kartor/A 44692-2021 karta.png", "A 44692-2021")</f>
        <v/>
      </c>
      <c r="V216">
        <f>HYPERLINK("https://klasma.github.io/Logging_2161/klagomål/A 44692-2021 FSC-klagomål.docx", "A 44692-2021")</f>
        <v/>
      </c>
      <c r="W216">
        <f>HYPERLINK("https://klasma.github.io/Logging_2161/klagomålsmail/A 44692-2021 FSC-klagomål mail.docx", "A 44692-2021")</f>
        <v/>
      </c>
      <c r="X216">
        <f>HYPERLINK("https://klasma.github.io/Logging_2161/tillsyn/A 44692-2021 tillsynsbegäran.docx", "A 44692-2021")</f>
        <v/>
      </c>
      <c r="Y216">
        <f>HYPERLINK("https://klasma.github.io/Logging_2161/tillsynsmail/A 44692-2021 tillsynsbegäran mail.docx", "A 44692-2021")</f>
        <v/>
      </c>
    </row>
    <row r="217" ht="15" customHeight="1">
      <c r="A217" t="inlineStr">
        <is>
          <t>A 67300-2021</t>
        </is>
      </c>
      <c r="B217" s="1" t="n">
        <v>44523.6453125</v>
      </c>
      <c r="C217" s="1" t="n">
        <v>45911</v>
      </c>
      <c r="D217" t="inlineStr">
        <is>
          <t>GÄVLEBORGS LÄN</t>
        </is>
      </c>
      <c r="E217" t="inlineStr">
        <is>
          <t>SÖDERHAMN</t>
        </is>
      </c>
      <c r="G217" t="n">
        <v>9.5</v>
      </c>
      <c r="H217" t="n">
        <v>1</v>
      </c>
      <c r="I217" t="n">
        <v>0</v>
      </c>
      <c r="J217" t="n">
        <v>1</v>
      </c>
      <c r="K217" t="n">
        <v>0</v>
      </c>
      <c r="L217" t="n">
        <v>0</v>
      </c>
      <c r="M217" t="n">
        <v>0</v>
      </c>
      <c r="N217" t="n">
        <v>0</v>
      </c>
      <c r="O217" t="n">
        <v>1</v>
      </c>
      <c r="P217" t="n">
        <v>0</v>
      </c>
      <c r="Q217" t="n">
        <v>2</v>
      </c>
      <c r="R217" s="2" t="inlineStr">
        <is>
          <t>Garnlav
Fläcknycklar</t>
        </is>
      </c>
      <c r="S217">
        <f>HYPERLINK("https://klasma.github.io/Logging_2182/artfynd/A 67300-2021 artfynd.xlsx", "A 67300-2021")</f>
        <v/>
      </c>
      <c r="T217">
        <f>HYPERLINK("https://klasma.github.io/Logging_2182/kartor/A 67300-2021 karta.png", "A 67300-2021")</f>
        <v/>
      </c>
      <c r="V217">
        <f>HYPERLINK("https://klasma.github.io/Logging_2182/klagomål/A 67300-2021 FSC-klagomål.docx", "A 67300-2021")</f>
        <v/>
      </c>
      <c r="W217">
        <f>HYPERLINK("https://klasma.github.io/Logging_2182/klagomålsmail/A 67300-2021 FSC-klagomål mail.docx", "A 67300-2021")</f>
        <v/>
      </c>
      <c r="X217">
        <f>HYPERLINK("https://klasma.github.io/Logging_2182/tillsyn/A 67300-2021 tillsynsbegäran.docx", "A 67300-2021")</f>
        <v/>
      </c>
      <c r="Y217">
        <f>HYPERLINK("https://klasma.github.io/Logging_2182/tillsynsmail/A 67300-2021 tillsynsbegäran mail.docx", "A 67300-2021")</f>
        <v/>
      </c>
    </row>
    <row r="218" ht="15" customHeight="1">
      <c r="A218" t="inlineStr">
        <is>
          <t>A 23866-2022</t>
        </is>
      </c>
      <c r="B218" s="1" t="n">
        <v>44722</v>
      </c>
      <c r="C218" s="1" t="n">
        <v>45911</v>
      </c>
      <c r="D218" t="inlineStr">
        <is>
          <t>GÄVLEBORGS LÄN</t>
        </is>
      </c>
      <c r="E218" t="inlineStr">
        <is>
          <t>LJUSDAL</t>
        </is>
      </c>
      <c r="F218" t="inlineStr">
        <is>
          <t>Sveaskog</t>
        </is>
      </c>
      <c r="G218" t="n">
        <v>2.5</v>
      </c>
      <c r="H218" t="n">
        <v>1</v>
      </c>
      <c r="I218" t="n">
        <v>0</v>
      </c>
      <c r="J218" t="n">
        <v>1</v>
      </c>
      <c r="K218" t="n">
        <v>1</v>
      </c>
      <c r="L218" t="n">
        <v>0</v>
      </c>
      <c r="M218" t="n">
        <v>0</v>
      </c>
      <c r="N218" t="n">
        <v>0</v>
      </c>
      <c r="O218" t="n">
        <v>2</v>
      </c>
      <c r="P218" t="n">
        <v>1</v>
      </c>
      <c r="Q218" t="n">
        <v>2</v>
      </c>
      <c r="R218" s="2" t="inlineStr">
        <is>
          <t>Knärot
Lunglav</t>
        </is>
      </c>
      <c r="S218">
        <f>HYPERLINK("https://klasma.github.io/Logging_2161/artfynd/A 23866-2022 artfynd.xlsx", "A 23866-2022")</f>
        <v/>
      </c>
      <c r="T218">
        <f>HYPERLINK("https://klasma.github.io/Logging_2161/kartor/A 23866-2022 karta.png", "A 23866-2022")</f>
        <v/>
      </c>
      <c r="U218">
        <f>HYPERLINK("https://klasma.github.io/Logging_2161/knärot/A 23866-2022 karta knärot.png", "A 23866-2022")</f>
        <v/>
      </c>
      <c r="V218">
        <f>HYPERLINK("https://klasma.github.io/Logging_2161/klagomål/A 23866-2022 FSC-klagomål.docx", "A 23866-2022")</f>
        <v/>
      </c>
      <c r="W218">
        <f>HYPERLINK("https://klasma.github.io/Logging_2161/klagomålsmail/A 23866-2022 FSC-klagomål mail.docx", "A 23866-2022")</f>
        <v/>
      </c>
      <c r="X218">
        <f>HYPERLINK("https://klasma.github.io/Logging_2161/tillsyn/A 23866-2022 tillsynsbegäran.docx", "A 23866-2022")</f>
        <v/>
      </c>
      <c r="Y218">
        <f>HYPERLINK("https://klasma.github.io/Logging_2161/tillsynsmail/A 23866-2022 tillsynsbegäran mail.docx", "A 23866-2022")</f>
        <v/>
      </c>
    </row>
    <row r="219" ht="15" customHeight="1">
      <c r="A219" t="inlineStr">
        <is>
          <t>A 40023-2021</t>
        </is>
      </c>
      <c r="B219" s="1" t="n">
        <v>44418.43170138889</v>
      </c>
      <c r="C219" s="1" t="n">
        <v>45911</v>
      </c>
      <c r="D219" t="inlineStr">
        <is>
          <t>GÄVLEBORGS LÄN</t>
        </is>
      </c>
      <c r="E219" t="inlineStr">
        <is>
          <t>GÄVLE</t>
        </is>
      </c>
      <c r="F219" t="inlineStr">
        <is>
          <t>Bergvik skog öst AB</t>
        </is>
      </c>
      <c r="G219" t="n">
        <v>2.4</v>
      </c>
      <c r="H219" t="n">
        <v>1</v>
      </c>
      <c r="I219" t="n">
        <v>0</v>
      </c>
      <c r="J219" t="n">
        <v>1</v>
      </c>
      <c r="K219" t="n">
        <v>0</v>
      </c>
      <c r="L219" t="n">
        <v>0</v>
      </c>
      <c r="M219" t="n">
        <v>0</v>
      </c>
      <c r="N219" t="n">
        <v>0</v>
      </c>
      <c r="O219" t="n">
        <v>1</v>
      </c>
      <c r="P219" t="n">
        <v>0</v>
      </c>
      <c r="Q219" t="n">
        <v>2</v>
      </c>
      <c r="R219" s="2" t="inlineStr">
        <is>
          <t>Sumpviol
Tjäder</t>
        </is>
      </c>
      <c r="S219">
        <f>HYPERLINK("https://klasma.github.io/Logging_2180/artfynd/A 40023-2021 artfynd.xlsx", "A 40023-2021")</f>
        <v/>
      </c>
      <c r="T219">
        <f>HYPERLINK("https://klasma.github.io/Logging_2180/kartor/A 40023-2021 karta.png", "A 40023-2021")</f>
        <v/>
      </c>
      <c r="V219">
        <f>HYPERLINK("https://klasma.github.io/Logging_2180/klagomål/A 40023-2021 FSC-klagomål.docx", "A 40023-2021")</f>
        <v/>
      </c>
      <c r="W219">
        <f>HYPERLINK("https://klasma.github.io/Logging_2180/klagomålsmail/A 40023-2021 FSC-klagomål mail.docx", "A 40023-2021")</f>
        <v/>
      </c>
      <c r="X219">
        <f>HYPERLINK("https://klasma.github.io/Logging_2180/tillsyn/A 40023-2021 tillsynsbegäran.docx", "A 40023-2021")</f>
        <v/>
      </c>
      <c r="Y219">
        <f>HYPERLINK("https://klasma.github.io/Logging_2180/tillsynsmail/A 40023-2021 tillsynsbegäran mail.docx", "A 40023-2021")</f>
        <v/>
      </c>
      <c r="Z219">
        <f>HYPERLINK("https://klasma.github.io/Logging_2180/fåglar/A 40023-2021 prioriterade fågelarter.docx", "A 40023-2021")</f>
        <v/>
      </c>
    </row>
    <row r="220" ht="15" customHeight="1">
      <c r="A220" t="inlineStr">
        <is>
          <t>A 13261-2021</t>
        </is>
      </c>
      <c r="B220" s="1" t="n">
        <v>44272</v>
      </c>
      <c r="C220" s="1" t="n">
        <v>45911</v>
      </c>
      <c r="D220" t="inlineStr">
        <is>
          <t>GÄVLEBORGS LÄN</t>
        </is>
      </c>
      <c r="E220" t="inlineStr">
        <is>
          <t>GÄVLE</t>
        </is>
      </c>
      <c r="G220" t="n">
        <v>4.7</v>
      </c>
      <c r="H220" t="n">
        <v>1</v>
      </c>
      <c r="I220" t="n">
        <v>0</v>
      </c>
      <c r="J220" t="n">
        <v>1</v>
      </c>
      <c r="K220" t="n">
        <v>0</v>
      </c>
      <c r="L220" t="n">
        <v>0</v>
      </c>
      <c r="M220" t="n">
        <v>0</v>
      </c>
      <c r="N220" t="n">
        <v>0</v>
      </c>
      <c r="O220" t="n">
        <v>1</v>
      </c>
      <c r="P220" t="n">
        <v>0</v>
      </c>
      <c r="Q220" t="n">
        <v>2</v>
      </c>
      <c r="R220" s="2" t="inlineStr">
        <is>
          <t>Motaggsvamp
Blåsippa</t>
        </is>
      </c>
      <c r="S220">
        <f>HYPERLINK("https://klasma.github.io/Logging_2180/artfynd/A 13261-2021 artfynd.xlsx", "A 13261-2021")</f>
        <v/>
      </c>
      <c r="T220">
        <f>HYPERLINK("https://klasma.github.io/Logging_2180/kartor/A 13261-2021 karta.png", "A 13261-2021")</f>
        <v/>
      </c>
      <c r="V220">
        <f>HYPERLINK("https://klasma.github.io/Logging_2180/klagomål/A 13261-2021 FSC-klagomål.docx", "A 13261-2021")</f>
        <v/>
      </c>
      <c r="W220">
        <f>HYPERLINK("https://klasma.github.io/Logging_2180/klagomålsmail/A 13261-2021 FSC-klagomål mail.docx", "A 13261-2021")</f>
        <v/>
      </c>
      <c r="X220">
        <f>HYPERLINK("https://klasma.github.io/Logging_2180/tillsyn/A 13261-2021 tillsynsbegäran.docx", "A 13261-2021")</f>
        <v/>
      </c>
      <c r="Y220">
        <f>HYPERLINK("https://klasma.github.io/Logging_2180/tillsynsmail/A 13261-2021 tillsynsbegäran mail.docx", "A 13261-2021")</f>
        <v/>
      </c>
    </row>
    <row r="221" ht="15" customHeight="1">
      <c r="A221" t="inlineStr">
        <is>
          <t>A 21765-2021</t>
        </is>
      </c>
      <c r="B221" s="1" t="n">
        <v>44322</v>
      </c>
      <c r="C221" s="1" t="n">
        <v>45911</v>
      </c>
      <c r="D221" t="inlineStr">
        <is>
          <t>GÄVLEBORGS LÄN</t>
        </is>
      </c>
      <c r="E221" t="inlineStr">
        <is>
          <t>LJUSDAL</t>
        </is>
      </c>
      <c r="F221" t="inlineStr">
        <is>
          <t>Sveaskog</t>
        </is>
      </c>
      <c r="G221" t="n">
        <v>1</v>
      </c>
      <c r="H221" t="n">
        <v>2</v>
      </c>
      <c r="I221" t="n">
        <v>0</v>
      </c>
      <c r="J221" t="n">
        <v>2</v>
      </c>
      <c r="K221" t="n">
        <v>0</v>
      </c>
      <c r="L221" t="n">
        <v>0</v>
      </c>
      <c r="M221" t="n">
        <v>0</v>
      </c>
      <c r="N221" t="n">
        <v>0</v>
      </c>
      <c r="O221" t="n">
        <v>2</v>
      </c>
      <c r="P221" t="n">
        <v>0</v>
      </c>
      <c r="Q221" t="n">
        <v>2</v>
      </c>
      <c r="R221" s="2" t="inlineStr">
        <is>
          <t>Stenfalk
Ärtsångare</t>
        </is>
      </c>
      <c r="S221">
        <f>HYPERLINK("https://klasma.github.io/Logging_2161/artfynd/A 21765-2021 artfynd.xlsx", "A 21765-2021")</f>
        <v/>
      </c>
      <c r="T221">
        <f>HYPERLINK("https://klasma.github.io/Logging_2161/kartor/A 21765-2021 karta.png", "A 21765-2021")</f>
        <v/>
      </c>
      <c r="V221">
        <f>HYPERLINK("https://klasma.github.io/Logging_2161/klagomål/A 21765-2021 FSC-klagomål.docx", "A 21765-2021")</f>
        <v/>
      </c>
      <c r="W221">
        <f>HYPERLINK("https://klasma.github.io/Logging_2161/klagomålsmail/A 21765-2021 FSC-klagomål mail.docx", "A 21765-2021")</f>
        <v/>
      </c>
      <c r="X221">
        <f>HYPERLINK("https://klasma.github.io/Logging_2161/tillsyn/A 21765-2021 tillsynsbegäran.docx", "A 21765-2021")</f>
        <v/>
      </c>
      <c r="Y221">
        <f>HYPERLINK("https://klasma.github.io/Logging_2161/tillsynsmail/A 21765-2021 tillsynsbegäran mail.docx", "A 21765-2021")</f>
        <v/>
      </c>
      <c r="Z221">
        <f>HYPERLINK("https://klasma.github.io/Logging_2161/fåglar/A 21765-2021 prioriterade fågelarter.docx", "A 21765-2021")</f>
        <v/>
      </c>
    </row>
    <row r="222" ht="15" customHeight="1">
      <c r="A222" t="inlineStr">
        <is>
          <t>A 22073-2021</t>
        </is>
      </c>
      <c r="B222" s="1" t="n">
        <v>44323.59449074074</v>
      </c>
      <c r="C222" s="1" t="n">
        <v>45911</v>
      </c>
      <c r="D222" t="inlineStr">
        <is>
          <t>GÄVLEBORGS LÄN</t>
        </is>
      </c>
      <c r="E222" t="inlineStr">
        <is>
          <t>GÄVLE</t>
        </is>
      </c>
      <c r="F222" t="inlineStr">
        <is>
          <t>Bergvik skog öst AB</t>
        </is>
      </c>
      <c r="G222" t="n">
        <v>0.5</v>
      </c>
      <c r="H222" t="n">
        <v>2</v>
      </c>
      <c r="I222" t="n">
        <v>0</v>
      </c>
      <c r="J222" t="n">
        <v>2</v>
      </c>
      <c r="K222" t="n">
        <v>0</v>
      </c>
      <c r="L222" t="n">
        <v>0</v>
      </c>
      <c r="M222" t="n">
        <v>0</v>
      </c>
      <c r="N222" t="n">
        <v>0</v>
      </c>
      <c r="O222" t="n">
        <v>2</v>
      </c>
      <c r="P222" t="n">
        <v>0</v>
      </c>
      <c r="Q222" t="n">
        <v>2</v>
      </c>
      <c r="R222" s="2" t="inlineStr">
        <is>
          <t>Blå kärrhök
Havsörn</t>
        </is>
      </c>
      <c r="S222">
        <f>HYPERLINK("https://klasma.github.io/Logging_2180/artfynd/A 22073-2021 artfynd.xlsx", "A 22073-2021")</f>
        <v/>
      </c>
      <c r="T222">
        <f>HYPERLINK("https://klasma.github.io/Logging_2180/kartor/A 22073-2021 karta.png", "A 22073-2021")</f>
        <v/>
      </c>
      <c r="V222">
        <f>HYPERLINK("https://klasma.github.io/Logging_2180/klagomål/A 22073-2021 FSC-klagomål.docx", "A 22073-2021")</f>
        <v/>
      </c>
      <c r="W222">
        <f>HYPERLINK("https://klasma.github.io/Logging_2180/klagomålsmail/A 22073-2021 FSC-klagomål mail.docx", "A 22073-2021")</f>
        <v/>
      </c>
      <c r="X222">
        <f>HYPERLINK("https://klasma.github.io/Logging_2180/tillsyn/A 22073-2021 tillsynsbegäran.docx", "A 22073-2021")</f>
        <v/>
      </c>
      <c r="Y222">
        <f>HYPERLINK("https://klasma.github.io/Logging_2180/tillsynsmail/A 22073-2021 tillsynsbegäran mail.docx", "A 22073-2021")</f>
        <v/>
      </c>
      <c r="Z222">
        <f>HYPERLINK("https://klasma.github.io/Logging_2180/fåglar/A 22073-2021 prioriterade fågelarter.docx", "A 22073-2021")</f>
        <v/>
      </c>
    </row>
    <row r="223" ht="15" customHeight="1">
      <c r="A223" t="inlineStr">
        <is>
          <t>A 57726-2021</t>
        </is>
      </c>
      <c r="B223" s="1" t="n">
        <v>44484</v>
      </c>
      <c r="C223" s="1" t="n">
        <v>45911</v>
      </c>
      <c r="D223" t="inlineStr">
        <is>
          <t>GÄVLEBORGS LÄN</t>
        </is>
      </c>
      <c r="E223" t="inlineStr">
        <is>
          <t>LJUSDAL</t>
        </is>
      </c>
      <c r="F223" t="inlineStr">
        <is>
          <t>Sveaskog</t>
        </is>
      </c>
      <c r="G223" t="n">
        <v>4.2</v>
      </c>
      <c r="H223" t="n">
        <v>0</v>
      </c>
      <c r="I223" t="n">
        <v>0</v>
      </c>
      <c r="J223" t="n">
        <v>2</v>
      </c>
      <c r="K223" t="n">
        <v>0</v>
      </c>
      <c r="L223" t="n">
        <v>0</v>
      </c>
      <c r="M223" t="n">
        <v>0</v>
      </c>
      <c r="N223" t="n">
        <v>0</v>
      </c>
      <c r="O223" t="n">
        <v>2</v>
      </c>
      <c r="P223" t="n">
        <v>0</v>
      </c>
      <c r="Q223" t="n">
        <v>2</v>
      </c>
      <c r="R223" s="2" t="inlineStr">
        <is>
          <t>Garnlav
Mörk kolflarnlav</t>
        </is>
      </c>
      <c r="S223">
        <f>HYPERLINK("https://klasma.github.io/Logging_2161/artfynd/A 57726-2021 artfynd.xlsx", "A 57726-2021")</f>
        <v/>
      </c>
      <c r="T223">
        <f>HYPERLINK("https://klasma.github.io/Logging_2161/kartor/A 57726-2021 karta.png", "A 57726-2021")</f>
        <v/>
      </c>
      <c r="V223">
        <f>HYPERLINK("https://klasma.github.io/Logging_2161/klagomål/A 57726-2021 FSC-klagomål.docx", "A 57726-2021")</f>
        <v/>
      </c>
      <c r="W223">
        <f>HYPERLINK("https://klasma.github.io/Logging_2161/klagomålsmail/A 57726-2021 FSC-klagomål mail.docx", "A 57726-2021")</f>
        <v/>
      </c>
      <c r="X223">
        <f>HYPERLINK("https://klasma.github.io/Logging_2161/tillsyn/A 57726-2021 tillsynsbegäran.docx", "A 57726-2021")</f>
        <v/>
      </c>
      <c r="Y223">
        <f>HYPERLINK("https://klasma.github.io/Logging_2161/tillsynsmail/A 57726-2021 tillsynsbegäran mail.docx", "A 57726-2021")</f>
        <v/>
      </c>
    </row>
    <row r="224" ht="15" customHeight="1">
      <c r="A224" t="inlineStr">
        <is>
          <t>A 37642-2021</t>
        </is>
      </c>
      <c r="B224" s="1" t="n">
        <v>44400.37202546297</v>
      </c>
      <c r="C224" s="1" t="n">
        <v>45911</v>
      </c>
      <c r="D224" t="inlineStr">
        <is>
          <t>GÄVLEBORGS LÄN</t>
        </is>
      </c>
      <c r="E224" t="inlineStr">
        <is>
          <t>LJUSDAL</t>
        </is>
      </c>
      <c r="F224" t="inlineStr">
        <is>
          <t>Sveaskog</t>
        </is>
      </c>
      <c r="G224" t="n">
        <v>1.9</v>
      </c>
      <c r="H224" t="n">
        <v>1</v>
      </c>
      <c r="I224" t="n">
        <v>0</v>
      </c>
      <c r="J224" t="n">
        <v>1</v>
      </c>
      <c r="K224" t="n">
        <v>1</v>
      </c>
      <c r="L224" t="n">
        <v>0</v>
      </c>
      <c r="M224" t="n">
        <v>0</v>
      </c>
      <c r="N224" t="n">
        <v>0</v>
      </c>
      <c r="O224" t="n">
        <v>2</v>
      </c>
      <c r="P224" t="n">
        <v>1</v>
      </c>
      <c r="Q224" t="n">
        <v>2</v>
      </c>
      <c r="R224" s="2" t="inlineStr">
        <is>
          <t>Knärot
Lunglav</t>
        </is>
      </c>
      <c r="S224">
        <f>HYPERLINK("https://klasma.github.io/Logging_2161/artfynd/A 37642-2021 artfynd.xlsx", "A 37642-2021")</f>
        <v/>
      </c>
      <c r="T224">
        <f>HYPERLINK("https://klasma.github.io/Logging_2161/kartor/A 37642-2021 karta.png", "A 37642-2021")</f>
        <v/>
      </c>
      <c r="U224">
        <f>HYPERLINK("https://klasma.github.io/Logging_2161/knärot/A 37642-2021 karta knärot.png", "A 37642-2021")</f>
        <v/>
      </c>
      <c r="V224">
        <f>HYPERLINK("https://klasma.github.io/Logging_2161/klagomål/A 37642-2021 FSC-klagomål.docx", "A 37642-2021")</f>
        <v/>
      </c>
      <c r="W224">
        <f>HYPERLINK("https://klasma.github.io/Logging_2161/klagomålsmail/A 37642-2021 FSC-klagomål mail.docx", "A 37642-2021")</f>
        <v/>
      </c>
      <c r="X224">
        <f>HYPERLINK("https://klasma.github.io/Logging_2161/tillsyn/A 37642-2021 tillsynsbegäran.docx", "A 37642-2021")</f>
        <v/>
      </c>
      <c r="Y224">
        <f>HYPERLINK("https://klasma.github.io/Logging_2161/tillsynsmail/A 37642-2021 tillsynsbegäran mail.docx", "A 37642-2021")</f>
        <v/>
      </c>
    </row>
    <row r="225" ht="15" customHeight="1">
      <c r="A225" t="inlineStr">
        <is>
          <t>A 51330-2022</t>
        </is>
      </c>
      <c r="B225" s="1" t="n">
        <v>44869.30180555556</v>
      </c>
      <c r="C225" s="1" t="n">
        <v>45911</v>
      </c>
      <c r="D225" t="inlineStr">
        <is>
          <t>GÄVLEBORGS LÄN</t>
        </is>
      </c>
      <c r="E225" t="inlineStr">
        <is>
          <t>LJUSDAL</t>
        </is>
      </c>
      <c r="F225" t="inlineStr">
        <is>
          <t>Bergvik skog väst AB</t>
        </is>
      </c>
      <c r="G225" t="n">
        <v>9.199999999999999</v>
      </c>
      <c r="H225" t="n">
        <v>2</v>
      </c>
      <c r="I225" t="n">
        <v>0</v>
      </c>
      <c r="J225" t="n">
        <v>1</v>
      </c>
      <c r="K225" t="n">
        <v>0</v>
      </c>
      <c r="L225" t="n">
        <v>0</v>
      </c>
      <c r="M225" t="n">
        <v>0</v>
      </c>
      <c r="N225" t="n">
        <v>0</v>
      </c>
      <c r="O225" t="n">
        <v>1</v>
      </c>
      <c r="P225" t="n">
        <v>0</v>
      </c>
      <c r="Q225" t="n">
        <v>2</v>
      </c>
      <c r="R225" s="2" t="inlineStr">
        <is>
          <t>Järpe
Orre</t>
        </is>
      </c>
      <c r="S225">
        <f>HYPERLINK("https://klasma.github.io/Logging_2161/artfynd/A 51330-2022 artfynd.xlsx", "A 51330-2022")</f>
        <v/>
      </c>
      <c r="T225">
        <f>HYPERLINK("https://klasma.github.io/Logging_2161/kartor/A 51330-2022 karta.png", "A 51330-2022")</f>
        <v/>
      </c>
      <c r="V225">
        <f>HYPERLINK("https://klasma.github.io/Logging_2161/klagomål/A 51330-2022 FSC-klagomål.docx", "A 51330-2022")</f>
        <v/>
      </c>
      <c r="W225">
        <f>HYPERLINK("https://klasma.github.io/Logging_2161/klagomålsmail/A 51330-2022 FSC-klagomål mail.docx", "A 51330-2022")</f>
        <v/>
      </c>
      <c r="X225">
        <f>HYPERLINK("https://klasma.github.io/Logging_2161/tillsyn/A 51330-2022 tillsynsbegäran.docx", "A 51330-2022")</f>
        <v/>
      </c>
      <c r="Y225">
        <f>HYPERLINK("https://klasma.github.io/Logging_2161/tillsynsmail/A 51330-2022 tillsynsbegäran mail.docx", "A 51330-2022")</f>
        <v/>
      </c>
      <c r="Z225">
        <f>HYPERLINK("https://klasma.github.io/Logging_2161/fåglar/A 51330-2022 prioriterade fågelarter.docx", "A 51330-2022")</f>
        <v/>
      </c>
    </row>
    <row r="226" ht="15" customHeight="1">
      <c r="A226" t="inlineStr">
        <is>
          <t>A 42203-2022</t>
        </is>
      </c>
      <c r="B226" s="1" t="n">
        <v>44830.65797453704</v>
      </c>
      <c r="C226" s="1" t="n">
        <v>45911</v>
      </c>
      <c r="D226" t="inlineStr">
        <is>
          <t>GÄVLEBORGS LÄN</t>
        </is>
      </c>
      <c r="E226" t="inlineStr">
        <is>
          <t>HUDIKSVALL</t>
        </is>
      </c>
      <c r="G226" t="n">
        <v>2.3</v>
      </c>
      <c r="H226" t="n">
        <v>2</v>
      </c>
      <c r="I226" t="n">
        <v>0</v>
      </c>
      <c r="J226" t="n">
        <v>0</v>
      </c>
      <c r="K226" t="n">
        <v>0</v>
      </c>
      <c r="L226" t="n">
        <v>0</v>
      </c>
      <c r="M226" t="n">
        <v>0</v>
      </c>
      <c r="N226" t="n">
        <v>0</v>
      </c>
      <c r="O226" t="n">
        <v>0</v>
      </c>
      <c r="P226" t="n">
        <v>0</v>
      </c>
      <c r="Q226" t="n">
        <v>2</v>
      </c>
      <c r="R226" s="2" t="inlineStr">
        <is>
          <t>Fläcknycklar
Revlummer</t>
        </is>
      </c>
      <c r="S226">
        <f>HYPERLINK("https://klasma.github.io/Logging_2184/artfynd/A 42203-2022 artfynd.xlsx", "A 42203-2022")</f>
        <v/>
      </c>
      <c r="T226">
        <f>HYPERLINK("https://klasma.github.io/Logging_2184/kartor/A 42203-2022 karta.png", "A 42203-2022")</f>
        <v/>
      </c>
      <c r="V226">
        <f>HYPERLINK("https://klasma.github.io/Logging_2184/klagomål/A 42203-2022 FSC-klagomål.docx", "A 42203-2022")</f>
        <v/>
      </c>
      <c r="W226">
        <f>HYPERLINK("https://klasma.github.io/Logging_2184/klagomålsmail/A 42203-2022 FSC-klagomål mail.docx", "A 42203-2022")</f>
        <v/>
      </c>
      <c r="X226">
        <f>HYPERLINK("https://klasma.github.io/Logging_2184/tillsyn/A 42203-2022 tillsynsbegäran.docx", "A 42203-2022")</f>
        <v/>
      </c>
      <c r="Y226">
        <f>HYPERLINK("https://klasma.github.io/Logging_2184/tillsynsmail/A 42203-2022 tillsynsbegäran mail.docx", "A 42203-2022")</f>
        <v/>
      </c>
    </row>
    <row r="227" ht="15" customHeight="1">
      <c r="A227" t="inlineStr">
        <is>
          <t>A 35588-2022</t>
        </is>
      </c>
      <c r="B227" s="1" t="n">
        <v>44799</v>
      </c>
      <c r="C227" s="1" t="n">
        <v>45911</v>
      </c>
      <c r="D227" t="inlineStr">
        <is>
          <t>GÄVLEBORGS LÄN</t>
        </is>
      </c>
      <c r="E227" t="inlineStr">
        <is>
          <t>LJUSDAL</t>
        </is>
      </c>
      <c r="F227" t="inlineStr">
        <is>
          <t>Sveaskog</t>
        </is>
      </c>
      <c r="G227" t="n">
        <v>3.4</v>
      </c>
      <c r="H227" t="n">
        <v>0</v>
      </c>
      <c r="I227" t="n">
        <v>0</v>
      </c>
      <c r="J227" t="n">
        <v>2</v>
      </c>
      <c r="K227" t="n">
        <v>0</v>
      </c>
      <c r="L227" t="n">
        <v>0</v>
      </c>
      <c r="M227" t="n">
        <v>0</v>
      </c>
      <c r="N227" t="n">
        <v>0</v>
      </c>
      <c r="O227" t="n">
        <v>2</v>
      </c>
      <c r="P227" t="n">
        <v>0</v>
      </c>
      <c r="Q227" t="n">
        <v>2</v>
      </c>
      <c r="R227" s="2" t="inlineStr">
        <is>
          <t>Garnlav
Lunglav</t>
        </is>
      </c>
      <c r="S227">
        <f>HYPERLINK("https://klasma.github.io/Logging_2161/artfynd/A 35588-2022 artfynd.xlsx", "A 35588-2022")</f>
        <v/>
      </c>
      <c r="T227">
        <f>HYPERLINK("https://klasma.github.io/Logging_2161/kartor/A 35588-2022 karta.png", "A 35588-2022")</f>
        <v/>
      </c>
      <c r="V227">
        <f>HYPERLINK("https://klasma.github.io/Logging_2161/klagomål/A 35588-2022 FSC-klagomål.docx", "A 35588-2022")</f>
        <v/>
      </c>
      <c r="W227">
        <f>HYPERLINK("https://klasma.github.io/Logging_2161/klagomålsmail/A 35588-2022 FSC-klagomål mail.docx", "A 35588-2022")</f>
        <v/>
      </c>
      <c r="X227">
        <f>HYPERLINK("https://klasma.github.io/Logging_2161/tillsyn/A 35588-2022 tillsynsbegäran.docx", "A 35588-2022")</f>
        <v/>
      </c>
      <c r="Y227">
        <f>HYPERLINK("https://klasma.github.io/Logging_2161/tillsynsmail/A 35588-2022 tillsynsbegäran mail.docx", "A 35588-2022")</f>
        <v/>
      </c>
    </row>
    <row r="228" ht="15" customHeight="1">
      <c r="A228" t="inlineStr">
        <is>
          <t>A 38855-2022</t>
        </is>
      </c>
      <c r="B228" s="1" t="n">
        <v>44816</v>
      </c>
      <c r="C228" s="1" t="n">
        <v>45911</v>
      </c>
      <c r="D228" t="inlineStr">
        <is>
          <t>GÄVLEBORGS LÄN</t>
        </is>
      </c>
      <c r="E228" t="inlineStr">
        <is>
          <t>HOFORS</t>
        </is>
      </c>
      <c r="G228" t="n">
        <v>7.1</v>
      </c>
      <c r="H228" t="n">
        <v>2</v>
      </c>
      <c r="I228" t="n">
        <v>0</v>
      </c>
      <c r="J228" t="n">
        <v>0</v>
      </c>
      <c r="K228" t="n">
        <v>1</v>
      </c>
      <c r="L228" t="n">
        <v>0</v>
      </c>
      <c r="M228" t="n">
        <v>0</v>
      </c>
      <c r="N228" t="n">
        <v>0</v>
      </c>
      <c r="O228" t="n">
        <v>1</v>
      </c>
      <c r="P228" t="n">
        <v>1</v>
      </c>
      <c r="Q228" t="n">
        <v>2</v>
      </c>
      <c r="R228" s="2" t="inlineStr">
        <is>
          <t>Knärot
Blåsippa</t>
        </is>
      </c>
      <c r="S228">
        <f>HYPERLINK("https://klasma.github.io/Logging_2104/artfynd/A 38855-2022 artfynd.xlsx", "A 38855-2022")</f>
        <v/>
      </c>
      <c r="T228">
        <f>HYPERLINK("https://klasma.github.io/Logging_2104/kartor/A 38855-2022 karta.png", "A 38855-2022")</f>
        <v/>
      </c>
      <c r="U228">
        <f>HYPERLINK("https://klasma.github.io/Logging_2104/knärot/A 38855-2022 karta knärot.png", "A 38855-2022")</f>
        <v/>
      </c>
      <c r="V228">
        <f>HYPERLINK("https://klasma.github.io/Logging_2104/klagomål/A 38855-2022 FSC-klagomål.docx", "A 38855-2022")</f>
        <v/>
      </c>
      <c r="W228">
        <f>HYPERLINK("https://klasma.github.io/Logging_2104/klagomålsmail/A 38855-2022 FSC-klagomål mail.docx", "A 38855-2022")</f>
        <v/>
      </c>
      <c r="X228">
        <f>HYPERLINK("https://klasma.github.io/Logging_2104/tillsyn/A 38855-2022 tillsynsbegäran.docx", "A 38855-2022")</f>
        <v/>
      </c>
      <c r="Y228">
        <f>HYPERLINK("https://klasma.github.io/Logging_2104/tillsynsmail/A 38855-2022 tillsynsbegäran mail.docx", "A 38855-2022")</f>
        <v/>
      </c>
    </row>
    <row r="229" ht="15" customHeight="1">
      <c r="A229" t="inlineStr">
        <is>
          <t>A 18098-2024</t>
        </is>
      </c>
      <c r="B229" s="1" t="n">
        <v>45420</v>
      </c>
      <c r="C229" s="1" t="n">
        <v>45911</v>
      </c>
      <c r="D229" t="inlineStr">
        <is>
          <t>GÄVLEBORGS LÄN</t>
        </is>
      </c>
      <c r="E229" t="inlineStr">
        <is>
          <t>LJUSDAL</t>
        </is>
      </c>
      <c r="F229" t="inlineStr">
        <is>
          <t>Sveaskog</t>
        </is>
      </c>
      <c r="G229" t="n">
        <v>3.3</v>
      </c>
      <c r="H229" t="n">
        <v>1</v>
      </c>
      <c r="I229" t="n">
        <v>0</v>
      </c>
      <c r="J229" t="n">
        <v>2</v>
      </c>
      <c r="K229" t="n">
        <v>0</v>
      </c>
      <c r="L229" t="n">
        <v>0</v>
      </c>
      <c r="M229" t="n">
        <v>0</v>
      </c>
      <c r="N229" t="n">
        <v>0</v>
      </c>
      <c r="O229" t="n">
        <v>2</v>
      </c>
      <c r="P229" t="n">
        <v>0</v>
      </c>
      <c r="Q229" t="n">
        <v>2</v>
      </c>
      <c r="R229" s="2" t="inlineStr">
        <is>
          <t>Kolflarnlav
Varglav</t>
        </is>
      </c>
      <c r="S229">
        <f>HYPERLINK("https://klasma.github.io/Logging_2161/artfynd/A 18098-2024 artfynd.xlsx", "A 18098-2024")</f>
        <v/>
      </c>
      <c r="T229">
        <f>HYPERLINK("https://klasma.github.io/Logging_2161/kartor/A 18098-2024 karta.png", "A 18098-2024")</f>
        <v/>
      </c>
      <c r="V229">
        <f>HYPERLINK("https://klasma.github.io/Logging_2161/klagomål/A 18098-2024 FSC-klagomål.docx", "A 18098-2024")</f>
        <v/>
      </c>
      <c r="W229">
        <f>HYPERLINK("https://klasma.github.io/Logging_2161/klagomålsmail/A 18098-2024 FSC-klagomål mail.docx", "A 18098-2024")</f>
        <v/>
      </c>
      <c r="X229">
        <f>HYPERLINK("https://klasma.github.io/Logging_2161/tillsyn/A 18098-2024 tillsynsbegäran.docx", "A 18098-2024")</f>
        <v/>
      </c>
      <c r="Y229">
        <f>HYPERLINK("https://klasma.github.io/Logging_2161/tillsynsmail/A 18098-2024 tillsynsbegäran mail.docx", "A 18098-2024")</f>
        <v/>
      </c>
    </row>
    <row r="230" ht="15" customHeight="1">
      <c r="A230" t="inlineStr">
        <is>
          <t>A 18103-2024</t>
        </is>
      </c>
      <c r="B230" s="1" t="n">
        <v>45420.48034722222</v>
      </c>
      <c r="C230" s="1" t="n">
        <v>45911</v>
      </c>
      <c r="D230" t="inlineStr">
        <is>
          <t>GÄVLEBORGS LÄN</t>
        </is>
      </c>
      <c r="E230" t="inlineStr">
        <is>
          <t>LJUSDAL</t>
        </is>
      </c>
      <c r="F230" t="inlineStr">
        <is>
          <t>Sveaskog</t>
        </is>
      </c>
      <c r="G230" t="n">
        <v>3.9</v>
      </c>
      <c r="H230" t="n">
        <v>0</v>
      </c>
      <c r="I230" t="n">
        <v>0</v>
      </c>
      <c r="J230" t="n">
        <v>2</v>
      </c>
      <c r="K230" t="n">
        <v>0</v>
      </c>
      <c r="L230" t="n">
        <v>0</v>
      </c>
      <c r="M230" t="n">
        <v>0</v>
      </c>
      <c r="N230" t="n">
        <v>0</v>
      </c>
      <c r="O230" t="n">
        <v>2</v>
      </c>
      <c r="P230" t="n">
        <v>0</v>
      </c>
      <c r="Q230" t="n">
        <v>2</v>
      </c>
      <c r="R230" s="2" t="inlineStr">
        <is>
          <t>Kolflarnlav
Mörk kolflarnlav</t>
        </is>
      </c>
      <c r="S230">
        <f>HYPERLINK("https://klasma.github.io/Logging_2161/artfynd/A 18103-2024 artfynd.xlsx", "A 18103-2024")</f>
        <v/>
      </c>
      <c r="T230">
        <f>HYPERLINK("https://klasma.github.io/Logging_2161/kartor/A 18103-2024 karta.png", "A 18103-2024")</f>
        <v/>
      </c>
      <c r="V230">
        <f>HYPERLINK("https://klasma.github.io/Logging_2161/klagomål/A 18103-2024 FSC-klagomål.docx", "A 18103-2024")</f>
        <v/>
      </c>
      <c r="W230">
        <f>HYPERLINK("https://klasma.github.io/Logging_2161/klagomålsmail/A 18103-2024 FSC-klagomål mail.docx", "A 18103-2024")</f>
        <v/>
      </c>
      <c r="X230">
        <f>HYPERLINK("https://klasma.github.io/Logging_2161/tillsyn/A 18103-2024 tillsynsbegäran.docx", "A 18103-2024")</f>
        <v/>
      </c>
      <c r="Y230">
        <f>HYPERLINK("https://klasma.github.io/Logging_2161/tillsynsmail/A 18103-2024 tillsynsbegäran mail.docx", "A 18103-2024")</f>
        <v/>
      </c>
    </row>
    <row r="231" ht="15" customHeight="1">
      <c r="A231" t="inlineStr">
        <is>
          <t>A 19180-2024</t>
        </is>
      </c>
      <c r="B231" s="1" t="n">
        <v>45428</v>
      </c>
      <c r="C231" s="1" t="n">
        <v>45911</v>
      </c>
      <c r="D231" t="inlineStr">
        <is>
          <t>GÄVLEBORGS LÄN</t>
        </is>
      </c>
      <c r="E231" t="inlineStr">
        <is>
          <t>OVANÅKER</t>
        </is>
      </c>
      <c r="G231" t="n">
        <v>4.1</v>
      </c>
      <c r="H231" t="n">
        <v>0</v>
      </c>
      <c r="I231" t="n">
        <v>0</v>
      </c>
      <c r="J231" t="n">
        <v>2</v>
      </c>
      <c r="K231" t="n">
        <v>0</v>
      </c>
      <c r="L231" t="n">
        <v>0</v>
      </c>
      <c r="M231" t="n">
        <v>0</v>
      </c>
      <c r="N231" t="n">
        <v>0</v>
      </c>
      <c r="O231" t="n">
        <v>2</v>
      </c>
      <c r="P231" t="n">
        <v>0</v>
      </c>
      <c r="Q231" t="n">
        <v>2</v>
      </c>
      <c r="R231" s="2" t="inlineStr">
        <is>
          <t>Kolflarnlav
Vedskivlav</t>
        </is>
      </c>
      <c r="S231">
        <f>HYPERLINK("https://klasma.github.io/Logging_2121/artfynd/A 19180-2024 artfynd.xlsx", "A 19180-2024")</f>
        <v/>
      </c>
      <c r="T231">
        <f>HYPERLINK("https://klasma.github.io/Logging_2121/kartor/A 19180-2024 karta.png", "A 19180-2024")</f>
        <v/>
      </c>
      <c r="V231">
        <f>HYPERLINK("https://klasma.github.io/Logging_2121/klagomål/A 19180-2024 FSC-klagomål.docx", "A 19180-2024")</f>
        <v/>
      </c>
      <c r="W231">
        <f>HYPERLINK("https://klasma.github.io/Logging_2121/klagomålsmail/A 19180-2024 FSC-klagomål mail.docx", "A 19180-2024")</f>
        <v/>
      </c>
      <c r="X231">
        <f>HYPERLINK("https://klasma.github.io/Logging_2121/tillsyn/A 19180-2024 tillsynsbegäran.docx", "A 19180-2024")</f>
        <v/>
      </c>
      <c r="Y231">
        <f>HYPERLINK("https://klasma.github.io/Logging_2121/tillsynsmail/A 19180-2024 tillsynsbegäran mail.docx", "A 19180-2024")</f>
        <v/>
      </c>
    </row>
    <row r="232" ht="15" customHeight="1">
      <c r="A232" t="inlineStr">
        <is>
          <t>A 54108-2022</t>
        </is>
      </c>
      <c r="B232" s="1" t="n">
        <v>44881.55616898148</v>
      </c>
      <c r="C232" s="1" t="n">
        <v>45911</v>
      </c>
      <c r="D232" t="inlineStr">
        <is>
          <t>GÄVLEBORGS LÄN</t>
        </is>
      </c>
      <c r="E232" t="inlineStr">
        <is>
          <t>LJUSDAL</t>
        </is>
      </c>
      <c r="F232" t="inlineStr">
        <is>
          <t>Sveaskog</t>
        </is>
      </c>
      <c r="G232" t="n">
        <v>7.9</v>
      </c>
      <c r="H232" t="n">
        <v>0</v>
      </c>
      <c r="I232" t="n">
        <v>1</v>
      </c>
      <c r="J232" t="n">
        <v>1</v>
      </c>
      <c r="K232" t="n">
        <v>0</v>
      </c>
      <c r="L232" t="n">
        <v>0</v>
      </c>
      <c r="M232" t="n">
        <v>0</v>
      </c>
      <c r="N232" t="n">
        <v>0</v>
      </c>
      <c r="O232" t="n">
        <v>1</v>
      </c>
      <c r="P232" t="n">
        <v>0</v>
      </c>
      <c r="Q232" t="n">
        <v>2</v>
      </c>
      <c r="R232" s="2" t="inlineStr">
        <is>
          <t>Kolflarnlav
Dropptaggsvamp</t>
        </is>
      </c>
      <c r="S232">
        <f>HYPERLINK("https://klasma.github.io/Logging_2161/artfynd/A 54108-2022 artfynd.xlsx", "A 54108-2022")</f>
        <v/>
      </c>
      <c r="T232">
        <f>HYPERLINK("https://klasma.github.io/Logging_2161/kartor/A 54108-2022 karta.png", "A 54108-2022")</f>
        <v/>
      </c>
      <c r="V232">
        <f>HYPERLINK("https://klasma.github.io/Logging_2161/klagomål/A 54108-2022 FSC-klagomål.docx", "A 54108-2022")</f>
        <v/>
      </c>
      <c r="W232">
        <f>HYPERLINK("https://klasma.github.io/Logging_2161/klagomålsmail/A 54108-2022 FSC-klagomål mail.docx", "A 54108-2022")</f>
        <v/>
      </c>
      <c r="X232">
        <f>HYPERLINK("https://klasma.github.io/Logging_2161/tillsyn/A 54108-2022 tillsynsbegäran.docx", "A 54108-2022")</f>
        <v/>
      </c>
      <c r="Y232">
        <f>HYPERLINK("https://klasma.github.io/Logging_2161/tillsynsmail/A 54108-2022 tillsynsbegäran mail.docx", "A 54108-2022")</f>
        <v/>
      </c>
    </row>
    <row r="233" ht="15" customHeight="1">
      <c r="A233" t="inlineStr">
        <is>
          <t>A 6473-2024</t>
        </is>
      </c>
      <c r="B233" s="1" t="n">
        <v>45338</v>
      </c>
      <c r="C233" s="1" t="n">
        <v>45911</v>
      </c>
      <c r="D233" t="inlineStr">
        <is>
          <t>GÄVLEBORGS LÄN</t>
        </is>
      </c>
      <c r="E233" t="inlineStr">
        <is>
          <t>GÄVLE</t>
        </is>
      </c>
      <c r="G233" t="n">
        <v>4</v>
      </c>
      <c r="H233" t="n">
        <v>1</v>
      </c>
      <c r="I233" t="n">
        <v>1</v>
      </c>
      <c r="J233" t="n">
        <v>0</v>
      </c>
      <c r="K233" t="n">
        <v>0</v>
      </c>
      <c r="L233" t="n">
        <v>0</v>
      </c>
      <c r="M233" t="n">
        <v>0</v>
      </c>
      <c r="N233" t="n">
        <v>0</v>
      </c>
      <c r="O233" t="n">
        <v>0</v>
      </c>
      <c r="P233" t="n">
        <v>0</v>
      </c>
      <c r="Q233" t="n">
        <v>2</v>
      </c>
      <c r="R233" s="2" t="inlineStr">
        <is>
          <t>Tibast
Nattviol</t>
        </is>
      </c>
      <c r="S233">
        <f>HYPERLINK("https://klasma.github.io/Logging_2180/artfynd/A 6473-2024 artfynd.xlsx", "A 6473-2024")</f>
        <v/>
      </c>
      <c r="T233">
        <f>HYPERLINK("https://klasma.github.io/Logging_2180/kartor/A 6473-2024 karta.png", "A 6473-2024")</f>
        <v/>
      </c>
      <c r="V233">
        <f>HYPERLINK("https://klasma.github.io/Logging_2180/klagomål/A 6473-2024 FSC-klagomål.docx", "A 6473-2024")</f>
        <v/>
      </c>
      <c r="W233">
        <f>HYPERLINK("https://klasma.github.io/Logging_2180/klagomålsmail/A 6473-2024 FSC-klagomål mail.docx", "A 6473-2024")</f>
        <v/>
      </c>
      <c r="X233">
        <f>HYPERLINK("https://klasma.github.io/Logging_2180/tillsyn/A 6473-2024 tillsynsbegäran.docx", "A 6473-2024")</f>
        <v/>
      </c>
      <c r="Y233">
        <f>HYPERLINK("https://klasma.github.io/Logging_2180/tillsynsmail/A 6473-2024 tillsynsbegäran mail.docx", "A 6473-2024")</f>
        <v/>
      </c>
    </row>
    <row r="234" ht="15" customHeight="1">
      <c r="A234" t="inlineStr">
        <is>
          <t>A 33608-2024</t>
        </is>
      </c>
      <c r="B234" s="1" t="n">
        <v>45520.3830787037</v>
      </c>
      <c r="C234" s="1" t="n">
        <v>45911</v>
      </c>
      <c r="D234" t="inlineStr">
        <is>
          <t>GÄVLEBORGS LÄN</t>
        </is>
      </c>
      <c r="E234" t="inlineStr">
        <is>
          <t>HUDIKSVALL</t>
        </is>
      </c>
      <c r="F234" t="inlineStr">
        <is>
          <t>Holmen skog AB</t>
        </is>
      </c>
      <c r="G234" t="n">
        <v>19.7</v>
      </c>
      <c r="H234" t="n">
        <v>1</v>
      </c>
      <c r="I234" t="n">
        <v>0</v>
      </c>
      <c r="J234" t="n">
        <v>1</v>
      </c>
      <c r="K234" t="n">
        <v>1</v>
      </c>
      <c r="L234" t="n">
        <v>0</v>
      </c>
      <c r="M234" t="n">
        <v>0</v>
      </c>
      <c r="N234" t="n">
        <v>0</v>
      </c>
      <c r="O234" t="n">
        <v>2</v>
      </c>
      <c r="P234" t="n">
        <v>1</v>
      </c>
      <c r="Q234" t="n">
        <v>2</v>
      </c>
      <c r="R234" s="2" t="inlineStr">
        <is>
          <t>Knärot
Garnlav</t>
        </is>
      </c>
      <c r="S234">
        <f>HYPERLINK("https://klasma.github.io/Logging_2184/artfynd/A 33608-2024 artfynd.xlsx", "A 33608-2024")</f>
        <v/>
      </c>
      <c r="T234">
        <f>HYPERLINK("https://klasma.github.io/Logging_2184/kartor/A 33608-2024 karta.png", "A 33608-2024")</f>
        <v/>
      </c>
      <c r="U234">
        <f>HYPERLINK("https://klasma.github.io/Logging_2184/knärot/A 33608-2024 karta knärot.png", "A 33608-2024")</f>
        <v/>
      </c>
      <c r="V234">
        <f>HYPERLINK("https://klasma.github.io/Logging_2184/klagomål/A 33608-2024 FSC-klagomål.docx", "A 33608-2024")</f>
        <v/>
      </c>
      <c r="W234">
        <f>HYPERLINK("https://klasma.github.io/Logging_2184/klagomålsmail/A 33608-2024 FSC-klagomål mail.docx", "A 33608-2024")</f>
        <v/>
      </c>
      <c r="X234">
        <f>HYPERLINK("https://klasma.github.io/Logging_2184/tillsyn/A 33608-2024 tillsynsbegäran.docx", "A 33608-2024")</f>
        <v/>
      </c>
      <c r="Y234">
        <f>HYPERLINK("https://klasma.github.io/Logging_2184/tillsynsmail/A 33608-2024 tillsynsbegäran mail.docx", "A 33608-2024")</f>
        <v/>
      </c>
    </row>
    <row r="235" ht="15" customHeight="1">
      <c r="A235" t="inlineStr">
        <is>
          <t>A 4081-2024</t>
        </is>
      </c>
      <c r="B235" s="1" t="n">
        <v>45323</v>
      </c>
      <c r="C235" s="1" t="n">
        <v>45911</v>
      </c>
      <c r="D235" t="inlineStr">
        <is>
          <t>GÄVLEBORGS LÄN</t>
        </is>
      </c>
      <c r="E235" t="inlineStr">
        <is>
          <t>OVANÅKER</t>
        </is>
      </c>
      <c r="G235" t="n">
        <v>3.3</v>
      </c>
      <c r="H235" t="n">
        <v>0</v>
      </c>
      <c r="I235" t="n">
        <v>0</v>
      </c>
      <c r="J235" t="n">
        <v>2</v>
      </c>
      <c r="K235" t="n">
        <v>0</v>
      </c>
      <c r="L235" t="n">
        <v>0</v>
      </c>
      <c r="M235" t="n">
        <v>0</v>
      </c>
      <c r="N235" t="n">
        <v>0</v>
      </c>
      <c r="O235" t="n">
        <v>2</v>
      </c>
      <c r="P235" t="n">
        <v>0</v>
      </c>
      <c r="Q235" t="n">
        <v>2</v>
      </c>
      <c r="R235" s="2" t="inlineStr">
        <is>
          <t>Rosenticka
Ullticka</t>
        </is>
      </c>
      <c r="S235">
        <f>HYPERLINK("https://klasma.github.io/Logging_2121/artfynd/A 4081-2024 artfynd.xlsx", "A 4081-2024")</f>
        <v/>
      </c>
      <c r="T235">
        <f>HYPERLINK("https://klasma.github.io/Logging_2121/kartor/A 4081-2024 karta.png", "A 4081-2024")</f>
        <v/>
      </c>
      <c r="V235">
        <f>HYPERLINK("https://klasma.github.io/Logging_2121/klagomål/A 4081-2024 FSC-klagomål.docx", "A 4081-2024")</f>
        <v/>
      </c>
      <c r="W235">
        <f>HYPERLINK("https://klasma.github.io/Logging_2121/klagomålsmail/A 4081-2024 FSC-klagomål mail.docx", "A 4081-2024")</f>
        <v/>
      </c>
      <c r="X235">
        <f>HYPERLINK("https://klasma.github.io/Logging_2121/tillsyn/A 4081-2024 tillsynsbegäran.docx", "A 4081-2024")</f>
        <v/>
      </c>
      <c r="Y235">
        <f>HYPERLINK("https://klasma.github.io/Logging_2121/tillsynsmail/A 4081-2024 tillsynsbegäran mail.docx", "A 4081-2024")</f>
        <v/>
      </c>
    </row>
    <row r="236" ht="15" customHeight="1">
      <c r="A236" t="inlineStr">
        <is>
          <t>A 23483-2025</t>
        </is>
      </c>
      <c r="B236" s="1" t="n">
        <v>45792.46190972222</v>
      </c>
      <c r="C236" s="1" t="n">
        <v>45911</v>
      </c>
      <c r="D236" t="inlineStr">
        <is>
          <t>GÄVLEBORGS LÄN</t>
        </is>
      </c>
      <c r="E236" t="inlineStr">
        <is>
          <t>LJUSDAL</t>
        </is>
      </c>
      <c r="F236" t="inlineStr">
        <is>
          <t>Sveaskog</t>
        </is>
      </c>
      <c r="G236" t="n">
        <v>3.6</v>
      </c>
      <c r="H236" t="n">
        <v>0</v>
      </c>
      <c r="I236" t="n">
        <v>0</v>
      </c>
      <c r="J236" t="n">
        <v>2</v>
      </c>
      <c r="K236" t="n">
        <v>0</v>
      </c>
      <c r="L236" t="n">
        <v>0</v>
      </c>
      <c r="M236" t="n">
        <v>0</v>
      </c>
      <c r="N236" t="n">
        <v>0</v>
      </c>
      <c r="O236" t="n">
        <v>2</v>
      </c>
      <c r="P236" t="n">
        <v>0</v>
      </c>
      <c r="Q236" t="n">
        <v>2</v>
      </c>
      <c r="R236" s="2" t="inlineStr">
        <is>
          <t>Kolflarnlav
Lunglav</t>
        </is>
      </c>
      <c r="S236">
        <f>HYPERLINK("https://klasma.github.io/Logging_2161/artfynd/A 23483-2025 artfynd.xlsx", "A 23483-2025")</f>
        <v/>
      </c>
      <c r="T236">
        <f>HYPERLINK("https://klasma.github.io/Logging_2161/kartor/A 23483-2025 karta.png", "A 23483-2025")</f>
        <v/>
      </c>
      <c r="V236">
        <f>HYPERLINK("https://klasma.github.io/Logging_2161/klagomål/A 23483-2025 FSC-klagomål.docx", "A 23483-2025")</f>
        <v/>
      </c>
      <c r="W236">
        <f>HYPERLINK("https://klasma.github.io/Logging_2161/klagomålsmail/A 23483-2025 FSC-klagomål mail.docx", "A 23483-2025")</f>
        <v/>
      </c>
      <c r="X236">
        <f>HYPERLINK("https://klasma.github.io/Logging_2161/tillsyn/A 23483-2025 tillsynsbegäran.docx", "A 23483-2025")</f>
        <v/>
      </c>
      <c r="Y236">
        <f>HYPERLINK("https://klasma.github.io/Logging_2161/tillsynsmail/A 23483-2025 tillsynsbegäran mail.docx", "A 23483-2025")</f>
        <v/>
      </c>
    </row>
    <row r="237" ht="15" customHeight="1">
      <c r="A237" t="inlineStr">
        <is>
          <t>A 23399-2024</t>
        </is>
      </c>
      <c r="B237" s="1" t="n">
        <v>45453</v>
      </c>
      <c r="C237" s="1" t="n">
        <v>45911</v>
      </c>
      <c r="D237" t="inlineStr">
        <is>
          <t>GÄVLEBORGS LÄN</t>
        </is>
      </c>
      <c r="E237" t="inlineStr">
        <is>
          <t>LJUSDAL</t>
        </is>
      </c>
      <c r="G237" t="n">
        <v>1.7</v>
      </c>
      <c r="H237" t="n">
        <v>0</v>
      </c>
      <c r="I237" t="n">
        <v>0</v>
      </c>
      <c r="J237" t="n">
        <v>2</v>
      </c>
      <c r="K237" t="n">
        <v>0</v>
      </c>
      <c r="L237" t="n">
        <v>0</v>
      </c>
      <c r="M237" t="n">
        <v>0</v>
      </c>
      <c r="N237" t="n">
        <v>0</v>
      </c>
      <c r="O237" t="n">
        <v>2</v>
      </c>
      <c r="P237" t="n">
        <v>0</v>
      </c>
      <c r="Q237" t="n">
        <v>2</v>
      </c>
      <c r="R237" s="2" t="inlineStr">
        <is>
          <t>Kolflarnlav
Vedflamlav</t>
        </is>
      </c>
      <c r="S237">
        <f>HYPERLINK("https://klasma.github.io/Logging_2161/artfynd/A 23399-2024 artfynd.xlsx", "A 23399-2024")</f>
        <v/>
      </c>
      <c r="T237">
        <f>HYPERLINK("https://klasma.github.io/Logging_2161/kartor/A 23399-2024 karta.png", "A 23399-2024")</f>
        <v/>
      </c>
      <c r="V237">
        <f>HYPERLINK("https://klasma.github.io/Logging_2161/klagomål/A 23399-2024 FSC-klagomål.docx", "A 23399-2024")</f>
        <v/>
      </c>
      <c r="W237">
        <f>HYPERLINK("https://klasma.github.io/Logging_2161/klagomålsmail/A 23399-2024 FSC-klagomål mail.docx", "A 23399-2024")</f>
        <v/>
      </c>
      <c r="X237">
        <f>HYPERLINK("https://klasma.github.io/Logging_2161/tillsyn/A 23399-2024 tillsynsbegäran.docx", "A 23399-2024")</f>
        <v/>
      </c>
      <c r="Y237">
        <f>HYPERLINK("https://klasma.github.io/Logging_2161/tillsynsmail/A 23399-2024 tillsynsbegäran mail.docx", "A 23399-2024")</f>
        <v/>
      </c>
    </row>
    <row r="238" ht="15" customHeight="1">
      <c r="A238" t="inlineStr">
        <is>
          <t>A 19848-2024</t>
        </is>
      </c>
      <c r="B238" s="1" t="n">
        <v>45433.39409722222</v>
      </c>
      <c r="C238" s="1" t="n">
        <v>45911</v>
      </c>
      <c r="D238" t="inlineStr">
        <is>
          <t>GÄVLEBORGS LÄN</t>
        </is>
      </c>
      <c r="E238" t="inlineStr">
        <is>
          <t>LJUSDAL</t>
        </is>
      </c>
      <c r="F238" t="inlineStr">
        <is>
          <t>Sveaskog</t>
        </is>
      </c>
      <c r="G238" t="n">
        <v>3.1</v>
      </c>
      <c r="H238" t="n">
        <v>0</v>
      </c>
      <c r="I238" t="n">
        <v>0</v>
      </c>
      <c r="J238" t="n">
        <v>2</v>
      </c>
      <c r="K238" t="n">
        <v>0</v>
      </c>
      <c r="L238" t="n">
        <v>0</v>
      </c>
      <c r="M238" t="n">
        <v>0</v>
      </c>
      <c r="N238" t="n">
        <v>0</v>
      </c>
      <c r="O238" t="n">
        <v>2</v>
      </c>
      <c r="P238" t="n">
        <v>0</v>
      </c>
      <c r="Q238" t="n">
        <v>2</v>
      </c>
      <c r="R238" s="2" t="inlineStr">
        <is>
          <t>Kolflarnlav
Lunglav</t>
        </is>
      </c>
      <c r="S238">
        <f>HYPERLINK("https://klasma.github.io/Logging_2161/artfynd/A 19848-2024 artfynd.xlsx", "A 19848-2024")</f>
        <v/>
      </c>
      <c r="T238">
        <f>HYPERLINK("https://klasma.github.io/Logging_2161/kartor/A 19848-2024 karta.png", "A 19848-2024")</f>
        <v/>
      </c>
      <c r="V238">
        <f>HYPERLINK("https://klasma.github.io/Logging_2161/klagomål/A 19848-2024 FSC-klagomål.docx", "A 19848-2024")</f>
        <v/>
      </c>
      <c r="W238">
        <f>HYPERLINK("https://klasma.github.io/Logging_2161/klagomålsmail/A 19848-2024 FSC-klagomål mail.docx", "A 19848-2024")</f>
        <v/>
      </c>
      <c r="X238">
        <f>HYPERLINK("https://klasma.github.io/Logging_2161/tillsyn/A 19848-2024 tillsynsbegäran.docx", "A 19848-2024")</f>
        <v/>
      </c>
      <c r="Y238">
        <f>HYPERLINK("https://klasma.github.io/Logging_2161/tillsynsmail/A 19848-2024 tillsynsbegäran mail.docx", "A 19848-2024")</f>
        <v/>
      </c>
    </row>
    <row r="239" ht="15" customHeight="1">
      <c r="A239" t="inlineStr">
        <is>
          <t>A 6288-2025</t>
        </is>
      </c>
      <c r="B239" s="1" t="n">
        <v>45698.64865740741</v>
      </c>
      <c r="C239" s="1" t="n">
        <v>45911</v>
      </c>
      <c r="D239" t="inlineStr">
        <is>
          <t>GÄVLEBORGS LÄN</t>
        </is>
      </c>
      <c r="E239" t="inlineStr">
        <is>
          <t>OVANÅKER</t>
        </is>
      </c>
      <c r="G239" t="n">
        <v>2.6</v>
      </c>
      <c r="H239" t="n">
        <v>0</v>
      </c>
      <c r="I239" t="n">
        <v>1</v>
      </c>
      <c r="J239" t="n">
        <v>1</v>
      </c>
      <c r="K239" t="n">
        <v>0</v>
      </c>
      <c r="L239" t="n">
        <v>0</v>
      </c>
      <c r="M239" t="n">
        <v>0</v>
      </c>
      <c r="N239" t="n">
        <v>0</v>
      </c>
      <c r="O239" t="n">
        <v>1</v>
      </c>
      <c r="P239" t="n">
        <v>0</v>
      </c>
      <c r="Q239" t="n">
        <v>2</v>
      </c>
      <c r="R239" s="2" t="inlineStr">
        <is>
          <t>Stiftgelélav
Skinnlav</t>
        </is>
      </c>
      <c r="S239">
        <f>HYPERLINK("https://klasma.github.io/Logging_2121/artfynd/A 6288-2025 artfynd.xlsx", "A 6288-2025")</f>
        <v/>
      </c>
      <c r="T239">
        <f>HYPERLINK("https://klasma.github.io/Logging_2121/kartor/A 6288-2025 karta.png", "A 6288-2025")</f>
        <v/>
      </c>
      <c r="V239">
        <f>HYPERLINK("https://klasma.github.io/Logging_2121/klagomål/A 6288-2025 FSC-klagomål.docx", "A 6288-2025")</f>
        <v/>
      </c>
      <c r="W239">
        <f>HYPERLINK("https://klasma.github.io/Logging_2121/klagomålsmail/A 6288-2025 FSC-klagomål mail.docx", "A 6288-2025")</f>
        <v/>
      </c>
      <c r="X239">
        <f>HYPERLINK("https://klasma.github.io/Logging_2121/tillsyn/A 6288-2025 tillsynsbegäran.docx", "A 6288-2025")</f>
        <v/>
      </c>
      <c r="Y239">
        <f>HYPERLINK("https://klasma.github.io/Logging_2121/tillsynsmail/A 6288-2025 tillsynsbegäran mail.docx", "A 6288-2025")</f>
        <v/>
      </c>
    </row>
    <row r="240" ht="15" customHeight="1">
      <c r="A240" t="inlineStr">
        <is>
          <t>A 24608-2025</t>
        </is>
      </c>
      <c r="B240" s="1" t="n">
        <v>45798.57803240741</v>
      </c>
      <c r="C240" s="1" t="n">
        <v>45911</v>
      </c>
      <c r="D240" t="inlineStr">
        <is>
          <t>GÄVLEBORGS LÄN</t>
        </is>
      </c>
      <c r="E240" t="inlineStr">
        <is>
          <t>SÖDERHAMN</t>
        </is>
      </c>
      <c r="G240" t="n">
        <v>1</v>
      </c>
      <c r="H240" t="n">
        <v>0</v>
      </c>
      <c r="I240" t="n">
        <v>0</v>
      </c>
      <c r="J240" t="n">
        <v>2</v>
      </c>
      <c r="K240" t="n">
        <v>0</v>
      </c>
      <c r="L240" t="n">
        <v>0</v>
      </c>
      <c r="M240" t="n">
        <v>0</v>
      </c>
      <c r="N240" t="n">
        <v>0</v>
      </c>
      <c r="O240" t="n">
        <v>2</v>
      </c>
      <c r="P240" t="n">
        <v>0</v>
      </c>
      <c r="Q240" t="n">
        <v>2</v>
      </c>
      <c r="R240" s="2" t="inlineStr">
        <is>
          <t>Rosenticka
Ullticka</t>
        </is>
      </c>
      <c r="S240">
        <f>HYPERLINK("https://klasma.github.io/Logging_2182/artfynd/A 24608-2025 artfynd.xlsx", "A 24608-2025")</f>
        <v/>
      </c>
      <c r="T240">
        <f>HYPERLINK("https://klasma.github.io/Logging_2182/kartor/A 24608-2025 karta.png", "A 24608-2025")</f>
        <v/>
      </c>
      <c r="U240">
        <f>HYPERLINK("https://klasma.github.io/Logging_2182/knärot/A 24608-2025 karta knärot.png", "A 24608-2025")</f>
        <v/>
      </c>
      <c r="V240">
        <f>HYPERLINK("https://klasma.github.io/Logging_2182/klagomål/A 24608-2025 FSC-klagomål.docx", "A 24608-2025")</f>
        <v/>
      </c>
      <c r="W240">
        <f>HYPERLINK("https://klasma.github.io/Logging_2182/klagomålsmail/A 24608-2025 FSC-klagomål mail.docx", "A 24608-2025")</f>
        <v/>
      </c>
      <c r="X240">
        <f>HYPERLINK("https://klasma.github.io/Logging_2182/tillsyn/A 24608-2025 tillsynsbegäran.docx", "A 24608-2025")</f>
        <v/>
      </c>
      <c r="Y240">
        <f>HYPERLINK("https://klasma.github.io/Logging_2182/tillsynsmail/A 24608-2025 tillsynsbegäran mail.docx", "A 24608-2025")</f>
        <v/>
      </c>
    </row>
    <row r="241" ht="15" customHeight="1">
      <c r="A241" t="inlineStr">
        <is>
          <t>A 36310-2024</t>
        </is>
      </c>
      <c r="B241" s="1" t="n">
        <v>45534.62892361111</v>
      </c>
      <c r="C241" s="1" t="n">
        <v>45911</v>
      </c>
      <c r="D241" t="inlineStr">
        <is>
          <t>GÄVLEBORGS LÄN</t>
        </is>
      </c>
      <c r="E241" t="inlineStr">
        <is>
          <t>NORDANSTIG</t>
        </is>
      </c>
      <c r="F241" t="inlineStr">
        <is>
          <t>Holmen skog AB</t>
        </is>
      </c>
      <c r="G241" t="n">
        <v>6.5</v>
      </c>
      <c r="H241" t="n">
        <v>1</v>
      </c>
      <c r="I241" t="n">
        <v>1</v>
      </c>
      <c r="J241" t="n">
        <v>0</v>
      </c>
      <c r="K241" t="n">
        <v>0</v>
      </c>
      <c r="L241" t="n">
        <v>0</v>
      </c>
      <c r="M241" t="n">
        <v>0</v>
      </c>
      <c r="N241" t="n">
        <v>0</v>
      </c>
      <c r="O241" t="n">
        <v>0</v>
      </c>
      <c r="P241" t="n">
        <v>0</v>
      </c>
      <c r="Q241" t="n">
        <v>2</v>
      </c>
      <c r="R241" s="2" t="inlineStr">
        <is>
          <t>Nästlav
Revlummer</t>
        </is>
      </c>
      <c r="S241">
        <f>HYPERLINK("https://klasma.github.io/Logging_2132/artfynd/A 36310-2024 artfynd.xlsx", "A 36310-2024")</f>
        <v/>
      </c>
      <c r="T241">
        <f>HYPERLINK("https://klasma.github.io/Logging_2132/kartor/A 36310-2024 karta.png", "A 36310-2024")</f>
        <v/>
      </c>
      <c r="V241">
        <f>HYPERLINK("https://klasma.github.io/Logging_2132/klagomål/A 36310-2024 FSC-klagomål.docx", "A 36310-2024")</f>
        <v/>
      </c>
      <c r="W241">
        <f>HYPERLINK("https://klasma.github.io/Logging_2132/klagomålsmail/A 36310-2024 FSC-klagomål mail.docx", "A 36310-2024")</f>
        <v/>
      </c>
      <c r="X241">
        <f>HYPERLINK("https://klasma.github.io/Logging_2132/tillsyn/A 36310-2024 tillsynsbegäran.docx", "A 36310-2024")</f>
        <v/>
      </c>
      <c r="Y241">
        <f>HYPERLINK("https://klasma.github.io/Logging_2132/tillsynsmail/A 36310-2024 tillsynsbegäran mail.docx", "A 36310-2024")</f>
        <v/>
      </c>
    </row>
    <row r="242" ht="15" customHeight="1">
      <c r="A242" t="inlineStr">
        <is>
          <t>A 24949-2025</t>
        </is>
      </c>
      <c r="B242" s="1" t="n">
        <v>45799.56797453704</v>
      </c>
      <c r="C242" s="1" t="n">
        <v>45911</v>
      </c>
      <c r="D242" t="inlineStr">
        <is>
          <t>GÄVLEBORGS LÄN</t>
        </is>
      </c>
      <c r="E242" t="inlineStr">
        <is>
          <t>LJUSDAL</t>
        </is>
      </c>
      <c r="F242" t="inlineStr">
        <is>
          <t>Sveaskog</t>
        </is>
      </c>
      <c r="G242" t="n">
        <v>3</v>
      </c>
      <c r="H242" t="n">
        <v>0</v>
      </c>
      <c r="I242" t="n">
        <v>0</v>
      </c>
      <c r="J242" t="n">
        <v>2</v>
      </c>
      <c r="K242" t="n">
        <v>0</v>
      </c>
      <c r="L242" t="n">
        <v>0</v>
      </c>
      <c r="M242" t="n">
        <v>0</v>
      </c>
      <c r="N242" t="n">
        <v>0</v>
      </c>
      <c r="O242" t="n">
        <v>2</v>
      </c>
      <c r="P242" t="n">
        <v>0</v>
      </c>
      <c r="Q242" t="n">
        <v>2</v>
      </c>
      <c r="R242" s="2" t="inlineStr">
        <is>
          <t>Kolflarnlav
Vedflamlav</t>
        </is>
      </c>
      <c r="S242">
        <f>HYPERLINK("https://klasma.github.io/Logging_2161/artfynd/A 24949-2025 artfynd.xlsx", "A 24949-2025")</f>
        <v/>
      </c>
      <c r="T242">
        <f>HYPERLINK("https://klasma.github.io/Logging_2161/kartor/A 24949-2025 karta.png", "A 24949-2025")</f>
        <v/>
      </c>
      <c r="V242">
        <f>HYPERLINK("https://klasma.github.io/Logging_2161/klagomål/A 24949-2025 FSC-klagomål.docx", "A 24949-2025")</f>
        <v/>
      </c>
      <c r="W242">
        <f>HYPERLINK("https://klasma.github.io/Logging_2161/klagomålsmail/A 24949-2025 FSC-klagomål mail.docx", "A 24949-2025")</f>
        <v/>
      </c>
      <c r="X242">
        <f>HYPERLINK("https://klasma.github.io/Logging_2161/tillsyn/A 24949-2025 tillsynsbegäran.docx", "A 24949-2025")</f>
        <v/>
      </c>
      <c r="Y242">
        <f>HYPERLINK("https://klasma.github.io/Logging_2161/tillsynsmail/A 24949-2025 tillsynsbegäran mail.docx", "A 24949-2025")</f>
        <v/>
      </c>
    </row>
    <row r="243" ht="15" customHeight="1">
      <c r="A243" t="inlineStr">
        <is>
          <t>A 15365-2023</t>
        </is>
      </c>
      <c r="B243" s="1" t="n">
        <v>45019</v>
      </c>
      <c r="C243" s="1" t="n">
        <v>45911</v>
      </c>
      <c r="D243" t="inlineStr">
        <is>
          <t>GÄVLEBORGS LÄN</t>
        </is>
      </c>
      <c r="E243" t="inlineStr">
        <is>
          <t>GÄVLE</t>
        </is>
      </c>
      <c r="G243" t="n">
        <v>55.2</v>
      </c>
      <c r="H243" t="n">
        <v>2</v>
      </c>
      <c r="I243" t="n">
        <v>0</v>
      </c>
      <c r="J243" t="n">
        <v>0</v>
      </c>
      <c r="K243" t="n">
        <v>1</v>
      </c>
      <c r="L243" t="n">
        <v>0</v>
      </c>
      <c r="M243" t="n">
        <v>0</v>
      </c>
      <c r="N243" t="n">
        <v>0</v>
      </c>
      <c r="O243" t="n">
        <v>1</v>
      </c>
      <c r="P243" t="n">
        <v>1</v>
      </c>
      <c r="Q243" t="n">
        <v>2</v>
      </c>
      <c r="R243" s="2" t="inlineStr">
        <is>
          <t>Knärot
Kopparödla</t>
        </is>
      </c>
      <c r="S243">
        <f>HYPERLINK("https://klasma.github.io/Logging_2180/artfynd/A 15365-2023 artfynd.xlsx", "A 15365-2023")</f>
        <v/>
      </c>
      <c r="T243">
        <f>HYPERLINK("https://klasma.github.io/Logging_2180/kartor/A 15365-2023 karta.png", "A 15365-2023")</f>
        <v/>
      </c>
      <c r="U243">
        <f>HYPERLINK("https://klasma.github.io/Logging_2180/knärot/A 15365-2023 karta knärot.png", "A 15365-2023")</f>
        <v/>
      </c>
      <c r="V243">
        <f>HYPERLINK("https://klasma.github.io/Logging_2180/klagomål/A 15365-2023 FSC-klagomål.docx", "A 15365-2023")</f>
        <v/>
      </c>
      <c r="W243">
        <f>HYPERLINK("https://klasma.github.io/Logging_2180/klagomålsmail/A 15365-2023 FSC-klagomål mail.docx", "A 15365-2023")</f>
        <v/>
      </c>
      <c r="X243">
        <f>HYPERLINK("https://klasma.github.io/Logging_2180/tillsyn/A 15365-2023 tillsynsbegäran.docx", "A 15365-2023")</f>
        <v/>
      </c>
      <c r="Y243">
        <f>HYPERLINK("https://klasma.github.io/Logging_2180/tillsynsmail/A 15365-2023 tillsynsbegäran mail.docx", "A 15365-2023")</f>
        <v/>
      </c>
    </row>
    <row r="244" ht="15" customHeight="1">
      <c r="A244" t="inlineStr">
        <is>
          <t>A 35350-2024</t>
        </is>
      </c>
      <c r="B244" s="1" t="n">
        <v>45531</v>
      </c>
      <c r="C244" s="1" t="n">
        <v>45911</v>
      </c>
      <c r="D244" t="inlineStr">
        <is>
          <t>GÄVLEBORGS LÄN</t>
        </is>
      </c>
      <c r="E244" t="inlineStr">
        <is>
          <t>OVANÅKER</t>
        </is>
      </c>
      <c r="F244" t="inlineStr">
        <is>
          <t>Sveaskog</t>
        </is>
      </c>
      <c r="G244" t="n">
        <v>3.3</v>
      </c>
      <c r="H244" t="n">
        <v>0</v>
      </c>
      <c r="I244" t="n">
        <v>0</v>
      </c>
      <c r="J244" t="n">
        <v>2</v>
      </c>
      <c r="K244" t="n">
        <v>0</v>
      </c>
      <c r="L244" t="n">
        <v>0</v>
      </c>
      <c r="M244" t="n">
        <v>0</v>
      </c>
      <c r="N244" t="n">
        <v>0</v>
      </c>
      <c r="O244" t="n">
        <v>2</v>
      </c>
      <c r="P244" t="n">
        <v>0</v>
      </c>
      <c r="Q244" t="n">
        <v>2</v>
      </c>
      <c r="R244" s="2" t="inlineStr">
        <is>
          <t>Lunglav
Skrovellav</t>
        </is>
      </c>
      <c r="S244">
        <f>HYPERLINK("https://klasma.github.io/Logging_2121/artfynd/A 35350-2024 artfynd.xlsx", "A 35350-2024")</f>
        <v/>
      </c>
      <c r="T244">
        <f>HYPERLINK("https://klasma.github.io/Logging_2121/kartor/A 35350-2024 karta.png", "A 35350-2024")</f>
        <v/>
      </c>
      <c r="V244">
        <f>HYPERLINK("https://klasma.github.io/Logging_2121/klagomål/A 35350-2024 FSC-klagomål.docx", "A 35350-2024")</f>
        <v/>
      </c>
      <c r="W244">
        <f>HYPERLINK("https://klasma.github.io/Logging_2121/klagomålsmail/A 35350-2024 FSC-klagomål mail.docx", "A 35350-2024")</f>
        <v/>
      </c>
      <c r="X244">
        <f>HYPERLINK("https://klasma.github.io/Logging_2121/tillsyn/A 35350-2024 tillsynsbegäran.docx", "A 35350-2024")</f>
        <v/>
      </c>
      <c r="Y244">
        <f>HYPERLINK("https://klasma.github.io/Logging_2121/tillsynsmail/A 35350-2024 tillsynsbegäran mail.docx", "A 35350-2024")</f>
        <v/>
      </c>
    </row>
    <row r="245" ht="15" customHeight="1">
      <c r="A245" t="inlineStr">
        <is>
          <t>A 18546-2024</t>
        </is>
      </c>
      <c r="B245" s="1" t="n">
        <v>45425.6449537037</v>
      </c>
      <c r="C245" s="1" t="n">
        <v>45911</v>
      </c>
      <c r="D245" t="inlineStr">
        <is>
          <t>GÄVLEBORGS LÄN</t>
        </is>
      </c>
      <c r="E245" t="inlineStr">
        <is>
          <t>SÖDERHAMN</t>
        </is>
      </c>
      <c r="F245" t="inlineStr">
        <is>
          <t>Bergvik skog väst AB</t>
        </is>
      </c>
      <c r="G245" t="n">
        <v>1.7</v>
      </c>
      <c r="H245" t="n">
        <v>2</v>
      </c>
      <c r="I245" t="n">
        <v>1</v>
      </c>
      <c r="J245" t="n">
        <v>1</v>
      </c>
      <c r="K245" t="n">
        <v>0</v>
      </c>
      <c r="L245" t="n">
        <v>0</v>
      </c>
      <c r="M245" t="n">
        <v>0</v>
      </c>
      <c r="N245" t="n">
        <v>0</v>
      </c>
      <c r="O245" t="n">
        <v>1</v>
      </c>
      <c r="P245" t="n">
        <v>0</v>
      </c>
      <c r="Q245" t="n">
        <v>2</v>
      </c>
      <c r="R245" s="2" t="inlineStr">
        <is>
          <t>Spillkråka
Grön sköldmossa</t>
        </is>
      </c>
      <c r="S245">
        <f>HYPERLINK("https://klasma.github.io/Logging_2182/artfynd/A 18546-2024 artfynd.xlsx", "A 18546-2024")</f>
        <v/>
      </c>
      <c r="T245">
        <f>HYPERLINK("https://klasma.github.io/Logging_2182/kartor/A 18546-2024 karta.png", "A 18546-2024")</f>
        <v/>
      </c>
      <c r="V245">
        <f>HYPERLINK("https://klasma.github.io/Logging_2182/klagomål/A 18546-2024 FSC-klagomål.docx", "A 18546-2024")</f>
        <v/>
      </c>
      <c r="W245">
        <f>HYPERLINK("https://klasma.github.io/Logging_2182/klagomålsmail/A 18546-2024 FSC-klagomål mail.docx", "A 18546-2024")</f>
        <v/>
      </c>
      <c r="X245">
        <f>HYPERLINK("https://klasma.github.io/Logging_2182/tillsyn/A 18546-2024 tillsynsbegäran.docx", "A 18546-2024")</f>
        <v/>
      </c>
      <c r="Y245">
        <f>HYPERLINK("https://klasma.github.io/Logging_2182/tillsynsmail/A 18546-2024 tillsynsbegäran mail.docx", "A 18546-2024")</f>
        <v/>
      </c>
      <c r="Z245">
        <f>HYPERLINK("https://klasma.github.io/Logging_2182/fåglar/A 18546-2024 prioriterade fågelarter.docx", "A 18546-2024")</f>
        <v/>
      </c>
    </row>
    <row r="246" ht="15" customHeight="1">
      <c r="A246" t="inlineStr">
        <is>
          <t>A 34997-2024</t>
        </is>
      </c>
      <c r="B246" s="1" t="n">
        <v>45527.56431712963</v>
      </c>
      <c r="C246" s="1" t="n">
        <v>45911</v>
      </c>
      <c r="D246" t="inlineStr">
        <is>
          <t>GÄVLEBORGS LÄN</t>
        </is>
      </c>
      <c r="E246" t="inlineStr">
        <is>
          <t>LJUSDAL</t>
        </is>
      </c>
      <c r="F246" t="inlineStr">
        <is>
          <t>Sveaskog</t>
        </is>
      </c>
      <c r="G246" t="n">
        <v>5.3</v>
      </c>
      <c r="H246" t="n">
        <v>0</v>
      </c>
      <c r="I246" t="n">
        <v>0</v>
      </c>
      <c r="J246" t="n">
        <v>2</v>
      </c>
      <c r="K246" t="n">
        <v>0</v>
      </c>
      <c r="L246" t="n">
        <v>0</v>
      </c>
      <c r="M246" t="n">
        <v>0</v>
      </c>
      <c r="N246" t="n">
        <v>0</v>
      </c>
      <c r="O246" t="n">
        <v>2</v>
      </c>
      <c r="P246" t="n">
        <v>0</v>
      </c>
      <c r="Q246" t="n">
        <v>2</v>
      </c>
      <c r="R246" s="2" t="inlineStr">
        <is>
          <t>Kolflarnlav
Lunglav</t>
        </is>
      </c>
      <c r="S246">
        <f>HYPERLINK("https://klasma.github.io/Logging_2161/artfynd/A 34997-2024 artfynd.xlsx", "A 34997-2024")</f>
        <v/>
      </c>
      <c r="T246">
        <f>HYPERLINK("https://klasma.github.io/Logging_2161/kartor/A 34997-2024 karta.png", "A 34997-2024")</f>
        <v/>
      </c>
      <c r="V246">
        <f>HYPERLINK("https://klasma.github.io/Logging_2161/klagomål/A 34997-2024 FSC-klagomål.docx", "A 34997-2024")</f>
        <v/>
      </c>
      <c r="W246">
        <f>HYPERLINK("https://klasma.github.io/Logging_2161/klagomålsmail/A 34997-2024 FSC-klagomål mail.docx", "A 34997-2024")</f>
        <v/>
      </c>
      <c r="X246">
        <f>HYPERLINK("https://klasma.github.io/Logging_2161/tillsyn/A 34997-2024 tillsynsbegäran.docx", "A 34997-2024")</f>
        <v/>
      </c>
      <c r="Y246">
        <f>HYPERLINK("https://klasma.github.io/Logging_2161/tillsynsmail/A 34997-2024 tillsynsbegäran mail.docx", "A 34997-2024")</f>
        <v/>
      </c>
    </row>
    <row r="247" ht="15" customHeight="1">
      <c r="A247" t="inlineStr">
        <is>
          <t>A 18986-2024</t>
        </is>
      </c>
      <c r="B247" s="1" t="n">
        <v>45427</v>
      </c>
      <c r="C247" s="1" t="n">
        <v>45911</v>
      </c>
      <c r="D247" t="inlineStr">
        <is>
          <t>GÄVLEBORGS LÄN</t>
        </is>
      </c>
      <c r="E247" t="inlineStr">
        <is>
          <t>LJUSDAL</t>
        </is>
      </c>
      <c r="F247" t="inlineStr">
        <is>
          <t>Sveaskog</t>
        </is>
      </c>
      <c r="G247" t="n">
        <v>5.7</v>
      </c>
      <c r="H247" t="n">
        <v>0</v>
      </c>
      <c r="I247" t="n">
        <v>0</v>
      </c>
      <c r="J247" t="n">
        <v>2</v>
      </c>
      <c r="K247" t="n">
        <v>0</v>
      </c>
      <c r="L247" t="n">
        <v>0</v>
      </c>
      <c r="M247" t="n">
        <v>0</v>
      </c>
      <c r="N247" t="n">
        <v>0</v>
      </c>
      <c r="O247" t="n">
        <v>2</v>
      </c>
      <c r="P247" t="n">
        <v>0</v>
      </c>
      <c r="Q247" t="n">
        <v>2</v>
      </c>
      <c r="R247" s="2" t="inlineStr">
        <is>
          <t>Kolflarnlav
Mörk kolflarnlav</t>
        </is>
      </c>
      <c r="S247">
        <f>HYPERLINK("https://klasma.github.io/Logging_2161/artfynd/A 18986-2024 artfynd.xlsx", "A 18986-2024")</f>
        <v/>
      </c>
      <c r="T247">
        <f>HYPERLINK("https://klasma.github.io/Logging_2161/kartor/A 18986-2024 karta.png", "A 18986-2024")</f>
        <v/>
      </c>
      <c r="V247">
        <f>HYPERLINK("https://klasma.github.io/Logging_2161/klagomål/A 18986-2024 FSC-klagomål.docx", "A 18986-2024")</f>
        <v/>
      </c>
      <c r="W247">
        <f>HYPERLINK("https://klasma.github.io/Logging_2161/klagomålsmail/A 18986-2024 FSC-klagomål mail.docx", "A 18986-2024")</f>
        <v/>
      </c>
      <c r="X247">
        <f>HYPERLINK("https://klasma.github.io/Logging_2161/tillsyn/A 18986-2024 tillsynsbegäran.docx", "A 18986-2024")</f>
        <v/>
      </c>
      <c r="Y247">
        <f>HYPERLINK("https://klasma.github.io/Logging_2161/tillsynsmail/A 18986-2024 tillsynsbegäran mail.docx", "A 18986-2024")</f>
        <v/>
      </c>
    </row>
    <row r="248" ht="15" customHeight="1">
      <c r="A248" t="inlineStr">
        <is>
          <t>A 13026-2022</t>
        </is>
      </c>
      <c r="B248" s="1" t="n">
        <v>44643</v>
      </c>
      <c r="C248" s="1" t="n">
        <v>45911</v>
      </c>
      <c r="D248" t="inlineStr">
        <is>
          <t>GÄVLEBORGS LÄN</t>
        </is>
      </c>
      <c r="E248" t="inlineStr">
        <is>
          <t>NORDANSTIG</t>
        </is>
      </c>
      <c r="G248" t="n">
        <v>17.3</v>
      </c>
      <c r="H248" t="n">
        <v>1</v>
      </c>
      <c r="I248" t="n">
        <v>0</v>
      </c>
      <c r="J248" t="n">
        <v>2</v>
      </c>
      <c r="K248" t="n">
        <v>0</v>
      </c>
      <c r="L248" t="n">
        <v>0</v>
      </c>
      <c r="M248" t="n">
        <v>0</v>
      </c>
      <c r="N248" t="n">
        <v>0</v>
      </c>
      <c r="O248" t="n">
        <v>2</v>
      </c>
      <c r="P248" t="n">
        <v>0</v>
      </c>
      <c r="Q248" t="n">
        <v>2</v>
      </c>
      <c r="R248" s="2" t="inlineStr">
        <is>
          <t>Garnlav
Talltita</t>
        </is>
      </c>
      <c r="S248">
        <f>HYPERLINK("https://klasma.github.io/Logging_2132/artfynd/A 13026-2022 artfynd.xlsx", "A 13026-2022")</f>
        <v/>
      </c>
      <c r="T248">
        <f>HYPERLINK("https://klasma.github.io/Logging_2132/kartor/A 13026-2022 karta.png", "A 13026-2022")</f>
        <v/>
      </c>
      <c r="V248">
        <f>HYPERLINK("https://klasma.github.io/Logging_2132/klagomål/A 13026-2022 FSC-klagomål.docx", "A 13026-2022")</f>
        <v/>
      </c>
      <c r="W248">
        <f>HYPERLINK("https://klasma.github.io/Logging_2132/klagomålsmail/A 13026-2022 FSC-klagomål mail.docx", "A 13026-2022")</f>
        <v/>
      </c>
      <c r="X248">
        <f>HYPERLINK("https://klasma.github.io/Logging_2132/tillsyn/A 13026-2022 tillsynsbegäran.docx", "A 13026-2022")</f>
        <v/>
      </c>
      <c r="Y248">
        <f>HYPERLINK("https://klasma.github.io/Logging_2132/tillsynsmail/A 13026-2022 tillsynsbegäran mail.docx", "A 13026-2022")</f>
        <v/>
      </c>
      <c r="Z248">
        <f>HYPERLINK("https://klasma.github.io/Logging_2132/fåglar/A 13026-2022 prioriterade fågelarter.docx", "A 13026-2022")</f>
        <v/>
      </c>
    </row>
    <row r="249" ht="15" customHeight="1">
      <c r="A249" t="inlineStr">
        <is>
          <t>A 31053-2024</t>
        </is>
      </c>
      <c r="B249" s="1" t="n">
        <v>45502.36028935185</v>
      </c>
      <c r="C249" s="1" t="n">
        <v>45911</v>
      </c>
      <c r="D249" t="inlineStr">
        <is>
          <t>GÄVLEBORGS LÄN</t>
        </is>
      </c>
      <c r="E249" t="inlineStr">
        <is>
          <t>NORDANSTIG</t>
        </is>
      </c>
      <c r="F249" t="inlineStr">
        <is>
          <t>Holmen skog AB</t>
        </is>
      </c>
      <c r="G249" t="n">
        <v>5.5</v>
      </c>
      <c r="H249" t="n">
        <v>1</v>
      </c>
      <c r="I249" t="n">
        <v>1</v>
      </c>
      <c r="J249" t="n">
        <v>0</v>
      </c>
      <c r="K249" t="n">
        <v>0</v>
      </c>
      <c r="L249" t="n">
        <v>0</v>
      </c>
      <c r="M249" t="n">
        <v>0</v>
      </c>
      <c r="N249" t="n">
        <v>0</v>
      </c>
      <c r="O249" t="n">
        <v>0</v>
      </c>
      <c r="P249" t="n">
        <v>0</v>
      </c>
      <c r="Q249" t="n">
        <v>2</v>
      </c>
      <c r="R249" s="2" t="inlineStr">
        <is>
          <t>Smal svampklubba
Fläcknycklar</t>
        </is>
      </c>
      <c r="S249">
        <f>HYPERLINK("https://klasma.github.io/Logging_2132/artfynd/A 31053-2024 artfynd.xlsx", "A 31053-2024")</f>
        <v/>
      </c>
      <c r="T249">
        <f>HYPERLINK("https://klasma.github.io/Logging_2132/kartor/A 31053-2024 karta.png", "A 31053-2024")</f>
        <v/>
      </c>
      <c r="V249">
        <f>HYPERLINK("https://klasma.github.io/Logging_2132/klagomål/A 31053-2024 FSC-klagomål.docx", "A 31053-2024")</f>
        <v/>
      </c>
      <c r="W249">
        <f>HYPERLINK("https://klasma.github.io/Logging_2132/klagomålsmail/A 31053-2024 FSC-klagomål mail.docx", "A 31053-2024")</f>
        <v/>
      </c>
      <c r="X249">
        <f>HYPERLINK("https://klasma.github.io/Logging_2132/tillsyn/A 31053-2024 tillsynsbegäran.docx", "A 31053-2024")</f>
        <v/>
      </c>
      <c r="Y249">
        <f>HYPERLINK("https://klasma.github.io/Logging_2132/tillsynsmail/A 31053-2024 tillsynsbegäran mail.docx", "A 31053-2024")</f>
        <v/>
      </c>
    </row>
    <row r="250" ht="15" customHeight="1">
      <c r="A250" t="inlineStr">
        <is>
          <t>A 26817-2025</t>
        </is>
      </c>
      <c r="B250" s="1" t="n">
        <v>45810.63600694444</v>
      </c>
      <c r="C250" s="1" t="n">
        <v>45911</v>
      </c>
      <c r="D250" t="inlineStr">
        <is>
          <t>GÄVLEBORGS LÄN</t>
        </is>
      </c>
      <c r="E250" t="inlineStr">
        <is>
          <t>LJUSDAL</t>
        </is>
      </c>
      <c r="F250" t="inlineStr">
        <is>
          <t>SCA</t>
        </is>
      </c>
      <c r="G250" t="n">
        <v>4.4</v>
      </c>
      <c r="H250" t="n">
        <v>2</v>
      </c>
      <c r="I250" t="n">
        <v>1</v>
      </c>
      <c r="J250" t="n">
        <v>0</v>
      </c>
      <c r="K250" t="n">
        <v>0</v>
      </c>
      <c r="L250" t="n">
        <v>0</v>
      </c>
      <c r="M250" t="n">
        <v>0</v>
      </c>
      <c r="N250" t="n">
        <v>0</v>
      </c>
      <c r="O250" t="n">
        <v>0</v>
      </c>
      <c r="P250" t="n">
        <v>0</v>
      </c>
      <c r="Q250" t="n">
        <v>2</v>
      </c>
      <c r="R250" s="2" t="inlineStr">
        <is>
          <t>Plattlummer
Nattviol</t>
        </is>
      </c>
      <c r="S250">
        <f>HYPERLINK("https://klasma.github.io/Logging_2161/artfynd/A 26817-2025 artfynd.xlsx", "A 26817-2025")</f>
        <v/>
      </c>
      <c r="T250">
        <f>HYPERLINK("https://klasma.github.io/Logging_2161/kartor/A 26817-2025 karta.png", "A 26817-2025")</f>
        <v/>
      </c>
      <c r="V250">
        <f>HYPERLINK("https://klasma.github.io/Logging_2161/klagomål/A 26817-2025 FSC-klagomål.docx", "A 26817-2025")</f>
        <v/>
      </c>
      <c r="W250">
        <f>HYPERLINK("https://klasma.github.io/Logging_2161/klagomålsmail/A 26817-2025 FSC-klagomål mail.docx", "A 26817-2025")</f>
        <v/>
      </c>
      <c r="X250">
        <f>HYPERLINK("https://klasma.github.io/Logging_2161/tillsyn/A 26817-2025 tillsynsbegäran.docx", "A 26817-2025")</f>
        <v/>
      </c>
      <c r="Y250">
        <f>HYPERLINK("https://klasma.github.io/Logging_2161/tillsynsmail/A 26817-2025 tillsynsbegäran mail.docx", "A 26817-2025")</f>
        <v/>
      </c>
    </row>
    <row r="251" ht="15" customHeight="1">
      <c r="A251" t="inlineStr">
        <is>
          <t>A 26415-2025</t>
        </is>
      </c>
      <c r="B251" s="1" t="n">
        <v>45807.361875</v>
      </c>
      <c r="C251" s="1" t="n">
        <v>45911</v>
      </c>
      <c r="D251" t="inlineStr">
        <is>
          <t>GÄVLEBORGS LÄN</t>
        </is>
      </c>
      <c r="E251" t="inlineStr">
        <is>
          <t>LJUSDAL</t>
        </is>
      </c>
      <c r="F251" t="inlineStr">
        <is>
          <t>Naturvårdsverket</t>
        </is>
      </c>
      <c r="G251" t="n">
        <v>16.2</v>
      </c>
      <c r="H251" t="n">
        <v>2</v>
      </c>
      <c r="I251" t="n">
        <v>0</v>
      </c>
      <c r="J251" t="n">
        <v>1</v>
      </c>
      <c r="K251" t="n">
        <v>0</v>
      </c>
      <c r="L251" t="n">
        <v>0</v>
      </c>
      <c r="M251" t="n">
        <v>0</v>
      </c>
      <c r="N251" t="n">
        <v>0</v>
      </c>
      <c r="O251" t="n">
        <v>1</v>
      </c>
      <c r="P251" t="n">
        <v>0</v>
      </c>
      <c r="Q251" t="n">
        <v>2</v>
      </c>
      <c r="R251" s="2" t="inlineStr">
        <is>
          <t>Spillkråka
Revlummer</t>
        </is>
      </c>
      <c r="S251">
        <f>HYPERLINK("https://klasma.github.io/Logging_2161/artfynd/A 26415-2025 artfynd.xlsx", "A 26415-2025")</f>
        <v/>
      </c>
      <c r="T251">
        <f>HYPERLINK("https://klasma.github.io/Logging_2161/kartor/A 26415-2025 karta.png", "A 26415-2025")</f>
        <v/>
      </c>
      <c r="V251">
        <f>HYPERLINK("https://klasma.github.io/Logging_2161/klagomål/A 26415-2025 FSC-klagomål.docx", "A 26415-2025")</f>
        <v/>
      </c>
      <c r="W251">
        <f>HYPERLINK("https://klasma.github.io/Logging_2161/klagomålsmail/A 26415-2025 FSC-klagomål mail.docx", "A 26415-2025")</f>
        <v/>
      </c>
      <c r="X251">
        <f>HYPERLINK("https://klasma.github.io/Logging_2161/tillsyn/A 26415-2025 tillsynsbegäran.docx", "A 26415-2025")</f>
        <v/>
      </c>
      <c r="Y251">
        <f>HYPERLINK("https://klasma.github.io/Logging_2161/tillsynsmail/A 26415-2025 tillsynsbegäran mail.docx", "A 26415-2025")</f>
        <v/>
      </c>
      <c r="Z251">
        <f>HYPERLINK("https://klasma.github.io/Logging_2161/fåglar/A 26415-2025 prioriterade fågelarter.docx", "A 26415-2025")</f>
        <v/>
      </c>
    </row>
    <row r="252" ht="15" customHeight="1">
      <c r="A252" t="inlineStr">
        <is>
          <t>A 10623-2025</t>
        </is>
      </c>
      <c r="B252" s="1" t="n">
        <v>45721</v>
      </c>
      <c r="C252" s="1" t="n">
        <v>45911</v>
      </c>
      <c r="D252" t="inlineStr">
        <is>
          <t>GÄVLEBORGS LÄN</t>
        </is>
      </c>
      <c r="E252" t="inlineStr">
        <is>
          <t>SANDVIKEN</t>
        </is>
      </c>
      <c r="F252" t="inlineStr">
        <is>
          <t>Bergvik skog öst AB</t>
        </is>
      </c>
      <c r="G252" t="n">
        <v>4.6</v>
      </c>
      <c r="H252" t="n">
        <v>2</v>
      </c>
      <c r="I252" t="n">
        <v>0</v>
      </c>
      <c r="J252" t="n">
        <v>0</v>
      </c>
      <c r="K252" t="n">
        <v>1</v>
      </c>
      <c r="L252" t="n">
        <v>0</v>
      </c>
      <c r="M252" t="n">
        <v>0</v>
      </c>
      <c r="N252" t="n">
        <v>0</v>
      </c>
      <c r="O252" t="n">
        <v>1</v>
      </c>
      <c r="P252" t="n">
        <v>1</v>
      </c>
      <c r="Q252" t="n">
        <v>2</v>
      </c>
      <c r="R252" s="2" t="inlineStr">
        <is>
          <t>Knärot
Revlummer</t>
        </is>
      </c>
      <c r="S252">
        <f>HYPERLINK("https://klasma.github.io/Logging_2181/artfynd/A 10623-2025 artfynd.xlsx", "A 10623-2025")</f>
        <v/>
      </c>
      <c r="T252">
        <f>HYPERLINK("https://klasma.github.io/Logging_2181/kartor/A 10623-2025 karta.png", "A 10623-2025")</f>
        <v/>
      </c>
      <c r="U252">
        <f>HYPERLINK("https://klasma.github.io/Logging_2181/knärot/A 10623-2025 karta knärot.png", "A 10623-2025")</f>
        <v/>
      </c>
      <c r="V252">
        <f>HYPERLINK("https://klasma.github.io/Logging_2181/klagomål/A 10623-2025 FSC-klagomål.docx", "A 10623-2025")</f>
        <v/>
      </c>
      <c r="W252">
        <f>HYPERLINK("https://klasma.github.io/Logging_2181/klagomålsmail/A 10623-2025 FSC-klagomål mail.docx", "A 10623-2025")</f>
        <v/>
      </c>
      <c r="X252">
        <f>HYPERLINK("https://klasma.github.io/Logging_2181/tillsyn/A 10623-2025 tillsynsbegäran.docx", "A 10623-2025")</f>
        <v/>
      </c>
      <c r="Y252">
        <f>HYPERLINK("https://klasma.github.io/Logging_2181/tillsynsmail/A 10623-2025 tillsynsbegäran mail.docx", "A 10623-2025")</f>
        <v/>
      </c>
    </row>
    <row r="253" ht="15" customHeight="1">
      <c r="A253" t="inlineStr">
        <is>
          <t>A 49956-2024</t>
        </is>
      </c>
      <c r="B253" s="1" t="n">
        <v>45597.61802083333</v>
      </c>
      <c r="C253" s="1" t="n">
        <v>45911</v>
      </c>
      <c r="D253" t="inlineStr">
        <is>
          <t>GÄVLEBORGS LÄN</t>
        </is>
      </c>
      <c r="E253" t="inlineStr">
        <is>
          <t>LJUSDAL</t>
        </is>
      </c>
      <c r="G253" t="n">
        <v>1.3</v>
      </c>
      <c r="H253" t="n">
        <v>1</v>
      </c>
      <c r="I253" t="n">
        <v>0</v>
      </c>
      <c r="J253" t="n">
        <v>1</v>
      </c>
      <c r="K253" t="n">
        <v>0</v>
      </c>
      <c r="L253" t="n">
        <v>0</v>
      </c>
      <c r="M253" t="n">
        <v>0</v>
      </c>
      <c r="N253" t="n">
        <v>0</v>
      </c>
      <c r="O253" t="n">
        <v>1</v>
      </c>
      <c r="P253" t="n">
        <v>0</v>
      </c>
      <c r="Q253" t="n">
        <v>2</v>
      </c>
      <c r="R253" s="2" t="inlineStr">
        <is>
          <t>Garnlav
Kungsfågel</t>
        </is>
      </c>
      <c r="S253">
        <f>HYPERLINK("https://klasma.github.io/Logging_2161/artfynd/A 49956-2024 artfynd.xlsx", "A 49956-2024")</f>
        <v/>
      </c>
      <c r="T253">
        <f>HYPERLINK("https://klasma.github.io/Logging_2161/kartor/A 49956-2024 karta.png", "A 49956-2024")</f>
        <v/>
      </c>
      <c r="V253">
        <f>HYPERLINK("https://klasma.github.io/Logging_2161/klagomål/A 49956-2024 FSC-klagomål.docx", "A 49956-2024")</f>
        <v/>
      </c>
      <c r="W253">
        <f>HYPERLINK("https://klasma.github.io/Logging_2161/klagomålsmail/A 49956-2024 FSC-klagomål mail.docx", "A 49956-2024")</f>
        <v/>
      </c>
      <c r="X253">
        <f>HYPERLINK("https://klasma.github.io/Logging_2161/tillsyn/A 49956-2024 tillsynsbegäran.docx", "A 49956-2024")</f>
        <v/>
      </c>
      <c r="Y253">
        <f>HYPERLINK("https://klasma.github.io/Logging_2161/tillsynsmail/A 49956-2024 tillsynsbegäran mail.docx", "A 49956-2024")</f>
        <v/>
      </c>
      <c r="Z253">
        <f>HYPERLINK("https://klasma.github.io/Logging_2161/fåglar/A 49956-2024 prioriterade fågelarter.docx", "A 49956-2024")</f>
        <v/>
      </c>
    </row>
    <row r="254" ht="15" customHeight="1">
      <c r="A254" t="inlineStr">
        <is>
          <t>A 42056-2023</t>
        </is>
      </c>
      <c r="B254" s="1" t="n">
        <v>45177</v>
      </c>
      <c r="C254" s="1" t="n">
        <v>45911</v>
      </c>
      <c r="D254" t="inlineStr">
        <is>
          <t>GÄVLEBORGS LÄN</t>
        </is>
      </c>
      <c r="E254" t="inlineStr">
        <is>
          <t>OVANÅKER</t>
        </is>
      </c>
      <c r="G254" t="n">
        <v>14.7</v>
      </c>
      <c r="H254" t="n">
        <v>0</v>
      </c>
      <c r="I254" t="n">
        <v>1</v>
      </c>
      <c r="J254" t="n">
        <v>1</v>
      </c>
      <c r="K254" t="n">
        <v>0</v>
      </c>
      <c r="L254" t="n">
        <v>0</v>
      </c>
      <c r="M254" t="n">
        <v>0</v>
      </c>
      <c r="N254" t="n">
        <v>0</v>
      </c>
      <c r="O254" t="n">
        <v>1</v>
      </c>
      <c r="P254" t="n">
        <v>0</v>
      </c>
      <c r="Q254" t="n">
        <v>2</v>
      </c>
      <c r="R254" s="2" t="inlineStr">
        <is>
          <t>Lunglav
Korallblylav</t>
        </is>
      </c>
      <c r="S254">
        <f>HYPERLINK("https://klasma.github.io/Logging_2121/artfynd/A 42056-2023 artfynd.xlsx", "A 42056-2023")</f>
        <v/>
      </c>
      <c r="T254">
        <f>HYPERLINK("https://klasma.github.io/Logging_2121/kartor/A 42056-2023 karta.png", "A 42056-2023")</f>
        <v/>
      </c>
      <c r="V254">
        <f>HYPERLINK("https://klasma.github.io/Logging_2121/klagomål/A 42056-2023 FSC-klagomål.docx", "A 42056-2023")</f>
        <v/>
      </c>
      <c r="W254">
        <f>HYPERLINK("https://klasma.github.io/Logging_2121/klagomålsmail/A 42056-2023 FSC-klagomål mail.docx", "A 42056-2023")</f>
        <v/>
      </c>
      <c r="X254">
        <f>HYPERLINK("https://klasma.github.io/Logging_2121/tillsyn/A 42056-2023 tillsynsbegäran.docx", "A 42056-2023")</f>
        <v/>
      </c>
      <c r="Y254">
        <f>HYPERLINK("https://klasma.github.io/Logging_2121/tillsynsmail/A 42056-2023 tillsynsbegäran mail.docx", "A 42056-2023")</f>
        <v/>
      </c>
    </row>
    <row r="255" ht="15" customHeight="1">
      <c r="A255" t="inlineStr">
        <is>
          <t>A 27122-2025</t>
        </is>
      </c>
      <c r="B255" s="1" t="n">
        <v>45811.77063657407</v>
      </c>
      <c r="C255" s="1" t="n">
        <v>45911</v>
      </c>
      <c r="D255" t="inlineStr">
        <is>
          <t>GÄVLEBORGS LÄN</t>
        </is>
      </c>
      <c r="E255" t="inlineStr">
        <is>
          <t>LJUSDAL</t>
        </is>
      </c>
      <c r="F255" t="inlineStr">
        <is>
          <t>Sveaskog</t>
        </is>
      </c>
      <c r="G255" t="n">
        <v>1.9</v>
      </c>
      <c r="H255" t="n">
        <v>0</v>
      </c>
      <c r="I255" t="n">
        <v>0</v>
      </c>
      <c r="J255" t="n">
        <v>2</v>
      </c>
      <c r="K255" t="n">
        <v>0</v>
      </c>
      <c r="L255" t="n">
        <v>0</v>
      </c>
      <c r="M255" t="n">
        <v>0</v>
      </c>
      <c r="N255" t="n">
        <v>0</v>
      </c>
      <c r="O255" t="n">
        <v>2</v>
      </c>
      <c r="P255" t="n">
        <v>0</v>
      </c>
      <c r="Q255" t="n">
        <v>2</v>
      </c>
      <c r="R255" s="2" t="inlineStr">
        <is>
          <t>Lunglav
Skrovellav</t>
        </is>
      </c>
      <c r="S255">
        <f>HYPERLINK("https://klasma.github.io/Logging_2161/artfynd/A 27122-2025 artfynd.xlsx", "A 27122-2025")</f>
        <v/>
      </c>
      <c r="T255">
        <f>HYPERLINK("https://klasma.github.io/Logging_2161/kartor/A 27122-2025 karta.png", "A 27122-2025")</f>
        <v/>
      </c>
      <c r="V255">
        <f>HYPERLINK("https://klasma.github.io/Logging_2161/klagomål/A 27122-2025 FSC-klagomål.docx", "A 27122-2025")</f>
        <v/>
      </c>
      <c r="W255">
        <f>HYPERLINK("https://klasma.github.io/Logging_2161/klagomålsmail/A 27122-2025 FSC-klagomål mail.docx", "A 27122-2025")</f>
        <v/>
      </c>
      <c r="X255">
        <f>HYPERLINK("https://klasma.github.io/Logging_2161/tillsyn/A 27122-2025 tillsynsbegäran.docx", "A 27122-2025")</f>
        <v/>
      </c>
      <c r="Y255">
        <f>HYPERLINK("https://klasma.github.io/Logging_2161/tillsynsmail/A 27122-2025 tillsynsbegäran mail.docx", "A 27122-2025")</f>
        <v/>
      </c>
    </row>
    <row r="256" ht="15" customHeight="1">
      <c r="A256" t="inlineStr">
        <is>
          <t>A 27882-2025</t>
        </is>
      </c>
      <c r="B256" s="1" t="n">
        <v>45817.44679398148</v>
      </c>
      <c r="C256" s="1" t="n">
        <v>45911</v>
      </c>
      <c r="D256" t="inlineStr">
        <is>
          <t>GÄVLEBORGS LÄN</t>
        </is>
      </c>
      <c r="E256" t="inlineStr">
        <is>
          <t>LJUSDAL</t>
        </is>
      </c>
      <c r="F256" t="inlineStr">
        <is>
          <t>Sveaskog</t>
        </is>
      </c>
      <c r="G256" t="n">
        <v>7.1</v>
      </c>
      <c r="H256" t="n">
        <v>1</v>
      </c>
      <c r="I256" t="n">
        <v>0</v>
      </c>
      <c r="J256" t="n">
        <v>1</v>
      </c>
      <c r="K256" t="n">
        <v>1</v>
      </c>
      <c r="L256" t="n">
        <v>0</v>
      </c>
      <c r="M256" t="n">
        <v>0</v>
      </c>
      <c r="N256" t="n">
        <v>0</v>
      </c>
      <c r="O256" t="n">
        <v>2</v>
      </c>
      <c r="P256" t="n">
        <v>1</v>
      </c>
      <c r="Q256" t="n">
        <v>2</v>
      </c>
      <c r="R256" s="2" t="inlineStr">
        <is>
          <t>Doftticka
Lunglav</t>
        </is>
      </c>
      <c r="S256">
        <f>HYPERLINK("https://klasma.github.io/Logging_2161/artfynd/A 27882-2025 artfynd.xlsx", "A 27882-2025")</f>
        <v/>
      </c>
      <c r="T256">
        <f>HYPERLINK("https://klasma.github.io/Logging_2161/kartor/A 27882-2025 karta.png", "A 27882-2025")</f>
        <v/>
      </c>
      <c r="V256">
        <f>HYPERLINK("https://klasma.github.io/Logging_2161/klagomål/A 27882-2025 FSC-klagomål.docx", "A 27882-2025")</f>
        <v/>
      </c>
      <c r="W256">
        <f>HYPERLINK("https://klasma.github.io/Logging_2161/klagomålsmail/A 27882-2025 FSC-klagomål mail.docx", "A 27882-2025")</f>
        <v/>
      </c>
      <c r="X256">
        <f>HYPERLINK("https://klasma.github.io/Logging_2161/tillsyn/A 27882-2025 tillsynsbegäran.docx", "A 27882-2025")</f>
        <v/>
      </c>
      <c r="Y256">
        <f>HYPERLINK("https://klasma.github.io/Logging_2161/tillsynsmail/A 27882-2025 tillsynsbegäran mail.docx", "A 27882-2025")</f>
        <v/>
      </c>
    </row>
    <row r="257" ht="15" customHeight="1">
      <c r="A257" t="inlineStr">
        <is>
          <t>A 18101-2024</t>
        </is>
      </c>
      <c r="B257" s="1" t="n">
        <v>45420</v>
      </c>
      <c r="C257" s="1" t="n">
        <v>45911</v>
      </c>
      <c r="D257" t="inlineStr">
        <is>
          <t>GÄVLEBORGS LÄN</t>
        </is>
      </c>
      <c r="E257" t="inlineStr">
        <is>
          <t>LJUSDAL</t>
        </is>
      </c>
      <c r="F257" t="inlineStr">
        <is>
          <t>Sveaskog</t>
        </is>
      </c>
      <c r="G257" t="n">
        <v>2.8</v>
      </c>
      <c r="H257" t="n">
        <v>0</v>
      </c>
      <c r="I257" t="n">
        <v>0</v>
      </c>
      <c r="J257" t="n">
        <v>2</v>
      </c>
      <c r="K257" t="n">
        <v>0</v>
      </c>
      <c r="L257" t="n">
        <v>0</v>
      </c>
      <c r="M257" t="n">
        <v>0</v>
      </c>
      <c r="N257" t="n">
        <v>0</v>
      </c>
      <c r="O257" t="n">
        <v>2</v>
      </c>
      <c r="P257" t="n">
        <v>0</v>
      </c>
      <c r="Q257" t="n">
        <v>2</v>
      </c>
      <c r="R257" s="2" t="inlineStr">
        <is>
          <t>Kolflarnlav
Mörk kolflarnlav</t>
        </is>
      </c>
      <c r="S257">
        <f>HYPERLINK("https://klasma.github.io/Logging_2161/artfynd/A 18101-2024 artfynd.xlsx", "A 18101-2024")</f>
        <v/>
      </c>
      <c r="T257">
        <f>HYPERLINK("https://klasma.github.io/Logging_2161/kartor/A 18101-2024 karta.png", "A 18101-2024")</f>
        <v/>
      </c>
      <c r="V257">
        <f>HYPERLINK("https://klasma.github.io/Logging_2161/klagomål/A 18101-2024 FSC-klagomål.docx", "A 18101-2024")</f>
        <v/>
      </c>
      <c r="W257">
        <f>HYPERLINK("https://klasma.github.io/Logging_2161/klagomålsmail/A 18101-2024 FSC-klagomål mail.docx", "A 18101-2024")</f>
        <v/>
      </c>
      <c r="X257">
        <f>HYPERLINK("https://klasma.github.io/Logging_2161/tillsyn/A 18101-2024 tillsynsbegäran.docx", "A 18101-2024")</f>
        <v/>
      </c>
      <c r="Y257">
        <f>HYPERLINK("https://klasma.github.io/Logging_2161/tillsynsmail/A 18101-2024 tillsynsbegäran mail.docx", "A 18101-2024")</f>
        <v/>
      </c>
    </row>
    <row r="258" ht="15" customHeight="1">
      <c r="A258" t="inlineStr">
        <is>
          <t>A 62767-2022</t>
        </is>
      </c>
      <c r="B258" s="1" t="n">
        <v>44884</v>
      </c>
      <c r="C258" s="1" t="n">
        <v>45911</v>
      </c>
      <c r="D258" t="inlineStr">
        <is>
          <t>GÄVLEBORGS LÄN</t>
        </is>
      </c>
      <c r="E258" t="inlineStr">
        <is>
          <t>NORDANSTIG</t>
        </is>
      </c>
      <c r="F258" t="inlineStr">
        <is>
          <t>SCA</t>
        </is>
      </c>
      <c r="G258" t="n">
        <v>13.3</v>
      </c>
      <c r="H258" t="n">
        <v>2</v>
      </c>
      <c r="I258" t="n">
        <v>1</v>
      </c>
      <c r="J258" t="n">
        <v>0</v>
      </c>
      <c r="K258" t="n">
        <v>0</v>
      </c>
      <c r="L258" t="n">
        <v>0</v>
      </c>
      <c r="M258" t="n">
        <v>0</v>
      </c>
      <c r="N258" t="n">
        <v>0</v>
      </c>
      <c r="O258" t="n">
        <v>0</v>
      </c>
      <c r="P258" t="n">
        <v>0</v>
      </c>
      <c r="Q258" t="n">
        <v>2</v>
      </c>
      <c r="R258" s="2" t="inlineStr">
        <is>
          <t>Skogsknipprot
Törnskata</t>
        </is>
      </c>
      <c r="S258">
        <f>HYPERLINK("https://klasma.github.io/Logging_2132/artfynd/A 62767-2022 artfynd.xlsx", "A 62767-2022")</f>
        <v/>
      </c>
      <c r="T258">
        <f>HYPERLINK("https://klasma.github.io/Logging_2132/kartor/A 62767-2022 karta.png", "A 62767-2022")</f>
        <v/>
      </c>
      <c r="V258">
        <f>HYPERLINK("https://klasma.github.io/Logging_2132/klagomål/A 62767-2022 FSC-klagomål.docx", "A 62767-2022")</f>
        <v/>
      </c>
      <c r="W258">
        <f>HYPERLINK("https://klasma.github.io/Logging_2132/klagomålsmail/A 62767-2022 FSC-klagomål mail.docx", "A 62767-2022")</f>
        <v/>
      </c>
      <c r="X258">
        <f>HYPERLINK("https://klasma.github.io/Logging_2132/tillsyn/A 62767-2022 tillsynsbegäran.docx", "A 62767-2022")</f>
        <v/>
      </c>
      <c r="Y258">
        <f>HYPERLINK("https://klasma.github.io/Logging_2132/tillsynsmail/A 62767-2022 tillsynsbegäran mail.docx", "A 62767-2022")</f>
        <v/>
      </c>
      <c r="Z258">
        <f>HYPERLINK("https://klasma.github.io/Logging_2132/fåglar/A 62767-2022 prioriterade fågelarter.docx", "A 62767-2022")</f>
        <v/>
      </c>
    </row>
    <row r="259" ht="15" customHeight="1">
      <c r="A259" t="inlineStr">
        <is>
          <t>A 46247-2024</t>
        </is>
      </c>
      <c r="B259" s="1" t="n">
        <v>45581.59246527778</v>
      </c>
      <c r="C259" s="1" t="n">
        <v>45911</v>
      </c>
      <c r="D259" t="inlineStr">
        <is>
          <t>GÄVLEBORGS LÄN</t>
        </is>
      </c>
      <c r="E259" t="inlineStr">
        <is>
          <t>LJUSDAL</t>
        </is>
      </c>
      <c r="F259" t="inlineStr">
        <is>
          <t>Sveaskog</t>
        </is>
      </c>
      <c r="G259" t="n">
        <v>3</v>
      </c>
      <c r="H259" t="n">
        <v>0</v>
      </c>
      <c r="I259" t="n">
        <v>1</v>
      </c>
      <c r="J259" t="n">
        <v>1</v>
      </c>
      <c r="K259" t="n">
        <v>0</v>
      </c>
      <c r="L259" t="n">
        <v>0</v>
      </c>
      <c r="M259" t="n">
        <v>0</v>
      </c>
      <c r="N259" t="n">
        <v>0</v>
      </c>
      <c r="O259" t="n">
        <v>1</v>
      </c>
      <c r="P259" t="n">
        <v>0</v>
      </c>
      <c r="Q259" t="n">
        <v>2</v>
      </c>
      <c r="R259" s="2" t="inlineStr">
        <is>
          <t>Garnlav
Dropptaggsvamp</t>
        </is>
      </c>
      <c r="S259">
        <f>HYPERLINK("https://klasma.github.io/Logging_2161/artfynd/A 46247-2024 artfynd.xlsx", "A 46247-2024")</f>
        <v/>
      </c>
      <c r="T259">
        <f>HYPERLINK("https://klasma.github.io/Logging_2161/kartor/A 46247-2024 karta.png", "A 46247-2024")</f>
        <v/>
      </c>
      <c r="V259">
        <f>HYPERLINK("https://klasma.github.io/Logging_2161/klagomål/A 46247-2024 FSC-klagomål.docx", "A 46247-2024")</f>
        <v/>
      </c>
      <c r="W259">
        <f>HYPERLINK("https://klasma.github.io/Logging_2161/klagomålsmail/A 46247-2024 FSC-klagomål mail.docx", "A 46247-2024")</f>
        <v/>
      </c>
      <c r="X259">
        <f>HYPERLINK("https://klasma.github.io/Logging_2161/tillsyn/A 46247-2024 tillsynsbegäran.docx", "A 46247-2024")</f>
        <v/>
      </c>
      <c r="Y259">
        <f>HYPERLINK("https://klasma.github.io/Logging_2161/tillsynsmail/A 46247-2024 tillsynsbegäran mail.docx", "A 46247-2024")</f>
        <v/>
      </c>
    </row>
    <row r="260" ht="15" customHeight="1">
      <c r="A260" t="inlineStr">
        <is>
          <t>A 30885-2024</t>
        </is>
      </c>
      <c r="B260" s="1" t="n">
        <v>45498.37140046297</v>
      </c>
      <c r="C260" s="1" t="n">
        <v>45911</v>
      </c>
      <c r="D260" t="inlineStr">
        <is>
          <t>GÄVLEBORGS LÄN</t>
        </is>
      </c>
      <c r="E260" t="inlineStr">
        <is>
          <t>LJUSDAL</t>
        </is>
      </c>
      <c r="F260" t="inlineStr">
        <is>
          <t>Sveaskog</t>
        </is>
      </c>
      <c r="G260" t="n">
        <v>11.2</v>
      </c>
      <c r="H260" t="n">
        <v>1</v>
      </c>
      <c r="I260" t="n">
        <v>1</v>
      </c>
      <c r="J260" t="n">
        <v>1</v>
      </c>
      <c r="K260" t="n">
        <v>0</v>
      </c>
      <c r="L260" t="n">
        <v>0</v>
      </c>
      <c r="M260" t="n">
        <v>0</v>
      </c>
      <c r="N260" t="n">
        <v>0</v>
      </c>
      <c r="O260" t="n">
        <v>1</v>
      </c>
      <c r="P260" t="n">
        <v>0</v>
      </c>
      <c r="Q260" t="n">
        <v>2</v>
      </c>
      <c r="R260" s="2" t="inlineStr">
        <is>
          <t>Kolflarnlav
Plattlummer</t>
        </is>
      </c>
      <c r="S260">
        <f>HYPERLINK("https://klasma.github.io/Logging_2161/artfynd/A 30885-2024 artfynd.xlsx", "A 30885-2024")</f>
        <v/>
      </c>
      <c r="T260">
        <f>HYPERLINK("https://klasma.github.io/Logging_2161/kartor/A 30885-2024 karta.png", "A 30885-2024")</f>
        <v/>
      </c>
      <c r="V260">
        <f>HYPERLINK("https://klasma.github.io/Logging_2161/klagomål/A 30885-2024 FSC-klagomål.docx", "A 30885-2024")</f>
        <v/>
      </c>
      <c r="W260">
        <f>HYPERLINK("https://klasma.github.io/Logging_2161/klagomålsmail/A 30885-2024 FSC-klagomål mail.docx", "A 30885-2024")</f>
        <v/>
      </c>
      <c r="X260">
        <f>HYPERLINK("https://klasma.github.io/Logging_2161/tillsyn/A 30885-2024 tillsynsbegäran.docx", "A 30885-2024")</f>
        <v/>
      </c>
      <c r="Y260">
        <f>HYPERLINK("https://klasma.github.io/Logging_2161/tillsynsmail/A 30885-2024 tillsynsbegäran mail.docx", "A 30885-2024")</f>
        <v/>
      </c>
    </row>
    <row r="261" ht="15" customHeight="1">
      <c r="A261" t="inlineStr">
        <is>
          <t>A 31078-2025</t>
        </is>
      </c>
      <c r="B261" s="1" t="n">
        <v>45832.5844212963</v>
      </c>
      <c r="C261" s="1" t="n">
        <v>45911</v>
      </c>
      <c r="D261" t="inlineStr">
        <is>
          <t>GÄVLEBORGS LÄN</t>
        </is>
      </c>
      <c r="E261" t="inlineStr">
        <is>
          <t>LJUSDAL</t>
        </is>
      </c>
      <c r="F261" t="inlineStr">
        <is>
          <t>Allmännings- och besparingsskogar</t>
        </is>
      </c>
      <c r="G261" t="n">
        <v>2.9</v>
      </c>
      <c r="H261" t="n">
        <v>1</v>
      </c>
      <c r="I261" t="n">
        <v>1</v>
      </c>
      <c r="J261" t="n">
        <v>1</v>
      </c>
      <c r="K261" t="n">
        <v>0</v>
      </c>
      <c r="L261" t="n">
        <v>0</v>
      </c>
      <c r="M261" t="n">
        <v>0</v>
      </c>
      <c r="N261" t="n">
        <v>0</v>
      </c>
      <c r="O261" t="n">
        <v>1</v>
      </c>
      <c r="P261" t="n">
        <v>0</v>
      </c>
      <c r="Q261" t="n">
        <v>2</v>
      </c>
      <c r="R261" s="2" t="inlineStr">
        <is>
          <t>Garnlav
Spindelblomster</t>
        </is>
      </c>
      <c r="S261">
        <f>HYPERLINK("https://klasma.github.io/Logging_2161/artfynd/A 31078-2025 artfynd.xlsx", "A 31078-2025")</f>
        <v/>
      </c>
      <c r="T261">
        <f>HYPERLINK("https://klasma.github.io/Logging_2161/kartor/A 31078-2025 karta.png", "A 31078-2025")</f>
        <v/>
      </c>
      <c r="V261">
        <f>HYPERLINK("https://klasma.github.io/Logging_2161/klagomål/A 31078-2025 FSC-klagomål.docx", "A 31078-2025")</f>
        <v/>
      </c>
      <c r="W261">
        <f>HYPERLINK("https://klasma.github.io/Logging_2161/klagomålsmail/A 31078-2025 FSC-klagomål mail.docx", "A 31078-2025")</f>
        <v/>
      </c>
      <c r="X261">
        <f>HYPERLINK("https://klasma.github.io/Logging_2161/tillsyn/A 31078-2025 tillsynsbegäran.docx", "A 31078-2025")</f>
        <v/>
      </c>
      <c r="Y261">
        <f>HYPERLINK("https://klasma.github.io/Logging_2161/tillsynsmail/A 31078-2025 tillsynsbegäran mail.docx", "A 31078-2025")</f>
        <v/>
      </c>
    </row>
    <row r="262" ht="15" customHeight="1">
      <c r="A262" t="inlineStr">
        <is>
          <t>A 31062-2025</t>
        </is>
      </c>
      <c r="B262" s="1" t="n">
        <v>45832.57438657407</v>
      </c>
      <c r="C262" s="1" t="n">
        <v>45911</v>
      </c>
      <c r="D262" t="inlineStr">
        <is>
          <t>GÄVLEBORGS LÄN</t>
        </is>
      </c>
      <c r="E262" t="inlineStr">
        <is>
          <t>LJUSDAL</t>
        </is>
      </c>
      <c r="F262" t="inlineStr">
        <is>
          <t>Allmännings- och besparingsskogar</t>
        </is>
      </c>
      <c r="G262" t="n">
        <v>8.4</v>
      </c>
      <c r="H262" t="n">
        <v>2</v>
      </c>
      <c r="I262" t="n">
        <v>1</v>
      </c>
      <c r="J262" t="n">
        <v>0</v>
      </c>
      <c r="K262" t="n">
        <v>0</v>
      </c>
      <c r="L262" t="n">
        <v>0</v>
      </c>
      <c r="M262" t="n">
        <v>0</v>
      </c>
      <c r="N262" t="n">
        <v>0</v>
      </c>
      <c r="O262" t="n">
        <v>0</v>
      </c>
      <c r="P262" t="n">
        <v>0</v>
      </c>
      <c r="Q262" t="n">
        <v>2</v>
      </c>
      <c r="R262" s="2" t="inlineStr">
        <is>
          <t>Spindelblomster
Fläcknycklar</t>
        </is>
      </c>
      <c r="S262">
        <f>HYPERLINK("https://klasma.github.io/Logging_2161/artfynd/A 31062-2025 artfynd.xlsx", "A 31062-2025")</f>
        <v/>
      </c>
      <c r="T262">
        <f>HYPERLINK("https://klasma.github.io/Logging_2161/kartor/A 31062-2025 karta.png", "A 31062-2025")</f>
        <v/>
      </c>
      <c r="V262">
        <f>HYPERLINK("https://klasma.github.io/Logging_2161/klagomål/A 31062-2025 FSC-klagomål.docx", "A 31062-2025")</f>
        <v/>
      </c>
      <c r="W262">
        <f>HYPERLINK("https://klasma.github.io/Logging_2161/klagomålsmail/A 31062-2025 FSC-klagomål mail.docx", "A 31062-2025")</f>
        <v/>
      </c>
      <c r="X262">
        <f>HYPERLINK("https://klasma.github.io/Logging_2161/tillsyn/A 31062-2025 tillsynsbegäran.docx", "A 31062-2025")</f>
        <v/>
      </c>
      <c r="Y262">
        <f>HYPERLINK("https://klasma.github.io/Logging_2161/tillsynsmail/A 31062-2025 tillsynsbegäran mail.docx", "A 31062-2025")</f>
        <v/>
      </c>
    </row>
    <row r="263" ht="15" customHeight="1">
      <c r="A263" t="inlineStr">
        <is>
          <t>A 30364-2022</t>
        </is>
      </c>
      <c r="B263" s="1" t="n">
        <v>44760.60001157408</v>
      </c>
      <c r="C263" s="1" t="n">
        <v>45911</v>
      </c>
      <c r="D263" t="inlineStr">
        <is>
          <t>GÄVLEBORGS LÄN</t>
        </is>
      </c>
      <c r="E263" t="inlineStr">
        <is>
          <t>OVANÅKER</t>
        </is>
      </c>
      <c r="F263" t="inlineStr">
        <is>
          <t>Bergvik skog öst AB</t>
        </is>
      </c>
      <c r="G263" t="n">
        <v>1.9</v>
      </c>
      <c r="H263" t="n">
        <v>1</v>
      </c>
      <c r="I263" t="n">
        <v>1</v>
      </c>
      <c r="J263" t="n">
        <v>0</v>
      </c>
      <c r="K263" t="n">
        <v>0</v>
      </c>
      <c r="L263" t="n">
        <v>0</v>
      </c>
      <c r="M263" t="n">
        <v>0</v>
      </c>
      <c r="N263" t="n">
        <v>0</v>
      </c>
      <c r="O263" t="n">
        <v>0</v>
      </c>
      <c r="P263" t="n">
        <v>0</v>
      </c>
      <c r="Q263" t="n">
        <v>2</v>
      </c>
      <c r="R263" s="2" t="inlineStr">
        <is>
          <t>Skinnlav
Blåsippa</t>
        </is>
      </c>
      <c r="S263">
        <f>HYPERLINK("https://klasma.github.io/Logging_2121/artfynd/A 30364-2022 artfynd.xlsx", "A 30364-2022")</f>
        <v/>
      </c>
      <c r="T263">
        <f>HYPERLINK("https://klasma.github.io/Logging_2121/kartor/A 30364-2022 karta.png", "A 30364-2022")</f>
        <v/>
      </c>
      <c r="V263">
        <f>HYPERLINK("https://klasma.github.io/Logging_2121/klagomål/A 30364-2022 FSC-klagomål.docx", "A 30364-2022")</f>
        <v/>
      </c>
      <c r="W263">
        <f>HYPERLINK("https://klasma.github.io/Logging_2121/klagomålsmail/A 30364-2022 FSC-klagomål mail.docx", "A 30364-2022")</f>
        <v/>
      </c>
      <c r="X263">
        <f>HYPERLINK("https://klasma.github.io/Logging_2121/tillsyn/A 30364-2022 tillsynsbegäran.docx", "A 30364-2022")</f>
        <v/>
      </c>
      <c r="Y263">
        <f>HYPERLINK("https://klasma.github.io/Logging_2121/tillsynsmail/A 30364-2022 tillsynsbegäran mail.docx", "A 30364-2022")</f>
        <v/>
      </c>
    </row>
    <row r="264" ht="15" customHeight="1">
      <c r="A264" t="inlineStr">
        <is>
          <t>A 30530-2025</t>
        </is>
      </c>
      <c r="B264" s="1" t="n">
        <v>45831.36056712963</v>
      </c>
      <c r="C264" s="1" t="n">
        <v>45911</v>
      </c>
      <c r="D264" t="inlineStr">
        <is>
          <t>GÄVLEBORGS LÄN</t>
        </is>
      </c>
      <c r="E264" t="inlineStr">
        <is>
          <t>LJUSDAL</t>
        </is>
      </c>
      <c r="F264" t="inlineStr">
        <is>
          <t>Sveaskog</t>
        </is>
      </c>
      <c r="G264" t="n">
        <v>5</v>
      </c>
      <c r="H264" t="n">
        <v>1</v>
      </c>
      <c r="I264" t="n">
        <v>2</v>
      </c>
      <c r="J264" t="n">
        <v>0</v>
      </c>
      <c r="K264" t="n">
        <v>0</v>
      </c>
      <c r="L264" t="n">
        <v>0</v>
      </c>
      <c r="M264" t="n">
        <v>0</v>
      </c>
      <c r="N264" t="n">
        <v>0</v>
      </c>
      <c r="O264" t="n">
        <v>0</v>
      </c>
      <c r="P264" t="n">
        <v>0</v>
      </c>
      <c r="Q264" t="n">
        <v>2</v>
      </c>
      <c r="R264" s="2" t="inlineStr">
        <is>
          <t>Dropptaggsvamp
Tvåblad</t>
        </is>
      </c>
      <c r="S264">
        <f>HYPERLINK("https://klasma.github.io/Logging_2161/artfynd/A 30530-2025 artfynd.xlsx", "A 30530-2025")</f>
        <v/>
      </c>
      <c r="T264">
        <f>HYPERLINK("https://klasma.github.io/Logging_2161/kartor/A 30530-2025 karta.png", "A 30530-2025")</f>
        <v/>
      </c>
      <c r="V264">
        <f>HYPERLINK("https://klasma.github.io/Logging_2161/klagomål/A 30530-2025 FSC-klagomål.docx", "A 30530-2025")</f>
        <v/>
      </c>
      <c r="W264">
        <f>HYPERLINK("https://klasma.github.io/Logging_2161/klagomålsmail/A 30530-2025 FSC-klagomål mail.docx", "A 30530-2025")</f>
        <v/>
      </c>
      <c r="X264">
        <f>HYPERLINK("https://klasma.github.io/Logging_2161/tillsyn/A 30530-2025 tillsynsbegäran.docx", "A 30530-2025")</f>
        <v/>
      </c>
      <c r="Y264">
        <f>HYPERLINK("https://klasma.github.io/Logging_2161/tillsynsmail/A 30530-2025 tillsynsbegäran mail.docx", "A 30530-2025")</f>
        <v/>
      </c>
    </row>
    <row r="265" ht="15" customHeight="1">
      <c r="A265" t="inlineStr">
        <is>
          <t>A 47230-2024</t>
        </is>
      </c>
      <c r="B265" s="1" t="n">
        <v>45586</v>
      </c>
      <c r="C265" s="1" t="n">
        <v>45911</v>
      </c>
      <c r="D265" t="inlineStr">
        <is>
          <t>GÄVLEBORGS LÄN</t>
        </is>
      </c>
      <c r="E265" t="inlineStr">
        <is>
          <t>LJUSDAL</t>
        </is>
      </c>
      <c r="F265" t="inlineStr">
        <is>
          <t>Sveaskog</t>
        </is>
      </c>
      <c r="G265" t="n">
        <v>16.1</v>
      </c>
      <c r="H265" t="n">
        <v>0</v>
      </c>
      <c r="I265" t="n">
        <v>0</v>
      </c>
      <c r="J265" t="n">
        <v>2</v>
      </c>
      <c r="K265" t="n">
        <v>0</v>
      </c>
      <c r="L265" t="n">
        <v>0</v>
      </c>
      <c r="M265" t="n">
        <v>0</v>
      </c>
      <c r="N265" t="n">
        <v>0</v>
      </c>
      <c r="O265" t="n">
        <v>2</v>
      </c>
      <c r="P265" t="n">
        <v>0</v>
      </c>
      <c r="Q265" t="n">
        <v>2</v>
      </c>
      <c r="R265" s="2" t="inlineStr">
        <is>
          <t>Grantaggsvamp
Lunglav</t>
        </is>
      </c>
      <c r="S265">
        <f>HYPERLINK("https://klasma.github.io/Logging_2161/artfynd/A 47230-2024 artfynd.xlsx", "A 47230-2024")</f>
        <v/>
      </c>
      <c r="T265">
        <f>HYPERLINK("https://klasma.github.io/Logging_2161/kartor/A 47230-2024 karta.png", "A 47230-2024")</f>
        <v/>
      </c>
      <c r="V265">
        <f>HYPERLINK("https://klasma.github.io/Logging_2161/klagomål/A 47230-2024 FSC-klagomål.docx", "A 47230-2024")</f>
        <v/>
      </c>
      <c r="W265">
        <f>HYPERLINK("https://klasma.github.io/Logging_2161/klagomålsmail/A 47230-2024 FSC-klagomål mail.docx", "A 47230-2024")</f>
        <v/>
      </c>
      <c r="X265">
        <f>HYPERLINK("https://klasma.github.io/Logging_2161/tillsyn/A 47230-2024 tillsynsbegäran.docx", "A 47230-2024")</f>
        <v/>
      </c>
      <c r="Y265">
        <f>HYPERLINK("https://klasma.github.io/Logging_2161/tillsynsmail/A 47230-2024 tillsynsbegäran mail.docx", "A 47230-2024")</f>
        <v/>
      </c>
    </row>
    <row r="266" ht="15" customHeight="1">
      <c r="A266" t="inlineStr">
        <is>
          <t>A 36759-2025</t>
        </is>
      </c>
      <c r="B266" s="1" t="n">
        <v>45873.5665625</v>
      </c>
      <c r="C266" s="1" t="n">
        <v>45911</v>
      </c>
      <c r="D266" t="inlineStr">
        <is>
          <t>GÄVLEBORGS LÄN</t>
        </is>
      </c>
      <c r="E266" t="inlineStr">
        <is>
          <t>OVANÅKER</t>
        </is>
      </c>
      <c r="F266" t="inlineStr">
        <is>
          <t>Bergvik skog väst AB</t>
        </is>
      </c>
      <c r="G266" t="n">
        <v>20.7</v>
      </c>
      <c r="H266" t="n">
        <v>2</v>
      </c>
      <c r="I266" t="n">
        <v>0</v>
      </c>
      <c r="J266" t="n">
        <v>2</v>
      </c>
      <c r="K266" t="n">
        <v>0</v>
      </c>
      <c r="L266" t="n">
        <v>0</v>
      </c>
      <c r="M266" t="n">
        <v>0</v>
      </c>
      <c r="N266" t="n">
        <v>0</v>
      </c>
      <c r="O266" t="n">
        <v>2</v>
      </c>
      <c r="P266" t="n">
        <v>0</v>
      </c>
      <c r="Q266" t="n">
        <v>2</v>
      </c>
      <c r="R266" s="2" t="inlineStr">
        <is>
          <t>Slaguggla
Spillkråka</t>
        </is>
      </c>
      <c r="S266">
        <f>HYPERLINK("https://klasma.github.io/Logging_2121/artfynd/A 36759-2025 artfynd.xlsx", "A 36759-2025")</f>
        <v/>
      </c>
      <c r="T266">
        <f>HYPERLINK("https://klasma.github.io/Logging_2121/kartor/A 36759-2025 karta.png", "A 36759-2025")</f>
        <v/>
      </c>
      <c r="V266">
        <f>HYPERLINK("https://klasma.github.io/Logging_2121/klagomål/A 36759-2025 FSC-klagomål.docx", "A 36759-2025")</f>
        <v/>
      </c>
      <c r="W266">
        <f>HYPERLINK("https://klasma.github.io/Logging_2121/klagomålsmail/A 36759-2025 FSC-klagomål mail.docx", "A 36759-2025")</f>
        <v/>
      </c>
      <c r="X266">
        <f>HYPERLINK("https://klasma.github.io/Logging_2121/tillsyn/A 36759-2025 tillsynsbegäran.docx", "A 36759-2025")</f>
        <v/>
      </c>
      <c r="Y266">
        <f>HYPERLINK("https://klasma.github.io/Logging_2121/tillsynsmail/A 36759-2025 tillsynsbegäran mail.docx", "A 36759-2025")</f>
        <v/>
      </c>
      <c r="Z266">
        <f>HYPERLINK("https://klasma.github.io/Logging_2121/fåglar/A 36759-2025 prioriterade fågelarter.docx", "A 36759-2025")</f>
        <v/>
      </c>
    </row>
    <row r="267" ht="15" customHeight="1">
      <c r="A267" t="inlineStr">
        <is>
          <t>A 23504-2023</t>
        </is>
      </c>
      <c r="B267" s="1" t="n">
        <v>45076</v>
      </c>
      <c r="C267" s="1" t="n">
        <v>45911</v>
      </c>
      <c r="D267" t="inlineStr">
        <is>
          <t>GÄVLEBORGS LÄN</t>
        </is>
      </c>
      <c r="E267" t="inlineStr">
        <is>
          <t>BOLLNÄS</t>
        </is>
      </c>
      <c r="F267" t="inlineStr">
        <is>
          <t>Sveaskog</t>
        </is>
      </c>
      <c r="G267" t="n">
        <v>11.6</v>
      </c>
      <c r="H267" t="n">
        <v>2</v>
      </c>
      <c r="I267" t="n">
        <v>0</v>
      </c>
      <c r="J267" t="n">
        <v>0</v>
      </c>
      <c r="K267" t="n">
        <v>0</v>
      </c>
      <c r="L267" t="n">
        <v>0</v>
      </c>
      <c r="M267" t="n">
        <v>0</v>
      </c>
      <c r="N267" t="n">
        <v>0</v>
      </c>
      <c r="O267" t="n">
        <v>0</v>
      </c>
      <c r="P267" t="n">
        <v>0</v>
      </c>
      <c r="Q267" t="n">
        <v>2</v>
      </c>
      <c r="R267" s="2" t="inlineStr">
        <is>
          <t>Lavskrika
Fläcknycklar</t>
        </is>
      </c>
      <c r="S267">
        <f>HYPERLINK("https://klasma.github.io/Logging_2183/artfynd/A 23504-2023 artfynd.xlsx", "A 23504-2023")</f>
        <v/>
      </c>
      <c r="T267">
        <f>HYPERLINK("https://klasma.github.io/Logging_2183/kartor/A 23504-2023 karta.png", "A 23504-2023")</f>
        <v/>
      </c>
      <c r="V267">
        <f>HYPERLINK("https://klasma.github.io/Logging_2183/klagomål/A 23504-2023 FSC-klagomål.docx", "A 23504-2023")</f>
        <v/>
      </c>
      <c r="W267">
        <f>HYPERLINK("https://klasma.github.io/Logging_2183/klagomålsmail/A 23504-2023 FSC-klagomål mail.docx", "A 23504-2023")</f>
        <v/>
      </c>
      <c r="X267">
        <f>HYPERLINK("https://klasma.github.io/Logging_2183/tillsyn/A 23504-2023 tillsynsbegäran.docx", "A 23504-2023")</f>
        <v/>
      </c>
      <c r="Y267">
        <f>HYPERLINK("https://klasma.github.io/Logging_2183/tillsynsmail/A 23504-2023 tillsynsbegäran mail.docx", "A 23504-2023")</f>
        <v/>
      </c>
      <c r="Z267">
        <f>HYPERLINK("https://klasma.github.io/Logging_2183/fåglar/A 23504-2023 prioriterade fågelarter.docx", "A 23504-2023")</f>
        <v/>
      </c>
    </row>
    <row r="268" ht="15" customHeight="1">
      <c r="A268" t="inlineStr">
        <is>
          <t>A 60541-2022</t>
        </is>
      </c>
      <c r="B268" s="1" t="n">
        <v>44911</v>
      </c>
      <c r="C268" s="1" t="n">
        <v>45911</v>
      </c>
      <c r="D268" t="inlineStr">
        <is>
          <t>GÄVLEBORGS LÄN</t>
        </is>
      </c>
      <c r="E268" t="inlineStr">
        <is>
          <t>LJUSDAL</t>
        </is>
      </c>
      <c r="F268" t="inlineStr">
        <is>
          <t>Bergvik skog väst AB</t>
        </is>
      </c>
      <c r="G268" t="n">
        <v>5.4</v>
      </c>
      <c r="H268" t="n">
        <v>2</v>
      </c>
      <c r="I268" t="n">
        <v>0</v>
      </c>
      <c r="J268" t="n">
        <v>0</v>
      </c>
      <c r="K268" t="n">
        <v>0</v>
      </c>
      <c r="L268" t="n">
        <v>0</v>
      </c>
      <c r="M268" t="n">
        <v>0</v>
      </c>
      <c r="N268" t="n">
        <v>0</v>
      </c>
      <c r="O268" t="n">
        <v>0</v>
      </c>
      <c r="P268" t="n">
        <v>0</v>
      </c>
      <c r="Q268" t="n">
        <v>2</v>
      </c>
      <c r="R268" s="2" t="inlineStr">
        <is>
          <t>Orre
Pärluggla</t>
        </is>
      </c>
      <c r="S268">
        <f>HYPERLINK("https://klasma.github.io/Logging_2161/artfynd/A 60541-2022 artfynd.xlsx", "A 60541-2022")</f>
        <v/>
      </c>
      <c r="T268">
        <f>HYPERLINK("https://klasma.github.io/Logging_2161/kartor/A 60541-2022 karta.png", "A 60541-2022")</f>
        <v/>
      </c>
      <c r="V268">
        <f>HYPERLINK("https://klasma.github.io/Logging_2161/klagomål/A 60541-2022 FSC-klagomål.docx", "A 60541-2022")</f>
        <v/>
      </c>
      <c r="W268">
        <f>HYPERLINK("https://klasma.github.io/Logging_2161/klagomålsmail/A 60541-2022 FSC-klagomål mail.docx", "A 60541-2022")</f>
        <v/>
      </c>
      <c r="X268">
        <f>HYPERLINK("https://klasma.github.io/Logging_2161/tillsyn/A 60541-2022 tillsynsbegäran.docx", "A 60541-2022")</f>
        <v/>
      </c>
      <c r="Y268">
        <f>HYPERLINK("https://klasma.github.io/Logging_2161/tillsynsmail/A 60541-2022 tillsynsbegäran mail.docx", "A 60541-2022")</f>
        <v/>
      </c>
      <c r="Z268">
        <f>HYPERLINK("https://klasma.github.io/Logging_2161/fåglar/A 60541-2022 prioriterade fågelarter.docx", "A 60541-2022")</f>
        <v/>
      </c>
    </row>
    <row r="269" ht="15" customHeight="1">
      <c r="A269" t="inlineStr">
        <is>
          <t>A 37207-2025</t>
        </is>
      </c>
      <c r="B269" s="1" t="n">
        <v>45875.70487268519</v>
      </c>
      <c r="C269" s="1" t="n">
        <v>45911</v>
      </c>
      <c r="D269" t="inlineStr">
        <is>
          <t>GÄVLEBORGS LÄN</t>
        </is>
      </c>
      <c r="E269" t="inlineStr">
        <is>
          <t>HUDIKSVALL</t>
        </is>
      </c>
      <c r="G269" t="n">
        <v>5</v>
      </c>
      <c r="H269" t="n">
        <v>1</v>
      </c>
      <c r="I269" t="n">
        <v>1</v>
      </c>
      <c r="J269" t="n">
        <v>1</v>
      </c>
      <c r="K269" t="n">
        <v>0</v>
      </c>
      <c r="L269" t="n">
        <v>0</v>
      </c>
      <c r="M269" t="n">
        <v>0</v>
      </c>
      <c r="N269" t="n">
        <v>0</v>
      </c>
      <c r="O269" t="n">
        <v>1</v>
      </c>
      <c r="P269" t="n">
        <v>0</v>
      </c>
      <c r="Q269" t="n">
        <v>2</v>
      </c>
      <c r="R269" s="2" t="inlineStr">
        <is>
          <t>Talltita
Bronshjon</t>
        </is>
      </c>
      <c r="S269">
        <f>HYPERLINK("https://klasma.github.io/Logging_2184/artfynd/A 37207-2025 artfynd.xlsx", "A 37207-2025")</f>
        <v/>
      </c>
      <c r="T269">
        <f>HYPERLINK("https://klasma.github.io/Logging_2184/kartor/A 37207-2025 karta.png", "A 37207-2025")</f>
        <v/>
      </c>
      <c r="V269">
        <f>HYPERLINK("https://klasma.github.io/Logging_2184/klagomål/A 37207-2025 FSC-klagomål.docx", "A 37207-2025")</f>
        <v/>
      </c>
      <c r="W269">
        <f>HYPERLINK("https://klasma.github.io/Logging_2184/klagomålsmail/A 37207-2025 FSC-klagomål mail.docx", "A 37207-2025")</f>
        <v/>
      </c>
      <c r="X269">
        <f>HYPERLINK("https://klasma.github.io/Logging_2184/tillsyn/A 37207-2025 tillsynsbegäran.docx", "A 37207-2025")</f>
        <v/>
      </c>
      <c r="Y269">
        <f>HYPERLINK("https://klasma.github.io/Logging_2184/tillsynsmail/A 37207-2025 tillsynsbegäran mail.docx", "A 37207-2025")</f>
        <v/>
      </c>
      <c r="Z269">
        <f>HYPERLINK("https://klasma.github.io/Logging_2184/fåglar/A 37207-2025 prioriterade fågelarter.docx", "A 37207-2025")</f>
        <v/>
      </c>
    </row>
    <row r="270" ht="15" customHeight="1">
      <c r="A270" t="inlineStr">
        <is>
          <t>A 32502-2023</t>
        </is>
      </c>
      <c r="B270" s="1" t="n">
        <v>45121</v>
      </c>
      <c r="C270" s="1" t="n">
        <v>45911</v>
      </c>
      <c r="D270" t="inlineStr">
        <is>
          <t>GÄVLEBORGS LÄN</t>
        </is>
      </c>
      <c r="E270" t="inlineStr">
        <is>
          <t>LJUSDAL</t>
        </is>
      </c>
      <c r="F270" t="inlineStr">
        <is>
          <t>Sveaskog</t>
        </is>
      </c>
      <c r="G270" t="n">
        <v>9.199999999999999</v>
      </c>
      <c r="H270" t="n">
        <v>0</v>
      </c>
      <c r="I270" t="n">
        <v>1</v>
      </c>
      <c r="J270" t="n">
        <v>1</v>
      </c>
      <c r="K270" t="n">
        <v>0</v>
      </c>
      <c r="L270" t="n">
        <v>0</v>
      </c>
      <c r="M270" t="n">
        <v>0</v>
      </c>
      <c r="N270" t="n">
        <v>0</v>
      </c>
      <c r="O270" t="n">
        <v>1</v>
      </c>
      <c r="P270" t="n">
        <v>0</v>
      </c>
      <c r="Q270" t="n">
        <v>2</v>
      </c>
      <c r="R270" s="2" t="inlineStr">
        <is>
          <t>Garnlav
Dropptaggsvamp</t>
        </is>
      </c>
      <c r="S270">
        <f>HYPERLINK("https://klasma.github.io/Logging_2161/artfynd/A 32502-2023 artfynd.xlsx", "A 32502-2023")</f>
        <v/>
      </c>
      <c r="T270">
        <f>HYPERLINK("https://klasma.github.io/Logging_2161/kartor/A 32502-2023 karta.png", "A 32502-2023")</f>
        <v/>
      </c>
      <c r="V270">
        <f>HYPERLINK("https://klasma.github.io/Logging_2161/klagomål/A 32502-2023 FSC-klagomål.docx", "A 32502-2023")</f>
        <v/>
      </c>
      <c r="W270">
        <f>HYPERLINK("https://klasma.github.io/Logging_2161/klagomålsmail/A 32502-2023 FSC-klagomål mail.docx", "A 32502-2023")</f>
        <v/>
      </c>
      <c r="X270">
        <f>HYPERLINK("https://klasma.github.io/Logging_2161/tillsyn/A 32502-2023 tillsynsbegäran.docx", "A 32502-2023")</f>
        <v/>
      </c>
      <c r="Y270">
        <f>HYPERLINK("https://klasma.github.io/Logging_2161/tillsynsmail/A 32502-2023 tillsynsbegäran mail.docx", "A 32502-2023")</f>
        <v/>
      </c>
    </row>
    <row r="271" ht="15" customHeight="1">
      <c r="A271" t="inlineStr">
        <is>
          <t>A 31740-2025</t>
        </is>
      </c>
      <c r="B271" s="1" t="n">
        <v>45834.47508101852</v>
      </c>
      <c r="C271" s="1" t="n">
        <v>45911</v>
      </c>
      <c r="D271" t="inlineStr">
        <is>
          <t>GÄVLEBORGS LÄN</t>
        </is>
      </c>
      <c r="E271" t="inlineStr">
        <is>
          <t>LJUSDAL</t>
        </is>
      </c>
      <c r="F271" t="inlineStr">
        <is>
          <t>Allmännings- och besparingsskogar</t>
        </is>
      </c>
      <c r="G271" t="n">
        <v>7.3</v>
      </c>
      <c r="H271" t="n">
        <v>0</v>
      </c>
      <c r="I271" t="n">
        <v>0</v>
      </c>
      <c r="J271" t="n">
        <v>2</v>
      </c>
      <c r="K271" t="n">
        <v>0</v>
      </c>
      <c r="L271" t="n">
        <v>0</v>
      </c>
      <c r="M271" t="n">
        <v>0</v>
      </c>
      <c r="N271" t="n">
        <v>0</v>
      </c>
      <c r="O271" t="n">
        <v>2</v>
      </c>
      <c r="P271" t="n">
        <v>0</v>
      </c>
      <c r="Q271" t="n">
        <v>2</v>
      </c>
      <c r="R271" s="2" t="inlineStr">
        <is>
          <t>Garnlav
Vedskivlav</t>
        </is>
      </c>
      <c r="S271">
        <f>HYPERLINK("https://klasma.github.io/Logging_2161/artfynd/A 31740-2025 artfynd.xlsx", "A 31740-2025")</f>
        <v/>
      </c>
      <c r="T271">
        <f>HYPERLINK("https://klasma.github.io/Logging_2161/kartor/A 31740-2025 karta.png", "A 31740-2025")</f>
        <v/>
      </c>
      <c r="V271">
        <f>HYPERLINK("https://klasma.github.io/Logging_2161/klagomål/A 31740-2025 FSC-klagomål.docx", "A 31740-2025")</f>
        <v/>
      </c>
      <c r="W271">
        <f>HYPERLINK("https://klasma.github.io/Logging_2161/klagomålsmail/A 31740-2025 FSC-klagomål mail.docx", "A 31740-2025")</f>
        <v/>
      </c>
      <c r="X271">
        <f>HYPERLINK("https://klasma.github.io/Logging_2161/tillsyn/A 31740-2025 tillsynsbegäran.docx", "A 31740-2025")</f>
        <v/>
      </c>
      <c r="Y271">
        <f>HYPERLINK("https://klasma.github.io/Logging_2161/tillsynsmail/A 31740-2025 tillsynsbegäran mail.docx", "A 31740-2025")</f>
        <v/>
      </c>
    </row>
    <row r="272" ht="15" customHeight="1">
      <c r="A272" t="inlineStr">
        <is>
          <t>A 13727-2025</t>
        </is>
      </c>
      <c r="B272" s="1" t="n">
        <v>45737.38288194445</v>
      </c>
      <c r="C272" s="1" t="n">
        <v>45911</v>
      </c>
      <c r="D272" t="inlineStr">
        <is>
          <t>GÄVLEBORGS LÄN</t>
        </is>
      </c>
      <c r="E272" t="inlineStr">
        <is>
          <t>GÄVLE</t>
        </is>
      </c>
      <c r="F272" t="inlineStr">
        <is>
          <t>Bergvik skog öst AB</t>
        </is>
      </c>
      <c r="G272" t="n">
        <v>7.6</v>
      </c>
      <c r="H272" t="n">
        <v>1</v>
      </c>
      <c r="I272" t="n">
        <v>0</v>
      </c>
      <c r="J272" t="n">
        <v>2</v>
      </c>
      <c r="K272" t="n">
        <v>0</v>
      </c>
      <c r="L272" t="n">
        <v>0</v>
      </c>
      <c r="M272" t="n">
        <v>0</v>
      </c>
      <c r="N272" t="n">
        <v>0</v>
      </c>
      <c r="O272" t="n">
        <v>2</v>
      </c>
      <c r="P272" t="n">
        <v>0</v>
      </c>
      <c r="Q272" t="n">
        <v>2</v>
      </c>
      <c r="R272" s="2" t="inlineStr">
        <is>
          <t>Järpe
Ullticka</t>
        </is>
      </c>
      <c r="S272">
        <f>HYPERLINK("https://klasma.github.io/Logging_2180/artfynd/A 13727-2025 artfynd.xlsx", "A 13727-2025")</f>
        <v/>
      </c>
      <c r="T272">
        <f>HYPERLINK("https://klasma.github.io/Logging_2180/kartor/A 13727-2025 karta.png", "A 13727-2025")</f>
        <v/>
      </c>
      <c r="V272">
        <f>HYPERLINK("https://klasma.github.io/Logging_2180/klagomål/A 13727-2025 FSC-klagomål.docx", "A 13727-2025")</f>
        <v/>
      </c>
      <c r="W272">
        <f>HYPERLINK("https://klasma.github.io/Logging_2180/klagomålsmail/A 13727-2025 FSC-klagomål mail.docx", "A 13727-2025")</f>
        <v/>
      </c>
      <c r="X272">
        <f>HYPERLINK("https://klasma.github.io/Logging_2180/tillsyn/A 13727-2025 tillsynsbegäran.docx", "A 13727-2025")</f>
        <v/>
      </c>
      <c r="Y272">
        <f>HYPERLINK("https://klasma.github.io/Logging_2180/tillsynsmail/A 13727-2025 tillsynsbegäran mail.docx", "A 13727-2025")</f>
        <v/>
      </c>
      <c r="Z272">
        <f>HYPERLINK("https://klasma.github.io/Logging_2180/fåglar/A 13727-2025 prioriterade fågelarter.docx", "A 13727-2025")</f>
        <v/>
      </c>
    </row>
    <row r="273" ht="15" customHeight="1">
      <c r="A273" t="inlineStr">
        <is>
          <t>A 25992-2023</t>
        </is>
      </c>
      <c r="B273" s="1" t="n">
        <v>45090</v>
      </c>
      <c r="C273" s="1" t="n">
        <v>45911</v>
      </c>
      <c r="D273" t="inlineStr">
        <is>
          <t>GÄVLEBORGS LÄN</t>
        </is>
      </c>
      <c r="E273" t="inlineStr">
        <is>
          <t>LJUSDAL</t>
        </is>
      </c>
      <c r="G273" t="n">
        <v>3.8</v>
      </c>
      <c r="H273" t="n">
        <v>2</v>
      </c>
      <c r="I273" t="n">
        <v>0</v>
      </c>
      <c r="J273" t="n">
        <v>0</v>
      </c>
      <c r="K273" t="n">
        <v>0</v>
      </c>
      <c r="L273" t="n">
        <v>0</v>
      </c>
      <c r="M273" t="n">
        <v>0</v>
      </c>
      <c r="N273" t="n">
        <v>0</v>
      </c>
      <c r="O273" t="n">
        <v>0</v>
      </c>
      <c r="P273" t="n">
        <v>0</v>
      </c>
      <c r="Q273" t="n">
        <v>2</v>
      </c>
      <c r="R273" s="2" t="inlineStr">
        <is>
          <t>Järnsparv
Blåsippa</t>
        </is>
      </c>
      <c r="S273">
        <f>HYPERLINK("https://klasma.github.io/Logging_2161/artfynd/A 25992-2023 artfynd.xlsx", "A 25992-2023")</f>
        <v/>
      </c>
      <c r="T273">
        <f>HYPERLINK("https://klasma.github.io/Logging_2161/kartor/A 25992-2023 karta.png", "A 25992-2023")</f>
        <v/>
      </c>
      <c r="V273">
        <f>HYPERLINK("https://klasma.github.io/Logging_2161/klagomål/A 25992-2023 FSC-klagomål.docx", "A 25992-2023")</f>
        <v/>
      </c>
      <c r="W273">
        <f>HYPERLINK("https://klasma.github.io/Logging_2161/klagomålsmail/A 25992-2023 FSC-klagomål mail.docx", "A 25992-2023")</f>
        <v/>
      </c>
      <c r="X273">
        <f>HYPERLINK("https://klasma.github.io/Logging_2161/tillsyn/A 25992-2023 tillsynsbegäran.docx", "A 25992-2023")</f>
        <v/>
      </c>
      <c r="Y273">
        <f>HYPERLINK("https://klasma.github.io/Logging_2161/tillsynsmail/A 25992-2023 tillsynsbegäran mail.docx", "A 25992-2023")</f>
        <v/>
      </c>
      <c r="Z273">
        <f>HYPERLINK("https://klasma.github.io/Logging_2161/fåglar/A 25992-2023 prioriterade fågelarter.docx", "A 25992-2023")</f>
        <v/>
      </c>
    </row>
    <row r="274" ht="15" customHeight="1">
      <c r="A274" t="inlineStr">
        <is>
          <t>A 26325-2023</t>
        </is>
      </c>
      <c r="B274" s="1" t="n">
        <v>45091</v>
      </c>
      <c r="C274" s="1" t="n">
        <v>45911</v>
      </c>
      <c r="D274" t="inlineStr">
        <is>
          <t>GÄVLEBORGS LÄN</t>
        </is>
      </c>
      <c r="E274" t="inlineStr">
        <is>
          <t>NORDANSTIG</t>
        </is>
      </c>
      <c r="F274" t="inlineStr">
        <is>
          <t>Holmen skog AB</t>
        </is>
      </c>
      <c r="G274" t="n">
        <v>9.9</v>
      </c>
      <c r="H274" t="n">
        <v>0</v>
      </c>
      <c r="I274" t="n">
        <v>0</v>
      </c>
      <c r="J274" t="n">
        <v>1</v>
      </c>
      <c r="K274" t="n">
        <v>1</v>
      </c>
      <c r="L274" t="n">
        <v>0</v>
      </c>
      <c r="M274" t="n">
        <v>0</v>
      </c>
      <c r="N274" t="n">
        <v>0</v>
      </c>
      <c r="O274" t="n">
        <v>2</v>
      </c>
      <c r="P274" t="n">
        <v>1</v>
      </c>
      <c r="Q274" t="n">
        <v>2</v>
      </c>
      <c r="R274" s="2" t="inlineStr">
        <is>
          <t>Ringlav
Rosenticka</t>
        </is>
      </c>
      <c r="S274">
        <f>HYPERLINK("https://klasma.github.io/Logging_2132/artfynd/A 26325-2023 artfynd.xlsx", "A 26325-2023")</f>
        <v/>
      </c>
      <c r="T274">
        <f>HYPERLINK("https://klasma.github.io/Logging_2132/kartor/A 26325-2023 karta.png", "A 26325-2023")</f>
        <v/>
      </c>
      <c r="V274">
        <f>HYPERLINK("https://klasma.github.io/Logging_2132/klagomål/A 26325-2023 FSC-klagomål.docx", "A 26325-2023")</f>
        <v/>
      </c>
      <c r="W274">
        <f>HYPERLINK("https://klasma.github.io/Logging_2132/klagomålsmail/A 26325-2023 FSC-klagomål mail.docx", "A 26325-2023")</f>
        <v/>
      </c>
      <c r="X274">
        <f>HYPERLINK("https://klasma.github.io/Logging_2132/tillsyn/A 26325-2023 tillsynsbegäran.docx", "A 26325-2023")</f>
        <v/>
      </c>
      <c r="Y274">
        <f>HYPERLINK("https://klasma.github.io/Logging_2132/tillsynsmail/A 26325-2023 tillsynsbegäran mail.docx", "A 26325-2023")</f>
        <v/>
      </c>
    </row>
    <row r="275" ht="15" customHeight="1">
      <c r="A275" t="inlineStr">
        <is>
          <t>A 38088-2025</t>
        </is>
      </c>
      <c r="B275" s="1" t="n">
        <v>45882.47858796296</v>
      </c>
      <c r="C275" s="1" t="n">
        <v>45911</v>
      </c>
      <c r="D275" t="inlineStr">
        <is>
          <t>GÄVLEBORGS LÄN</t>
        </is>
      </c>
      <c r="E275" t="inlineStr">
        <is>
          <t>LJUSDAL</t>
        </is>
      </c>
      <c r="F275" t="inlineStr">
        <is>
          <t>Sveaskog</t>
        </is>
      </c>
      <c r="G275" t="n">
        <v>3</v>
      </c>
      <c r="H275" t="n">
        <v>0</v>
      </c>
      <c r="I275" t="n">
        <v>0</v>
      </c>
      <c r="J275" t="n">
        <v>2</v>
      </c>
      <c r="K275" t="n">
        <v>0</v>
      </c>
      <c r="L275" t="n">
        <v>0</v>
      </c>
      <c r="M275" t="n">
        <v>0</v>
      </c>
      <c r="N275" t="n">
        <v>0</v>
      </c>
      <c r="O275" t="n">
        <v>2</v>
      </c>
      <c r="P275" t="n">
        <v>0</v>
      </c>
      <c r="Q275" t="n">
        <v>2</v>
      </c>
      <c r="R275" s="2" t="inlineStr">
        <is>
          <t>Kolflarnlav
Vedflamlav</t>
        </is>
      </c>
      <c r="S275">
        <f>HYPERLINK("https://klasma.github.io/Logging_2161/artfynd/A 38088-2025 artfynd.xlsx", "A 38088-2025")</f>
        <v/>
      </c>
      <c r="T275">
        <f>HYPERLINK("https://klasma.github.io/Logging_2161/kartor/A 38088-2025 karta.png", "A 38088-2025")</f>
        <v/>
      </c>
      <c r="V275">
        <f>HYPERLINK("https://klasma.github.io/Logging_2161/klagomål/A 38088-2025 FSC-klagomål.docx", "A 38088-2025")</f>
        <v/>
      </c>
      <c r="W275">
        <f>HYPERLINK("https://klasma.github.io/Logging_2161/klagomålsmail/A 38088-2025 FSC-klagomål mail.docx", "A 38088-2025")</f>
        <v/>
      </c>
      <c r="X275">
        <f>HYPERLINK("https://klasma.github.io/Logging_2161/tillsyn/A 38088-2025 tillsynsbegäran.docx", "A 38088-2025")</f>
        <v/>
      </c>
      <c r="Y275">
        <f>HYPERLINK("https://klasma.github.io/Logging_2161/tillsynsmail/A 38088-2025 tillsynsbegäran mail.docx", "A 38088-2025")</f>
        <v/>
      </c>
    </row>
    <row r="276" ht="15" customHeight="1">
      <c r="A276" t="inlineStr">
        <is>
          <t>A 38196-2025</t>
        </is>
      </c>
      <c r="B276" s="1" t="n">
        <v>45882.66326388889</v>
      </c>
      <c r="C276" s="1" t="n">
        <v>45911</v>
      </c>
      <c r="D276" t="inlineStr">
        <is>
          <t>GÄVLEBORGS LÄN</t>
        </is>
      </c>
      <c r="E276" t="inlineStr">
        <is>
          <t>LJUSDAL</t>
        </is>
      </c>
      <c r="F276" t="inlineStr">
        <is>
          <t>Sveaskog</t>
        </is>
      </c>
      <c r="G276" t="n">
        <v>19.3</v>
      </c>
      <c r="H276" t="n">
        <v>0</v>
      </c>
      <c r="I276" t="n">
        <v>0</v>
      </c>
      <c r="J276" t="n">
        <v>2</v>
      </c>
      <c r="K276" t="n">
        <v>0</v>
      </c>
      <c r="L276" t="n">
        <v>0</v>
      </c>
      <c r="M276" t="n">
        <v>0</v>
      </c>
      <c r="N276" t="n">
        <v>0</v>
      </c>
      <c r="O276" t="n">
        <v>2</v>
      </c>
      <c r="P276" t="n">
        <v>0</v>
      </c>
      <c r="Q276" t="n">
        <v>2</v>
      </c>
      <c r="R276" s="2" t="inlineStr">
        <is>
          <t>Garnlav
Kortskaftad ärgspik</t>
        </is>
      </c>
      <c r="S276">
        <f>HYPERLINK("https://klasma.github.io/Logging_2161/artfynd/A 38196-2025 artfynd.xlsx", "A 38196-2025")</f>
        <v/>
      </c>
      <c r="T276">
        <f>HYPERLINK("https://klasma.github.io/Logging_2161/kartor/A 38196-2025 karta.png", "A 38196-2025")</f>
        <v/>
      </c>
      <c r="V276">
        <f>HYPERLINK("https://klasma.github.io/Logging_2161/klagomål/A 38196-2025 FSC-klagomål.docx", "A 38196-2025")</f>
        <v/>
      </c>
      <c r="W276">
        <f>HYPERLINK("https://klasma.github.io/Logging_2161/klagomålsmail/A 38196-2025 FSC-klagomål mail.docx", "A 38196-2025")</f>
        <v/>
      </c>
      <c r="X276">
        <f>HYPERLINK("https://klasma.github.io/Logging_2161/tillsyn/A 38196-2025 tillsynsbegäran.docx", "A 38196-2025")</f>
        <v/>
      </c>
      <c r="Y276">
        <f>HYPERLINK("https://klasma.github.io/Logging_2161/tillsynsmail/A 38196-2025 tillsynsbegäran mail.docx", "A 38196-2025")</f>
        <v/>
      </c>
    </row>
    <row r="277" ht="15" customHeight="1">
      <c r="A277" t="inlineStr">
        <is>
          <t>A 38084-2025</t>
        </is>
      </c>
      <c r="B277" s="1" t="n">
        <v>45882</v>
      </c>
      <c r="C277" s="1" t="n">
        <v>45911</v>
      </c>
      <c r="D277" t="inlineStr">
        <is>
          <t>GÄVLEBORGS LÄN</t>
        </is>
      </c>
      <c r="E277" t="inlineStr">
        <is>
          <t>LJUSDAL</t>
        </is>
      </c>
      <c r="F277" t="inlineStr">
        <is>
          <t>Sveaskog</t>
        </is>
      </c>
      <c r="G277" t="n">
        <v>2.2</v>
      </c>
      <c r="H277" t="n">
        <v>0</v>
      </c>
      <c r="I277" t="n">
        <v>0</v>
      </c>
      <c r="J277" t="n">
        <v>2</v>
      </c>
      <c r="K277" t="n">
        <v>0</v>
      </c>
      <c r="L277" t="n">
        <v>0</v>
      </c>
      <c r="M277" t="n">
        <v>0</v>
      </c>
      <c r="N277" t="n">
        <v>0</v>
      </c>
      <c r="O277" t="n">
        <v>2</v>
      </c>
      <c r="P277" t="n">
        <v>0</v>
      </c>
      <c r="Q277" t="n">
        <v>2</v>
      </c>
      <c r="R277" s="2" t="inlineStr">
        <is>
          <t>Kolflarnlav
Vedflamlav</t>
        </is>
      </c>
      <c r="S277">
        <f>HYPERLINK("https://klasma.github.io/Logging_2161/artfynd/A 38084-2025 artfynd.xlsx", "A 38084-2025")</f>
        <v/>
      </c>
      <c r="T277">
        <f>HYPERLINK("https://klasma.github.io/Logging_2161/kartor/A 38084-2025 karta.png", "A 38084-2025")</f>
        <v/>
      </c>
      <c r="V277">
        <f>HYPERLINK("https://klasma.github.io/Logging_2161/klagomål/A 38084-2025 FSC-klagomål.docx", "A 38084-2025")</f>
        <v/>
      </c>
      <c r="W277">
        <f>HYPERLINK("https://klasma.github.io/Logging_2161/klagomålsmail/A 38084-2025 FSC-klagomål mail.docx", "A 38084-2025")</f>
        <v/>
      </c>
      <c r="X277">
        <f>HYPERLINK("https://klasma.github.io/Logging_2161/tillsyn/A 38084-2025 tillsynsbegäran.docx", "A 38084-2025")</f>
        <v/>
      </c>
      <c r="Y277">
        <f>HYPERLINK("https://klasma.github.io/Logging_2161/tillsynsmail/A 38084-2025 tillsynsbegäran mail.docx", "A 38084-2025")</f>
        <v/>
      </c>
    </row>
    <row r="278" ht="15" customHeight="1">
      <c r="A278" t="inlineStr">
        <is>
          <t>A 38035-2025</t>
        </is>
      </c>
      <c r="B278" s="1" t="n">
        <v>45882.3721875</v>
      </c>
      <c r="C278" s="1" t="n">
        <v>45911</v>
      </c>
      <c r="D278" t="inlineStr">
        <is>
          <t>GÄVLEBORGS LÄN</t>
        </is>
      </c>
      <c r="E278" t="inlineStr">
        <is>
          <t>OCKELBO</t>
        </is>
      </c>
      <c r="F278" t="inlineStr">
        <is>
          <t>Bergvik skog väst AB</t>
        </is>
      </c>
      <c r="G278" t="n">
        <v>6.5</v>
      </c>
      <c r="H278" t="n">
        <v>0</v>
      </c>
      <c r="I278" t="n">
        <v>2</v>
      </c>
      <c r="J278" t="n">
        <v>0</v>
      </c>
      <c r="K278" t="n">
        <v>0</v>
      </c>
      <c r="L278" t="n">
        <v>0</v>
      </c>
      <c r="M278" t="n">
        <v>0</v>
      </c>
      <c r="N278" t="n">
        <v>0</v>
      </c>
      <c r="O278" t="n">
        <v>0</v>
      </c>
      <c r="P278" t="n">
        <v>0</v>
      </c>
      <c r="Q278" t="n">
        <v>2</v>
      </c>
      <c r="R278" s="2" t="inlineStr">
        <is>
          <t>Blomkålssvamp
Grönpyrola</t>
        </is>
      </c>
      <c r="S278">
        <f>HYPERLINK("https://klasma.github.io/Logging_2101/artfynd/A 38035-2025 artfynd.xlsx", "A 38035-2025")</f>
        <v/>
      </c>
      <c r="T278">
        <f>HYPERLINK("https://klasma.github.io/Logging_2101/kartor/A 38035-2025 karta.png", "A 38035-2025")</f>
        <v/>
      </c>
      <c r="V278">
        <f>HYPERLINK("https://klasma.github.io/Logging_2101/klagomål/A 38035-2025 FSC-klagomål.docx", "A 38035-2025")</f>
        <v/>
      </c>
      <c r="W278">
        <f>HYPERLINK("https://klasma.github.io/Logging_2101/klagomålsmail/A 38035-2025 FSC-klagomål mail.docx", "A 38035-2025")</f>
        <v/>
      </c>
      <c r="X278">
        <f>HYPERLINK("https://klasma.github.io/Logging_2101/tillsyn/A 38035-2025 tillsynsbegäran.docx", "A 38035-2025")</f>
        <v/>
      </c>
      <c r="Y278">
        <f>HYPERLINK("https://klasma.github.io/Logging_2101/tillsynsmail/A 38035-2025 tillsynsbegäran mail.docx", "A 38035-2025")</f>
        <v/>
      </c>
    </row>
    <row r="279" ht="15" customHeight="1">
      <c r="A279" t="inlineStr">
        <is>
          <t>A 33332-2025</t>
        </is>
      </c>
      <c r="B279" s="1" t="n">
        <v>45841.35319444445</v>
      </c>
      <c r="C279" s="1" t="n">
        <v>45911</v>
      </c>
      <c r="D279" t="inlineStr">
        <is>
          <t>GÄVLEBORGS LÄN</t>
        </is>
      </c>
      <c r="E279" t="inlineStr">
        <is>
          <t>LJUSDAL</t>
        </is>
      </c>
      <c r="F279" t="inlineStr">
        <is>
          <t>Sveaskog</t>
        </is>
      </c>
      <c r="G279" t="n">
        <v>22.3</v>
      </c>
      <c r="H279" t="n">
        <v>1</v>
      </c>
      <c r="I279" t="n">
        <v>0</v>
      </c>
      <c r="J279" t="n">
        <v>1</v>
      </c>
      <c r="K279" t="n">
        <v>0</v>
      </c>
      <c r="L279" t="n">
        <v>0</v>
      </c>
      <c r="M279" t="n">
        <v>0</v>
      </c>
      <c r="N279" t="n">
        <v>0</v>
      </c>
      <c r="O279" t="n">
        <v>1</v>
      </c>
      <c r="P279" t="n">
        <v>0</v>
      </c>
      <c r="Q279" t="n">
        <v>2</v>
      </c>
      <c r="R279" s="2" t="inlineStr">
        <is>
          <t>Lunglav
Fläcknycklar</t>
        </is>
      </c>
      <c r="S279">
        <f>HYPERLINK("https://klasma.github.io/Logging_2161/artfynd/A 33332-2025 artfynd.xlsx", "A 33332-2025")</f>
        <v/>
      </c>
      <c r="T279">
        <f>HYPERLINK("https://klasma.github.io/Logging_2161/kartor/A 33332-2025 karta.png", "A 33332-2025")</f>
        <v/>
      </c>
      <c r="V279">
        <f>HYPERLINK("https://klasma.github.io/Logging_2161/klagomål/A 33332-2025 FSC-klagomål.docx", "A 33332-2025")</f>
        <v/>
      </c>
      <c r="W279">
        <f>HYPERLINK("https://klasma.github.io/Logging_2161/klagomålsmail/A 33332-2025 FSC-klagomål mail.docx", "A 33332-2025")</f>
        <v/>
      </c>
      <c r="X279">
        <f>HYPERLINK("https://klasma.github.io/Logging_2161/tillsyn/A 33332-2025 tillsynsbegäran.docx", "A 33332-2025")</f>
        <v/>
      </c>
      <c r="Y279">
        <f>HYPERLINK("https://klasma.github.io/Logging_2161/tillsynsmail/A 33332-2025 tillsynsbegäran mail.docx", "A 33332-2025")</f>
        <v/>
      </c>
    </row>
    <row r="280" ht="15" customHeight="1">
      <c r="A280" t="inlineStr">
        <is>
          <t>A 33367-2025</t>
        </is>
      </c>
      <c r="B280" s="1" t="n">
        <v>45841.38859953704</v>
      </c>
      <c r="C280" s="1" t="n">
        <v>45911</v>
      </c>
      <c r="D280" t="inlineStr">
        <is>
          <t>GÄVLEBORGS LÄN</t>
        </is>
      </c>
      <c r="E280" t="inlineStr">
        <is>
          <t>OCKELBO</t>
        </is>
      </c>
      <c r="G280" t="n">
        <v>1.7</v>
      </c>
      <c r="H280" t="n">
        <v>1</v>
      </c>
      <c r="I280" t="n">
        <v>0</v>
      </c>
      <c r="J280" t="n">
        <v>1</v>
      </c>
      <c r="K280" t="n">
        <v>0</v>
      </c>
      <c r="L280" t="n">
        <v>0</v>
      </c>
      <c r="M280" t="n">
        <v>0</v>
      </c>
      <c r="N280" t="n">
        <v>0</v>
      </c>
      <c r="O280" t="n">
        <v>1</v>
      </c>
      <c r="P280" t="n">
        <v>0</v>
      </c>
      <c r="Q280" t="n">
        <v>2</v>
      </c>
      <c r="R280" s="2" t="inlineStr">
        <is>
          <t>Vedskivlav
Tjäder</t>
        </is>
      </c>
      <c r="S280">
        <f>HYPERLINK("https://klasma.github.io/Logging_2101/artfynd/A 33367-2025 artfynd.xlsx", "A 33367-2025")</f>
        <v/>
      </c>
      <c r="T280">
        <f>HYPERLINK("https://klasma.github.io/Logging_2101/kartor/A 33367-2025 karta.png", "A 33367-2025")</f>
        <v/>
      </c>
      <c r="V280">
        <f>HYPERLINK("https://klasma.github.io/Logging_2101/klagomål/A 33367-2025 FSC-klagomål.docx", "A 33367-2025")</f>
        <v/>
      </c>
      <c r="W280">
        <f>HYPERLINK("https://klasma.github.io/Logging_2101/klagomålsmail/A 33367-2025 FSC-klagomål mail.docx", "A 33367-2025")</f>
        <v/>
      </c>
      <c r="X280">
        <f>HYPERLINK("https://klasma.github.io/Logging_2101/tillsyn/A 33367-2025 tillsynsbegäran.docx", "A 33367-2025")</f>
        <v/>
      </c>
      <c r="Y280">
        <f>HYPERLINK("https://klasma.github.io/Logging_2101/tillsynsmail/A 33367-2025 tillsynsbegäran mail.docx", "A 33367-2025")</f>
        <v/>
      </c>
      <c r="Z280">
        <f>HYPERLINK("https://klasma.github.io/Logging_2101/fåglar/A 33367-2025 prioriterade fågelarter.docx", "A 33367-2025")</f>
        <v/>
      </c>
    </row>
    <row r="281" ht="15" customHeight="1">
      <c r="A281" t="inlineStr">
        <is>
          <t>A 38564-2025</t>
        </is>
      </c>
      <c r="B281" s="1" t="n">
        <v>45884.44935185185</v>
      </c>
      <c r="C281" s="1" t="n">
        <v>45911</v>
      </c>
      <c r="D281" t="inlineStr">
        <is>
          <t>GÄVLEBORGS LÄN</t>
        </is>
      </c>
      <c r="E281" t="inlineStr">
        <is>
          <t>GÄVLE</t>
        </is>
      </c>
      <c r="F281" t="inlineStr">
        <is>
          <t>Bergvik skog öst AB</t>
        </is>
      </c>
      <c r="G281" t="n">
        <v>2.8</v>
      </c>
      <c r="H281" t="n">
        <v>1</v>
      </c>
      <c r="I281" t="n">
        <v>1</v>
      </c>
      <c r="J281" t="n">
        <v>1</v>
      </c>
      <c r="K281" t="n">
        <v>0</v>
      </c>
      <c r="L281" t="n">
        <v>0</v>
      </c>
      <c r="M281" t="n">
        <v>0</v>
      </c>
      <c r="N281" t="n">
        <v>0</v>
      </c>
      <c r="O281" t="n">
        <v>1</v>
      </c>
      <c r="P281" t="n">
        <v>0</v>
      </c>
      <c r="Q281" t="n">
        <v>2</v>
      </c>
      <c r="R281" s="2" t="inlineStr">
        <is>
          <t>Spillkråka
Vårärt</t>
        </is>
      </c>
      <c r="S281">
        <f>HYPERLINK("https://klasma.github.io/Logging_2180/artfynd/A 38564-2025 artfynd.xlsx", "A 38564-2025")</f>
        <v/>
      </c>
      <c r="T281">
        <f>HYPERLINK("https://klasma.github.io/Logging_2180/kartor/A 38564-2025 karta.png", "A 38564-2025")</f>
        <v/>
      </c>
      <c r="V281">
        <f>HYPERLINK("https://klasma.github.io/Logging_2180/klagomål/A 38564-2025 FSC-klagomål.docx", "A 38564-2025")</f>
        <v/>
      </c>
      <c r="W281">
        <f>HYPERLINK("https://klasma.github.io/Logging_2180/klagomålsmail/A 38564-2025 FSC-klagomål mail.docx", "A 38564-2025")</f>
        <v/>
      </c>
      <c r="X281">
        <f>HYPERLINK("https://klasma.github.io/Logging_2180/tillsyn/A 38564-2025 tillsynsbegäran.docx", "A 38564-2025")</f>
        <v/>
      </c>
      <c r="Y281">
        <f>HYPERLINK("https://klasma.github.io/Logging_2180/tillsynsmail/A 38564-2025 tillsynsbegäran mail.docx", "A 38564-2025")</f>
        <v/>
      </c>
      <c r="Z281">
        <f>HYPERLINK("https://klasma.github.io/Logging_2180/fåglar/A 38564-2025 prioriterade fågelarter.docx", "A 38564-2025")</f>
        <v/>
      </c>
    </row>
    <row r="282" ht="15" customHeight="1">
      <c r="A282" t="inlineStr">
        <is>
          <t>A 39889-2024</t>
        </is>
      </c>
      <c r="B282" s="1" t="n">
        <v>45553</v>
      </c>
      <c r="C282" s="1" t="n">
        <v>45911</v>
      </c>
      <c r="D282" t="inlineStr">
        <is>
          <t>GÄVLEBORGS LÄN</t>
        </is>
      </c>
      <c r="E282" t="inlineStr">
        <is>
          <t>LJUSDAL</t>
        </is>
      </c>
      <c r="F282" t="inlineStr">
        <is>
          <t>Sveaskog</t>
        </is>
      </c>
      <c r="G282" t="n">
        <v>1.5</v>
      </c>
      <c r="H282" t="n">
        <v>1</v>
      </c>
      <c r="I282" t="n">
        <v>0</v>
      </c>
      <c r="J282" t="n">
        <v>1</v>
      </c>
      <c r="K282" t="n">
        <v>1</v>
      </c>
      <c r="L282" t="n">
        <v>0</v>
      </c>
      <c r="M282" t="n">
        <v>0</v>
      </c>
      <c r="N282" t="n">
        <v>0</v>
      </c>
      <c r="O282" t="n">
        <v>2</v>
      </c>
      <c r="P282" t="n">
        <v>1</v>
      </c>
      <c r="Q282" t="n">
        <v>2</v>
      </c>
      <c r="R282" s="2" t="inlineStr">
        <is>
          <t>Knärot
Ullticka</t>
        </is>
      </c>
      <c r="S282">
        <f>HYPERLINK("https://klasma.github.io/Logging_2161/artfynd/A 39889-2024 artfynd.xlsx", "A 39889-2024")</f>
        <v/>
      </c>
      <c r="T282">
        <f>HYPERLINK("https://klasma.github.io/Logging_2161/kartor/A 39889-2024 karta.png", "A 39889-2024")</f>
        <v/>
      </c>
      <c r="U282">
        <f>HYPERLINK("https://klasma.github.io/Logging_2161/knärot/A 39889-2024 karta knärot.png", "A 39889-2024")</f>
        <v/>
      </c>
      <c r="V282">
        <f>HYPERLINK("https://klasma.github.io/Logging_2161/klagomål/A 39889-2024 FSC-klagomål.docx", "A 39889-2024")</f>
        <v/>
      </c>
      <c r="W282">
        <f>HYPERLINK("https://klasma.github.io/Logging_2161/klagomålsmail/A 39889-2024 FSC-klagomål mail.docx", "A 39889-2024")</f>
        <v/>
      </c>
      <c r="X282">
        <f>HYPERLINK("https://klasma.github.io/Logging_2161/tillsyn/A 39889-2024 tillsynsbegäran.docx", "A 39889-2024")</f>
        <v/>
      </c>
      <c r="Y282">
        <f>HYPERLINK("https://klasma.github.io/Logging_2161/tillsynsmail/A 39889-2024 tillsynsbegäran mail.docx", "A 39889-2024")</f>
        <v/>
      </c>
    </row>
    <row r="283" ht="15" customHeight="1">
      <c r="A283" t="inlineStr">
        <is>
          <t>A 38698-2025</t>
        </is>
      </c>
      <c r="B283" s="1" t="n">
        <v>45884.78145833333</v>
      </c>
      <c r="C283" s="1" t="n">
        <v>45911</v>
      </c>
      <c r="D283" t="inlineStr">
        <is>
          <t>GÄVLEBORGS LÄN</t>
        </is>
      </c>
      <c r="E283" t="inlineStr">
        <is>
          <t>LJUSDAL</t>
        </is>
      </c>
      <c r="F283" t="inlineStr">
        <is>
          <t>Sveaskog</t>
        </is>
      </c>
      <c r="G283" t="n">
        <v>6.4</v>
      </c>
      <c r="H283" t="n">
        <v>1</v>
      </c>
      <c r="I283" t="n">
        <v>0</v>
      </c>
      <c r="J283" t="n">
        <v>1</v>
      </c>
      <c r="K283" t="n">
        <v>0</v>
      </c>
      <c r="L283" t="n">
        <v>0</v>
      </c>
      <c r="M283" t="n">
        <v>0</v>
      </c>
      <c r="N283" t="n">
        <v>0</v>
      </c>
      <c r="O283" t="n">
        <v>1</v>
      </c>
      <c r="P283" t="n">
        <v>0</v>
      </c>
      <c r="Q283" t="n">
        <v>2</v>
      </c>
      <c r="R283" s="2" t="inlineStr">
        <is>
          <t>Skrovellav
Fläcknycklar</t>
        </is>
      </c>
      <c r="S283">
        <f>HYPERLINK("https://klasma.github.io/Logging_2161/artfynd/A 38698-2025 artfynd.xlsx", "A 38698-2025")</f>
        <v/>
      </c>
      <c r="T283">
        <f>HYPERLINK("https://klasma.github.io/Logging_2161/kartor/A 38698-2025 karta.png", "A 38698-2025")</f>
        <v/>
      </c>
      <c r="V283">
        <f>HYPERLINK("https://klasma.github.io/Logging_2161/klagomål/A 38698-2025 FSC-klagomål.docx", "A 38698-2025")</f>
        <v/>
      </c>
      <c r="W283">
        <f>HYPERLINK("https://klasma.github.io/Logging_2161/klagomålsmail/A 38698-2025 FSC-klagomål mail.docx", "A 38698-2025")</f>
        <v/>
      </c>
      <c r="X283">
        <f>HYPERLINK("https://klasma.github.io/Logging_2161/tillsyn/A 38698-2025 tillsynsbegäran.docx", "A 38698-2025")</f>
        <v/>
      </c>
      <c r="Y283">
        <f>HYPERLINK("https://klasma.github.io/Logging_2161/tillsynsmail/A 38698-2025 tillsynsbegäran mail.docx", "A 38698-2025")</f>
        <v/>
      </c>
    </row>
    <row r="284" ht="15" customHeight="1">
      <c r="A284" t="inlineStr">
        <is>
          <t>A 39528-2021</t>
        </is>
      </c>
      <c r="B284" s="1" t="n">
        <v>44415</v>
      </c>
      <c r="C284" s="1" t="n">
        <v>45911</v>
      </c>
      <c r="D284" t="inlineStr">
        <is>
          <t>GÄVLEBORGS LÄN</t>
        </is>
      </c>
      <c r="E284" t="inlineStr">
        <is>
          <t>HUDIKSVALL</t>
        </is>
      </c>
      <c r="G284" t="n">
        <v>5.2</v>
      </c>
      <c r="H284" t="n">
        <v>1</v>
      </c>
      <c r="I284" t="n">
        <v>1</v>
      </c>
      <c r="J284" t="n">
        <v>0</v>
      </c>
      <c r="K284" t="n">
        <v>1</v>
      </c>
      <c r="L284" t="n">
        <v>0</v>
      </c>
      <c r="M284" t="n">
        <v>0</v>
      </c>
      <c r="N284" t="n">
        <v>0</v>
      </c>
      <c r="O284" t="n">
        <v>1</v>
      </c>
      <c r="P284" t="n">
        <v>1</v>
      </c>
      <c r="Q284" t="n">
        <v>2</v>
      </c>
      <c r="R284" s="2" t="inlineStr">
        <is>
          <t>Knärot
Stuplav</t>
        </is>
      </c>
      <c r="S284">
        <f>HYPERLINK("https://klasma.github.io/Logging_2184/artfynd/A 39528-2021 artfynd.xlsx", "A 39528-2021")</f>
        <v/>
      </c>
      <c r="T284">
        <f>HYPERLINK("https://klasma.github.io/Logging_2184/kartor/A 39528-2021 karta.png", "A 39528-2021")</f>
        <v/>
      </c>
      <c r="U284">
        <f>HYPERLINK("https://klasma.github.io/Logging_2184/knärot/A 39528-2021 karta knärot.png", "A 39528-2021")</f>
        <v/>
      </c>
      <c r="V284">
        <f>HYPERLINK("https://klasma.github.io/Logging_2184/klagomål/A 39528-2021 FSC-klagomål.docx", "A 39528-2021")</f>
        <v/>
      </c>
      <c r="W284">
        <f>HYPERLINK("https://klasma.github.io/Logging_2184/klagomålsmail/A 39528-2021 FSC-klagomål mail.docx", "A 39528-2021")</f>
        <v/>
      </c>
      <c r="X284">
        <f>HYPERLINK("https://klasma.github.io/Logging_2184/tillsyn/A 39528-2021 tillsynsbegäran.docx", "A 39528-2021")</f>
        <v/>
      </c>
      <c r="Y284">
        <f>HYPERLINK("https://klasma.github.io/Logging_2184/tillsynsmail/A 39528-2021 tillsynsbegäran mail.docx", "A 39528-2021")</f>
        <v/>
      </c>
    </row>
    <row r="285" ht="15" customHeight="1">
      <c r="A285" t="inlineStr">
        <is>
          <t>A 26527-2023</t>
        </is>
      </c>
      <c r="B285" s="1" t="n">
        <v>45092.56577546296</v>
      </c>
      <c r="C285" s="1" t="n">
        <v>45911</v>
      </c>
      <c r="D285" t="inlineStr">
        <is>
          <t>GÄVLEBORGS LÄN</t>
        </is>
      </c>
      <c r="E285" t="inlineStr">
        <is>
          <t>LJUSDAL</t>
        </is>
      </c>
      <c r="F285" t="inlineStr">
        <is>
          <t>Sveaskog</t>
        </is>
      </c>
      <c r="G285" t="n">
        <v>2.8</v>
      </c>
      <c r="H285" t="n">
        <v>0</v>
      </c>
      <c r="I285" t="n">
        <v>1</v>
      </c>
      <c r="J285" t="n">
        <v>1</v>
      </c>
      <c r="K285" t="n">
        <v>0</v>
      </c>
      <c r="L285" t="n">
        <v>0</v>
      </c>
      <c r="M285" t="n">
        <v>0</v>
      </c>
      <c r="N285" t="n">
        <v>0</v>
      </c>
      <c r="O285" t="n">
        <v>1</v>
      </c>
      <c r="P285" t="n">
        <v>0</v>
      </c>
      <c r="Q285" t="n">
        <v>2</v>
      </c>
      <c r="R285" s="2" t="inlineStr">
        <is>
          <t>Garnlav
Stuplav</t>
        </is>
      </c>
      <c r="S285">
        <f>HYPERLINK("https://klasma.github.io/Logging_2161/artfynd/A 26527-2023 artfynd.xlsx", "A 26527-2023")</f>
        <v/>
      </c>
      <c r="T285">
        <f>HYPERLINK("https://klasma.github.io/Logging_2161/kartor/A 26527-2023 karta.png", "A 26527-2023")</f>
        <v/>
      </c>
      <c r="V285">
        <f>HYPERLINK("https://klasma.github.io/Logging_2161/klagomål/A 26527-2023 FSC-klagomål.docx", "A 26527-2023")</f>
        <v/>
      </c>
      <c r="W285">
        <f>HYPERLINK("https://klasma.github.io/Logging_2161/klagomålsmail/A 26527-2023 FSC-klagomål mail.docx", "A 26527-2023")</f>
        <v/>
      </c>
      <c r="X285">
        <f>HYPERLINK("https://klasma.github.io/Logging_2161/tillsyn/A 26527-2023 tillsynsbegäran.docx", "A 26527-2023")</f>
        <v/>
      </c>
      <c r="Y285">
        <f>HYPERLINK("https://klasma.github.io/Logging_2161/tillsynsmail/A 26527-2023 tillsynsbegäran mail.docx", "A 26527-2023")</f>
        <v/>
      </c>
    </row>
    <row r="286" ht="15" customHeight="1">
      <c r="A286" t="inlineStr">
        <is>
          <t>A 20710-2023</t>
        </is>
      </c>
      <c r="B286" s="1" t="n">
        <v>45058</v>
      </c>
      <c r="C286" s="1" t="n">
        <v>45911</v>
      </c>
      <c r="D286" t="inlineStr">
        <is>
          <t>GÄVLEBORGS LÄN</t>
        </is>
      </c>
      <c r="E286" t="inlineStr">
        <is>
          <t>BOLLNÄS</t>
        </is>
      </c>
      <c r="G286" t="n">
        <v>8.800000000000001</v>
      </c>
      <c r="H286" t="n">
        <v>2</v>
      </c>
      <c r="I286" t="n">
        <v>0</v>
      </c>
      <c r="J286" t="n">
        <v>0</v>
      </c>
      <c r="K286" t="n">
        <v>1</v>
      </c>
      <c r="L286" t="n">
        <v>0</v>
      </c>
      <c r="M286" t="n">
        <v>0</v>
      </c>
      <c r="N286" t="n">
        <v>0</v>
      </c>
      <c r="O286" t="n">
        <v>1</v>
      </c>
      <c r="P286" t="n">
        <v>1</v>
      </c>
      <c r="Q286" t="n">
        <v>2</v>
      </c>
      <c r="R286" s="2" t="inlineStr">
        <is>
          <t>Knärot
Lavskrika</t>
        </is>
      </c>
      <c r="S286">
        <f>HYPERLINK("https://klasma.github.io/Logging_2183/artfynd/A 20710-2023 artfynd.xlsx", "A 20710-2023")</f>
        <v/>
      </c>
      <c r="T286">
        <f>HYPERLINK("https://klasma.github.io/Logging_2183/kartor/A 20710-2023 karta.png", "A 20710-2023")</f>
        <v/>
      </c>
      <c r="U286">
        <f>HYPERLINK("https://klasma.github.io/Logging_2183/knärot/A 20710-2023 karta knärot.png", "A 20710-2023")</f>
        <v/>
      </c>
      <c r="V286">
        <f>HYPERLINK("https://klasma.github.io/Logging_2183/klagomål/A 20710-2023 FSC-klagomål.docx", "A 20710-2023")</f>
        <v/>
      </c>
      <c r="W286">
        <f>HYPERLINK("https://klasma.github.io/Logging_2183/klagomålsmail/A 20710-2023 FSC-klagomål mail.docx", "A 20710-2023")</f>
        <v/>
      </c>
      <c r="X286">
        <f>HYPERLINK("https://klasma.github.io/Logging_2183/tillsyn/A 20710-2023 tillsynsbegäran.docx", "A 20710-2023")</f>
        <v/>
      </c>
      <c r="Y286">
        <f>HYPERLINK("https://klasma.github.io/Logging_2183/tillsynsmail/A 20710-2023 tillsynsbegäran mail.docx", "A 20710-2023")</f>
        <v/>
      </c>
      <c r="Z286">
        <f>HYPERLINK("https://klasma.github.io/Logging_2183/fåglar/A 20710-2023 prioriterade fågelarter.docx", "A 20710-2023")</f>
        <v/>
      </c>
    </row>
    <row r="287" ht="15" customHeight="1">
      <c r="A287" t="inlineStr">
        <is>
          <t>A 2857-2025</t>
        </is>
      </c>
      <c r="B287" s="1" t="n">
        <v>45677.66832175926</v>
      </c>
      <c r="C287" s="1" t="n">
        <v>45911</v>
      </c>
      <c r="D287" t="inlineStr">
        <is>
          <t>GÄVLEBORGS LÄN</t>
        </is>
      </c>
      <c r="E287" t="inlineStr">
        <is>
          <t>SANDVIKEN</t>
        </is>
      </c>
      <c r="G287" t="n">
        <v>1.3</v>
      </c>
      <c r="H287" t="n">
        <v>0</v>
      </c>
      <c r="I287" t="n">
        <v>2</v>
      </c>
      <c r="J287" t="n">
        <v>0</v>
      </c>
      <c r="K287" t="n">
        <v>0</v>
      </c>
      <c r="L287" t="n">
        <v>0</v>
      </c>
      <c r="M287" t="n">
        <v>0</v>
      </c>
      <c r="N287" t="n">
        <v>0</v>
      </c>
      <c r="O287" t="n">
        <v>0</v>
      </c>
      <c r="P287" t="n">
        <v>0</v>
      </c>
      <c r="Q287" t="n">
        <v>2</v>
      </c>
      <c r="R287" s="2" t="inlineStr">
        <is>
          <t>Bronshjon
Thomsons trägnagare</t>
        </is>
      </c>
      <c r="S287">
        <f>HYPERLINK("https://klasma.github.io/Logging_2181/artfynd/A 2857-2025 artfynd.xlsx", "A 2857-2025")</f>
        <v/>
      </c>
      <c r="T287">
        <f>HYPERLINK("https://klasma.github.io/Logging_2181/kartor/A 2857-2025 karta.png", "A 2857-2025")</f>
        <v/>
      </c>
      <c r="V287">
        <f>HYPERLINK("https://klasma.github.io/Logging_2181/klagomål/A 2857-2025 FSC-klagomål.docx", "A 2857-2025")</f>
        <v/>
      </c>
      <c r="W287">
        <f>HYPERLINK("https://klasma.github.io/Logging_2181/klagomålsmail/A 2857-2025 FSC-klagomål mail.docx", "A 2857-2025")</f>
        <v/>
      </c>
      <c r="X287">
        <f>HYPERLINK("https://klasma.github.io/Logging_2181/tillsyn/A 2857-2025 tillsynsbegäran.docx", "A 2857-2025")</f>
        <v/>
      </c>
      <c r="Y287">
        <f>HYPERLINK("https://klasma.github.io/Logging_2181/tillsynsmail/A 2857-2025 tillsynsbegäran mail.docx", "A 2857-2025")</f>
        <v/>
      </c>
    </row>
    <row r="288" ht="15" customHeight="1">
      <c r="A288" t="inlineStr">
        <is>
          <t>A 41242-2025</t>
        </is>
      </c>
      <c r="B288" s="1" t="n">
        <v>45898.59783564815</v>
      </c>
      <c r="C288" s="1" t="n">
        <v>45911</v>
      </c>
      <c r="D288" t="inlineStr">
        <is>
          <t>GÄVLEBORGS LÄN</t>
        </is>
      </c>
      <c r="E288" t="inlineStr">
        <is>
          <t>GÄVLE</t>
        </is>
      </c>
      <c r="F288" t="inlineStr">
        <is>
          <t>Bergvik skog väst AB</t>
        </is>
      </c>
      <c r="G288" t="n">
        <v>1.6</v>
      </c>
      <c r="H288" t="n">
        <v>0</v>
      </c>
      <c r="I288" t="n">
        <v>0</v>
      </c>
      <c r="J288" t="n">
        <v>2</v>
      </c>
      <c r="K288" t="n">
        <v>0</v>
      </c>
      <c r="L288" t="n">
        <v>0</v>
      </c>
      <c r="M288" t="n">
        <v>0</v>
      </c>
      <c r="N288" t="n">
        <v>0</v>
      </c>
      <c r="O288" t="n">
        <v>2</v>
      </c>
      <c r="P288" t="n">
        <v>0</v>
      </c>
      <c r="Q288" t="n">
        <v>2</v>
      </c>
      <c r="R288" s="2" t="inlineStr">
        <is>
          <t>Kolflarnlav
Skrovlig taggsvamp</t>
        </is>
      </c>
      <c r="S288">
        <f>HYPERLINK("https://klasma.github.io/Logging_2180/artfynd/A 41242-2025 artfynd.xlsx", "A 41242-2025")</f>
        <v/>
      </c>
      <c r="T288">
        <f>HYPERLINK("https://klasma.github.io/Logging_2180/kartor/A 41242-2025 karta.png", "A 41242-2025")</f>
        <v/>
      </c>
      <c r="V288">
        <f>HYPERLINK("https://klasma.github.io/Logging_2180/klagomål/A 41242-2025 FSC-klagomål.docx", "A 41242-2025")</f>
        <v/>
      </c>
      <c r="W288">
        <f>HYPERLINK("https://klasma.github.io/Logging_2180/klagomålsmail/A 41242-2025 FSC-klagomål mail.docx", "A 41242-2025")</f>
        <v/>
      </c>
      <c r="X288">
        <f>HYPERLINK("https://klasma.github.io/Logging_2180/tillsyn/A 41242-2025 tillsynsbegäran.docx", "A 41242-2025")</f>
        <v/>
      </c>
      <c r="Y288">
        <f>HYPERLINK("https://klasma.github.io/Logging_2180/tillsynsmail/A 41242-2025 tillsynsbegäran mail.docx", "A 41242-2025")</f>
        <v/>
      </c>
    </row>
    <row r="289" ht="15" customHeight="1">
      <c r="A289" t="inlineStr">
        <is>
          <t>A 47483-2021</t>
        </is>
      </c>
      <c r="B289" s="1" t="n">
        <v>44447</v>
      </c>
      <c r="C289" s="1" t="n">
        <v>45911</v>
      </c>
      <c r="D289" t="inlineStr">
        <is>
          <t>GÄVLEBORGS LÄN</t>
        </is>
      </c>
      <c r="E289" t="inlineStr">
        <is>
          <t>HOFORS</t>
        </is>
      </c>
      <c r="G289" t="n">
        <v>6.9</v>
      </c>
      <c r="H289" t="n">
        <v>1</v>
      </c>
      <c r="I289" t="n">
        <v>1</v>
      </c>
      <c r="J289" t="n">
        <v>0</v>
      </c>
      <c r="K289" t="n">
        <v>1</v>
      </c>
      <c r="L289" t="n">
        <v>0</v>
      </c>
      <c r="M289" t="n">
        <v>0</v>
      </c>
      <c r="N289" t="n">
        <v>0</v>
      </c>
      <c r="O289" t="n">
        <v>1</v>
      </c>
      <c r="P289" t="n">
        <v>1</v>
      </c>
      <c r="Q289" t="n">
        <v>2</v>
      </c>
      <c r="R289" s="2" t="inlineStr">
        <is>
          <t>Knärot
Mindre märgborre</t>
        </is>
      </c>
      <c r="S289">
        <f>HYPERLINK("https://klasma.github.io/Logging_2104/artfynd/A 47483-2021 artfynd.xlsx", "A 47483-2021")</f>
        <v/>
      </c>
      <c r="T289">
        <f>HYPERLINK("https://klasma.github.io/Logging_2104/kartor/A 47483-2021 karta.png", "A 47483-2021")</f>
        <v/>
      </c>
      <c r="U289">
        <f>HYPERLINK("https://klasma.github.io/Logging_2104/knärot/A 47483-2021 karta knärot.png", "A 47483-2021")</f>
        <v/>
      </c>
      <c r="V289">
        <f>HYPERLINK("https://klasma.github.io/Logging_2104/klagomål/A 47483-2021 FSC-klagomål.docx", "A 47483-2021")</f>
        <v/>
      </c>
      <c r="W289">
        <f>HYPERLINK("https://klasma.github.io/Logging_2104/klagomålsmail/A 47483-2021 FSC-klagomål mail.docx", "A 47483-2021")</f>
        <v/>
      </c>
      <c r="X289">
        <f>HYPERLINK("https://klasma.github.io/Logging_2104/tillsyn/A 47483-2021 tillsynsbegäran.docx", "A 47483-2021")</f>
        <v/>
      </c>
      <c r="Y289">
        <f>HYPERLINK("https://klasma.github.io/Logging_2104/tillsynsmail/A 47483-2021 tillsynsbegäran mail.docx", "A 47483-2021")</f>
        <v/>
      </c>
    </row>
    <row r="290" ht="15" customHeight="1">
      <c r="A290" t="inlineStr">
        <is>
          <t>A 30941-2024</t>
        </is>
      </c>
      <c r="B290" s="1" t="n">
        <v>45499.33694444445</v>
      </c>
      <c r="C290" s="1" t="n">
        <v>45911</v>
      </c>
      <c r="D290" t="inlineStr">
        <is>
          <t>GÄVLEBORGS LÄN</t>
        </is>
      </c>
      <c r="E290" t="inlineStr">
        <is>
          <t>OVANÅKER</t>
        </is>
      </c>
      <c r="F290" t="inlineStr">
        <is>
          <t>Sveaskog</t>
        </is>
      </c>
      <c r="G290" t="n">
        <v>3.3</v>
      </c>
      <c r="H290" t="n">
        <v>0</v>
      </c>
      <c r="I290" t="n">
        <v>0</v>
      </c>
      <c r="J290" t="n">
        <v>2</v>
      </c>
      <c r="K290" t="n">
        <v>0</v>
      </c>
      <c r="L290" t="n">
        <v>0</v>
      </c>
      <c r="M290" t="n">
        <v>0</v>
      </c>
      <c r="N290" t="n">
        <v>0</v>
      </c>
      <c r="O290" t="n">
        <v>2</v>
      </c>
      <c r="P290" t="n">
        <v>0</v>
      </c>
      <c r="Q290" t="n">
        <v>2</v>
      </c>
      <c r="R290" s="2" t="inlineStr">
        <is>
          <t>Lunglav
Skrovellav</t>
        </is>
      </c>
      <c r="S290">
        <f>HYPERLINK("https://klasma.github.io/Logging_2121/artfynd/A 30941-2024 artfynd.xlsx", "A 30941-2024")</f>
        <v/>
      </c>
      <c r="T290">
        <f>HYPERLINK("https://klasma.github.io/Logging_2121/kartor/A 30941-2024 karta.png", "A 30941-2024")</f>
        <v/>
      </c>
      <c r="V290">
        <f>HYPERLINK("https://klasma.github.io/Logging_2121/klagomål/A 30941-2024 FSC-klagomål.docx", "A 30941-2024")</f>
        <v/>
      </c>
      <c r="W290">
        <f>HYPERLINK("https://klasma.github.io/Logging_2121/klagomålsmail/A 30941-2024 FSC-klagomål mail.docx", "A 30941-2024")</f>
        <v/>
      </c>
      <c r="X290">
        <f>HYPERLINK("https://klasma.github.io/Logging_2121/tillsyn/A 30941-2024 tillsynsbegäran.docx", "A 30941-2024")</f>
        <v/>
      </c>
      <c r="Y290">
        <f>HYPERLINK("https://klasma.github.io/Logging_2121/tillsynsmail/A 30941-2024 tillsynsbegäran mail.docx", "A 30941-2024")</f>
        <v/>
      </c>
    </row>
    <row r="291" ht="15" customHeight="1">
      <c r="A291" t="inlineStr">
        <is>
          <t>A 64567-2023</t>
        </is>
      </c>
      <c r="B291" s="1" t="n">
        <v>45281</v>
      </c>
      <c r="C291" s="1" t="n">
        <v>45911</v>
      </c>
      <c r="D291" t="inlineStr">
        <is>
          <t>GÄVLEBORGS LÄN</t>
        </is>
      </c>
      <c r="E291" t="inlineStr">
        <is>
          <t>GÄVLE</t>
        </is>
      </c>
      <c r="G291" t="n">
        <v>2.6</v>
      </c>
      <c r="H291" t="n">
        <v>0</v>
      </c>
      <c r="I291" t="n">
        <v>1</v>
      </c>
      <c r="J291" t="n">
        <v>0</v>
      </c>
      <c r="K291" t="n">
        <v>0</v>
      </c>
      <c r="L291" t="n">
        <v>1</v>
      </c>
      <c r="M291" t="n">
        <v>0</v>
      </c>
      <c r="N291" t="n">
        <v>0</v>
      </c>
      <c r="O291" t="n">
        <v>1</v>
      </c>
      <c r="P291" t="n">
        <v>1</v>
      </c>
      <c r="Q291" t="n">
        <v>2</v>
      </c>
      <c r="R291" s="2" t="inlineStr">
        <is>
          <t>Ask
Jättesvampmal</t>
        </is>
      </c>
      <c r="S291">
        <f>HYPERLINK("https://klasma.github.io/Logging_2180/artfynd/A 64567-2023 artfynd.xlsx", "A 64567-2023")</f>
        <v/>
      </c>
      <c r="T291">
        <f>HYPERLINK("https://klasma.github.io/Logging_2180/kartor/A 64567-2023 karta.png", "A 64567-2023")</f>
        <v/>
      </c>
      <c r="V291">
        <f>HYPERLINK("https://klasma.github.io/Logging_2180/klagomål/A 64567-2023 FSC-klagomål.docx", "A 64567-2023")</f>
        <v/>
      </c>
      <c r="W291">
        <f>HYPERLINK("https://klasma.github.io/Logging_2180/klagomålsmail/A 64567-2023 FSC-klagomål mail.docx", "A 64567-2023")</f>
        <v/>
      </c>
      <c r="X291">
        <f>HYPERLINK("https://klasma.github.io/Logging_2180/tillsyn/A 64567-2023 tillsynsbegäran.docx", "A 64567-2023")</f>
        <v/>
      </c>
      <c r="Y291">
        <f>HYPERLINK("https://klasma.github.io/Logging_2180/tillsynsmail/A 64567-2023 tillsynsbegäran mail.docx", "A 64567-2023")</f>
        <v/>
      </c>
    </row>
    <row r="292" ht="15" customHeight="1">
      <c r="A292" t="inlineStr">
        <is>
          <t>A 60875-2023</t>
        </is>
      </c>
      <c r="B292" s="1" t="n">
        <v>45261.29287037037</v>
      </c>
      <c r="C292" s="1" t="n">
        <v>45911</v>
      </c>
      <c r="D292" t="inlineStr">
        <is>
          <t>GÄVLEBORGS LÄN</t>
        </is>
      </c>
      <c r="E292" t="inlineStr">
        <is>
          <t>NORDANSTIG</t>
        </is>
      </c>
      <c r="F292" t="inlineStr">
        <is>
          <t>Holmen skog AB</t>
        </is>
      </c>
      <c r="G292" t="n">
        <v>1.3</v>
      </c>
      <c r="H292" t="n">
        <v>0</v>
      </c>
      <c r="I292" t="n">
        <v>2</v>
      </c>
      <c r="J292" t="n">
        <v>0</v>
      </c>
      <c r="K292" t="n">
        <v>0</v>
      </c>
      <c r="L292" t="n">
        <v>0</v>
      </c>
      <c r="M292" t="n">
        <v>0</v>
      </c>
      <c r="N292" t="n">
        <v>0</v>
      </c>
      <c r="O292" t="n">
        <v>0</v>
      </c>
      <c r="P292" t="n">
        <v>0</v>
      </c>
      <c r="Q292" t="n">
        <v>2</v>
      </c>
      <c r="R292" s="2" t="inlineStr">
        <is>
          <t>Skogshakmossa
Strutbräken</t>
        </is>
      </c>
      <c r="S292">
        <f>HYPERLINK("https://klasma.github.io/Logging_2132/artfynd/A 60875-2023 artfynd.xlsx", "A 60875-2023")</f>
        <v/>
      </c>
      <c r="T292">
        <f>HYPERLINK("https://klasma.github.io/Logging_2132/kartor/A 60875-2023 karta.png", "A 60875-2023")</f>
        <v/>
      </c>
      <c r="V292">
        <f>HYPERLINK("https://klasma.github.io/Logging_2132/klagomål/A 60875-2023 FSC-klagomål.docx", "A 60875-2023")</f>
        <v/>
      </c>
      <c r="W292">
        <f>HYPERLINK("https://klasma.github.io/Logging_2132/klagomålsmail/A 60875-2023 FSC-klagomål mail.docx", "A 60875-2023")</f>
        <v/>
      </c>
      <c r="X292">
        <f>HYPERLINK("https://klasma.github.io/Logging_2132/tillsyn/A 60875-2023 tillsynsbegäran.docx", "A 60875-2023")</f>
        <v/>
      </c>
      <c r="Y292">
        <f>HYPERLINK("https://klasma.github.io/Logging_2132/tillsynsmail/A 60875-2023 tillsynsbegäran mail.docx", "A 60875-2023")</f>
        <v/>
      </c>
    </row>
    <row r="293" ht="15" customHeight="1">
      <c r="A293" t="inlineStr">
        <is>
          <t>A 42261-2025</t>
        </is>
      </c>
      <c r="B293" s="1" t="n">
        <v>45903</v>
      </c>
      <c r="C293" s="1" t="n">
        <v>45911</v>
      </c>
      <c r="D293" t="inlineStr">
        <is>
          <t>GÄVLEBORGS LÄN</t>
        </is>
      </c>
      <c r="E293" t="inlineStr">
        <is>
          <t>GÄVLE</t>
        </is>
      </c>
      <c r="F293" t="inlineStr">
        <is>
          <t>Bergvik skog väst AB</t>
        </is>
      </c>
      <c r="G293" t="n">
        <v>15.6</v>
      </c>
      <c r="H293" t="n">
        <v>1</v>
      </c>
      <c r="I293" t="n">
        <v>1</v>
      </c>
      <c r="J293" t="n">
        <v>0</v>
      </c>
      <c r="K293" t="n">
        <v>0</v>
      </c>
      <c r="L293" t="n">
        <v>0</v>
      </c>
      <c r="M293" t="n">
        <v>0</v>
      </c>
      <c r="N293" t="n">
        <v>0</v>
      </c>
      <c r="O293" t="n">
        <v>0</v>
      </c>
      <c r="P293" t="n">
        <v>0</v>
      </c>
      <c r="Q293" t="n">
        <v>2</v>
      </c>
      <c r="R293" s="2" t="inlineStr">
        <is>
          <t>Svavelriska
Blåsippa</t>
        </is>
      </c>
      <c r="S293">
        <f>HYPERLINK("https://klasma.github.io/Logging_2180/artfynd/A 42261-2025 artfynd.xlsx", "A 42261-2025")</f>
        <v/>
      </c>
      <c r="T293">
        <f>HYPERLINK("https://klasma.github.io/Logging_2180/kartor/A 42261-2025 karta.png", "A 42261-2025")</f>
        <v/>
      </c>
      <c r="V293">
        <f>HYPERLINK("https://klasma.github.io/Logging_2180/klagomål/A 42261-2025 FSC-klagomål.docx", "A 42261-2025")</f>
        <v/>
      </c>
      <c r="W293">
        <f>HYPERLINK("https://klasma.github.io/Logging_2180/klagomålsmail/A 42261-2025 FSC-klagomål mail.docx", "A 42261-2025")</f>
        <v/>
      </c>
      <c r="X293">
        <f>HYPERLINK("https://klasma.github.io/Logging_2180/tillsyn/A 42261-2025 tillsynsbegäran.docx", "A 42261-2025")</f>
        <v/>
      </c>
      <c r="Y293">
        <f>HYPERLINK("https://klasma.github.io/Logging_2180/tillsynsmail/A 42261-2025 tillsynsbegäran mail.docx", "A 42261-2025")</f>
        <v/>
      </c>
    </row>
    <row r="294" ht="15" customHeight="1">
      <c r="A294" t="inlineStr">
        <is>
          <t>A 17472-2025</t>
        </is>
      </c>
      <c r="B294" s="1" t="n">
        <v>45757.47945601852</v>
      </c>
      <c r="C294" s="1" t="n">
        <v>45911</v>
      </c>
      <c r="D294" t="inlineStr">
        <is>
          <t>GÄVLEBORGS LÄN</t>
        </is>
      </c>
      <c r="E294" t="inlineStr">
        <is>
          <t>LJUSDAL</t>
        </is>
      </c>
      <c r="F294" t="inlineStr">
        <is>
          <t>Sveaskog</t>
        </is>
      </c>
      <c r="G294" t="n">
        <v>3</v>
      </c>
      <c r="H294" t="n">
        <v>0</v>
      </c>
      <c r="I294" t="n">
        <v>0</v>
      </c>
      <c r="J294" t="n">
        <v>2</v>
      </c>
      <c r="K294" t="n">
        <v>0</v>
      </c>
      <c r="L294" t="n">
        <v>0</v>
      </c>
      <c r="M294" t="n">
        <v>0</v>
      </c>
      <c r="N294" t="n">
        <v>0</v>
      </c>
      <c r="O294" t="n">
        <v>2</v>
      </c>
      <c r="P294" t="n">
        <v>0</v>
      </c>
      <c r="Q294" t="n">
        <v>2</v>
      </c>
      <c r="R294" s="2" t="inlineStr">
        <is>
          <t>Kolflarnlav
Mörk kolflarnlav</t>
        </is>
      </c>
      <c r="S294">
        <f>HYPERLINK("https://klasma.github.io/Logging_2161/artfynd/A 17472-2025 artfynd.xlsx", "A 17472-2025")</f>
        <v/>
      </c>
      <c r="T294">
        <f>HYPERLINK("https://klasma.github.io/Logging_2161/kartor/A 17472-2025 karta.png", "A 17472-2025")</f>
        <v/>
      </c>
      <c r="V294">
        <f>HYPERLINK("https://klasma.github.io/Logging_2161/klagomål/A 17472-2025 FSC-klagomål.docx", "A 17472-2025")</f>
        <v/>
      </c>
      <c r="W294">
        <f>HYPERLINK("https://klasma.github.io/Logging_2161/klagomålsmail/A 17472-2025 FSC-klagomål mail.docx", "A 17472-2025")</f>
        <v/>
      </c>
      <c r="X294">
        <f>HYPERLINK("https://klasma.github.io/Logging_2161/tillsyn/A 17472-2025 tillsynsbegäran.docx", "A 17472-2025")</f>
        <v/>
      </c>
      <c r="Y294">
        <f>HYPERLINK("https://klasma.github.io/Logging_2161/tillsynsmail/A 17472-2025 tillsynsbegäran mail.docx", "A 17472-2025")</f>
        <v/>
      </c>
    </row>
    <row r="295" ht="15" customHeight="1">
      <c r="A295" t="inlineStr">
        <is>
          <t>A 17474-2025</t>
        </is>
      </c>
      <c r="B295" s="1" t="n">
        <v>45757.48214120371</v>
      </c>
      <c r="C295" s="1" t="n">
        <v>45911</v>
      </c>
      <c r="D295" t="inlineStr">
        <is>
          <t>GÄVLEBORGS LÄN</t>
        </is>
      </c>
      <c r="E295" t="inlineStr">
        <is>
          <t>LJUSDAL</t>
        </is>
      </c>
      <c r="F295" t="inlineStr">
        <is>
          <t>Sveaskog</t>
        </is>
      </c>
      <c r="G295" t="n">
        <v>9.4</v>
      </c>
      <c r="H295" t="n">
        <v>0</v>
      </c>
      <c r="I295" t="n">
        <v>0</v>
      </c>
      <c r="J295" t="n">
        <v>2</v>
      </c>
      <c r="K295" t="n">
        <v>0</v>
      </c>
      <c r="L295" t="n">
        <v>0</v>
      </c>
      <c r="M295" t="n">
        <v>0</v>
      </c>
      <c r="N295" t="n">
        <v>0</v>
      </c>
      <c r="O295" t="n">
        <v>2</v>
      </c>
      <c r="P295" t="n">
        <v>0</v>
      </c>
      <c r="Q295" t="n">
        <v>2</v>
      </c>
      <c r="R295" s="2" t="inlineStr">
        <is>
          <t>Kolflarnlav
Lunglav</t>
        </is>
      </c>
      <c r="S295">
        <f>HYPERLINK("https://klasma.github.io/Logging_2161/artfynd/A 17474-2025 artfynd.xlsx", "A 17474-2025")</f>
        <v/>
      </c>
      <c r="T295">
        <f>HYPERLINK("https://klasma.github.io/Logging_2161/kartor/A 17474-2025 karta.png", "A 17474-2025")</f>
        <v/>
      </c>
      <c r="V295">
        <f>HYPERLINK("https://klasma.github.io/Logging_2161/klagomål/A 17474-2025 FSC-klagomål.docx", "A 17474-2025")</f>
        <v/>
      </c>
      <c r="W295">
        <f>HYPERLINK("https://klasma.github.io/Logging_2161/klagomålsmail/A 17474-2025 FSC-klagomål mail.docx", "A 17474-2025")</f>
        <v/>
      </c>
      <c r="X295">
        <f>HYPERLINK("https://klasma.github.io/Logging_2161/tillsyn/A 17474-2025 tillsynsbegäran.docx", "A 17474-2025")</f>
        <v/>
      </c>
      <c r="Y295">
        <f>HYPERLINK("https://klasma.github.io/Logging_2161/tillsynsmail/A 17474-2025 tillsynsbegäran mail.docx", "A 17474-2025")</f>
        <v/>
      </c>
    </row>
    <row r="296" ht="15" customHeight="1">
      <c r="A296" t="inlineStr">
        <is>
          <t>A 42489-2025</t>
        </is>
      </c>
      <c r="B296" s="1" t="n">
        <v>45905.49579861111</v>
      </c>
      <c r="C296" s="1" t="n">
        <v>45911</v>
      </c>
      <c r="D296" t="inlineStr">
        <is>
          <t>GÄVLEBORGS LÄN</t>
        </is>
      </c>
      <c r="E296" t="inlineStr">
        <is>
          <t>HUDIKSVALL</t>
        </is>
      </c>
      <c r="G296" t="n">
        <v>1.5</v>
      </c>
      <c r="H296" t="n">
        <v>0</v>
      </c>
      <c r="I296" t="n">
        <v>0</v>
      </c>
      <c r="J296" t="n">
        <v>0</v>
      </c>
      <c r="K296" t="n">
        <v>1</v>
      </c>
      <c r="L296" t="n">
        <v>1</v>
      </c>
      <c r="M296" t="n">
        <v>0</v>
      </c>
      <c r="N296" t="n">
        <v>0</v>
      </c>
      <c r="O296" t="n">
        <v>2</v>
      </c>
      <c r="P296" t="n">
        <v>2</v>
      </c>
      <c r="Q296" t="n">
        <v>2</v>
      </c>
      <c r="R296" s="2" t="inlineStr">
        <is>
          <t>Raggtaggsvamp
Koppartaggsvamp</t>
        </is>
      </c>
      <c r="S296">
        <f>HYPERLINK("https://klasma.github.io/Logging_2184/artfynd/A 42489-2025 artfynd.xlsx", "A 42489-2025")</f>
        <v/>
      </c>
      <c r="T296">
        <f>HYPERLINK("https://klasma.github.io/Logging_2184/kartor/A 42489-2025 karta.png", "A 42489-2025")</f>
        <v/>
      </c>
      <c r="V296">
        <f>HYPERLINK("https://klasma.github.io/Logging_2184/klagomål/A 42489-2025 FSC-klagomål.docx", "A 42489-2025")</f>
        <v/>
      </c>
      <c r="W296">
        <f>HYPERLINK("https://klasma.github.io/Logging_2184/klagomålsmail/A 42489-2025 FSC-klagomål mail.docx", "A 42489-2025")</f>
        <v/>
      </c>
      <c r="X296">
        <f>HYPERLINK("https://klasma.github.io/Logging_2184/tillsyn/A 42489-2025 tillsynsbegäran.docx", "A 42489-2025")</f>
        <v/>
      </c>
      <c r="Y296">
        <f>HYPERLINK("https://klasma.github.io/Logging_2184/tillsynsmail/A 42489-2025 tillsynsbegäran mail.docx", "A 42489-2025")</f>
        <v/>
      </c>
    </row>
    <row r="297" ht="15" customHeight="1">
      <c r="A297" t="inlineStr">
        <is>
          <t>A 7608-2023</t>
        </is>
      </c>
      <c r="B297" s="1" t="n">
        <v>44972</v>
      </c>
      <c r="C297" s="1" t="n">
        <v>45911</v>
      </c>
      <c r="D297" t="inlineStr">
        <is>
          <t>GÄVLEBORGS LÄN</t>
        </is>
      </c>
      <c r="E297" t="inlineStr">
        <is>
          <t>NORDANSTIG</t>
        </is>
      </c>
      <c r="F297" t="inlineStr">
        <is>
          <t>Holmen skog AB</t>
        </is>
      </c>
      <c r="G297" t="n">
        <v>13</v>
      </c>
      <c r="H297" t="n">
        <v>0</v>
      </c>
      <c r="I297" t="n">
        <v>1</v>
      </c>
      <c r="J297" t="n">
        <v>1</v>
      </c>
      <c r="K297" t="n">
        <v>0</v>
      </c>
      <c r="L297" t="n">
        <v>0</v>
      </c>
      <c r="M297" t="n">
        <v>0</v>
      </c>
      <c r="N297" t="n">
        <v>0</v>
      </c>
      <c r="O297" t="n">
        <v>1</v>
      </c>
      <c r="P297" t="n">
        <v>0</v>
      </c>
      <c r="Q297" t="n">
        <v>2</v>
      </c>
      <c r="R297" s="2" t="inlineStr">
        <is>
          <t>Tallticka
Mindre märgborre</t>
        </is>
      </c>
      <c r="S297">
        <f>HYPERLINK("https://klasma.github.io/Logging_2132/artfynd/A 7608-2023 artfynd.xlsx", "A 7608-2023")</f>
        <v/>
      </c>
      <c r="T297">
        <f>HYPERLINK("https://klasma.github.io/Logging_2132/kartor/A 7608-2023 karta.png", "A 7608-2023")</f>
        <v/>
      </c>
      <c r="V297">
        <f>HYPERLINK("https://klasma.github.io/Logging_2132/klagomål/A 7608-2023 FSC-klagomål.docx", "A 7608-2023")</f>
        <v/>
      </c>
      <c r="W297">
        <f>HYPERLINK("https://klasma.github.io/Logging_2132/klagomålsmail/A 7608-2023 FSC-klagomål mail.docx", "A 7608-2023")</f>
        <v/>
      </c>
      <c r="X297">
        <f>HYPERLINK("https://klasma.github.io/Logging_2132/tillsyn/A 7608-2023 tillsynsbegäran.docx", "A 7608-2023")</f>
        <v/>
      </c>
      <c r="Y297">
        <f>HYPERLINK("https://klasma.github.io/Logging_2132/tillsynsmail/A 7608-2023 tillsynsbegäran mail.docx", "A 7608-2023")</f>
        <v/>
      </c>
    </row>
    <row r="298" ht="15" customHeight="1">
      <c r="A298" t="inlineStr">
        <is>
          <t>A 56538-2022</t>
        </is>
      </c>
      <c r="B298" s="1" t="n">
        <v>44887</v>
      </c>
      <c r="C298" s="1" t="n">
        <v>45911</v>
      </c>
      <c r="D298" t="inlineStr">
        <is>
          <t>GÄVLEBORGS LÄN</t>
        </is>
      </c>
      <c r="E298" t="inlineStr">
        <is>
          <t>GÄVLE</t>
        </is>
      </c>
      <c r="F298" t="inlineStr">
        <is>
          <t>Bergvik skog väst AB</t>
        </is>
      </c>
      <c r="G298" t="n">
        <v>2.1</v>
      </c>
      <c r="H298" t="n">
        <v>1</v>
      </c>
      <c r="I298" t="n">
        <v>1</v>
      </c>
      <c r="J298" t="n">
        <v>0</v>
      </c>
      <c r="K298" t="n">
        <v>0</v>
      </c>
      <c r="L298" t="n">
        <v>0</v>
      </c>
      <c r="M298" t="n">
        <v>0</v>
      </c>
      <c r="N298" t="n">
        <v>0</v>
      </c>
      <c r="O298" t="n">
        <v>0</v>
      </c>
      <c r="P298" t="n">
        <v>0</v>
      </c>
      <c r="Q298" t="n">
        <v>2</v>
      </c>
      <c r="R298" s="2" t="inlineStr">
        <is>
          <t>Dropptaggsvamp
Blåsippa</t>
        </is>
      </c>
      <c r="S298">
        <f>HYPERLINK("https://klasma.github.io/Logging_2180/artfynd/A 56538-2022 artfynd.xlsx", "A 56538-2022")</f>
        <v/>
      </c>
      <c r="T298">
        <f>HYPERLINK("https://klasma.github.io/Logging_2180/kartor/A 56538-2022 karta.png", "A 56538-2022")</f>
        <v/>
      </c>
      <c r="V298">
        <f>HYPERLINK("https://klasma.github.io/Logging_2180/klagomål/A 56538-2022 FSC-klagomål.docx", "A 56538-2022")</f>
        <v/>
      </c>
      <c r="W298">
        <f>HYPERLINK("https://klasma.github.io/Logging_2180/klagomålsmail/A 56538-2022 FSC-klagomål mail.docx", "A 56538-2022")</f>
        <v/>
      </c>
      <c r="X298">
        <f>HYPERLINK("https://klasma.github.io/Logging_2180/tillsyn/A 56538-2022 tillsynsbegäran.docx", "A 56538-2022")</f>
        <v/>
      </c>
      <c r="Y298">
        <f>HYPERLINK("https://klasma.github.io/Logging_2180/tillsynsmail/A 56538-2022 tillsynsbegäran mail.docx", "A 56538-2022")</f>
        <v/>
      </c>
    </row>
    <row r="299" ht="15" customHeight="1">
      <c r="A299" t="inlineStr">
        <is>
          <t>A 20098-2025</t>
        </is>
      </c>
      <c r="B299" s="1" t="n">
        <v>45772.46837962963</v>
      </c>
      <c r="C299" s="1" t="n">
        <v>45911</v>
      </c>
      <c r="D299" t="inlineStr">
        <is>
          <t>GÄVLEBORGS LÄN</t>
        </is>
      </c>
      <c r="E299" t="inlineStr">
        <is>
          <t>LJUSDAL</t>
        </is>
      </c>
      <c r="F299" t="inlineStr">
        <is>
          <t>Sveaskog</t>
        </is>
      </c>
      <c r="G299" t="n">
        <v>14.7</v>
      </c>
      <c r="H299" t="n">
        <v>0</v>
      </c>
      <c r="I299" t="n">
        <v>0</v>
      </c>
      <c r="J299" t="n">
        <v>2</v>
      </c>
      <c r="K299" t="n">
        <v>0</v>
      </c>
      <c r="L299" t="n">
        <v>0</v>
      </c>
      <c r="M299" t="n">
        <v>0</v>
      </c>
      <c r="N299" t="n">
        <v>0</v>
      </c>
      <c r="O299" t="n">
        <v>2</v>
      </c>
      <c r="P299" t="n">
        <v>0</v>
      </c>
      <c r="Q299" t="n">
        <v>2</v>
      </c>
      <c r="R299" s="2" t="inlineStr">
        <is>
          <t>Kolflarnlav
Mörk kolflarnlav</t>
        </is>
      </c>
      <c r="S299">
        <f>HYPERLINK("https://klasma.github.io/Logging_2161/artfynd/A 20098-2025 artfynd.xlsx", "A 20098-2025")</f>
        <v/>
      </c>
      <c r="T299">
        <f>HYPERLINK("https://klasma.github.io/Logging_2161/kartor/A 20098-2025 karta.png", "A 20098-2025")</f>
        <v/>
      </c>
      <c r="V299">
        <f>HYPERLINK("https://klasma.github.io/Logging_2161/klagomål/A 20098-2025 FSC-klagomål.docx", "A 20098-2025")</f>
        <v/>
      </c>
      <c r="W299">
        <f>HYPERLINK("https://klasma.github.io/Logging_2161/klagomålsmail/A 20098-2025 FSC-klagomål mail.docx", "A 20098-2025")</f>
        <v/>
      </c>
      <c r="X299">
        <f>HYPERLINK("https://klasma.github.io/Logging_2161/tillsyn/A 20098-2025 tillsynsbegäran.docx", "A 20098-2025")</f>
        <v/>
      </c>
      <c r="Y299">
        <f>HYPERLINK("https://klasma.github.io/Logging_2161/tillsynsmail/A 20098-2025 tillsynsbegäran mail.docx", "A 20098-2025")</f>
        <v/>
      </c>
    </row>
    <row r="300" ht="15" customHeight="1">
      <c r="A300" t="inlineStr">
        <is>
          <t>A 20247-2025</t>
        </is>
      </c>
      <c r="B300" s="1" t="n">
        <v>45772.7460300926</v>
      </c>
      <c r="C300" s="1" t="n">
        <v>45911</v>
      </c>
      <c r="D300" t="inlineStr">
        <is>
          <t>GÄVLEBORGS LÄN</t>
        </is>
      </c>
      <c r="E300" t="inlineStr">
        <is>
          <t>LJUSDAL</t>
        </is>
      </c>
      <c r="F300" t="inlineStr">
        <is>
          <t>Sveaskog</t>
        </is>
      </c>
      <c r="G300" t="n">
        <v>6</v>
      </c>
      <c r="H300" t="n">
        <v>0</v>
      </c>
      <c r="I300" t="n">
        <v>0</v>
      </c>
      <c r="J300" t="n">
        <v>2</v>
      </c>
      <c r="K300" t="n">
        <v>0</v>
      </c>
      <c r="L300" t="n">
        <v>0</v>
      </c>
      <c r="M300" t="n">
        <v>0</v>
      </c>
      <c r="N300" t="n">
        <v>0</v>
      </c>
      <c r="O300" t="n">
        <v>2</v>
      </c>
      <c r="P300" t="n">
        <v>0</v>
      </c>
      <c r="Q300" t="n">
        <v>2</v>
      </c>
      <c r="R300" s="2" t="inlineStr">
        <is>
          <t>Kolflarnlav
Lunglav</t>
        </is>
      </c>
      <c r="S300">
        <f>HYPERLINK("https://klasma.github.io/Logging_2161/artfynd/A 20247-2025 artfynd.xlsx", "A 20247-2025")</f>
        <v/>
      </c>
      <c r="T300">
        <f>HYPERLINK("https://klasma.github.io/Logging_2161/kartor/A 20247-2025 karta.png", "A 20247-2025")</f>
        <v/>
      </c>
      <c r="V300">
        <f>HYPERLINK("https://klasma.github.io/Logging_2161/klagomål/A 20247-2025 FSC-klagomål.docx", "A 20247-2025")</f>
        <v/>
      </c>
      <c r="W300">
        <f>HYPERLINK("https://klasma.github.io/Logging_2161/klagomålsmail/A 20247-2025 FSC-klagomål mail.docx", "A 20247-2025")</f>
        <v/>
      </c>
      <c r="X300">
        <f>HYPERLINK("https://klasma.github.io/Logging_2161/tillsyn/A 20247-2025 tillsynsbegäran.docx", "A 20247-2025")</f>
        <v/>
      </c>
      <c r="Y300">
        <f>HYPERLINK("https://klasma.github.io/Logging_2161/tillsynsmail/A 20247-2025 tillsynsbegäran mail.docx", "A 20247-2025")</f>
        <v/>
      </c>
    </row>
    <row r="301" ht="15" customHeight="1">
      <c r="A301" t="inlineStr">
        <is>
          <t>A 42624-2024</t>
        </is>
      </c>
      <c r="B301" s="1" t="n">
        <v>45565.85583333333</v>
      </c>
      <c r="C301" s="1" t="n">
        <v>45911</v>
      </c>
      <c r="D301" t="inlineStr">
        <is>
          <t>GÄVLEBORGS LÄN</t>
        </is>
      </c>
      <c r="E301" t="inlineStr">
        <is>
          <t>HUDIKSVALL</t>
        </is>
      </c>
      <c r="G301" t="n">
        <v>1.5</v>
      </c>
      <c r="H301" t="n">
        <v>0</v>
      </c>
      <c r="I301" t="n">
        <v>0</v>
      </c>
      <c r="J301" t="n">
        <v>2</v>
      </c>
      <c r="K301" t="n">
        <v>0</v>
      </c>
      <c r="L301" t="n">
        <v>0</v>
      </c>
      <c r="M301" t="n">
        <v>0</v>
      </c>
      <c r="N301" t="n">
        <v>0</v>
      </c>
      <c r="O301" t="n">
        <v>2</v>
      </c>
      <c r="P301" t="n">
        <v>0</v>
      </c>
      <c r="Q301" t="n">
        <v>2</v>
      </c>
      <c r="R301" s="2" t="inlineStr">
        <is>
          <t>Vedflikmossa
Violettgrå tagellav</t>
        </is>
      </c>
      <c r="S301">
        <f>HYPERLINK("https://klasma.github.io/Logging_2184/artfynd/A 42624-2024 artfynd.xlsx", "A 42624-2024")</f>
        <v/>
      </c>
      <c r="T301">
        <f>HYPERLINK("https://klasma.github.io/Logging_2184/kartor/A 42624-2024 karta.png", "A 42624-2024")</f>
        <v/>
      </c>
      <c r="V301">
        <f>HYPERLINK("https://klasma.github.io/Logging_2184/klagomål/A 42624-2024 FSC-klagomål.docx", "A 42624-2024")</f>
        <v/>
      </c>
      <c r="W301">
        <f>HYPERLINK("https://klasma.github.io/Logging_2184/klagomålsmail/A 42624-2024 FSC-klagomål mail.docx", "A 42624-2024")</f>
        <v/>
      </c>
      <c r="X301">
        <f>HYPERLINK("https://klasma.github.io/Logging_2184/tillsyn/A 42624-2024 tillsynsbegäran.docx", "A 42624-2024")</f>
        <v/>
      </c>
      <c r="Y301">
        <f>HYPERLINK("https://klasma.github.io/Logging_2184/tillsynsmail/A 42624-2024 tillsynsbegäran mail.docx", "A 42624-2024")</f>
        <v/>
      </c>
    </row>
    <row r="302" ht="15" customHeight="1">
      <c r="A302" t="inlineStr">
        <is>
          <t>A 53562-2024</t>
        </is>
      </c>
      <c r="B302" s="1" t="n">
        <v>45614.65710648148</v>
      </c>
      <c r="C302" s="1" t="n">
        <v>45911</v>
      </c>
      <c r="D302" t="inlineStr">
        <is>
          <t>GÄVLEBORGS LÄN</t>
        </is>
      </c>
      <c r="E302" t="inlineStr">
        <is>
          <t>SÖDERHAMN</t>
        </is>
      </c>
      <c r="F302" t="inlineStr">
        <is>
          <t>Bergvik skog väst AB</t>
        </is>
      </c>
      <c r="G302" t="n">
        <v>3.6</v>
      </c>
      <c r="H302" t="n">
        <v>2</v>
      </c>
      <c r="I302" t="n">
        <v>0</v>
      </c>
      <c r="J302" t="n">
        <v>1</v>
      </c>
      <c r="K302" t="n">
        <v>0</v>
      </c>
      <c r="L302" t="n">
        <v>0</v>
      </c>
      <c r="M302" t="n">
        <v>0</v>
      </c>
      <c r="N302" t="n">
        <v>0</v>
      </c>
      <c r="O302" t="n">
        <v>1</v>
      </c>
      <c r="P302" t="n">
        <v>0</v>
      </c>
      <c r="Q302" t="n">
        <v>2</v>
      </c>
      <c r="R302" s="2" t="inlineStr">
        <is>
          <t>Havsörn
Fläcknycklar</t>
        </is>
      </c>
      <c r="S302">
        <f>HYPERLINK("https://klasma.github.io/Logging_2182/artfynd/A 53562-2024 artfynd.xlsx", "A 53562-2024")</f>
        <v/>
      </c>
      <c r="T302">
        <f>HYPERLINK("https://klasma.github.io/Logging_2182/kartor/A 53562-2024 karta.png", "A 53562-2024")</f>
        <v/>
      </c>
      <c r="V302">
        <f>HYPERLINK("https://klasma.github.io/Logging_2182/klagomål/A 53562-2024 FSC-klagomål.docx", "A 53562-2024")</f>
        <v/>
      </c>
      <c r="W302">
        <f>HYPERLINK("https://klasma.github.io/Logging_2182/klagomålsmail/A 53562-2024 FSC-klagomål mail.docx", "A 53562-2024")</f>
        <v/>
      </c>
      <c r="X302">
        <f>HYPERLINK("https://klasma.github.io/Logging_2182/tillsyn/A 53562-2024 tillsynsbegäran.docx", "A 53562-2024")</f>
        <v/>
      </c>
      <c r="Y302">
        <f>HYPERLINK("https://klasma.github.io/Logging_2182/tillsynsmail/A 53562-2024 tillsynsbegäran mail.docx", "A 53562-2024")</f>
        <v/>
      </c>
      <c r="Z302">
        <f>HYPERLINK("https://klasma.github.io/Logging_2182/fåglar/A 53562-2024 prioriterade fågelarter.docx", "A 53562-2024")</f>
        <v/>
      </c>
    </row>
    <row r="303" ht="15" customHeight="1">
      <c r="A303" t="inlineStr">
        <is>
          <t>A 45270-2024</t>
        </is>
      </c>
      <c r="B303" s="1" t="n">
        <v>45576.35777777778</v>
      </c>
      <c r="C303" s="1" t="n">
        <v>45911</v>
      </c>
      <c r="D303" t="inlineStr">
        <is>
          <t>GÄVLEBORGS LÄN</t>
        </is>
      </c>
      <c r="E303" t="inlineStr">
        <is>
          <t>LJUSDAL</t>
        </is>
      </c>
      <c r="F303" t="inlineStr">
        <is>
          <t>Sveaskog</t>
        </is>
      </c>
      <c r="G303" t="n">
        <v>5</v>
      </c>
      <c r="H303" t="n">
        <v>0</v>
      </c>
      <c r="I303" t="n">
        <v>0</v>
      </c>
      <c r="J303" t="n">
        <v>2</v>
      </c>
      <c r="K303" t="n">
        <v>0</v>
      </c>
      <c r="L303" t="n">
        <v>0</v>
      </c>
      <c r="M303" t="n">
        <v>0</v>
      </c>
      <c r="N303" t="n">
        <v>0</v>
      </c>
      <c r="O303" t="n">
        <v>2</v>
      </c>
      <c r="P303" t="n">
        <v>0</v>
      </c>
      <c r="Q303" t="n">
        <v>2</v>
      </c>
      <c r="R303" s="2" t="inlineStr">
        <is>
          <t>Kolflarnlav
Mörk kolflarnlav</t>
        </is>
      </c>
      <c r="S303">
        <f>HYPERLINK("https://klasma.github.io/Logging_2161/artfynd/A 45270-2024 artfynd.xlsx", "A 45270-2024")</f>
        <v/>
      </c>
      <c r="T303">
        <f>HYPERLINK("https://klasma.github.io/Logging_2161/kartor/A 45270-2024 karta.png", "A 45270-2024")</f>
        <v/>
      </c>
      <c r="V303">
        <f>HYPERLINK("https://klasma.github.io/Logging_2161/klagomål/A 45270-2024 FSC-klagomål.docx", "A 45270-2024")</f>
        <v/>
      </c>
      <c r="W303">
        <f>HYPERLINK("https://klasma.github.io/Logging_2161/klagomålsmail/A 45270-2024 FSC-klagomål mail.docx", "A 45270-2024")</f>
        <v/>
      </c>
      <c r="X303">
        <f>HYPERLINK("https://klasma.github.io/Logging_2161/tillsyn/A 45270-2024 tillsynsbegäran.docx", "A 45270-2024")</f>
        <v/>
      </c>
      <c r="Y303">
        <f>HYPERLINK("https://klasma.github.io/Logging_2161/tillsynsmail/A 45270-2024 tillsynsbegäran mail.docx", "A 45270-2024")</f>
        <v/>
      </c>
    </row>
    <row r="304" ht="15" customHeight="1">
      <c r="A304" t="inlineStr">
        <is>
          <t>A 38306-2024</t>
        </is>
      </c>
      <c r="B304" s="1" t="n">
        <v>45545.64211805556</v>
      </c>
      <c r="C304" s="1" t="n">
        <v>45911</v>
      </c>
      <c r="D304" t="inlineStr">
        <is>
          <t>GÄVLEBORGS LÄN</t>
        </is>
      </c>
      <c r="E304" t="inlineStr">
        <is>
          <t>LJUSDAL</t>
        </is>
      </c>
      <c r="F304" t="inlineStr">
        <is>
          <t>Sveaskog</t>
        </is>
      </c>
      <c r="G304" t="n">
        <v>4.1</v>
      </c>
      <c r="H304" t="n">
        <v>0</v>
      </c>
      <c r="I304" t="n">
        <v>0</v>
      </c>
      <c r="J304" t="n">
        <v>2</v>
      </c>
      <c r="K304" t="n">
        <v>0</v>
      </c>
      <c r="L304" t="n">
        <v>0</v>
      </c>
      <c r="M304" t="n">
        <v>0</v>
      </c>
      <c r="N304" t="n">
        <v>0</v>
      </c>
      <c r="O304" t="n">
        <v>2</v>
      </c>
      <c r="P304" t="n">
        <v>0</v>
      </c>
      <c r="Q304" t="n">
        <v>2</v>
      </c>
      <c r="R304" s="2" t="inlineStr">
        <is>
          <t>Garnlav
Lunglav</t>
        </is>
      </c>
      <c r="S304">
        <f>HYPERLINK("https://klasma.github.io/Logging_2161/artfynd/A 38306-2024 artfynd.xlsx", "A 38306-2024")</f>
        <v/>
      </c>
      <c r="T304">
        <f>HYPERLINK("https://klasma.github.io/Logging_2161/kartor/A 38306-2024 karta.png", "A 38306-2024")</f>
        <v/>
      </c>
      <c r="V304">
        <f>HYPERLINK("https://klasma.github.io/Logging_2161/klagomål/A 38306-2024 FSC-klagomål.docx", "A 38306-2024")</f>
        <v/>
      </c>
      <c r="W304">
        <f>HYPERLINK("https://klasma.github.io/Logging_2161/klagomålsmail/A 38306-2024 FSC-klagomål mail.docx", "A 38306-2024")</f>
        <v/>
      </c>
      <c r="X304">
        <f>HYPERLINK("https://klasma.github.io/Logging_2161/tillsyn/A 38306-2024 tillsynsbegäran.docx", "A 38306-2024")</f>
        <v/>
      </c>
      <c r="Y304">
        <f>HYPERLINK("https://klasma.github.io/Logging_2161/tillsynsmail/A 38306-2024 tillsynsbegäran mail.docx", "A 38306-2024")</f>
        <v/>
      </c>
    </row>
    <row r="305" ht="15" customHeight="1">
      <c r="A305" t="inlineStr">
        <is>
          <t>A 27011-2024</t>
        </is>
      </c>
      <c r="B305" s="1" t="n">
        <v>45471.40319444444</v>
      </c>
      <c r="C305" s="1" t="n">
        <v>45911</v>
      </c>
      <c r="D305" t="inlineStr">
        <is>
          <t>GÄVLEBORGS LÄN</t>
        </is>
      </c>
      <c r="E305" t="inlineStr">
        <is>
          <t>BOLLNÄS</t>
        </is>
      </c>
      <c r="F305" t="inlineStr">
        <is>
          <t>Sveaskog</t>
        </is>
      </c>
      <c r="G305" t="n">
        <v>4.1</v>
      </c>
      <c r="H305" t="n">
        <v>2</v>
      </c>
      <c r="I305" t="n">
        <v>1</v>
      </c>
      <c r="J305" t="n">
        <v>0</v>
      </c>
      <c r="K305" t="n">
        <v>1</v>
      </c>
      <c r="L305" t="n">
        <v>0</v>
      </c>
      <c r="M305" t="n">
        <v>0</v>
      </c>
      <c r="N305" t="n">
        <v>0</v>
      </c>
      <c r="O305" t="n">
        <v>1</v>
      </c>
      <c r="P305" t="n">
        <v>1</v>
      </c>
      <c r="Q305" t="n">
        <v>2</v>
      </c>
      <c r="R305" s="2" t="inlineStr">
        <is>
          <t>Knärot
Korallrot</t>
        </is>
      </c>
      <c r="S305">
        <f>HYPERLINK("https://klasma.github.io/Logging_2183/artfynd/A 27011-2024 artfynd.xlsx", "A 27011-2024")</f>
        <v/>
      </c>
      <c r="T305">
        <f>HYPERLINK("https://klasma.github.io/Logging_2183/kartor/A 27011-2024 karta.png", "A 27011-2024")</f>
        <v/>
      </c>
      <c r="U305">
        <f>HYPERLINK("https://klasma.github.io/Logging_2183/knärot/A 27011-2024 karta knärot.png", "A 27011-2024")</f>
        <v/>
      </c>
      <c r="V305">
        <f>HYPERLINK("https://klasma.github.io/Logging_2183/klagomål/A 27011-2024 FSC-klagomål.docx", "A 27011-2024")</f>
        <v/>
      </c>
      <c r="W305">
        <f>HYPERLINK("https://klasma.github.io/Logging_2183/klagomålsmail/A 27011-2024 FSC-klagomål mail.docx", "A 27011-2024")</f>
        <v/>
      </c>
      <c r="X305">
        <f>HYPERLINK("https://klasma.github.io/Logging_2183/tillsyn/A 27011-2024 tillsynsbegäran.docx", "A 27011-2024")</f>
        <v/>
      </c>
      <c r="Y305">
        <f>HYPERLINK("https://klasma.github.io/Logging_2183/tillsynsmail/A 27011-2024 tillsynsbegäran mail.docx", "A 27011-2024")</f>
        <v/>
      </c>
    </row>
    <row r="306" ht="15" customHeight="1">
      <c r="A306" t="inlineStr">
        <is>
          <t>A 28422-2024</t>
        </is>
      </c>
      <c r="B306" s="1" t="n">
        <v>45477</v>
      </c>
      <c r="C306" s="1" t="n">
        <v>45911</v>
      </c>
      <c r="D306" t="inlineStr">
        <is>
          <t>GÄVLEBORGS LÄN</t>
        </is>
      </c>
      <c r="E306" t="inlineStr">
        <is>
          <t>LJUSDAL</t>
        </is>
      </c>
      <c r="F306" t="inlineStr">
        <is>
          <t>Allmännings- och besparingsskogar</t>
        </is>
      </c>
      <c r="G306" t="n">
        <v>11.9</v>
      </c>
      <c r="H306" t="n">
        <v>0</v>
      </c>
      <c r="I306" t="n">
        <v>0</v>
      </c>
      <c r="J306" t="n">
        <v>2</v>
      </c>
      <c r="K306" t="n">
        <v>0</v>
      </c>
      <c r="L306" t="n">
        <v>0</v>
      </c>
      <c r="M306" t="n">
        <v>0</v>
      </c>
      <c r="N306" t="n">
        <v>0</v>
      </c>
      <c r="O306" t="n">
        <v>2</v>
      </c>
      <c r="P306" t="n">
        <v>0</v>
      </c>
      <c r="Q306" t="n">
        <v>2</v>
      </c>
      <c r="R306" s="2" t="inlineStr">
        <is>
          <t>Garnlav
Lunglav</t>
        </is>
      </c>
      <c r="S306">
        <f>HYPERLINK("https://klasma.github.io/Logging_2161/artfynd/A 28422-2024 artfynd.xlsx", "A 28422-2024")</f>
        <v/>
      </c>
      <c r="T306">
        <f>HYPERLINK("https://klasma.github.io/Logging_2161/kartor/A 28422-2024 karta.png", "A 28422-2024")</f>
        <v/>
      </c>
      <c r="V306">
        <f>HYPERLINK("https://klasma.github.io/Logging_2161/klagomål/A 28422-2024 FSC-klagomål.docx", "A 28422-2024")</f>
        <v/>
      </c>
      <c r="W306">
        <f>HYPERLINK("https://klasma.github.io/Logging_2161/klagomålsmail/A 28422-2024 FSC-klagomål mail.docx", "A 28422-2024")</f>
        <v/>
      </c>
      <c r="X306">
        <f>HYPERLINK("https://klasma.github.io/Logging_2161/tillsyn/A 28422-2024 tillsynsbegäran.docx", "A 28422-2024")</f>
        <v/>
      </c>
      <c r="Y306">
        <f>HYPERLINK("https://klasma.github.io/Logging_2161/tillsynsmail/A 28422-2024 tillsynsbegäran mail.docx", "A 28422-2024")</f>
        <v/>
      </c>
    </row>
    <row r="307" ht="15" customHeight="1">
      <c r="A307" t="inlineStr">
        <is>
          <t>A 27966-2022</t>
        </is>
      </c>
      <c r="B307" s="1" t="n">
        <v>44744</v>
      </c>
      <c r="C307" s="1" t="n">
        <v>45911</v>
      </c>
      <c r="D307" t="inlineStr">
        <is>
          <t>GÄVLEBORGS LÄN</t>
        </is>
      </c>
      <c r="E307" t="inlineStr">
        <is>
          <t>SANDVIKEN</t>
        </is>
      </c>
      <c r="G307" t="n">
        <v>2.6</v>
      </c>
      <c r="H307" t="n">
        <v>0</v>
      </c>
      <c r="I307" t="n">
        <v>0</v>
      </c>
      <c r="J307" t="n">
        <v>1</v>
      </c>
      <c r="K307" t="n">
        <v>0</v>
      </c>
      <c r="L307" t="n">
        <v>0</v>
      </c>
      <c r="M307" t="n">
        <v>0</v>
      </c>
      <c r="N307" t="n">
        <v>0</v>
      </c>
      <c r="O307" t="n">
        <v>1</v>
      </c>
      <c r="P307" t="n">
        <v>0</v>
      </c>
      <c r="Q307" t="n">
        <v>1</v>
      </c>
      <c r="R307" s="2" t="inlineStr">
        <is>
          <t>Kortskaftad ärgspik</t>
        </is>
      </c>
      <c r="S307">
        <f>HYPERLINK("https://klasma.github.io/Logging_2181/artfynd/A 27966-2022 artfynd.xlsx", "A 27966-2022")</f>
        <v/>
      </c>
      <c r="T307">
        <f>HYPERLINK("https://klasma.github.io/Logging_2181/kartor/A 27966-2022 karta.png", "A 27966-2022")</f>
        <v/>
      </c>
      <c r="V307">
        <f>HYPERLINK("https://klasma.github.io/Logging_2181/klagomål/A 27966-2022 FSC-klagomål.docx", "A 27966-2022")</f>
        <v/>
      </c>
      <c r="W307">
        <f>HYPERLINK("https://klasma.github.io/Logging_2181/klagomålsmail/A 27966-2022 FSC-klagomål mail.docx", "A 27966-2022")</f>
        <v/>
      </c>
      <c r="X307">
        <f>HYPERLINK("https://klasma.github.io/Logging_2181/tillsyn/A 27966-2022 tillsynsbegäran.docx", "A 27966-2022")</f>
        <v/>
      </c>
      <c r="Y307">
        <f>HYPERLINK("https://klasma.github.io/Logging_2181/tillsynsmail/A 27966-2022 tillsynsbegäran mail.docx", "A 27966-2022")</f>
        <v/>
      </c>
    </row>
    <row r="308" ht="15" customHeight="1">
      <c r="A308" t="inlineStr">
        <is>
          <t>A 38115-2021</t>
        </is>
      </c>
      <c r="B308" s="1" t="n">
        <v>44405</v>
      </c>
      <c r="C308" s="1" t="n">
        <v>45911</v>
      </c>
      <c r="D308" t="inlineStr">
        <is>
          <t>GÄVLEBORGS LÄN</t>
        </is>
      </c>
      <c r="E308" t="inlineStr">
        <is>
          <t>LJUSDAL</t>
        </is>
      </c>
      <c r="F308" t="inlineStr">
        <is>
          <t>Sveaskog</t>
        </is>
      </c>
      <c r="G308" t="n">
        <v>2.7</v>
      </c>
      <c r="H308" t="n">
        <v>1</v>
      </c>
      <c r="I308" t="n">
        <v>0</v>
      </c>
      <c r="J308" t="n">
        <v>0</v>
      </c>
      <c r="K308" t="n">
        <v>1</v>
      </c>
      <c r="L308" t="n">
        <v>0</v>
      </c>
      <c r="M308" t="n">
        <v>0</v>
      </c>
      <c r="N308" t="n">
        <v>0</v>
      </c>
      <c r="O308" t="n">
        <v>1</v>
      </c>
      <c r="P308" t="n">
        <v>1</v>
      </c>
      <c r="Q308" t="n">
        <v>1</v>
      </c>
      <c r="R308" s="2" t="inlineStr">
        <is>
          <t>Knärot</t>
        </is>
      </c>
      <c r="S308">
        <f>HYPERLINK("https://klasma.github.io/Logging_2161/artfynd/A 38115-2021 artfynd.xlsx", "A 38115-2021")</f>
        <v/>
      </c>
      <c r="T308">
        <f>HYPERLINK("https://klasma.github.io/Logging_2161/kartor/A 38115-2021 karta.png", "A 38115-2021")</f>
        <v/>
      </c>
      <c r="U308">
        <f>HYPERLINK("https://klasma.github.io/Logging_2161/knärot/A 38115-2021 karta knärot.png", "A 38115-2021")</f>
        <v/>
      </c>
      <c r="V308">
        <f>HYPERLINK("https://klasma.github.io/Logging_2161/klagomål/A 38115-2021 FSC-klagomål.docx", "A 38115-2021")</f>
        <v/>
      </c>
      <c r="W308">
        <f>HYPERLINK("https://klasma.github.io/Logging_2161/klagomålsmail/A 38115-2021 FSC-klagomål mail.docx", "A 38115-2021")</f>
        <v/>
      </c>
      <c r="X308">
        <f>HYPERLINK("https://klasma.github.io/Logging_2161/tillsyn/A 38115-2021 tillsynsbegäran.docx", "A 38115-2021")</f>
        <v/>
      </c>
      <c r="Y308">
        <f>HYPERLINK("https://klasma.github.io/Logging_2161/tillsynsmail/A 38115-2021 tillsynsbegäran mail.docx", "A 38115-2021")</f>
        <v/>
      </c>
    </row>
    <row r="309" ht="15" customHeight="1">
      <c r="A309" t="inlineStr">
        <is>
          <t>A 59065-2020</t>
        </is>
      </c>
      <c r="B309" s="1" t="n">
        <v>44147</v>
      </c>
      <c r="C309" s="1" t="n">
        <v>45911</v>
      </c>
      <c r="D309" t="inlineStr">
        <is>
          <t>GÄVLEBORGS LÄN</t>
        </is>
      </c>
      <c r="E309" t="inlineStr">
        <is>
          <t>SANDVIKEN</t>
        </is>
      </c>
      <c r="G309" t="n">
        <v>2</v>
      </c>
      <c r="H309" t="n">
        <v>1</v>
      </c>
      <c r="I309" t="n">
        <v>0</v>
      </c>
      <c r="J309" t="n">
        <v>0</v>
      </c>
      <c r="K309" t="n">
        <v>0</v>
      </c>
      <c r="L309" t="n">
        <v>0</v>
      </c>
      <c r="M309" t="n">
        <v>0</v>
      </c>
      <c r="N309" t="n">
        <v>0</v>
      </c>
      <c r="O309" t="n">
        <v>0</v>
      </c>
      <c r="P309" t="n">
        <v>0</v>
      </c>
      <c r="Q309" t="n">
        <v>1</v>
      </c>
      <c r="R309" s="2" t="inlineStr">
        <is>
          <t>Trädlärka</t>
        </is>
      </c>
      <c r="S309">
        <f>HYPERLINK("https://klasma.github.io/Logging_2181/artfynd/A 59065-2020 artfynd.xlsx", "A 59065-2020")</f>
        <v/>
      </c>
      <c r="T309">
        <f>HYPERLINK("https://klasma.github.io/Logging_2181/kartor/A 59065-2020 karta.png", "A 59065-2020")</f>
        <v/>
      </c>
      <c r="V309">
        <f>HYPERLINK("https://klasma.github.io/Logging_2181/klagomål/A 59065-2020 FSC-klagomål.docx", "A 59065-2020")</f>
        <v/>
      </c>
      <c r="W309">
        <f>HYPERLINK("https://klasma.github.io/Logging_2181/klagomålsmail/A 59065-2020 FSC-klagomål mail.docx", "A 59065-2020")</f>
        <v/>
      </c>
      <c r="X309">
        <f>HYPERLINK("https://klasma.github.io/Logging_2181/tillsyn/A 59065-2020 tillsynsbegäran.docx", "A 59065-2020")</f>
        <v/>
      </c>
      <c r="Y309">
        <f>HYPERLINK("https://klasma.github.io/Logging_2181/tillsynsmail/A 59065-2020 tillsynsbegäran mail.docx", "A 59065-2020")</f>
        <v/>
      </c>
      <c r="Z309">
        <f>HYPERLINK("https://klasma.github.io/Logging_2181/fåglar/A 59065-2020 prioriterade fågelarter.docx", "A 59065-2020")</f>
        <v/>
      </c>
    </row>
    <row r="310" ht="15" customHeight="1">
      <c r="A310" t="inlineStr">
        <is>
          <t>A 60615-2021</t>
        </is>
      </c>
      <c r="B310" s="1" t="n">
        <v>44496.58844907407</v>
      </c>
      <c r="C310" s="1" t="n">
        <v>45911</v>
      </c>
      <c r="D310" t="inlineStr">
        <is>
          <t>GÄVLEBORGS LÄN</t>
        </is>
      </c>
      <c r="E310" t="inlineStr">
        <is>
          <t>OCKELBO</t>
        </is>
      </c>
      <c r="F310" t="inlineStr">
        <is>
          <t>Bergvik skog väst AB</t>
        </is>
      </c>
      <c r="G310" t="n">
        <v>1.4</v>
      </c>
      <c r="H310" t="n">
        <v>1</v>
      </c>
      <c r="I310" t="n">
        <v>0</v>
      </c>
      <c r="J310" t="n">
        <v>0</v>
      </c>
      <c r="K310" t="n">
        <v>0</v>
      </c>
      <c r="L310" t="n">
        <v>0</v>
      </c>
      <c r="M310" t="n">
        <v>0</v>
      </c>
      <c r="N310" t="n">
        <v>0</v>
      </c>
      <c r="O310" t="n">
        <v>0</v>
      </c>
      <c r="P310" t="n">
        <v>0</v>
      </c>
      <c r="Q310" t="n">
        <v>1</v>
      </c>
      <c r="R310" s="2" t="inlineStr">
        <is>
          <t>Vanlig padda</t>
        </is>
      </c>
      <c r="S310">
        <f>HYPERLINK("https://klasma.github.io/Logging_2101/artfynd/A 60615-2021 artfynd.xlsx", "A 60615-2021")</f>
        <v/>
      </c>
      <c r="T310">
        <f>HYPERLINK("https://klasma.github.io/Logging_2101/kartor/A 60615-2021 karta.png", "A 60615-2021")</f>
        <v/>
      </c>
      <c r="V310">
        <f>HYPERLINK("https://klasma.github.io/Logging_2101/klagomål/A 60615-2021 FSC-klagomål.docx", "A 60615-2021")</f>
        <v/>
      </c>
      <c r="W310">
        <f>HYPERLINK("https://klasma.github.io/Logging_2101/klagomålsmail/A 60615-2021 FSC-klagomål mail.docx", "A 60615-2021")</f>
        <v/>
      </c>
      <c r="X310">
        <f>HYPERLINK("https://klasma.github.io/Logging_2101/tillsyn/A 60615-2021 tillsynsbegäran.docx", "A 60615-2021")</f>
        <v/>
      </c>
      <c r="Y310">
        <f>HYPERLINK("https://klasma.github.io/Logging_2101/tillsynsmail/A 60615-2021 tillsynsbegäran mail.docx", "A 60615-2021")</f>
        <v/>
      </c>
    </row>
    <row r="311" ht="15" customHeight="1">
      <c r="A311" t="inlineStr">
        <is>
          <t>A 23857-2022</t>
        </is>
      </c>
      <c r="B311" s="1" t="n">
        <v>44722.54952546296</v>
      </c>
      <c r="C311" s="1" t="n">
        <v>45911</v>
      </c>
      <c r="D311" t="inlineStr">
        <is>
          <t>GÄVLEBORGS LÄN</t>
        </is>
      </c>
      <c r="E311" t="inlineStr">
        <is>
          <t>LJUSDAL</t>
        </is>
      </c>
      <c r="F311" t="inlineStr">
        <is>
          <t>Sveaskog</t>
        </is>
      </c>
      <c r="G311" t="n">
        <v>5.5</v>
      </c>
      <c r="H311" t="n">
        <v>0</v>
      </c>
      <c r="I311" t="n">
        <v>0</v>
      </c>
      <c r="J311" t="n">
        <v>1</v>
      </c>
      <c r="K311" t="n">
        <v>0</v>
      </c>
      <c r="L311" t="n">
        <v>0</v>
      </c>
      <c r="M311" t="n">
        <v>0</v>
      </c>
      <c r="N311" t="n">
        <v>0</v>
      </c>
      <c r="O311" t="n">
        <v>1</v>
      </c>
      <c r="P311" t="n">
        <v>0</v>
      </c>
      <c r="Q311" t="n">
        <v>1</v>
      </c>
      <c r="R311" s="2" t="inlineStr">
        <is>
          <t>Lunglav</t>
        </is>
      </c>
      <c r="S311">
        <f>HYPERLINK("https://klasma.github.io/Logging_2161/artfynd/A 23857-2022 artfynd.xlsx", "A 23857-2022")</f>
        <v/>
      </c>
      <c r="T311">
        <f>HYPERLINK("https://klasma.github.io/Logging_2161/kartor/A 23857-2022 karta.png", "A 23857-2022")</f>
        <v/>
      </c>
      <c r="V311">
        <f>HYPERLINK("https://klasma.github.io/Logging_2161/klagomål/A 23857-2022 FSC-klagomål.docx", "A 23857-2022")</f>
        <v/>
      </c>
      <c r="W311">
        <f>HYPERLINK("https://klasma.github.io/Logging_2161/klagomålsmail/A 23857-2022 FSC-klagomål mail.docx", "A 23857-2022")</f>
        <v/>
      </c>
      <c r="X311">
        <f>HYPERLINK("https://klasma.github.io/Logging_2161/tillsyn/A 23857-2022 tillsynsbegäran.docx", "A 23857-2022")</f>
        <v/>
      </c>
      <c r="Y311">
        <f>HYPERLINK("https://klasma.github.io/Logging_2161/tillsynsmail/A 23857-2022 tillsynsbegäran mail.docx", "A 23857-2022")</f>
        <v/>
      </c>
    </row>
    <row r="312" ht="15" customHeight="1">
      <c r="A312" t="inlineStr">
        <is>
          <t>A 65637-2020</t>
        </is>
      </c>
      <c r="B312" s="1" t="n">
        <v>44174</v>
      </c>
      <c r="C312" s="1" t="n">
        <v>45911</v>
      </c>
      <c r="D312" t="inlineStr">
        <is>
          <t>GÄVLEBORGS LÄN</t>
        </is>
      </c>
      <c r="E312" t="inlineStr">
        <is>
          <t>HUDIKSVALL</t>
        </is>
      </c>
      <c r="F312" t="inlineStr">
        <is>
          <t>Sveaskog</t>
        </is>
      </c>
      <c r="G312" t="n">
        <v>4.8</v>
      </c>
      <c r="H312" t="n">
        <v>0</v>
      </c>
      <c r="I312" t="n">
        <v>0</v>
      </c>
      <c r="J312" t="n">
        <v>0</v>
      </c>
      <c r="K312" t="n">
        <v>1</v>
      </c>
      <c r="L312" t="n">
        <v>0</v>
      </c>
      <c r="M312" t="n">
        <v>0</v>
      </c>
      <c r="N312" t="n">
        <v>0</v>
      </c>
      <c r="O312" t="n">
        <v>1</v>
      </c>
      <c r="P312" t="n">
        <v>1</v>
      </c>
      <c r="Q312" t="n">
        <v>1</v>
      </c>
      <c r="R312" s="2" t="inlineStr">
        <is>
          <t>Vippfibbla</t>
        </is>
      </c>
      <c r="S312">
        <f>HYPERLINK("https://klasma.github.io/Logging_2184/artfynd/A 65637-2020 artfynd.xlsx", "A 65637-2020")</f>
        <v/>
      </c>
      <c r="T312">
        <f>HYPERLINK("https://klasma.github.io/Logging_2184/kartor/A 65637-2020 karta.png", "A 65637-2020")</f>
        <v/>
      </c>
      <c r="V312">
        <f>HYPERLINK("https://klasma.github.io/Logging_2184/klagomål/A 65637-2020 FSC-klagomål.docx", "A 65637-2020")</f>
        <v/>
      </c>
      <c r="W312">
        <f>HYPERLINK("https://klasma.github.io/Logging_2184/klagomålsmail/A 65637-2020 FSC-klagomål mail.docx", "A 65637-2020")</f>
        <v/>
      </c>
      <c r="X312">
        <f>HYPERLINK("https://klasma.github.io/Logging_2184/tillsyn/A 65637-2020 tillsynsbegäran.docx", "A 65637-2020")</f>
        <v/>
      </c>
      <c r="Y312">
        <f>HYPERLINK("https://klasma.github.io/Logging_2184/tillsynsmail/A 65637-2020 tillsynsbegäran mail.docx", "A 65637-2020")</f>
        <v/>
      </c>
    </row>
    <row r="313" ht="15" customHeight="1">
      <c r="A313" t="inlineStr">
        <is>
          <t>A 53487-2022</t>
        </is>
      </c>
      <c r="B313" s="1" t="n">
        <v>44879.56619212963</v>
      </c>
      <c r="C313" s="1" t="n">
        <v>45911</v>
      </c>
      <c r="D313" t="inlineStr">
        <is>
          <t>GÄVLEBORGS LÄN</t>
        </is>
      </c>
      <c r="E313" t="inlineStr">
        <is>
          <t>LJUSDAL</t>
        </is>
      </c>
      <c r="G313" t="n">
        <v>1.7</v>
      </c>
      <c r="H313" t="n">
        <v>0</v>
      </c>
      <c r="I313" t="n">
        <v>0</v>
      </c>
      <c r="J313" t="n">
        <v>1</v>
      </c>
      <c r="K313" t="n">
        <v>0</v>
      </c>
      <c r="L313" t="n">
        <v>0</v>
      </c>
      <c r="M313" t="n">
        <v>0</v>
      </c>
      <c r="N313" t="n">
        <v>0</v>
      </c>
      <c r="O313" t="n">
        <v>1</v>
      </c>
      <c r="P313" t="n">
        <v>0</v>
      </c>
      <c r="Q313" t="n">
        <v>1</v>
      </c>
      <c r="R313" s="2" t="inlineStr">
        <is>
          <t>Garnlav</t>
        </is>
      </c>
      <c r="S313">
        <f>HYPERLINK("https://klasma.github.io/Logging_2161/artfynd/A 53487-2022 artfynd.xlsx", "A 53487-2022")</f>
        <v/>
      </c>
      <c r="T313">
        <f>HYPERLINK("https://klasma.github.io/Logging_2161/kartor/A 53487-2022 karta.png", "A 53487-2022")</f>
        <v/>
      </c>
      <c r="V313">
        <f>HYPERLINK("https://klasma.github.io/Logging_2161/klagomål/A 53487-2022 FSC-klagomål.docx", "A 53487-2022")</f>
        <v/>
      </c>
      <c r="W313">
        <f>HYPERLINK("https://klasma.github.io/Logging_2161/klagomålsmail/A 53487-2022 FSC-klagomål mail.docx", "A 53487-2022")</f>
        <v/>
      </c>
      <c r="X313">
        <f>HYPERLINK("https://klasma.github.io/Logging_2161/tillsyn/A 53487-2022 tillsynsbegäran.docx", "A 53487-2022")</f>
        <v/>
      </c>
      <c r="Y313">
        <f>HYPERLINK("https://klasma.github.io/Logging_2161/tillsynsmail/A 53487-2022 tillsynsbegäran mail.docx", "A 53487-2022")</f>
        <v/>
      </c>
    </row>
    <row r="314" ht="15" customHeight="1">
      <c r="A314" t="inlineStr">
        <is>
          <t>A 44694-2021</t>
        </is>
      </c>
      <c r="B314" s="1" t="n">
        <v>44438</v>
      </c>
      <c r="C314" s="1" t="n">
        <v>45911</v>
      </c>
      <c r="D314" t="inlineStr">
        <is>
          <t>GÄVLEBORGS LÄN</t>
        </is>
      </c>
      <c r="E314" t="inlineStr">
        <is>
          <t>LJUSDAL</t>
        </is>
      </c>
      <c r="F314" t="inlineStr">
        <is>
          <t>Sveaskog</t>
        </is>
      </c>
      <c r="G314" t="n">
        <v>3.2</v>
      </c>
      <c r="H314" t="n">
        <v>0</v>
      </c>
      <c r="I314" t="n">
        <v>0</v>
      </c>
      <c r="J314" t="n">
        <v>1</v>
      </c>
      <c r="K314" t="n">
        <v>0</v>
      </c>
      <c r="L314" t="n">
        <v>0</v>
      </c>
      <c r="M314" t="n">
        <v>0</v>
      </c>
      <c r="N314" t="n">
        <v>0</v>
      </c>
      <c r="O314" t="n">
        <v>1</v>
      </c>
      <c r="P314" t="n">
        <v>0</v>
      </c>
      <c r="Q314" t="n">
        <v>1</v>
      </c>
      <c r="R314" s="2" t="inlineStr">
        <is>
          <t>Granticka</t>
        </is>
      </c>
      <c r="S314">
        <f>HYPERLINK("https://klasma.github.io/Logging_2161/artfynd/A 44694-2021 artfynd.xlsx", "A 44694-2021")</f>
        <v/>
      </c>
      <c r="T314">
        <f>HYPERLINK("https://klasma.github.io/Logging_2161/kartor/A 44694-2021 karta.png", "A 44694-2021")</f>
        <v/>
      </c>
      <c r="V314">
        <f>HYPERLINK("https://klasma.github.io/Logging_2161/klagomål/A 44694-2021 FSC-klagomål.docx", "A 44694-2021")</f>
        <v/>
      </c>
      <c r="W314">
        <f>HYPERLINK("https://klasma.github.io/Logging_2161/klagomålsmail/A 44694-2021 FSC-klagomål mail.docx", "A 44694-2021")</f>
        <v/>
      </c>
      <c r="X314">
        <f>HYPERLINK("https://klasma.github.io/Logging_2161/tillsyn/A 44694-2021 tillsynsbegäran.docx", "A 44694-2021")</f>
        <v/>
      </c>
      <c r="Y314">
        <f>HYPERLINK("https://klasma.github.io/Logging_2161/tillsynsmail/A 44694-2021 tillsynsbegäran mail.docx", "A 44694-2021")</f>
        <v/>
      </c>
    </row>
    <row r="315" ht="15" customHeight="1">
      <c r="A315" t="inlineStr">
        <is>
          <t>A 34345-2022</t>
        </is>
      </c>
      <c r="B315" s="1" t="n">
        <v>44792</v>
      </c>
      <c r="C315" s="1" t="n">
        <v>45911</v>
      </c>
      <c r="D315" t="inlineStr">
        <is>
          <t>GÄVLEBORGS LÄN</t>
        </is>
      </c>
      <c r="E315" t="inlineStr">
        <is>
          <t>HUDIKSVALL</t>
        </is>
      </c>
      <c r="F315" t="inlineStr">
        <is>
          <t>Holmen skog AB</t>
        </is>
      </c>
      <c r="G315" t="n">
        <v>4.4</v>
      </c>
      <c r="H315" t="n">
        <v>0</v>
      </c>
      <c r="I315" t="n">
        <v>1</v>
      </c>
      <c r="J315" t="n">
        <v>0</v>
      </c>
      <c r="K315" t="n">
        <v>0</v>
      </c>
      <c r="L315" t="n">
        <v>0</v>
      </c>
      <c r="M315" t="n">
        <v>0</v>
      </c>
      <c r="N315" t="n">
        <v>0</v>
      </c>
      <c r="O315" t="n">
        <v>0</v>
      </c>
      <c r="P315" t="n">
        <v>0</v>
      </c>
      <c r="Q315" t="n">
        <v>1</v>
      </c>
      <c r="R315" s="2" t="inlineStr">
        <is>
          <t>Stuplav</t>
        </is>
      </c>
      <c r="S315">
        <f>HYPERLINK("https://klasma.github.io/Logging_2184/artfynd/A 34345-2022 artfynd.xlsx", "A 34345-2022")</f>
        <v/>
      </c>
      <c r="T315">
        <f>HYPERLINK("https://klasma.github.io/Logging_2184/kartor/A 34345-2022 karta.png", "A 34345-2022")</f>
        <v/>
      </c>
      <c r="V315">
        <f>HYPERLINK("https://klasma.github.io/Logging_2184/klagomål/A 34345-2022 FSC-klagomål.docx", "A 34345-2022")</f>
        <v/>
      </c>
      <c r="W315">
        <f>HYPERLINK("https://klasma.github.io/Logging_2184/klagomålsmail/A 34345-2022 FSC-klagomål mail.docx", "A 34345-2022")</f>
        <v/>
      </c>
      <c r="X315">
        <f>HYPERLINK("https://klasma.github.io/Logging_2184/tillsyn/A 34345-2022 tillsynsbegäran.docx", "A 34345-2022")</f>
        <v/>
      </c>
      <c r="Y315">
        <f>HYPERLINK("https://klasma.github.io/Logging_2184/tillsynsmail/A 34345-2022 tillsynsbegäran mail.docx", "A 34345-2022")</f>
        <v/>
      </c>
    </row>
    <row r="316" ht="15" customHeight="1">
      <c r="A316" t="inlineStr">
        <is>
          <t>A 35582-2022</t>
        </is>
      </c>
      <c r="B316" s="1" t="n">
        <v>44799.43017361111</v>
      </c>
      <c r="C316" s="1" t="n">
        <v>45911</v>
      </c>
      <c r="D316" t="inlineStr">
        <is>
          <t>GÄVLEBORGS LÄN</t>
        </is>
      </c>
      <c r="E316" t="inlineStr">
        <is>
          <t>LJUSDAL</t>
        </is>
      </c>
      <c r="F316" t="inlineStr">
        <is>
          <t>Sveaskog</t>
        </is>
      </c>
      <c r="G316" t="n">
        <v>3.3</v>
      </c>
      <c r="H316" t="n">
        <v>0</v>
      </c>
      <c r="I316" t="n">
        <v>0</v>
      </c>
      <c r="J316" t="n">
        <v>1</v>
      </c>
      <c r="K316" t="n">
        <v>0</v>
      </c>
      <c r="L316" t="n">
        <v>0</v>
      </c>
      <c r="M316" t="n">
        <v>0</v>
      </c>
      <c r="N316" t="n">
        <v>0</v>
      </c>
      <c r="O316" t="n">
        <v>1</v>
      </c>
      <c r="P316" t="n">
        <v>0</v>
      </c>
      <c r="Q316" t="n">
        <v>1</v>
      </c>
      <c r="R316" s="2" t="inlineStr">
        <is>
          <t>Lunglav</t>
        </is>
      </c>
      <c r="S316">
        <f>HYPERLINK("https://klasma.github.io/Logging_2161/artfynd/A 35582-2022 artfynd.xlsx", "A 35582-2022")</f>
        <v/>
      </c>
      <c r="T316">
        <f>HYPERLINK("https://klasma.github.io/Logging_2161/kartor/A 35582-2022 karta.png", "A 35582-2022")</f>
        <v/>
      </c>
      <c r="V316">
        <f>HYPERLINK("https://klasma.github.io/Logging_2161/klagomål/A 35582-2022 FSC-klagomål.docx", "A 35582-2022")</f>
        <v/>
      </c>
      <c r="W316">
        <f>HYPERLINK("https://klasma.github.io/Logging_2161/klagomålsmail/A 35582-2022 FSC-klagomål mail.docx", "A 35582-2022")</f>
        <v/>
      </c>
      <c r="X316">
        <f>HYPERLINK("https://klasma.github.io/Logging_2161/tillsyn/A 35582-2022 tillsynsbegäran.docx", "A 35582-2022")</f>
        <v/>
      </c>
      <c r="Y316">
        <f>HYPERLINK("https://klasma.github.io/Logging_2161/tillsynsmail/A 35582-2022 tillsynsbegäran mail.docx", "A 35582-2022")</f>
        <v/>
      </c>
    </row>
    <row r="317" ht="15" customHeight="1">
      <c r="A317" t="inlineStr">
        <is>
          <t>A 15102-2022</t>
        </is>
      </c>
      <c r="B317" s="1" t="n">
        <v>44658</v>
      </c>
      <c r="C317" s="1" t="n">
        <v>45911</v>
      </c>
      <c r="D317" t="inlineStr">
        <is>
          <t>GÄVLEBORGS LÄN</t>
        </is>
      </c>
      <c r="E317" t="inlineStr">
        <is>
          <t>GÄVLE</t>
        </is>
      </c>
      <c r="F317" t="inlineStr">
        <is>
          <t>Bergvik skog öst AB</t>
        </is>
      </c>
      <c r="G317" t="n">
        <v>4.5</v>
      </c>
      <c r="H317" t="n">
        <v>0</v>
      </c>
      <c r="I317" t="n">
        <v>0</v>
      </c>
      <c r="J317" t="n">
        <v>1</v>
      </c>
      <c r="K317" t="n">
        <v>0</v>
      </c>
      <c r="L317" t="n">
        <v>0</v>
      </c>
      <c r="M317" t="n">
        <v>0</v>
      </c>
      <c r="N317" t="n">
        <v>0</v>
      </c>
      <c r="O317" t="n">
        <v>1</v>
      </c>
      <c r="P317" t="n">
        <v>0</v>
      </c>
      <c r="Q317" t="n">
        <v>1</v>
      </c>
      <c r="R317" s="2" t="inlineStr">
        <is>
          <t>Sumpviol</t>
        </is>
      </c>
      <c r="S317">
        <f>HYPERLINK("https://klasma.github.io/Logging_2180/artfynd/A 15102-2022 artfynd.xlsx", "A 15102-2022")</f>
        <v/>
      </c>
      <c r="T317">
        <f>HYPERLINK("https://klasma.github.io/Logging_2180/kartor/A 15102-2022 karta.png", "A 15102-2022")</f>
        <v/>
      </c>
      <c r="V317">
        <f>HYPERLINK("https://klasma.github.io/Logging_2180/klagomål/A 15102-2022 FSC-klagomål.docx", "A 15102-2022")</f>
        <v/>
      </c>
      <c r="W317">
        <f>HYPERLINK("https://klasma.github.io/Logging_2180/klagomålsmail/A 15102-2022 FSC-klagomål mail.docx", "A 15102-2022")</f>
        <v/>
      </c>
      <c r="X317">
        <f>HYPERLINK("https://klasma.github.io/Logging_2180/tillsyn/A 15102-2022 tillsynsbegäran.docx", "A 15102-2022")</f>
        <v/>
      </c>
      <c r="Y317">
        <f>HYPERLINK("https://klasma.github.io/Logging_2180/tillsynsmail/A 15102-2022 tillsynsbegäran mail.docx", "A 15102-2022")</f>
        <v/>
      </c>
    </row>
    <row r="318" ht="15" customHeight="1">
      <c r="A318" t="inlineStr">
        <is>
          <t>A 56589-2021</t>
        </is>
      </c>
      <c r="B318" s="1" t="n">
        <v>44480</v>
      </c>
      <c r="C318" s="1" t="n">
        <v>45911</v>
      </c>
      <c r="D318" t="inlineStr">
        <is>
          <t>GÄVLEBORGS LÄN</t>
        </is>
      </c>
      <c r="E318" t="inlineStr">
        <is>
          <t>LJUSDAL</t>
        </is>
      </c>
      <c r="G318" t="n">
        <v>11.4</v>
      </c>
      <c r="H318" t="n">
        <v>1</v>
      </c>
      <c r="I318" t="n">
        <v>0</v>
      </c>
      <c r="J318" t="n">
        <v>0</v>
      </c>
      <c r="K318" t="n">
        <v>1</v>
      </c>
      <c r="L318" t="n">
        <v>0</v>
      </c>
      <c r="M318" t="n">
        <v>0</v>
      </c>
      <c r="N318" t="n">
        <v>0</v>
      </c>
      <c r="O318" t="n">
        <v>1</v>
      </c>
      <c r="P318" t="n">
        <v>1</v>
      </c>
      <c r="Q318" t="n">
        <v>1</v>
      </c>
      <c r="R318" s="2" t="inlineStr">
        <is>
          <t>Tallbit</t>
        </is>
      </c>
      <c r="S318">
        <f>HYPERLINK("https://klasma.github.io/Logging_2161/artfynd/A 56589-2021 artfynd.xlsx", "A 56589-2021")</f>
        <v/>
      </c>
      <c r="T318">
        <f>HYPERLINK("https://klasma.github.io/Logging_2161/kartor/A 56589-2021 karta.png", "A 56589-2021")</f>
        <v/>
      </c>
      <c r="V318">
        <f>HYPERLINK("https://klasma.github.io/Logging_2161/klagomål/A 56589-2021 FSC-klagomål.docx", "A 56589-2021")</f>
        <v/>
      </c>
      <c r="W318">
        <f>HYPERLINK("https://klasma.github.io/Logging_2161/klagomålsmail/A 56589-2021 FSC-klagomål mail.docx", "A 56589-2021")</f>
        <v/>
      </c>
      <c r="X318">
        <f>HYPERLINK("https://klasma.github.io/Logging_2161/tillsyn/A 56589-2021 tillsynsbegäran.docx", "A 56589-2021")</f>
        <v/>
      </c>
      <c r="Y318">
        <f>HYPERLINK("https://klasma.github.io/Logging_2161/tillsynsmail/A 56589-2021 tillsynsbegäran mail.docx", "A 56589-2021")</f>
        <v/>
      </c>
      <c r="Z318">
        <f>HYPERLINK("https://klasma.github.io/Logging_2161/fåglar/A 56589-2021 prioriterade fågelarter.docx", "A 56589-2021")</f>
        <v/>
      </c>
    </row>
    <row r="319" ht="15" customHeight="1">
      <c r="A319" t="inlineStr">
        <is>
          <t>A 63033-2021</t>
        </is>
      </c>
      <c r="B319" s="1" t="n">
        <v>44505.46231481482</v>
      </c>
      <c r="C319" s="1" t="n">
        <v>45911</v>
      </c>
      <c r="D319" t="inlineStr">
        <is>
          <t>GÄVLEBORGS LÄN</t>
        </is>
      </c>
      <c r="E319" t="inlineStr">
        <is>
          <t>SANDVIKEN</t>
        </is>
      </c>
      <c r="G319" t="n">
        <v>0.5</v>
      </c>
      <c r="H319" t="n">
        <v>1</v>
      </c>
      <c r="I319" t="n">
        <v>0</v>
      </c>
      <c r="J319" t="n">
        <v>1</v>
      </c>
      <c r="K319" t="n">
        <v>0</v>
      </c>
      <c r="L319" t="n">
        <v>0</v>
      </c>
      <c r="M319" t="n">
        <v>0</v>
      </c>
      <c r="N319" t="n">
        <v>0</v>
      </c>
      <c r="O319" t="n">
        <v>1</v>
      </c>
      <c r="P319" t="n">
        <v>0</v>
      </c>
      <c r="Q319" t="n">
        <v>1</v>
      </c>
      <c r="R319" s="2" t="inlineStr">
        <is>
          <t>Talltita</t>
        </is>
      </c>
      <c r="S319">
        <f>HYPERLINK("https://klasma.github.io/Logging_2181/artfynd/A 63033-2021 artfynd.xlsx", "A 63033-2021")</f>
        <v/>
      </c>
      <c r="T319">
        <f>HYPERLINK("https://klasma.github.io/Logging_2181/kartor/A 63033-2021 karta.png", "A 63033-2021")</f>
        <v/>
      </c>
      <c r="V319">
        <f>HYPERLINK("https://klasma.github.io/Logging_2181/klagomål/A 63033-2021 FSC-klagomål.docx", "A 63033-2021")</f>
        <v/>
      </c>
      <c r="W319">
        <f>HYPERLINK("https://klasma.github.io/Logging_2181/klagomålsmail/A 63033-2021 FSC-klagomål mail.docx", "A 63033-2021")</f>
        <v/>
      </c>
      <c r="X319">
        <f>HYPERLINK("https://klasma.github.io/Logging_2181/tillsyn/A 63033-2021 tillsynsbegäran.docx", "A 63033-2021")</f>
        <v/>
      </c>
      <c r="Y319">
        <f>HYPERLINK("https://klasma.github.io/Logging_2181/tillsynsmail/A 63033-2021 tillsynsbegäran mail.docx", "A 63033-2021")</f>
        <v/>
      </c>
      <c r="Z319">
        <f>HYPERLINK("https://klasma.github.io/Logging_2181/fåglar/A 63033-2021 prioriterade fågelarter.docx", "A 63033-2021")</f>
        <v/>
      </c>
    </row>
    <row r="320" ht="15" customHeight="1">
      <c r="A320" t="inlineStr">
        <is>
          <t>A 68162-2021</t>
        </is>
      </c>
      <c r="B320" s="1" t="n">
        <v>44526</v>
      </c>
      <c r="C320" s="1" t="n">
        <v>45911</v>
      </c>
      <c r="D320" t="inlineStr">
        <is>
          <t>GÄVLEBORGS LÄN</t>
        </is>
      </c>
      <c r="E320" t="inlineStr">
        <is>
          <t>HUDIKSVALL</t>
        </is>
      </c>
      <c r="G320" t="n">
        <v>1.1</v>
      </c>
      <c r="H320" t="n">
        <v>1</v>
      </c>
      <c r="I320" t="n">
        <v>0</v>
      </c>
      <c r="J320" t="n">
        <v>0</v>
      </c>
      <c r="K320" t="n">
        <v>0</v>
      </c>
      <c r="L320" t="n">
        <v>0</v>
      </c>
      <c r="M320" t="n">
        <v>0</v>
      </c>
      <c r="N320" t="n">
        <v>0</v>
      </c>
      <c r="O320" t="n">
        <v>0</v>
      </c>
      <c r="P320" t="n">
        <v>0</v>
      </c>
      <c r="Q320" t="n">
        <v>1</v>
      </c>
      <c r="R320" s="2" t="inlineStr">
        <is>
          <t>Större vattensalamander</t>
        </is>
      </c>
      <c r="S320">
        <f>HYPERLINK("https://klasma.github.io/Logging_2184/artfynd/A 68162-2021 artfynd.xlsx", "A 68162-2021")</f>
        <v/>
      </c>
      <c r="T320">
        <f>HYPERLINK("https://klasma.github.io/Logging_2184/kartor/A 68162-2021 karta.png", "A 68162-2021")</f>
        <v/>
      </c>
      <c r="V320">
        <f>HYPERLINK("https://klasma.github.io/Logging_2184/klagomål/A 68162-2021 FSC-klagomål.docx", "A 68162-2021")</f>
        <v/>
      </c>
      <c r="W320">
        <f>HYPERLINK("https://klasma.github.io/Logging_2184/klagomålsmail/A 68162-2021 FSC-klagomål mail.docx", "A 68162-2021")</f>
        <v/>
      </c>
      <c r="X320">
        <f>HYPERLINK("https://klasma.github.io/Logging_2184/tillsyn/A 68162-2021 tillsynsbegäran.docx", "A 68162-2021")</f>
        <v/>
      </c>
      <c r="Y320">
        <f>HYPERLINK("https://klasma.github.io/Logging_2184/tillsynsmail/A 68162-2021 tillsynsbegäran mail.docx", "A 68162-2021")</f>
        <v/>
      </c>
    </row>
    <row r="321" ht="15" customHeight="1">
      <c r="A321" t="inlineStr">
        <is>
          <t>A 34219-2021</t>
        </is>
      </c>
      <c r="B321" s="1" t="n">
        <v>44379</v>
      </c>
      <c r="C321" s="1" t="n">
        <v>45911</v>
      </c>
      <c r="D321" t="inlineStr">
        <is>
          <t>GÄVLEBORGS LÄN</t>
        </is>
      </c>
      <c r="E321" t="inlineStr">
        <is>
          <t>OVANÅKER</t>
        </is>
      </c>
      <c r="F321" t="inlineStr">
        <is>
          <t>Kyrkan</t>
        </is>
      </c>
      <c r="G321" t="n">
        <v>24.7</v>
      </c>
      <c r="H321" t="n">
        <v>1</v>
      </c>
      <c r="I321" t="n">
        <v>0</v>
      </c>
      <c r="J321" t="n">
        <v>1</v>
      </c>
      <c r="K321" t="n">
        <v>0</v>
      </c>
      <c r="L321" t="n">
        <v>0</v>
      </c>
      <c r="M321" t="n">
        <v>0</v>
      </c>
      <c r="N321" t="n">
        <v>0</v>
      </c>
      <c r="O321" t="n">
        <v>1</v>
      </c>
      <c r="P321" t="n">
        <v>0</v>
      </c>
      <c r="Q321" t="n">
        <v>1</v>
      </c>
      <c r="R321" s="2" t="inlineStr">
        <is>
          <t>Svartvit flugsnappare</t>
        </is>
      </c>
      <c r="S321">
        <f>HYPERLINK("https://klasma.github.io/Logging_2121/artfynd/A 34219-2021 artfynd.xlsx", "A 34219-2021")</f>
        <v/>
      </c>
      <c r="T321">
        <f>HYPERLINK("https://klasma.github.io/Logging_2121/kartor/A 34219-2021 karta.png", "A 34219-2021")</f>
        <v/>
      </c>
      <c r="V321">
        <f>HYPERLINK("https://klasma.github.io/Logging_2121/klagomål/A 34219-2021 FSC-klagomål.docx", "A 34219-2021")</f>
        <v/>
      </c>
      <c r="W321">
        <f>HYPERLINK("https://klasma.github.io/Logging_2121/klagomålsmail/A 34219-2021 FSC-klagomål mail.docx", "A 34219-2021")</f>
        <v/>
      </c>
      <c r="X321">
        <f>HYPERLINK("https://klasma.github.io/Logging_2121/tillsyn/A 34219-2021 tillsynsbegäran.docx", "A 34219-2021")</f>
        <v/>
      </c>
      <c r="Y321">
        <f>HYPERLINK("https://klasma.github.io/Logging_2121/tillsynsmail/A 34219-2021 tillsynsbegäran mail.docx", "A 34219-2021")</f>
        <v/>
      </c>
      <c r="Z321">
        <f>HYPERLINK("https://klasma.github.io/Logging_2121/fåglar/A 34219-2021 prioriterade fågelarter.docx", "A 34219-2021")</f>
        <v/>
      </c>
    </row>
    <row r="322" ht="15" customHeight="1">
      <c r="A322" t="inlineStr">
        <is>
          <t>A 52166-2021</t>
        </is>
      </c>
      <c r="B322" s="1" t="n">
        <v>44463.53784722222</v>
      </c>
      <c r="C322" s="1" t="n">
        <v>45911</v>
      </c>
      <c r="D322" t="inlineStr">
        <is>
          <t>GÄVLEBORGS LÄN</t>
        </is>
      </c>
      <c r="E322" t="inlineStr">
        <is>
          <t>OVANÅKER</t>
        </is>
      </c>
      <c r="F322" t="inlineStr">
        <is>
          <t>Sveaskog</t>
        </is>
      </c>
      <c r="G322" t="n">
        <v>0.4</v>
      </c>
      <c r="H322" t="n">
        <v>0</v>
      </c>
      <c r="I322" t="n">
        <v>1</v>
      </c>
      <c r="J322" t="n">
        <v>0</v>
      </c>
      <c r="K322" t="n">
        <v>0</v>
      </c>
      <c r="L322" t="n">
        <v>0</v>
      </c>
      <c r="M322" t="n">
        <v>0</v>
      </c>
      <c r="N322" t="n">
        <v>0</v>
      </c>
      <c r="O322" t="n">
        <v>0</v>
      </c>
      <c r="P322" t="n">
        <v>0</v>
      </c>
      <c r="Q322" t="n">
        <v>1</v>
      </c>
      <c r="R322" s="2" t="inlineStr">
        <is>
          <t>Dropptaggsvamp</t>
        </is>
      </c>
      <c r="S322">
        <f>HYPERLINK("https://klasma.github.io/Logging_2121/artfynd/A 52166-2021 artfynd.xlsx", "A 52166-2021")</f>
        <v/>
      </c>
      <c r="T322">
        <f>HYPERLINK("https://klasma.github.io/Logging_2121/kartor/A 52166-2021 karta.png", "A 52166-2021")</f>
        <v/>
      </c>
      <c r="V322">
        <f>HYPERLINK("https://klasma.github.io/Logging_2121/klagomål/A 52166-2021 FSC-klagomål.docx", "A 52166-2021")</f>
        <v/>
      </c>
      <c r="W322">
        <f>HYPERLINK("https://klasma.github.io/Logging_2121/klagomålsmail/A 52166-2021 FSC-klagomål mail.docx", "A 52166-2021")</f>
        <v/>
      </c>
      <c r="X322">
        <f>HYPERLINK("https://klasma.github.io/Logging_2121/tillsyn/A 52166-2021 tillsynsbegäran.docx", "A 52166-2021")</f>
        <v/>
      </c>
      <c r="Y322">
        <f>HYPERLINK("https://klasma.github.io/Logging_2121/tillsynsmail/A 52166-2021 tillsynsbegäran mail.docx", "A 52166-2021")</f>
        <v/>
      </c>
    </row>
    <row r="323" ht="15" customHeight="1">
      <c r="A323" t="inlineStr">
        <is>
          <t>A 71122-2021</t>
        </is>
      </c>
      <c r="B323" s="1" t="n">
        <v>44539</v>
      </c>
      <c r="C323" s="1" t="n">
        <v>45911</v>
      </c>
      <c r="D323" t="inlineStr">
        <is>
          <t>GÄVLEBORGS LÄN</t>
        </is>
      </c>
      <c r="E323" t="inlineStr">
        <is>
          <t>HUDIKSVALL</t>
        </is>
      </c>
      <c r="G323" t="n">
        <v>2.6</v>
      </c>
      <c r="H323" t="n">
        <v>1</v>
      </c>
      <c r="I323" t="n">
        <v>0</v>
      </c>
      <c r="J323" t="n">
        <v>0</v>
      </c>
      <c r="K323" t="n">
        <v>1</v>
      </c>
      <c r="L323" t="n">
        <v>0</v>
      </c>
      <c r="M323" t="n">
        <v>0</v>
      </c>
      <c r="N323" t="n">
        <v>0</v>
      </c>
      <c r="O323" t="n">
        <v>1</v>
      </c>
      <c r="P323" t="n">
        <v>1</v>
      </c>
      <c r="Q323" t="n">
        <v>1</v>
      </c>
      <c r="R323" s="2" t="inlineStr">
        <is>
          <t>Knärot</t>
        </is>
      </c>
      <c r="S323">
        <f>HYPERLINK("https://klasma.github.io/Logging_2184/artfynd/A 71122-2021 artfynd.xlsx", "A 71122-2021")</f>
        <v/>
      </c>
      <c r="T323">
        <f>HYPERLINK("https://klasma.github.io/Logging_2184/kartor/A 71122-2021 karta.png", "A 71122-2021")</f>
        <v/>
      </c>
      <c r="U323">
        <f>HYPERLINK("https://klasma.github.io/Logging_2184/knärot/A 71122-2021 karta knärot.png", "A 71122-2021")</f>
        <v/>
      </c>
      <c r="V323">
        <f>HYPERLINK("https://klasma.github.io/Logging_2184/klagomål/A 71122-2021 FSC-klagomål.docx", "A 71122-2021")</f>
        <v/>
      </c>
      <c r="W323">
        <f>HYPERLINK("https://klasma.github.io/Logging_2184/klagomålsmail/A 71122-2021 FSC-klagomål mail.docx", "A 71122-2021")</f>
        <v/>
      </c>
      <c r="X323">
        <f>HYPERLINK("https://klasma.github.io/Logging_2184/tillsyn/A 71122-2021 tillsynsbegäran.docx", "A 71122-2021")</f>
        <v/>
      </c>
      <c r="Y323">
        <f>HYPERLINK("https://klasma.github.io/Logging_2184/tillsynsmail/A 71122-2021 tillsynsbegäran mail.docx", "A 71122-2021")</f>
        <v/>
      </c>
    </row>
    <row r="324" ht="15" customHeight="1">
      <c r="A324" t="inlineStr">
        <is>
          <t>A 59607-2021</t>
        </is>
      </c>
      <c r="B324" s="1" t="n">
        <v>44491</v>
      </c>
      <c r="C324" s="1" t="n">
        <v>45911</v>
      </c>
      <c r="D324" t="inlineStr">
        <is>
          <t>GÄVLEBORGS LÄN</t>
        </is>
      </c>
      <c r="E324" t="inlineStr">
        <is>
          <t>LJUSDAL</t>
        </is>
      </c>
      <c r="F324" t="inlineStr">
        <is>
          <t>Sveaskog</t>
        </is>
      </c>
      <c r="G324" t="n">
        <v>1.7</v>
      </c>
      <c r="H324" t="n">
        <v>1</v>
      </c>
      <c r="I324" t="n">
        <v>0</v>
      </c>
      <c r="J324" t="n">
        <v>0</v>
      </c>
      <c r="K324" t="n">
        <v>1</v>
      </c>
      <c r="L324" t="n">
        <v>0</v>
      </c>
      <c r="M324" t="n">
        <v>0</v>
      </c>
      <c r="N324" t="n">
        <v>0</v>
      </c>
      <c r="O324" t="n">
        <v>1</v>
      </c>
      <c r="P324" t="n">
        <v>1</v>
      </c>
      <c r="Q324" t="n">
        <v>1</v>
      </c>
      <c r="R324" s="2" t="inlineStr">
        <is>
          <t>Knärot</t>
        </is>
      </c>
      <c r="S324">
        <f>HYPERLINK("https://klasma.github.io/Logging_2161/artfynd/A 59607-2021 artfynd.xlsx", "A 59607-2021")</f>
        <v/>
      </c>
      <c r="T324">
        <f>HYPERLINK("https://klasma.github.io/Logging_2161/kartor/A 59607-2021 karta.png", "A 59607-2021")</f>
        <v/>
      </c>
      <c r="U324">
        <f>HYPERLINK("https://klasma.github.io/Logging_2161/knärot/A 59607-2021 karta knärot.png", "A 59607-2021")</f>
        <v/>
      </c>
      <c r="V324">
        <f>HYPERLINK("https://klasma.github.io/Logging_2161/klagomål/A 59607-2021 FSC-klagomål.docx", "A 59607-2021")</f>
        <v/>
      </c>
      <c r="W324">
        <f>HYPERLINK("https://klasma.github.io/Logging_2161/klagomålsmail/A 59607-2021 FSC-klagomål mail.docx", "A 59607-2021")</f>
        <v/>
      </c>
      <c r="X324">
        <f>HYPERLINK("https://klasma.github.io/Logging_2161/tillsyn/A 59607-2021 tillsynsbegäran.docx", "A 59607-2021")</f>
        <v/>
      </c>
      <c r="Y324">
        <f>HYPERLINK("https://klasma.github.io/Logging_2161/tillsynsmail/A 59607-2021 tillsynsbegäran mail.docx", "A 59607-2021")</f>
        <v/>
      </c>
    </row>
    <row r="325" ht="15" customHeight="1">
      <c r="A325" t="inlineStr">
        <is>
          <t>A 64604-2021</t>
        </is>
      </c>
      <c r="B325" s="1" t="n">
        <v>44511</v>
      </c>
      <c r="C325" s="1" t="n">
        <v>45911</v>
      </c>
      <c r="D325" t="inlineStr">
        <is>
          <t>GÄVLEBORGS LÄN</t>
        </is>
      </c>
      <c r="E325" t="inlineStr">
        <is>
          <t>HOFORS</t>
        </is>
      </c>
      <c r="F325" t="inlineStr">
        <is>
          <t>Kyrkan</t>
        </is>
      </c>
      <c r="G325" t="n">
        <v>1.7</v>
      </c>
      <c r="H325" t="n">
        <v>0</v>
      </c>
      <c r="I325" t="n">
        <v>1</v>
      </c>
      <c r="J325" t="n">
        <v>0</v>
      </c>
      <c r="K325" t="n">
        <v>0</v>
      </c>
      <c r="L325" t="n">
        <v>0</v>
      </c>
      <c r="M325" t="n">
        <v>0</v>
      </c>
      <c r="N325" t="n">
        <v>0</v>
      </c>
      <c r="O325" t="n">
        <v>0</v>
      </c>
      <c r="P325" t="n">
        <v>0</v>
      </c>
      <c r="Q325" t="n">
        <v>1</v>
      </c>
      <c r="R325" s="2" t="inlineStr">
        <is>
          <t>Bågpraktmossa</t>
        </is>
      </c>
      <c r="S325">
        <f>HYPERLINK("https://klasma.github.io/Logging_2104/artfynd/A 64604-2021 artfynd.xlsx", "A 64604-2021")</f>
        <v/>
      </c>
      <c r="T325">
        <f>HYPERLINK("https://klasma.github.io/Logging_2104/kartor/A 64604-2021 karta.png", "A 64604-2021")</f>
        <v/>
      </c>
      <c r="V325">
        <f>HYPERLINK("https://klasma.github.io/Logging_2104/klagomål/A 64604-2021 FSC-klagomål.docx", "A 64604-2021")</f>
        <v/>
      </c>
      <c r="W325">
        <f>HYPERLINK("https://klasma.github.io/Logging_2104/klagomålsmail/A 64604-2021 FSC-klagomål mail.docx", "A 64604-2021")</f>
        <v/>
      </c>
      <c r="X325">
        <f>HYPERLINK("https://klasma.github.io/Logging_2104/tillsyn/A 64604-2021 tillsynsbegäran.docx", "A 64604-2021")</f>
        <v/>
      </c>
      <c r="Y325">
        <f>HYPERLINK("https://klasma.github.io/Logging_2104/tillsynsmail/A 64604-2021 tillsynsbegäran mail.docx", "A 64604-2021")</f>
        <v/>
      </c>
    </row>
    <row r="326" ht="15" customHeight="1">
      <c r="A326" t="inlineStr">
        <is>
          <t>A 74349-2021</t>
        </is>
      </c>
      <c r="B326" s="1" t="n">
        <v>44559.54373842593</v>
      </c>
      <c r="C326" s="1" t="n">
        <v>45911</v>
      </c>
      <c r="D326" t="inlineStr">
        <is>
          <t>GÄVLEBORGS LÄN</t>
        </is>
      </c>
      <c r="E326" t="inlineStr">
        <is>
          <t>HOFORS</t>
        </is>
      </c>
      <c r="G326" t="n">
        <v>1.3</v>
      </c>
      <c r="H326" t="n">
        <v>0</v>
      </c>
      <c r="I326" t="n">
        <v>0</v>
      </c>
      <c r="J326" t="n">
        <v>1</v>
      </c>
      <c r="K326" t="n">
        <v>0</v>
      </c>
      <c r="L326" t="n">
        <v>0</v>
      </c>
      <c r="M326" t="n">
        <v>0</v>
      </c>
      <c r="N326" t="n">
        <v>0</v>
      </c>
      <c r="O326" t="n">
        <v>1</v>
      </c>
      <c r="P326" t="n">
        <v>0</v>
      </c>
      <c r="Q326" t="n">
        <v>1</v>
      </c>
      <c r="R326" s="2" t="inlineStr">
        <is>
          <t>Brunklöver</t>
        </is>
      </c>
      <c r="S326">
        <f>HYPERLINK("https://klasma.github.io/Logging_2104/artfynd/A 74349-2021 artfynd.xlsx", "A 74349-2021")</f>
        <v/>
      </c>
      <c r="T326">
        <f>HYPERLINK("https://klasma.github.io/Logging_2104/kartor/A 74349-2021 karta.png", "A 74349-2021")</f>
        <v/>
      </c>
      <c r="V326">
        <f>HYPERLINK("https://klasma.github.io/Logging_2104/klagomål/A 74349-2021 FSC-klagomål.docx", "A 74349-2021")</f>
        <v/>
      </c>
      <c r="W326">
        <f>HYPERLINK("https://klasma.github.io/Logging_2104/klagomålsmail/A 74349-2021 FSC-klagomål mail.docx", "A 74349-2021")</f>
        <v/>
      </c>
      <c r="X326">
        <f>HYPERLINK("https://klasma.github.io/Logging_2104/tillsyn/A 74349-2021 tillsynsbegäran.docx", "A 74349-2021")</f>
        <v/>
      </c>
      <c r="Y326">
        <f>HYPERLINK("https://klasma.github.io/Logging_2104/tillsynsmail/A 74349-2021 tillsynsbegäran mail.docx", "A 74349-2021")</f>
        <v/>
      </c>
    </row>
    <row r="327" ht="15" customHeight="1">
      <c r="A327" t="inlineStr">
        <is>
          <t>A 30954-2021</t>
        </is>
      </c>
      <c r="B327" s="1" t="n">
        <v>44365</v>
      </c>
      <c r="C327" s="1" t="n">
        <v>45911</v>
      </c>
      <c r="D327" t="inlineStr">
        <is>
          <t>GÄVLEBORGS LÄN</t>
        </is>
      </c>
      <c r="E327" t="inlineStr">
        <is>
          <t>OVANÅKER</t>
        </is>
      </c>
      <c r="F327" t="inlineStr">
        <is>
          <t>Sveaskog</t>
        </is>
      </c>
      <c r="G327" t="n">
        <v>2.7</v>
      </c>
      <c r="H327" t="n">
        <v>0</v>
      </c>
      <c r="I327" t="n">
        <v>1</v>
      </c>
      <c r="J327" t="n">
        <v>0</v>
      </c>
      <c r="K327" t="n">
        <v>0</v>
      </c>
      <c r="L327" t="n">
        <v>0</v>
      </c>
      <c r="M327" t="n">
        <v>0</v>
      </c>
      <c r="N327" t="n">
        <v>0</v>
      </c>
      <c r="O327" t="n">
        <v>0</v>
      </c>
      <c r="P327" t="n">
        <v>0</v>
      </c>
      <c r="Q327" t="n">
        <v>1</v>
      </c>
      <c r="R327" s="2" t="inlineStr">
        <is>
          <t>Dropptaggsvamp</t>
        </is>
      </c>
      <c r="S327">
        <f>HYPERLINK("https://klasma.github.io/Logging_2121/artfynd/A 30954-2021 artfynd.xlsx", "A 30954-2021")</f>
        <v/>
      </c>
      <c r="T327">
        <f>HYPERLINK("https://klasma.github.io/Logging_2121/kartor/A 30954-2021 karta.png", "A 30954-2021")</f>
        <v/>
      </c>
      <c r="V327">
        <f>HYPERLINK("https://klasma.github.io/Logging_2121/klagomål/A 30954-2021 FSC-klagomål.docx", "A 30954-2021")</f>
        <v/>
      </c>
      <c r="W327">
        <f>HYPERLINK("https://klasma.github.io/Logging_2121/klagomålsmail/A 30954-2021 FSC-klagomål mail.docx", "A 30954-2021")</f>
        <v/>
      </c>
      <c r="X327">
        <f>HYPERLINK("https://klasma.github.io/Logging_2121/tillsyn/A 30954-2021 tillsynsbegäran.docx", "A 30954-2021")</f>
        <v/>
      </c>
      <c r="Y327">
        <f>HYPERLINK("https://klasma.github.io/Logging_2121/tillsynsmail/A 30954-2021 tillsynsbegäran mail.docx", "A 30954-2021")</f>
        <v/>
      </c>
    </row>
    <row r="328" ht="15" customHeight="1">
      <c r="A328" t="inlineStr">
        <is>
          <t>A 22667-2024</t>
        </is>
      </c>
      <c r="B328" s="1" t="n">
        <v>45447.94438657408</v>
      </c>
      <c r="C328" s="1" t="n">
        <v>45911</v>
      </c>
      <c r="D328" t="inlineStr">
        <is>
          <t>GÄVLEBORGS LÄN</t>
        </is>
      </c>
      <c r="E328" t="inlineStr">
        <is>
          <t>LJUSDAL</t>
        </is>
      </c>
      <c r="F328" t="inlineStr">
        <is>
          <t>SCA</t>
        </is>
      </c>
      <c r="G328" t="n">
        <v>5.3</v>
      </c>
      <c r="H328" t="n">
        <v>1</v>
      </c>
      <c r="I328" t="n">
        <v>0</v>
      </c>
      <c r="J328" t="n">
        <v>0</v>
      </c>
      <c r="K328" t="n">
        <v>1</v>
      </c>
      <c r="L328" t="n">
        <v>0</v>
      </c>
      <c r="M328" t="n">
        <v>0</v>
      </c>
      <c r="N328" t="n">
        <v>0</v>
      </c>
      <c r="O328" t="n">
        <v>1</v>
      </c>
      <c r="P328" t="n">
        <v>1</v>
      </c>
      <c r="Q328" t="n">
        <v>1</v>
      </c>
      <c r="R328" s="2" t="inlineStr">
        <is>
          <t>Knärot</t>
        </is>
      </c>
      <c r="S328">
        <f>HYPERLINK("https://klasma.github.io/Logging_2161/artfynd/A 22667-2024 artfynd.xlsx", "A 22667-2024")</f>
        <v/>
      </c>
      <c r="T328">
        <f>HYPERLINK("https://klasma.github.io/Logging_2161/kartor/A 22667-2024 karta.png", "A 22667-2024")</f>
        <v/>
      </c>
      <c r="U328">
        <f>HYPERLINK("https://klasma.github.io/Logging_2161/knärot/A 22667-2024 karta knärot.png", "A 22667-2024")</f>
        <v/>
      </c>
      <c r="V328">
        <f>HYPERLINK("https://klasma.github.io/Logging_2161/klagomål/A 22667-2024 FSC-klagomål.docx", "A 22667-2024")</f>
        <v/>
      </c>
      <c r="W328">
        <f>HYPERLINK("https://klasma.github.io/Logging_2161/klagomålsmail/A 22667-2024 FSC-klagomål mail.docx", "A 22667-2024")</f>
        <v/>
      </c>
      <c r="X328">
        <f>HYPERLINK("https://klasma.github.io/Logging_2161/tillsyn/A 22667-2024 tillsynsbegäran.docx", "A 22667-2024")</f>
        <v/>
      </c>
      <c r="Y328">
        <f>HYPERLINK("https://klasma.github.io/Logging_2161/tillsynsmail/A 22667-2024 tillsynsbegäran mail.docx", "A 22667-2024")</f>
        <v/>
      </c>
    </row>
    <row r="329" ht="15" customHeight="1">
      <c r="A329" t="inlineStr">
        <is>
          <t>A 23644-2024</t>
        </is>
      </c>
      <c r="B329" s="1" t="n">
        <v>45454</v>
      </c>
      <c r="C329" s="1" t="n">
        <v>45911</v>
      </c>
      <c r="D329" t="inlineStr">
        <is>
          <t>GÄVLEBORGS LÄN</t>
        </is>
      </c>
      <c r="E329" t="inlineStr">
        <is>
          <t>LJUSDAL</t>
        </is>
      </c>
      <c r="F329" t="inlineStr">
        <is>
          <t>Sveaskog</t>
        </is>
      </c>
      <c r="G329" t="n">
        <v>26.6</v>
      </c>
      <c r="H329" t="n">
        <v>0</v>
      </c>
      <c r="I329" t="n">
        <v>0</v>
      </c>
      <c r="J329" t="n">
        <v>1</v>
      </c>
      <c r="K329" t="n">
        <v>0</v>
      </c>
      <c r="L329" t="n">
        <v>0</v>
      </c>
      <c r="M329" t="n">
        <v>0</v>
      </c>
      <c r="N329" t="n">
        <v>0</v>
      </c>
      <c r="O329" t="n">
        <v>1</v>
      </c>
      <c r="P329" t="n">
        <v>0</v>
      </c>
      <c r="Q329" t="n">
        <v>1</v>
      </c>
      <c r="R329" s="2" t="inlineStr">
        <is>
          <t>Kolflarnlav</t>
        </is>
      </c>
      <c r="S329">
        <f>HYPERLINK("https://klasma.github.io/Logging_2161/artfynd/A 23644-2024 artfynd.xlsx", "A 23644-2024")</f>
        <v/>
      </c>
      <c r="T329">
        <f>HYPERLINK("https://klasma.github.io/Logging_2161/kartor/A 23644-2024 karta.png", "A 23644-2024")</f>
        <v/>
      </c>
      <c r="V329">
        <f>HYPERLINK("https://klasma.github.io/Logging_2161/klagomål/A 23644-2024 FSC-klagomål.docx", "A 23644-2024")</f>
        <v/>
      </c>
      <c r="W329">
        <f>HYPERLINK("https://klasma.github.io/Logging_2161/klagomålsmail/A 23644-2024 FSC-klagomål mail.docx", "A 23644-2024")</f>
        <v/>
      </c>
      <c r="X329">
        <f>HYPERLINK("https://klasma.github.io/Logging_2161/tillsyn/A 23644-2024 tillsynsbegäran.docx", "A 23644-2024")</f>
        <v/>
      </c>
      <c r="Y329">
        <f>HYPERLINK("https://klasma.github.io/Logging_2161/tillsynsmail/A 23644-2024 tillsynsbegäran mail.docx", "A 23644-2024")</f>
        <v/>
      </c>
    </row>
    <row r="330" ht="15" customHeight="1">
      <c r="A330" t="inlineStr">
        <is>
          <t>A 5500-2024</t>
        </is>
      </c>
      <c r="B330" s="1" t="n">
        <v>45334</v>
      </c>
      <c r="C330" s="1" t="n">
        <v>45911</v>
      </c>
      <c r="D330" t="inlineStr">
        <is>
          <t>GÄVLEBORGS LÄN</t>
        </is>
      </c>
      <c r="E330" t="inlineStr">
        <is>
          <t>HUDIKSVALL</t>
        </is>
      </c>
      <c r="F330" t="inlineStr">
        <is>
          <t>Holmen skog AB</t>
        </is>
      </c>
      <c r="G330" t="n">
        <v>5</v>
      </c>
      <c r="H330" t="n">
        <v>0</v>
      </c>
      <c r="I330" t="n">
        <v>0</v>
      </c>
      <c r="J330" t="n">
        <v>1</v>
      </c>
      <c r="K330" t="n">
        <v>0</v>
      </c>
      <c r="L330" t="n">
        <v>0</v>
      </c>
      <c r="M330" t="n">
        <v>0</v>
      </c>
      <c r="N330" t="n">
        <v>0</v>
      </c>
      <c r="O330" t="n">
        <v>1</v>
      </c>
      <c r="P330" t="n">
        <v>0</v>
      </c>
      <c r="Q330" t="n">
        <v>1</v>
      </c>
      <c r="R330" s="2" t="inlineStr">
        <is>
          <t>Mörk kolflarnlav</t>
        </is>
      </c>
      <c r="S330">
        <f>HYPERLINK("https://klasma.github.io/Logging_2184/artfynd/A 5500-2024 artfynd.xlsx", "A 5500-2024")</f>
        <v/>
      </c>
      <c r="T330">
        <f>HYPERLINK("https://klasma.github.io/Logging_2184/kartor/A 5500-2024 karta.png", "A 5500-2024")</f>
        <v/>
      </c>
      <c r="V330">
        <f>HYPERLINK("https://klasma.github.io/Logging_2184/klagomål/A 5500-2024 FSC-klagomål.docx", "A 5500-2024")</f>
        <v/>
      </c>
      <c r="W330">
        <f>HYPERLINK("https://klasma.github.io/Logging_2184/klagomålsmail/A 5500-2024 FSC-klagomål mail.docx", "A 5500-2024")</f>
        <v/>
      </c>
      <c r="X330">
        <f>HYPERLINK("https://klasma.github.io/Logging_2184/tillsyn/A 5500-2024 tillsynsbegäran.docx", "A 5500-2024")</f>
        <v/>
      </c>
      <c r="Y330">
        <f>HYPERLINK("https://klasma.github.io/Logging_2184/tillsynsmail/A 5500-2024 tillsynsbegäran mail.docx", "A 5500-2024")</f>
        <v/>
      </c>
    </row>
    <row r="331" ht="15" customHeight="1">
      <c r="A331" t="inlineStr">
        <is>
          <t>A 22131-2025</t>
        </is>
      </c>
      <c r="B331" s="1" t="n">
        <v>45785.53472222222</v>
      </c>
      <c r="C331" s="1" t="n">
        <v>45911</v>
      </c>
      <c r="D331" t="inlineStr">
        <is>
          <t>GÄVLEBORGS LÄN</t>
        </is>
      </c>
      <c r="E331" t="inlineStr">
        <is>
          <t>HUDIKSVALL</t>
        </is>
      </c>
      <c r="G331" t="n">
        <v>6.6</v>
      </c>
      <c r="H331" t="n">
        <v>1</v>
      </c>
      <c r="I331" t="n">
        <v>0</v>
      </c>
      <c r="J331" t="n">
        <v>0</v>
      </c>
      <c r="K331" t="n">
        <v>1</v>
      </c>
      <c r="L331" t="n">
        <v>0</v>
      </c>
      <c r="M331" t="n">
        <v>0</v>
      </c>
      <c r="N331" t="n">
        <v>0</v>
      </c>
      <c r="O331" t="n">
        <v>1</v>
      </c>
      <c r="P331" t="n">
        <v>1</v>
      </c>
      <c r="Q331" t="n">
        <v>1</v>
      </c>
      <c r="R331" s="2" t="inlineStr">
        <is>
          <t>Knärot</t>
        </is>
      </c>
      <c r="S331">
        <f>HYPERLINK("https://klasma.github.io/Logging_2184/artfynd/A 22131-2025 artfynd.xlsx", "A 22131-2025")</f>
        <v/>
      </c>
      <c r="T331">
        <f>HYPERLINK("https://klasma.github.io/Logging_2184/kartor/A 22131-2025 karta.png", "A 22131-2025")</f>
        <v/>
      </c>
      <c r="U331">
        <f>HYPERLINK("https://klasma.github.io/Logging_2184/knärot/A 22131-2025 karta knärot.png", "A 22131-2025")</f>
        <v/>
      </c>
      <c r="V331">
        <f>HYPERLINK("https://klasma.github.io/Logging_2184/klagomål/A 22131-2025 FSC-klagomål.docx", "A 22131-2025")</f>
        <v/>
      </c>
      <c r="W331">
        <f>HYPERLINK("https://klasma.github.io/Logging_2184/klagomålsmail/A 22131-2025 FSC-klagomål mail.docx", "A 22131-2025")</f>
        <v/>
      </c>
      <c r="X331">
        <f>HYPERLINK("https://klasma.github.io/Logging_2184/tillsyn/A 22131-2025 tillsynsbegäran.docx", "A 22131-2025")</f>
        <v/>
      </c>
      <c r="Y331">
        <f>HYPERLINK("https://klasma.github.io/Logging_2184/tillsynsmail/A 22131-2025 tillsynsbegäran mail.docx", "A 22131-2025")</f>
        <v/>
      </c>
    </row>
    <row r="332" ht="15" customHeight="1">
      <c r="A332" t="inlineStr">
        <is>
          <t>A 42115-2023</t>
        </is>
      </c>
      <c r="B332" s="1" t="n">
        <v>45177</v>
      </c>
      <c r="C332" s="1" t="n">
        <v>45911</v>
      </c>
      <c r="D332" t="inlineStr">
        <is>
          <t>GÄVLEBORGS LÄN</t>
        </is>
      </c>
      <c r="E332" t="inlineStr">
        <is>
          <t>SANDVIKEN</t>
        </is>
      </c>
      <c r="F332" t="inlineStr">
        <is>
          <t>Sveaskog</t>
        </is>
      </c>
      <c r="G332" t="n">
        <v>2.4</v>
      </c>
      <c r="H332" t="n">
        <v>1</v>
      </c>
      <c r="I332" t="n">
        <v>0</v>
      </c>
      <c r="J332" t="n">
        <v>1</v>
      </c>
      <c r="K332" t="n">
        <v>0</v>
      </c>
      <c r="L332" t="n">
        <v>0</v>
      </c>
      <c r="M332" t="n">
        <v>0</v>
      </c>
      <c r="N332" t="n">
        <v>0</v>
      </c>
      <c r="O332" t="n">
        <v>1</v>
      </c>
      <c r="P332" t="n">
        <v>0</v>
      </c>
      <c r="Q332" t="n">
        <v>1</v>
      </c>
      <c r="R332" s="2" t="inlineStr">
        <is>
          <t>Talltita</t>
        </is>
      </c>
      <c r="S332">
        <f>HYPERLINK("https://klasma.github.io/Logging_2181/artfynd/A 42115-2023 artfynd.xlsx", "A 42115-2023")</f>
        <v/>
      </c>
      <c r="T332">
        <f>HYPERLINK("https://klasma.github.io/Logging_2181/kartor/A 42115-2023 karta.png", "A 42115-2023")</f>
        <v/>
      </c>
      <c r="V332">
        <f>HYPERLINK("https://klasma.github.io/Logging_2181/klagomål/A 42115-2023 FSC-klagomål.docx", "A 42115-2023")</f>
        <v/>
      </c>
      <c r="W332">
        <f>HYPERLINK("https://klasma.github.io/Logging_2181/klagomålsmail/A 42115-2023 FSC-klagomål mail.docx", "A 42115-2023")</f>
        <v/>
      </c>
      <c r="X332">
        <f>HYPERLINK("https://klasma.github.io/Logging_2181/tillsyn/A 42115-2023 tillsynsbegäran.docx", "A 42115-2023")</f>
        <v/>
      </c>
      <c r="Y332">
        <f>HYPERLINK("https://klasma.github.io/Logging_2181/tillsynsmail/A 42115-2023 tillsynsbegäran mail.docx", "A 42115-2023")</f>
        <v/>
      </c>
      <c r="Z332">
        <f>HYPERLINK("https://klasma.github.io/Logging_2181/fåglar/A 42115-2023 prioriterade fågelarter.docx", "A 42115-2023")</f>
        <v/>
      </c>
    </row>
    <row r="333" ht="15" customHeight="1">
      <c r="A333" t="inlineStr">
        <is>
          <t>A 31417-2024</t>
        </is>
      </c>
      <c r="B333" s="1" t="n">
        <v>45505.62011574074</v>
      </c>
      <c r="C333" s="1" t="n">
        <v>45911</v>
      </c>
      <c r="D333" t="inlineStr">
        <is>
          <t>GÄVLEBORGS LÄN</t>
        </is>
      </c>
      <c r="E333" t="inlineStr">
        <is>
          <t>LJUSDAL</t>
        </is>
      </c>
      <c r="F333" t="inlineStr">
        <is>
          <t>Sveaskog</t>
        </is>
      </c>
      <c r="G333" t="n">
        <v>3</v>
      </c>
      <c r="H333" t="n">
        <v>0</v>
      </c>
      <c r="I333" t="n">
        <v>0</v>
      </c>
      <c r="J333" t="n">
        <v>1</v>
      </c>
      <c r="K333" t="n">
        <v>0</v>
      </c>
      <c r="L333" t="n">
        <v>0</v>
      </c>
      <c r="M333" t="n">
        <v>0</v>
      </c>
      <c r="N333" t="n">
        <v>0</v>
      </c>
      <c r="O333" t="n">
        <v>1</v>
      </c>
      <c r="P333" t="n">
        <v>0</v>
      </c>
      <c r="Q333" t="n">
        <v>1</v>
      </c>
      <c r="R333" s="2" t="inlineStr">
        <is>
          <t>Kolflarnlav</t>
        </is>
      </c>
      <c r="S333">
        <f>HYPERLINK("https://klasma.github.io/Logging_2161/artfynd/A 31417-2024 artfynd.xlsx", "A 31417-2024")</f>
        <v/>
      </c>
      <c r="T333">
        <f>HYPERLINK("https://klasma.github.io/Logging_2161/kartor/A 31417-2024 karta.png", "A 31417-2024")</f>
        <v/>
      </c>
      <c r="V333">
        <f>HYPERLINK("https://klasma.github.io/Logging_2161/klagomål/A 31417-2024 FSC-klagomål.docx", "A 31417-2024")</f>
        <v/>
      </c>
      <c r="W333">
        <f>HYPERLINK("https://klasma.github.io/Logging_2161/klagomålsmail/A 31417-2024 FSC-klagomål mail.docx", "A 31417-2024")</f>
        <v/>
      </c>
      <c r="X333">
        <f>HYPERLINK("https://klasma.github.io/Logging_2161/tillsyn/A 31417-2024 tillsynsbegäran.docx", "A 31417-2024")</f>
        <v/>
      </c>
      <c r="Y333">
        <f>HYPERLINK("https://klasma.github.io/Logging_2161/tillsynsmail/A 31417-2024 tillsynsbegäran mail.docx", "A 31417-2024")</f>
        <v/>
      </c>
    </row>
    <row r="334" ht="15" customHeight="1">
      <c r="A334" t="inlineStr">
        <is>
          <t>A 58845-2023</t>
        </is>
      </c>
      <c r="B334" s="1" t="n">
        <v>45252</v>
      </c>
      <c r="C334" s="1" t="n">
        <v>45911</v>
      </c>
      <c r="D334" t="inlineStr">
        <is>
          <t>GÄVLEBORGS LÄN</t>
        </is>
      </c>
      <c r="E334" t="inlineStr">
        <is>
          <t>SANDVIKEN</t>
        </is>
      </c>
      <c r="G334" t="n">
        <v>1.5</v>
      </c>
      <c r="H334" t="n">
        <v>1</v>
      </c>
      <c r="I334" t="n">
        <v>0</v>
      </c>
      <c r="J334" t="n">
        <v>0</v>
      </c>
      <c r="K334" t="n">
        <v>0</v>
      </c>
      <c r="L334" t="n">
        <v>0</v>
      </c>
      <c r="M334" t="n">
        <v>0</v>
      </c>
      <c r="N334" t="n">
        <v>0</v>
      </c>
      <c r="O334" t="n">
        <v>0</v>
      </c>
      <c r="P334" t="n">
        <v>0</v>
      </c>
      <c r="Q334" t="n">
        <v>1</v>
      </c>
      <c r="R334" s="2" t="inlineStr">
        <is>
          <t>Vanlig padda</t>
        </is>
      </c>
      <c r="S334">
        <f>HYPERLINK("https://klasma.github.io/Logging_2181/artfynd/A 58845-2023 artfynd.xlsx", "A 58845-2023")</f>
        <v/>
      </c>
      <c r="T334">
        <f>HYPERLINK("https://klasma.github.io/Logging_2181/kartor/A 58845-2023 karta.png", "A 58845-2023")</f>
        <v/>
      </c>
      <c r="V334">
        <f>HYPERLINK("https://klasma.github.io/Logging_2181/klagomål/A 58845-2023 FSC-klagomål.docx", "A 58845-2023")</f>
        <v/>
      </c>
      <c r="W334">
        <f>HYPERLINK("https://klasma.github.io/Logging_2181/klagomålsmail/A 58845-2023 FSC-klagomål mail.docx", "A 58845-2023")</f>
        <v/>
      </c>
      <c r="X334">
        <f>HYPERLINK("https://klasma.github.io/Logging_2181/tillsyn/A 58845-2023 tillsynsbegäran.docx", "A 58845-2023")</f>
        <v/>
      </c>
      <c r="Y334">
        <f>HYPERLINK("https://klasma.github.io/Logging_2181/tillsynsmail/A 58845-2023 tillsynsbegäran mail.docx", "A 58845-2023")</f>
        <v/>
      </c>
    </row>
    <row r="335" ht="15" customHeight="1">
      <c r="A335" t="inlineStr">
        <is>
          <t>A 32328-2024</t>
        </is>
      </c>
      <c r="B335" s="1" t="n">
        <v>45512.47659722222</v>
      </c>
      <c r="C335" s="1" t="n">
        <v>45911</v>
      </c>
      <c r="D335" t="inlineStr">
        <is>
          <t>GÄVLEBORGS LÄN</t>
        </is>
      </c>
      <c r="E335" t="inlineStr">
        <is>
          <t>GÄVLE</t>
        </is>
      </c>
      <c r="G335" t="n">
        <v>3.1</v>
      </c>
      <c r="H335" t="n">
        <v>1</v>
      </c>
      <c r="I335" t="n">
        <v>0</v>
      </c>
      <c r="J335" t="n">
        <v>1</v>
      </c>
      <c r="K335" t="n">
        <v>0</v>
      </c>
      <c r="L335" t="n">
        <v>0</v>
      </c>
      <c r="M335" t="n">
        <v>0</v>
      </c>
      <c r="N335" t="n">
        <v>0</v>
      </c>
      <c r="O335" t="n">
        <v>1</v>
      </c>
      <c r="P335" t="n">
        <v>0</v>
      </c>
      <c r="Q335" t="n">
        <v>1</v>
      </c>
      <c r="R335" s="2" t="inlineStr">
        <is>
          <t>Spillkråka</t>
        </is>
      </c>
      <c r="S335">
        <f>HYPERLINK("https://klasma.github.io/Logging_2180/artfynd/A 32328-2024 artfynd.xlsx", "A 32328-2024")</f>
        <v/>
      </c>
      <c r="T335">
        <f>HYPERLINK("https://klasma.github.io/Logging_2180/kartor/A 32328-2024 karta.png", "A 32328-2024")</f>
        <v/>
      </c>
      <c r="V335">
        <f>HYPERLINK("https://klasma.github.io/Logging_2180/klagomål/A 32328-2024 FSC-klagomål.docx", "A 32328-2024")</f>
        <v/>
      </c>
      <c r="W335">
        <f>HYPERLINK("https://klasma.github.io/Logging_2180/klagomålsmail/A 32328-2024 FSC-klagomål mail.docx", "A 32328-2024")</f>
        <v/>
      </c>
      <c r="X335">
        <f>HYPERLINK("https://klasma.github.io/Logging_2180/tillsyn/A 32328-2024 tillsynsbegäran.docx", "A 32328-2024")</f>
        <v/>
      </c>
      <c r="Y335">
        <f>HYPERLINK("https://klasma.github.io/Logging_2180/tillsynsmail/A 32328-2024 tillsynsbegäran mail.docx", "A 32328-2024")</f>
        <v/>
      </c>
      <c r="Z335">
        <f>HYPERLINK("https://klasma.github.io/Logging_2180/fåglar/A 32328-2024 prioriterade fågelarter.docx", "A 32328-2024")</f>
        <v/>
      </c>
    </row>
    <row r="336" ht="15" customHeight="1">
      <c r="A336" t="inlineStr">
        <is>
          <t>A 54083-2022</t>
        </is>
      </c>
      <c r="B336" s="1" t="n">
        <v>44881</v>
      </c>
      <c r="C336" s="1" t="n">
        <v>45911</v>
      </c>
      <c r="D336" t="inlineStr">
        <is>
          <t>GÄVLEBORGS LÄN</t>
        </is>
      </c>
      <c r="E336" t="inlineStr">
        <is>
          <t>BOLLNÄS</t>
        </is>
      </c>
      <c r="F336" t="inlineStr">
        <is>
          <t>Sveaskog</t>
        </is>
      </c>
      <c r="G336" t="n">
        <v>2.7</v>
      </c>
      <c r="H336" t="n">
        <v>1</v>
      </c>
      <c r="I336" t="n">
        <v>0</v>
      </c>
      <c r="J336" t="n">
        <v>0</v>
      </c>
      <c r="K336" t="n">
        <v>0</v>
      </c>
      <c r="L336" t="n">
        <v>0</v>
      </c>
      <c r="M336" t="n">
        <v>0</v>
      </c>
      <c r="N336" t="n">
        <v>0</v>
      </c>
      <c r="O336" t="n">
        <v>0</v>
      </c>
      <c r="P336" t="n">
        <v>0</v>
      </c>
      <c r="Q336" t="n">
        <v>1</v>
      </c>
      <c r="R336" s="2" t="inlineStr">
        <is>
          <t>Fläcknycklar</t>
        </is>
      </c>
      <c r="S336">
        <f>HYPERLINK("https://klasma.github.io/Logging_2183/artfynd/A 54083-2022 artfynd.xlsx", "A 54083-2022")</f>
        <v/>
      </c>
      <c r="T336">
        <f>HYPERLINK("https://klasma.github.io/Logging_2183/kartor/A 54083-2022 karta.png", "A 54083-2022")</f>
        <v/>
      </c>
      <c r="V336">
        <f>HYPERLINK("https://klasma.github.io/Logging_2183/klagomål/A 54083-2022 FSC-klagomål.docx", "A 54083-2022")</f>
        <v/>
      </c>
      <c r="W336">
        <f>HYPERLINK("https://klasma.github.io/Logging_2183/klagomålsmail/A 54083-2022 FSC-klagomål mail.docx", "A 54083-2022")</f>
        <v/>
      </c>
      <c r="X336">
        <f>HYPERLINK("https://klasma.github.io/Logging_2183/tillsyn/A 54083-2022 tillsynsbegäran.docx", "A 54083-2022")</f>
        <v/>
      </c>
      <c r="Y336">
        <f>HYPERLINK("https://klasma.github.io/Logging_2183/tillsynsmail/A 54083-2022 tillsynsbegäran mail.docx", "A 54083-2022")</f>
        <v/>
      </c>
    </row>
    <row r="337" ht="15" customHeight="1">
      <c r="A337" t="inlineStr">
        <is>
          <t>A 38529-2022</t>
        </is>
      </c>
      <c r="B337" s="1" t="n">
        <v>44813</v>
      </c>
      <c r="C337" s="1" t="n">
        <v>45911</v>
      </c>
      <c r="D337" t="inlineStr">
        <is>
          <t>GÄVLEBORGS LÄN</t>
        </is>
      </c>
      <c r="E337" t="inlineStr">
        <is>
          <t>BOLLNÄS</t>
        </is>
      </c>
      <c r="G337" t="n">
        <v>0.9</v>
      </c>
      <c r="H337" t="n">
        <v>0</v>
      </c>
      <c r="I337" t="n">
        <v>0</v>
      </c>
      <c r="J337" t="n">
        <v>1</v>
      </c>
      <c r="K337" t="n">
        <v>0</v>
      </c>
      <c r="L337" t="n">
        <v>0</v>
      </c>
      <c r="M337" t="n">
        <v>0</v>
      </c>
      <c r="N337" t="n">
        <v>0</v>
      </c>
      <c r="O337" t="n">
        <v>1</v>
      </c>
      <c r="P337" t="n">
        <v>0</v>
      </c>
      <c r="Q337" t="n">
        <v>1</v>
      </c>
      <c r="R337" s="2" t="inlineStr">
        <is>
          <t>Skrovlig taggsvamp</t>
        </is>
      </c>
      <c r="S337">
        <f>HYPERLINK("https://klasma.github.io/Logging_2183/artfynd/A 38529-2022 artfynd.xlsx", "A 38529-2022")</f>
        <v/>
      </c>
      <c r="T337">
        <f>HYPERLINK("https://klasma.github.io/Logging_2183/kartor/A 38529-2022 karta.png", "A 38529-2022")</f>
        <v/>
      </c>
      <c r="V337">
        <f>HYPERLINK("https://klasma.github.io/Logging_2183/klagomål/A 38529-2022 FSC-klagomål.docx", "A 38529-2022")</f>
        <v/>
      </c>
      <c r="W337">
        <f>HYPERLINK("https://klasma.github.io/Logging_2183/klagomålsmail/A 38529-2022 FSC-klagomål mail.docx", "A 38529-2022")</f>
        <v/>
      </c>
      <c r="X337">
        <f>HYPERLINK("https://klasma.github.io/Logging_2183/tillsyn/A 38529-2022 tillsynsbegäran.docx", "A 38529-2022")</f>
        <v/>
      </c>
      <c r="Y337">
        <f>HYPERLINK("https://klasma.github.io/Logging_2183/tillsynsmail/A 38529-2022 tillsynsbegäran mail.docx", "A 38529-2022")</f>
        <v/>
      </c>
    </row>
    <row r="338" ht="15" customHeight="1">
      <c r="A338" t="inlineStr">
        <is>
          <t>A 58900-2021</t>
        </is>
      </c>
      <c r="B338" s="1" t="n">
        <v>44489</v>
      </c>
      <c r="C338" s="1" t="n">
        <v>45911</v>
      </c>
      <c r="D338" t="inlineStr">
        <is>
          <t>GÄVLEBORGS LÄN</t>
        </is>
      </c>
      <c r="E338" t="inlineStr">
        <is>
          <t>LJUSDAL</t>
        </is>
      </c>
      <c r="F338" t="inlineStr">
        <is>
          <t>Sveaskog</t>
        </is>
      </c>
      <c r="G338" t="n">
        <v>5.2</v>
      </c>
      <c r="H338" t="n">
        <v>0</v>
      </c>
      <c r="I338" t="n">
        <v>1</v>
      </c>
      <c r="J338" t="n">
        <v>0</v>
      </c>
      <c r="K338" t="n">
        <v>0</v>
      </c>
      <c r="L338" t="n">
        <v>0</v>
      </c>
      <c r="M338" t="n">
        <v>0</v>
      </c>
      <c r="N338" t="n">
        <v>0</v>
      </c>
      <c r="O338" t="n">
        <v>0</v>
      </c>
      <c r="P338" t="n">
        <v>0</v>
      </c>
      <c r="Q338" t="n">
        <v>1</v>
      </c>
      <c r="R338" s="2" t="inlineStr">
        <is>
          <t>Skuggblåslav</t>
        </is>
      </c>
      <c r="S338">
        <f>HYPERLINK("https://klasma.github.io/Logging_2161/artfynd/A 58900-2021 artfynd.xlsx", "A 58900-2021")</f>
        <v/>
      </c>
      <c r="T338">
        <f>HYPERLINK("https://klasma.github.io/Logging_2161/kartor/A 58900-2021 karta.png", "A 58900-2021")</f>
        <v/>
      </c>
      <c r="V338">
        <f>HYPERLINK("https://klasma.github.io/Logging_2161/klagomål/A 58900-2021 FSC-klagomål.docx", "A 58900-2021")</f>
        <v/>
      </c>
      <c r="W338">
        <f>HYPERLINK("https://klasma.github.io/Logging_2161/klagomålsmail/A 58900-2021 FSC-klagomål mail.docx", "A 58900-2021")</f>
        <v/>
      </c>
      <c r="X338">
        <f>HYPERLINK("https://klasma.github.io/Logging_2161/tillsyn/A 58900-2021 tillsynsbegäran.docx", "A 58900-2021")</f>
        <v/>
      </c>
      <c r="Y338">
        <f>HYPERLINK("https://klasma.github.io/Logging_2161/tillsynsmail/A 58900-2021 tillsynsbegäran mail.docx", "A 58900-2021")</f>
        <v/>
      </c>
    </row>
    <row r="339" ht="15" customHeight="1">
      <c r="A339" t="inlineStr">
        <is>
          <t>A 53508-2024</t>
        </is>
      </c>
      <c r="B339" s="1" t="n">
        <v>45614.59193287037</v>
      </c>
      <c r="C339" s="1" t="n">
        <v>45911</v>
      </c>
      <c r="D339" t="inlineStr">
        <is>
          <t>GÄVLEBORGS LÄN</t>
        </is>
      </c>
      <c r="E339" t="inlineStr">
        <is>
          <t>LJUSDAL</t>
        </is>
      </c>
      <c r="G339" t="n">
        <v>2.4</v>
      </c>
      <c r="H339" t="n">
        <v>0</v>
      </c>
      <c r="I339" t="n">
        <v>0</v>
      </c>
      <c r="J339" t="n">
        <v>1</v>
      </c>
      <c r="K339" t="n">
        <v>0</v>
      </c>
      <c r="L339" t="n">
        <v>0</v>
      </c>
      <c r="M339" t="n">
        <v>0</v>
      </c>
      <c r="N339" t="n">
        <v>0</v>
      </c>
      <c r="O339" t="n">
        <v>1</v>
      </c>
      <c r="P339" t="n">
        <v>0</v>
      </c>
      <c r="Q339" t="n">
        <v>1</v>
      </c>
      <c r="R339" s="2" t="inlineStr">
        <is>
          <t>Lunglav</t>
        </is>
      </c>
      <c r="S339">
        <f>HYPERLINK("https://klasma.github.io/Logging_2161/artfynd/A 53508-2024 artfynd.xlsx", "A 53508-2024")</f>
        <v/>
      </c>
      <c r="T339">
        <f>HYPERLINK("https://klasma.github.io/Logging_2161/kartor/A 53508-2024 karta.png", "A 53508-2024")</f>
        <v/>
      </c>
      <c r="V339">
        <f>HYPERLINK("https://klasma.github.io/Logging_2161/klagomål/A 53508-2024 FSC-klagomål.docx", "A 53508-2024")</f>
        <v/>
      </c>
      <c r="W339">
        <f>HYPERLINK("https://klasma.github.io/Logging_2161/klagomålsmail/A 53508-2024 FSC-klagomål mail.docx", "A 53508-2024")</f>
        <v/>
      </c>
      <c r="X339">
        <f>HYPERLINK("https://klasma.github.io/Logging_2161/tillsyn/A 53508-2024 tillsynsbegäran.docx", "A 53508-2024")</f>
        <v/>
      </c>
      <c r="Y339">
        <f>HYPERLINK("https://klasma.github.io/Logging_2161/tillsynsmail/A 53508-2024 tillsynsbegäran mail.docx", "A 53508-2024")</f>
        <v/>
      </c>
    </row>
    <row r="340" ht="15" customHeight="1">
      <c r="A340" t="inlineStr">
        <is>
          <t>A 38159-2022</t>
        </is>
      </c>
      <c r="B340" s="1" t="n">
        <v>44812.37486111111</v>
      </c>
      <c r="C340" s="1" t="n">
        <v>45911</v>
      </c>
      <c r="D340" t="inlineStr">
        <is>
          <t>GÄVLEBORGS LÄN</t>
        </is>
      </c>
      <c r="E340" t="inlineStr">
        <is>
          <t>NORDANSTIG</t>
        </is>
      </c>
      <c r="F340" t="inlineStr">
        <is>
          <t>Holmen skog AB</t>
        </is>
      </c>
      <c r="G340" t="n">
        <v>1.4</v>
      </c>
      <c r="H340" t="n">
        <v>0</v>
      </c>
      <c r="I340" t="n">
        <v>0</v>
      </c>
      <c r="J340" t="n">
        <v>1</v>
      </c>
      <c r="K340" t="n">
        <v>0</v>
      </c>
      <c r="L340" t="n">
        <v>0</v>
      </c>
      <c r="M340" t="n">
        <v>0</v>
      </c>
      <c r="N340" t="n">
        <v>0</v>
      </c>
      <c r="O340" t="n">
        <v>1</v>
      </c>
      <c r="P340" t="n">
        <v>0</v>
      </c>
      <c r="Q340" t="n">
        <v>1</v>
      </c>
      <c r="R340" s="2" t="inlineStr">
        <is>
          <t>Granticka</t>
        </is>
      </c>
      <c r="S340">
        <f>HYPERLINK("https://klasma.github.io/Logging_2132/artfynd/A 38159-2022 artfynd.xlsx", "A 38159-2022")</f>
        <v/>
      </c>
      <c r="T340">
        <f>HYPERLINK("https://klasma.github.io/Logging_2132/kartor/A 38159-2022 karta.png", "A 38159-2022")</f>
        <v/>
      </c>
      <c r="V340">
        <f>HYPERLINK("https://klasma.github.io/Logging_2132/klagomål/A 38159-2022 FSC-klagomål.docx", "A 38159-2022")</f>
        <v/>
      </c>
      <c r="W340">
        <f>HYPERLINK("https://klasma.github.io/Logging_2132/klagomålsmail/A 38159-2022 FSC-klagomål mail.docx", "A 38159-2022")</f>
        <v/>
      </c>
      <c r="X340">
        <f>HYPERLINK("https://klasma.github.io/Logging_2132/tillsyn/A 38159-2022 tillsynsbegäran.docx", "A 38159-2022")</f>
        <v/>
      </c>
      <c r="Y340">
        <f>HYPERLINK("https://klasma.github.io/Logging_2132/tillsynsmail/A 38159-2022 tillsynsbegäran mail.docx", "A 38159-2022")</f>
        <v/>
      </c>
    </row>
    <row r="341" ht="15" customHeight="1">
      <c r="A341" t="inlineStr">
        <is>
          <t>A 25657-2024</t>
        </is>
      </c>
      <c r="B341" s="1" t="n">
        <v>45463.688125</v>
      </c>
      <c r="C341" s="1" t="n">
        <v>45911</v>
      </c>
      <c r="D341" t="inlineStr">
        <is>
          <t>GÄVLEBORGS LÄN</t>
        </is>
      </c>
      <c r="E341" t="inlineStr">
        <is>
          <t>GÄVLE</t>
        </is>
      </c>
      <c r="G341" t="n">
        <v>4</v>
      </c>
      <c r="H341" t="n">
        <v>0</v>
      </c>
      <c r="I341" t="n">
        <v>0</v>
      </c>
      <c r="J341" t="n">
        <v>1</v>
      </c>
      <c r="K341" t="n">
        <v>0</v>
      </c>
      <c r="L341" t="n">
        <v>0</v>
      </c>
      <c r="M341" t="n">
        <v>0</v>
      </c>
      <c r="N341" t="n">
        <v>0</v>
      </c>
      <c r="O341" t="n">
        <v>1</v>
      </c>
      <c r="P341" t="n">
        <v>0</v>
      </c>
      <c r="Q341" t="n">
        <v>1</v>
      </c>
      <c r="R341" s="2" t="inlineStr">
        <is>
          <t>Garnlav</t>
        </is>
      </c>
      <c r="S341">
        <f>HYPERLINK("https://klasma.github.io/Logging_2180/artfynd/A 25657-2024 artfynd.xlsx", "A 25657-2024")</f>
        <v/>
      </c>
      <c r="T341">
        <f>HYPERLINK("https://klasma.github.io/Logging_2180/kartor/A 25657-2024 karta.png", "A 25657-2024")</f>
        <v/>
      </c>
      <c r="V341">
        <f>HYPERLINK("https://klasma.github.io/Logging_2180/klagomål/A 25657-2024 FSC-klagomål.docx", "A 25657-2024")</f>
        <v/>
      </c>
      <c r="W341">
        <f>HYPERLINK("https://klasma.github.io/Logging_2180/klagomålsmail/A 25657-2024 FSC-klagomål mail.docx", "A 25657-2024")</f>
        <v/>
      </c>
      <c r="X341">
        <f>HYPERLINK("https://klasma.github.io/Logging_2180/tillsyn/A 25657-2024 tillsynsbegäran.docx", "A 25657-2024")</f>
        <v/>
      </c>
      <c r="Y341">
        <f>HYPERLINK("https://klasma.github.io/Logging_2180/tillsynsmail/A 25657-2024 tillsynsbegäran mail.docx", "A 25657-2024")</f>
        <v/>
      </c>
    </row>
    <row r="342" ht="15" customHeight="1">
      <c r="A342" t="inlineStr">
        <is>
          <t>A 29691-2021</t>
        </is>
      </c>
      <c r="B342" s="1" t="n">
        <v>44362.37850694444</v>
      </c>
      <c r="C342" s="1" t="n">
        <v>45911</v>
      </c>
      <c r="D342" t="inlineStr">
        <is>
          <t>GÄVLEBORGS LÄN</t>
        </is>
      </c>
      <c r="E342" t="inlineStr">
        <is>
          <t>HUDIKSVALL</t>
        </is>
      </c>
      <c r="G342" t="n">
        <v>1.3</v>
      </c>
      <c r="H342" t="n">
        <v>0</v>
      </c>
      <c r="I342" t="n">
        <v>0</v>
      </c>
      <c r="J342" t="n">
        <v>0</v>
      </c>
      <c r="K342" t="n">
        <v>1</v>
      </c>
      <c r="L342" t="n">
        <v>0</v>
      </c>
      <c r="M342" t="n">
        <v>0</v>
      </c>
      <c r="N342" t="n">
        <v>0</v>
      </c>
      <c r="O342" t="n">
        <v>1</v>
      </c>
      <c r="P342" t="n">
        <v>1</v>
      </c>
      <c r="Q342" t="n">
        <v>1</v>
      </c>
      <c r="R342" s="2" t="inlineStr">
        <is>
          <t>Tallgråticka</t>
        </is>
      </c>
      <c r="S342">
        <f>HYPERLINK("https://klasma.github.io/Logging_2184/artfynd/A 29691-2021 artfynd.xlsx", "A 29691-2021")</f>
        <v/>
      </c>
      <c r="T342">
        <f>HYPERLINK("https://klasma.github.io/Logging_2184/kartor/A 29691-2021 karta.png", "A 29691-2021")</f>
        <v/>
      </c>
      <c r="V342">
        <f>HYPERLINK("https://klasma.github.io/Logging_2184/klagomål/A 29691-2021 FSC-klagomål.docx", "A 29691-2021")</f>
        <v/>
      </c>
      <c r="W342">
        <f>HYPERLINK("https://klasma.github.io/Logging_2184/klagomålsmail/A 29691-2021 FSC-klagomål mail.docx", "A 29691-2021")</f>
        <v/>
      </c>
      <c r="X342">
        <f>HYPERLINK("https://klasma.github.io/Logging_2184/tillsyn/A 29691-2021 tillsynsbegäran.docx", "A 29691-2021")</f>
        <v/>
      </c>
      <c r="Y342">
        <f>HYPERLINK("https://klasma.github.io/Logging_2184/tillsynsmail/A 29691-2021 tillsynsbegäran mail.docx", "A 29691-2021")</f>
        <v/>
      </c>
    </row>
    <row r="343" ht="15" customHeight="1">
      <c r="A343" t="inlineStr">
        <is>
          <t>A 33298-2023</t>
        </is>
      </c>
      <c r="B343" s="1" t="n">
        <v>45127</v>
      </c>
      <c r="C343" s="1" t="n">
        <v>45911</v>
      </c>
      <c r="D343" t="inlineStr">
        <is>
          <t>GÄVLEBORGS LÄN</t>
        </is>
      </c>
      <c r="E343" t="inlineStr">
        <is>
          <t>HOFORS</t>
        </is>
      </c>
      <c r="F343" t="inlineStr">
        <is>
          <t>Sveaskog</t>
        </is>
      </c>
      <c r="G343" t="n">
        <v>5.6</v>
      </c>
      <c r="H343" t="n">
        <v>0</v>
      </c>
      <c r="I343" t="n">
        <v>1</v>
      </c>
      <c r="J343" t="n">
        <v>0</v>
      </c>
      <c r="K343" t="n">
        <v>0</v>
      </c>
      <c r="L343" t="n">
        <v>0</v>
      </c>
      <c r="M343" t="n">
        <v>0</v>
      </c>
      <c r="N343" t="n">
        <v>0</v>
      </c>
      <c r="O343" t="n">
        <v>0</v>
      </c>
      <c r="P343" t="n">
        <v>0</v>
      </c>
      <c r="Q343" t="n">
        <v>1</v>
      </c>
      <c r="R343" s="2" t="inlineStr">
        <is>
          <t>Vedticka</t>
        </is>
      </c>
      <c r="S343">
        <f>HYPERLINK("https://klasma.github.io/Logging_2104/artfynd/A 33298-2023 artfynd.xlsx", "A 33298-2023")</f>
        <v/>
      </c>
      <c r="T343">
        <f>HYPERLINK("https://klasma.github.io/Logging_2104/kartor/A 33298-2023 karta.png", "A 33298-2023")</f>
        <v/>
      </c>
      <c r="V343">
        <f>HYPERLINK("https://klasma.github.io/Logging_2104/klagomål/A 33298-2023 FSC-klagomål.docx", "A 33298-2023")</f>
        <v/>
      </c>
      <c r="W343">
        <f>HYPERLINK("https://klasma.github.io/Logging_2104/klagomålsmail/A 33298-2023 FSC-klagomål mail.docx", "A 33298-2023")</f>
        <v/>
      </c>
      <c r="X343">
        <f>HYPERLINK("https://klasma.github.io/Logging_2104/tillsyn/A 33298-2023 tillsynsbegäran.docx", "A 33298-2023")</f>
        <v/>
      </c>
      <c r="Y343">
        <f>HYPERLINK("https://klasma.github.io/Logging_2104/tillsynsmail/A 33298-2023 tillsynsbegäran mail.docx", "A 33298-2023")</f>
        <v/>
      </c>
    </row>
    <row r="344" ht="15" customHeight="1">
      <c r="A344" t="inlineStr">
        <is>
          <t>A 3387-2024</t>
        </is>
      </c>
      <c r="B344" s="1" t="n">
        <v>45317</v>
      </c>
      <c r="C344" s="1" t="n">
        <v>45911</v>
      </c>
      <c r="D344" t="inlineStr">
        <is>
          <t>GÄVLEBORGS LÄN</t>
        </is>
      </c>
      <c r="E344" t="inlineStr">
        <is>
          <t>NORDANSTIG</t>
        </is>
      </c>
      <c r="F344" t="inlineStr">
        <is>
          <t>SCA</t>
        </is>
      </c>
      <c r="G344" t="n">
        <v>7.7</v>
      </c>
      <c r="H344" t="n">
        <v>1</v>
      </c>
      <c r="I344" t="n">
        <v>0</v>
      </c>
      <c r="J344" t="n">
        <v>0</v>
      </c>
      <c r="K344" t="n">
        <v>0</v>
      </c>
      <c r="L344" t="n">
        <v>0</v>
      </c>
      <c r="M344" t="n">
        <v>0</v>
      </c>
      <c r="N344" t="n">
        <v>0</v>
      </c>
      <c r="O344" t="n">
        <v>0</v>
      </c>
      <c r="P344" t="n">
        <v>0</v>
      </c>
      <c r="Q344" t="n">
        <v>1</v>
      </c>
      <c r="R344" s="2" t="inlineStr">
        <is>
          <t>Revlummer</t>
        </is>
      </c>
      <c r="S344">
        <f>HYPERLINK("https://klasma.github.io/Logging_2132/artfynd/A 3387-2024 artfynd.xlsx", "A 3387-2024")</f>
        <v/>
      </c>
      <c r="T344">
        <f>HYPERLINK("https://klasma.github.io/Logging_2132/kartor/A 3387-2024 karta.png", "A 3387-2024")</f>
        <v/>
      </c>
      <c r="V344">
        <f>HYPERLINK("https://klasma.github.io/Logging_2132/klagomål/A 3387-2024 FSC-klagomål.docx", "A 3387-2024")</f>
        <v/>
      </c>
      <c r="W344">
        <f>HYPERLINK("https://klasma.github.io/Logging_2132/klagomålsmail/A 3387-2024 FSC-klagomål mail.docx", "A 3387-2024")</f>
        <v/>
      </c>
      <c r="X344">
        <f>HYPERLINK("https://klasma.github.io/Logging_2132/tillsyn/A 3387-2024 tillsynsbegäran.docx", "A 3387-2024")</f>
        <v/>
      </c>
      <c r="Y344">
        <f>HYPERLINK("https://klasma.github.io/Logging_2132/tillsynsmail/A 3387-2024 tillsynsbegäran mail.docx", "A 3387-2024")</f>
        <v/>
      </c>
    </row>
    <row r="345" ht="15" customHeight="1">
      <c r="A345" t="inlineStr">
        <is>
          <t>A 10783-2024</t>
        </is>
      </c>
      <c r="B345" s="1" t="n">
        <v>45369</v>
      </c>
      <c r="C345" s="1" t="n">
        <v>45911</v>
      </c>
      <c r="D345" t="inlineStr">
        <is>
          <t>GÄVLEBORGS LÄN</t>
        </is>
      </c>
      <c r="E345" t="inlineStr">
        <is>
          <t>SANDVIKEN</t>
        </is>
      </c>
      <c r="G345" t="n">
        <v>5</v>
      </c>
      <c r="H345" t="n">
        <v>1</v>
      </c>
      <c r="I345" t="n">
        <v>0</v>
      </c>
      <c r="J345" t="n">
        <v>0</v>
      </c>
      <c r="K345" t="n">
        <v>0</v>
      </c>
      <c r="L345" t="n">
        <v>0</v>
      </c>
      <c r="M345" t="n">
        <v>0</v>
      </c>
      <c r="N345" t="n">
        <v>0</v>
      </c>
      <c r="O345" t="n">
        <v>0</v>
      </c>
      <c r="P345" t="n">
        <v>0</v>
      </c>
      <c r="Q345" t="n">
        <v>1</v>
      </c>
      <c r="R345" s="2" t="inlineStr">
        <is>
          <t>Blåsippa</t>
        </is>
      </c>
      <c r="S345">
        <f>HYPERLINK("https://klasma.github.io/Logging_2181/artfynd/A 10783-2024 artfynd.xlsx", "A 10783-2024")</f>
        <v/>
      </c>
      <c r="T345">
        <f>HYPERLINK("https://klasma.github.io/Logging_2181/kartor/A 10783-2024 karta.png", "A 10783-2024")</f>
        <v/>
      </c>
      <c r="V345">
        <f>HYPERLINK("https://klasma.github.io/Logging_2181/klagomål/A 10783-2024 FSC-klagomål.docx", "A 10783-2024")</f>
        <v/>
      </c>
      <c r="W345">
        <f>HYPERLINK("https://klasma.github.io/Logging_2181/klagomålsmail/A 10783-2024 FSC-klagomål mail.docx", "A 10783-2024")</f>
        <v/>
      </c>
      <c r="X345">
        <f>HYPERLINK("https://klasma.github.io/Logging_2181/tillsyn/A 10783-2024 tillsynsbegäran.docx", "A 10783-2024")</f>
        <v/>
      </c>
      <c r="Y345">
        <f>HYPERLINK("https://klasma.github.io/Logging_2181/tillsynsmail/A 10783-2024 tillsynsbegäran mail.docx", "A 10783-2024")</f>
        <v/>
      </c>
    </row>
    <row r="346" ht="15" customHeight="1">
      <c r="A346" t="inlineStr">
        <is>
          <t>A 21900-2024</t>
        </is>
      </c>
      <c r="B346" s="1" t="n">
        <v>45443.40680555555</v>
      </c>
      <c r="C346" s="1" t="n">
        <v>45911</v>
      </c>
      <c r="D346" t="inlineStr">
        <is>
          <t>GÄVLEBORGS LÄN</t>
        </is>
      </c>
      <c r="E346" t="inlineStr">
        <is>
          <t>LJUSDAL</t>
        </is>
      </c>
      <c r="F346" t="inlineStr">
        <is>
          <t>Sveaskog</t>
        </is>
      </c>
      <c r="G346" t="n">
        <v>1.6</v>
      </c>
      <c r="H346" t="n">
        <v>0</v>
      </c>
      <c r="I346" t="n">
        <v>0</v>
      </c>
      <c r="J346" t="n">
        <v>1</v>
      </c>
      <c r="K346" t="n">
        <v>0</v>
      </c>
      <c r="L346" t="n">
        <v>0</v>
      </c>
      <c r="M346" t="n">
        <v>0</v>
      </c>
      <c r="N346" t="n">
        <v>0</v>
      </c>
      <c r="O346" t="n">
        <v>1</v>
      </c>
      <c r="P346" t="n">
        <v>0</v>
      </c>
      <c r="Q346" t="n">
        <v>1</v>
      </c>
      <c r="R346" s="2" t="inlineStr">
        <is>
          <t>Lunglav</t>
        </is>
      </c>
      <c r="S346">
        <f>HYPERLINK("https://klasma.github.io/Logging_2161/artfynd/A 21900-2024 artfynd.xlsx", "A 21900-2024")</f>
        <v/>
      </c>
      <c r="T346">
        <f>HYPERLINK("https://klasma.github.io/Logging_2161/kartor/A 21900-2024 karta.png", "A 21900-2024")</f>
        <v/>
      </c>
      <c r="U346">
        <f>HYPERLINK("https://klasma.github.io/Logging_2161/knärot/A 21900-2024 karta knärot.png", "A 21900-2024")</f>
        <v/>
      </c>
      <c r="V346">
        <f>HYPERLINK("https://klasma.github.io/Logging_2161/klagomål/A 21900-2024 FSC-klagomål.docx", "A 21900-2024")</f>
        <v/>
      </c>
      <c r="W346">
        <f>HYPERLINK("https://klasma.github.io/Logging_2161/klagomålsmail/A 21900-2024 FSC-klagomål mail.docx", "A 21900-2024")</f>
        <v/>
      </c>
      <c r="X346">
        <f>HYPERLINK("https://klasma.github.io/Logging_2161/tillsyn/A 21900-2024 tillsynsbegäran.docx", "A 21900-2024")</f>
        <v/>
      </c>
      <c r="Y346">
        <f>HYPERLINK("https://klasma.github.io/Logging_2161/tillsynsmail/A 21900-2024 tillsynsbegäran mail.docx", "A 21900-2024")</f>
        <v/>
      </c>
    </row>
    <row r="347" ht="15" customHeight="1">
      <c r="A347" t="inlineStr">
        <is>
          <t>A 28822-2024</t>
        </is>
      </c>
      <c r="B347" s="1" t="n">
        <v>45478</v>
      </c>
      <c r="C347" s="1" t="n">
        <v>45911</v>
      </c>
      <c r="D347" t="inlineStr">
        <is>
          <t>GÄVLEBORGS LÄN</t>
        </is>
      </c>
      <c r="E347" t="inlineStr">
        <is>
          <t>NORDANSTIG</t>
        </is>
      </c>
      <c r="G347" t="n">
        <v>7</v>
      </c>
      <c r="H347" t="n">
        <v>0</v>
      </c>
      <c r="I347" t="n">
        <v>0</v>
      </c>
      <c r="J347" t="n">
        <v>0</v>
      </c>
      <c r="K347" t="n">
        <v>1</v>
      </c>
      <c r="L347" t="n">
        <v>0</v>
      </c>
      <c r="M347" t="n">
        <v>0</v>
      </c>
      <c r="N347" t="n">
        <v>0</v>
      </c>
      <c r="O347" t="n">
        <v>1</v>
      </c>
      <c r="P347" t="n">
        <v>1</v>
      </c>
      <c r="Q347" t="n">
        <v>1</v>
      </c>
      <c r="R347" s="2" t="inlineStr">
        <is>
          <t>Aspgelélav</t>
        </is>
      </c>
      <c r="S347">
        <f>HYPERLINK("https://klasma.github.io/Logging_2132/artfynd/A 28822-2024 artfynd.xlsx", "A 28822-2024")</f>
        <v/>
      </c>
      <c r="T347">
        <f>HYPERLINK("https://klasma.github.io/Logging_2132/kartor/A 28822-2024 karta.png", "A 28822-2024")</f>
        <v/>
      </c>
      <c r="V347">
        <f>HYPERLINK("https://klasma.github.io/Logging_2132/klagomål/A 28822-2024 FSC-klagomål.docx", "A 28822-2024")</f>
        <v/>
      </c>
      <c r="W347">
        <f>HYPERLINK("https://klasma.github.io/Logging_2132/klagomålsmail/A 28822-2024 FSC-klagomål mail.docx", "A 28822-2024")</f>
        <v/>
      </c>
      <c r="X347">
        <f>HYPERLINK("https://klasma.github.io/Logging_2132/tillsyn/A 28822-2024 tillsynsbegäran.docx", "A 28822-2024")</f>
        <v/>
      </c>
      <c r="Y347">
        <f>HYPERLINK("https://klasma.github.io/Logging_2132/tillsynsmail/A 28822-2024 tillsynsbegäran mail.docx", "A 28822-2024")</f>
        <v/>
      </c>
    </row>
    <row r="348" ht="15" customHeight="1">
      <c r="A348" t="inlineStr">
        <is>
          <t>A 28587-2024</t>
        </is>
      </c>
      <c r="B348" s="1" t="n">
        <v>45478.41214120371</v>
      </c>
      <c r="C348" s="1" t="n">
        <v>45911</v>
      </c>
      <c r="D348" t="inlineStr">
        <is>
          <t>GÄVLEBORGS LÄN</t>
        </is>
      </c>
      <c r="E348" t="inlineStr">
        <is>
          <t>NORDANSTIG</t>
        </is>
      </c>
      <c r="G348" t="n">
        <v>26.3</v>
      </c>
      <c r="H348" t="n">
        <v>1</v>
      </c>
      <c r="I348" t="n">
        <v>0</v>
      </c>
      <c r="J348" t="n">
        <v>0</v>
      </c>
      <c r="K348" t="n">
        <v>0</v>
      </c>
      <c r="L348" t="n">
        <v>0</v>
      </c>
      <c r="M348" t="n">
        <v>0</v>
      </c>
      <c r="N348" t="n">
        <v>0</v>
      </c>
      <c r="O348" t="n">
        <v>0</v>
      </c>
      <c r="P348" t="n">
        <v>0</v>
      </c>
      <c r="Q348" t="n">
        <v>1</v>
      </c>
      <c r="R348" s="2" t="inlineStr">
        <is>
          <t>Fläcknycklar</t>
        </is>
      </c>
      <c r="S348">
        <f>HYPERLINK("https://klasma.github.io/Logging_2132/artfynd/A 28587-2024 artfynd.xlsx", "A 28587-2024")</f>
        <v/>
      </c>
      <c r="T348">
        <f>HYPERLINK("https://klasma.github.io/Logging_2132/kartor/A 28587-2024 karta.png", "A 28587-2024")</f>
        <v/>
      </c>
      <c r="V348">
        <f>HYPERLINK("https://klasma.github.io/Logging_2132/klagomål/A 28587-2024 FSC-klagomål.docx", "A 28587-2024")</f>
        <v/>
      </c>
      <c r="W348">
        <f>HYPERLINK("https://klasma.github.io/Logging_2132/klagomålsmail/A 28587-2024 FSC-klagomål mail.docx", "A 28587-2024")</f>
        <v/>
      </c>
      <c r="X348">
        <f>HYPERLINK("https://klasma.github.io/Logging_2132/tillsyn/A 28587-2024 tillsynsbegäran.docx", "A 28587-2024")</f>
        <v/>
      </c>
      <c r="Y348">
        <f>HYPERLINK("https://klasma.github.io/Logging_2132/tillsynsmail/A 28587-2024 tillsynsbegäran mail.docx", "A 28587-2024")</f>
        <v/>
      </c>
    </row>
    <row r="349" ht="15" customHeight="1">
      <c r="A349" t="inlineStr">
        <is>
          <t>A 22756-2025</t>
        </is>
      </c>
      <c r="B349" s="1" t="n">
        <v>45789.61898148148</v>
      </c>
      <c r="C349" s="1" t="n">
        <v>45911</v>
      </c>
      <c r="D349" t="inlineStr">
        <is>
          <t>GÄVLEBORGS LÄN</t>
        </is>
      </c>
      <c r="E349" t="inlineStr">
        <is>
          <t>LJUSDAL</t>
        </is>
      </c>
      <c r="F349" t="inlineStr">
        <is>
          <t>Sveaskog</t>
        </is>
      </c>
      <c r="G349" t="n">
        <v>6.7</v>
      </c>
      <c r="H349" t="n">
        <v>0</v>
      </c>
      <c r="I349" t="n">
        <v>0</v>
      </c>
      <c r="J349" t="n">
        <v>1</v>
      </c>
      <c r="K349" t="n">
        <v>0</v>
      </c>
      <c r="L349" t="n">
        <v>0</v>
      </c>
      <c r="M349" t="n">
        <v>0</v>
      </c>
      <c r="N349" t="n">
        <v>0</v>
      </c>
      <c r="O349" t="n">
        <v>1</v>
      </c>
      <c r="P349" t="n">
        <v>0</v>
      </c>
      <c r="Q349" t="n">
        <v>1</v>
      </c>
      <c r="R349" s="2" t="inlineStr">
        <is>
          <t>Lunglav</t>
        </is>
      </c>
      <c r="S349">
        <f>HYPERLINK("https://klasma.github.io/Logging_2161/artfynd/A 22756-2025 artfynd.xlsx", "A 22756-2025")</f>
        <v/>
      </c>
      <c r="T349">
        <f>HYPERLINK("https://klasma.github.io/Logging_2161/kartor/A 22756-2025 karta.png", "A 22756-2025")</f>
        <v/>
      </c>
      <c r="V349">
        <f>HYPERLINK("https://klasma.github.io/Logging_2161/klagomål/A 22756-2025 FSC-klagomål.docx", "A 22756-2025")</f>
        <v/>
      </c>
      <c r="W349">
        <f>HYPERLINK("https://klasma.github.io/Logging_2161/klagomålsmail/A 22756-2025 FSC-klagomål mail.docx", "A 22756-2025")</f>
        <v/>
      </c>
      <c r="X349">
        <f>HYPERLINK("https://klasma.github.io/Logging_2161/tillsyn/A 22756-2025 tillsynsbegäran.docx", "A 22756-2025")</f>
        <v/>
      </c>
      <c r="Y349">
        <f>HYPERLINK("https://klasma.github.io/Logging_2161/tillsynsmail/A 22756-2025 tillsynsbegäran mail.docx", "A 22756-2025")</f>
        <v/>
      </c>
    </row>
    <row r="350" ht="15" customHeight="1">
      <c r="A350" t="inlineStr">
        <is>
          <t>A 25490-2021</t>
        </is>
      </c>
      <c r="B350" s="1" t="n">
        <v>44342</v>
      </c>
      <c r="C350" s="1" t="n">
        <v>45911</v>
      </c>
      <c r="D350" t="inlineStr">
        <is>
          <t>GÄVLEBORGS LÄN</t>
        </is>
      </c>
      <c r="E350" t="inlineStr">
        <is>
          <t>LJUSDAL</t>
        </is>
      </c>
      <c r="G350" t="n">
        <v>6.3</v>
      </c>
      <c r="H350" t="n">
        <v>1</v>
      </c>
      <c r="I350" t="n">
        <v>0</v>
      </c>
      <c r="J350" t="n">
        <v>1</v>
      </c>
      <c r="K350" t="n">
        <v>0</v>
      </c>
      <c r="L350" t="n">
        <v>0</v>
      </c>
      <c r="M350" t="n">
        <v>0</v>
      </c>
      <c r="N350" t="n">
        <v>0</v>
      </c>
      <c r="O350" t="n">
        <v>1</v>
      </c>
      <c r="P350" t="n">
        <v>0</v>
      </c>
      <c r="Q350" t="n">
        <v>1</v>
      </c>
      <c r="R350" s="2" t="inlineStr">
        <is>
          <t>Tretåig hackspett</t>
        </is>
      </c>
      <c r="S350">
        <f>HYPERLINK("https://klasma.github.io/Logging_2161/artfynd/A 25490-2021 artfynd.xlsx", "A 25490-2021")</f>
        <v/>
      </c>
      <c r="T350">
        <f>HYPERLINK("https://klasma.github.io/Logging_2161/kartor/A 25490-2021 karta.png", "A 25490-2021")</f>
        <v/>
      </c>
      <c r="U350">
        <f>HYPERLINK("https://klasma.github.io/Logging_2161/knärot/A 25490-2021 karta knärot.png", "A 25490-2021")</f>
        <v/>
      </c>
      <c r="V350">
        <f>HYPERLINK("https://klasma.github.io/Logging_2161/klagomål/A 25490-2021 FSC-klagomål.docx", "A 25490-2021")</f>
        <v/>
      </c>
      <c r="W350">
        <f>HYPERLINK("https://klasma.github.io/Logging_2161/klagomålsmail/A 25490-2021 FSC-klagomål mail.docx", "A 25490-2021")</f>
        <v/>
      </c>
      <c r="X350">
        <f>HYPERLINK("https://klasma.github.io/Logging_2161/tillsyn/A 25490-2021 tillsynsbegäran.docx", "A 25490-2021")</f>
        <v/>
      </c>
      <c r="Y350">
        <f>HYPERLINK("https://klasma.github.io/Logging_2161/tillsynsmail/A 25490-2021 tillsynsbegäran mail.docx", "A 25490-2021")</f>
        <v/>
      </c>
      <c r="Z350">
        <f>HYPERLINK("https://klasma.github.io/Logging_2161/fåglar/A 25490-2021 prioriterade fågelarter.docx", "A 25490-2021")</f>
        <v/>
      </c>
    </row>
    <row r="351" ht="15" customHeight="1">
      <c r="A351" t="inlineStr">
        <is>
          <t>A 29855-2021</t>
        </is>
      </c>
      <c r="B351" s="1" t="n">
        <v>44362.66085648148</v>
      </c>
      <c r="C351" s="1" t="n">
        <v>45911</v>
      </c>
      <c r="D351" t="inlineStr">
        <is>
          <t>GÄVLEBORGS LÄN</t>
        </is>
      </c>
      <c r="E351" t="inlineStr">
        <is>
          <t>OVANÅKER</t>
        </is>
      </c>
      <c r="F351" t="inlineStr">
        <is>
          <t>Sveaskog</t>
        </is>
      </c>
      <c r="G351" t="n">
        <v>5.5</v>
      </c>
      <c r="H351" t="n">
        <v>0</v>
      </c>
      <c r="I351" t="n">
        <v>0</v>
      </c>
      <c r="J351" t="n">
        <v>1</v>
      </c>
      <c r="K351" t="n">
        <v>0</v>
      </c>
      <c r="L351" t="n">
        <v>0</v>
      </c>
      <c r="M351" t="n">
        <v>0</v>
      </c>
      <c r="N351" t="n">
        <v>0</v>
      </c>
      <c r="O351" t="n">
        <v>1</v>
      </c>
      <c r="P351" t="n">
        <v>0</v>
      </c>
      <c r="Q351" t="n">
        <v>1</v>
      </c>
      <c r="R351" s="2" t="inlineStr">
        <is>
          <t>Lunglav</t>
        </is>
      </c>
      <c r="S351">
        <f>HYPERLINK("https://klasma.github.io/Logging_2121/artfynd/A 29855-2021 artfynd.xlsx", "A 29855-2021")</f>
        <v/>
      </c>
      <c r="T351">
        <f>HYPERLINK("https://klasma.github.io/Logging_2121/kartor/A 29855-2021 karta.png", "A 29855-2021")</f>
        <v/>
      </c>
      <c r="V351">
        <f>HYPERLINK("https://klasma.github.io/Logging_2121/klagomål/A 29855-2021 FSC-klagomål.docx", "A 29855-2021")</f>
        <v/>
      </c>
      <c r="W351">
        <f>HYPERLINK("https://klasma.github.io/Logging_2121/klagomålsmail/A 29855-2021 FSC-klagomål mail.docx", "A 29855-2021")</f>
        <v/>
      </c>
      <c r="X351">
        <f>HYPERLINK("https://klasma.github.io/Logging_2121/tillsyn/A 29855-2021 tillsynsbegäran.docx", "A 29855-2021")</f>
        <v/>
      </c>
      <c r="Y351">
        <f>HYPERLINK("https://klasma.github.io/Logging_2121/tillsynsmail/A 29855-2021 tillsynsbegäran mail.docx", "A 29855-2021")</f>
        <v/>
      </c>
    </row>
    <row r="352" ht="15" customHeight="1">
      <c r="A352" t="inlineStr">
        <is>
          <t>A 23333-2025</t>
        </is>
      </c>
      <c r="B352" s="1" t="n">
        <v>45791.65094907407</v>
      </c>
      <c r="C352" s="1" t="n">
        <v>45911</v>
      </c>
      <c r="D352" t="inlineStr">
        <is>
          <t>GÄVLEBORGS LÄN</t>
        </is>
      </c>
      <c r="E352" t="inlineStr">
        <is>
          <t>NORDANSTIG</t>
        </is>
      </c>
      <c r="F352" t="inlineStr">
        <is>
          <t>Holmen skog AB</t>
        </is>
      </c>
      <c r="G352" t="n">
        <v>19.1</v>
      </c>
      <c r="H352" t="n">
        <v>1</v>
      </c>
      <c r="I352" t="n">
        <v>0</v>
      </c>
      <c r="J352" t="n">
        <v>1</v>
      </c>
      <c r="K352" t="n">
        <v>0</v>
      </c>
      <c r="L352" t="n">
        <v>0</v>
      </c>
      <c r="M352" t="n">
        <v>0</v>
      </c>
      <c r="N352" t="n">
        <v>0</v>
      </c>
      <c r="O352" t="n">
        <v>1</v>
      </c>
      <c r="P352" t="n">
        <v>0</v>
      </c>
      <c r="Q352" t="n">
        <v>1</v>
      </c>
      <c r="R352" s="2" t="inlineStr">
        <is>
          <t>Spillkråka</t>
        </is>
      </c>
      <c r="S352">
        <f>HYPERLINK("https://klasma.github.io/Logging_2132/artfynd/A 23333-2025 artfynd.xlsx", "A 23333-2025")</f>
        <v/>
      </c>
      <c r="T352">
        <f>HYPERLINK("https://klasma.github.io/Logging_2132/kartor/A 23333-2025 karta.png", "A 23333-2025")</f>
        <v/>
      </c>
      <c r="V352">
        <f>HYPERLINK("https://klasma.github.io/Logging_2132/klagomål/A 23333-2025 FSC-klagomål.docx", "A 23333-2025")</f>
        <v/>
      </c>
      <c r="W352">
        <f>HYPERLINK("https://klasma.github.io/Logging_2132/klagomålsmail/A 23333-2025 FSC-klagomål mail.docx", "A 23333-2025")</f>
        <v/>
      </c>
      <c r="X352">
        <f>HYPERLINK("https://klasma.github.io/Logging_2132/tillsyn/A 23333-2025 tillsynsbegäran.docx", "A 23333-2025")</f>
        <v/>
      </c>
      <c r="Y352">
        <f>HYPERLINK("https://klasma.github.io/Logging_2132/tillsynsmail/A 23333-2025 tillsynsbegäran mail.docx", "A 23333-2025")</f>
        <v/>
      </c>
      <c r="Z352">
        <f>HYPERLINK("https://klasma.github.io/Logging_2132/fåglar/A 23333-2025 prioriterade fågelarter.docx", "A 23333-2025")</f>
        <v/>
      </c>
    </row>
    <row r="353" ht="15" customHeight="1">
      <c r="A353" t="inlineStr">
        <is>
          <t>A 23777-2025</t>
        </is>
      </c>
      <c r="B353" s="1" t="n">
        <v>45793.50126157407</v>
      </c>
      <c r="C353" s="1" t="n">
        <v>45911</v>
      </c>
      <c r="D353" t="inlineStr">
        <is>
          <t>GÄVLEBORGS LÄN</t>
        </is>
      </c>
      <c r="E353" t="inlineStr">
        <is>
          <t>LJUSDAL</t>
        </is>
      </c>
      <c r="F353" t="inlineStr">
        <is>
          <t>Sveaskog</t>
        </is>
      </c>
      <c r="G353" t="n">
        <v>6.7</v>
      </c>
      <c r="H353" t="n">
        <v>1</v>
      </c>
      <c r="I353" t="n">
        <v>0</v>
      </c>
      <c r="J353" t="n">
        <v>0</v>
      </c>
      <c r="K353" t="n">
        <v>1</v>
      </c>
      <c r="L353" t="n">
        <v>0</v>
      </c>
      <c r="M353" t="n">
        <v>0</v>
      </c>
      <c r="N353" t="n">
        <v>0</v>
      </c>
      <c r="O353" t="n">
        <v>1</v>
      </c>
      <c r="P353" t="n">
        <v>1</v>
      </c>
      <c r="Q353" t="n">
        <v>1</v>
      </c>
      <c r="R353" s="2" t="inlineStr">
        <is>
          <t>Knärot</t>
        </is>
      </c>
      <c r="S353">
        <f>HYPERLINK("https://klasma.github.io/Logging_2161/artfynd/A 23777-2025 artfynd.xlsx", "A 23777-2025")</f>
        <v/>
      </c>
      <c r="T353">
        <f>HYPERLINK("https://klasma.github.io/Logging_2161/kartor/A 23777-2025 karta.png", "A 23777-2025")</f>
        <v/>
      </c>
      <c r="U353">
        <f>HYPERLINK("https://klasma.github.io/Logging_2161/knärot/A 23777-2025 karta knärot.png", "A 23777-2025")</f>
        <v/>
      </c>
      <c r="V353">
        <f>HYPERLINK("https://klasma.github.io/Logging_2161/klagomål/A 23777-2025 FSC-klagomål.docx", "A 23777-2025")</f>
        <v/>
      </c>
      <c r="W353">
        <f>HYPERLINK("https://klasma.github.io/Logging_2161/klagomålsmail/A 23777-2025 FSC-klagomål mail.docx", "A 23777-2025")</f>
        <v/>
      </c>
      <c r="X353">
        <f>HYPERLINK("https://klasma.github.io/Logging_2161/tillsyn/A 23777-2025 tillsynsbegäran.docx", "A 23777-2025")</f>
        <v/>
      </c>
      <c r="Y353">
        <f>HYPERLINK("https://klasma.github.io/Logging_2161/tillsynsmail/A 23777-2025 tillsynsbegäran mail.docx", "A 23777-2025")</f>
        <v/>
      </c>
    </row>
    <row r="354" ht="15" customHeight="1">
      <c r="A354" t="inlineStr">
        <is>
          <t>A 21282-2024</t>
        </is>
      </c>
      <c r="B354" s="1" t="n">
        <v>45440.65584490741</v>
      </c>
      <c r="C354" s="1" t="n">
        <v>45911</v>
      </c>
      <c r="D354" t="inlineStr">
        <is>
          <t>GÄVLEBORGS LÄN</t>
        </is>
      </c>
      <c r="E354" t="inlineStr">
        <is>
          <t>GÄVLE</t>
        </is>
      </c>
      <c r="G354" t="n">
        <v>7.4</v>
      </c>
      <c r="H354" t="n">
        <v>0</v>
      </c>
      <c r="I354" t="n">
        <v>0</v>
      </c>
      <c r="J354" t="n">
        <v>1</v>
      </c>
      <c r="K354" t="n">
        <v>0</v>
      </c>
      <c r="L354" t="n">
        <v>0</v>
      </c>
      <c r="M354" t="n">
        <v>0</v>
      </c>
      <c r="N354" t="n">
        <v>0</v>
      </c>
      <c r="O354" t="n">
        <v>1</v>
      </c>
      <c r="P354" t="n">
        <v>0</v>
      </c>
      <c r="Q354" t="n">
        <v>1</v>
      </c>
      <c r="R354" s="2" t="inlineStr">
        <is>
          <t>Skogsklocka</t>
        </is>
      </c>
      <c r="S354">
        <f>HYPERLINK("https://klasma.github.io/Logging_2180/artfynd/A 21282-2024 artfynd.xlsx", "A 21282-2024")</f>
        <v/>
      </c>
      <c r="T354">
        <f>HYPERLINK("https://klasma.github.io/Logging_2180/kartor/A 21282-2024 karta.png", "A 21282-2024")</f>
        <v/>
      </c>
      <c r="V354">
        <f>HYPERLINK("https://klasma.github.io/Logging_2180/klagomål/A 21282-2024 FSC-klagomål.docx", "A 21282-2024")</f>
        <v/>
      </c>
      <c r="W354">
        <f>HYPERLINK("https://klasma.github.io/Logging_2180/klagomålsmail/A 21282-2024 FSC-klagomål mail.docx", "A 21282-2024")</f>
        <v/>
      </c>
      <c r="X354">
        <f>HYPERLINK("https://klasma.github.io/Logging_2180/tillsyn/A 21282-2024 tillsynsbegäran.docx", "A 21282-2024")</f>
        <v/>
      </c>
      <c r="Y354">
        <f>HYPERLINK("https://klasma.github.io/Logging_2180/tillsynsmail/A 21282-2024 tillsynsbegäran mail.docx", "A 21282-2024")</f>
        <v/>
      </c>
    </row>
    <row r="355" ht="15" customHeight="1">
      <c r="A355" t="inlineStr">
        <is>
          <t>A 23727-2025</t>
        </is>
      </c>
      <c r="B355" s="1" t="n">
        <v>45793</v>
      </c>
      <c r="C355" s="1" t="n">
        <v>45911</v>
      </c>
      <c r="D355" t="inlineStr">
        <is>
          <t>GÄVLEBORGS LÄN</t>
        </is>
      </c>
      <c r="E355" t="inlineStr">
        <is>
          <t>HUDIKSVALL</t>
        </is>
      </c>
      <c r="F355" t="inlineStr">
        <is>
          <t>Sveaskog</t>
        </is>
      </c>
      <c r="G355" t="n">
        <v>8.699999999999999</v>
      </c>
      <c r="H355" t="n">
        <v>1</v>
      </c>
      <c r="I355" t="n">
        <v>0</v>
      </c>
      <c r="J355" t="n">
        <v>0</v>
      </c>
      <c r="K355" t="n">
        <v>0</v>
      </c>
      <c r="L355" t="n">
        <v>0</v>
      </c>
      <c r="M355" t="n">
        <v>0</v>
      </c>
      <c r="N355" t="n">
        <v>0</v>
      </c>
      <c r="O355" t="n">
        <v>0</v>
      </c>
      <c r="P355" t="n">
        <v>0</v>
      </c>
      <c r="Q355" t="n">
        <v>1</v>
      </c>
      <c r="R355" s="2" t="inlineStr">
        <is>
          <t>Tjäder</t>
        </is>
      </c>
      <c r="S355">
        <f>HYPERLINK("https://klasma.github.io/Logging_2184/artfynd/A 23727-2025 artfynd.xlsx", "A 23727-2025")</f>
        <v/>
      </c>
      <c r="T355">
        <f>HYPERLINK("https://klasma.github.io/Logging_2184/kartor/A 23727-2025 karta.png", "A 23727-2025")</f>
        <v/>
      </c>
      <c r="V355">
        <f>HYPERLINK("https://klasma.github.io/Logging_2184/klagomål/A 23727-2025 FSC-klagomål.docx", "A 23727-2025")</f>
        <v/>
      </c>
      <c r="W355">
        <f>HYPERLINK("https://klasma.github.io/Logging_2184/klagomålsmail/A 23727-2025 FSC-klagomål mail.docx", "A 23727-2025")</f>
        <v/>
      </c>
      <c r="X355">
        <f>HYPERLINK("https://klasma.github.io/Logging_2184/tillsyn/A 23727-2025 tillsynsbegäran.docx", "A 23727-2025")</f>
        <v/>
      </c>
      <c r="Y355">
        <f>HYPERLINK("https://klasma.github.io/Logging_2184/tillsynsmail/A 23727-2025 tillsynsbegäran mail.docx", "A 23727-2025")</f>
        <v/>
      </c>
      <c r="Z355">
        <f>HYPERLINK("https://klasma.github.io/Logging_2184/fåglar/A 23727-2025 prioriterade fågelarter.docx", "A 23727-2025")</f>
        <v/>
      </c>
    </row>
    <row r="356" ht="15" customHeight="1">
      <c r="A356" t="inlineStr">
        <is>
          <t>A 23732-2025</t>
        </is>
      </c>
      <c r="B356" s="1" t="n">
        <v>45793.42263888889</v>
      </c>
      <c r="C356" s="1" t="n">
        <v>45911</v>
      </c>
      <c r="D356" t="inlineStr">
        <is>
          <t>GÄVLEBORGS LÄN</t>
        </is>
      </c>
      <c r="E356" t="inlineStr">
        <is>
          <t>HUDIKSVALL</t>
        </is>
      </c>
      <c r="F356" t="inlineStr">
        <is>
          <t>Sveaskog</t>
        </is>
      </c>
      <c r="G356" t="n">
        <v>11.9</v>
      </c>
      <c r="H356" t="n">
        <v>0</v>
      </c>
      <c r="I356" t="n">
        <v>1</v>
      </c>
      <c r="J356" t="n">
        <v>0</v>
      </c>
      <c r="K356" t="n">
        <v>0</v>
      </c>
      <c r="L356" t="n">
        <v>0</v>
      </c>
      <c r="M356" t="n">
        <v>0</v>
      </c>
      <c r="N356" t="n">
        <v>0</v>
      </c>
      <c r="O356" t="n">
        <v>0</v>
      </c>
      <c r="P356" t="n">
        <v>0</v>
      </c>
      <c r="Q356" t="n">
        <v>1</v>
      </c>
      <c r="R356" s="2" t="inlineStr">
        <is>
          <t>Tibast</t>
        </is>
      </c>
      <c r="S356">
        <f>HYPERLINK("https://klasma.github.io/Logging_2184/artfynd/A 23732-2025 artfynd.xlsx", "A 23732-2025")</f>
        <v/>
      </c>
      <c r="T356">
        <f>HYPERLINK("https://klasma.github.io/Logging_2184/kartor/A 23732-2025 karta.png", "A 23732-2025")</f>
        <v/>
      </c>
      <c r="V356">
        <f>HYPERLINK("https://klasma.github.io/Logging_2184/klagomål/A 23732-2025 FSC-klagomål.docx", "A 23732-2025")</f>
        <v/>
      </c>
      <c r="W356">
        <f>HYPERLINK("https://klasma.github.io/Logging_2184/klagomålsmail/A 23732-2025 FSC-klagomål mail.docx", "A 23732-2025")</f>
        <v/>
      </c>
      <c r="X356">
        <f>HYPERLINK("https://klasma.github.io/Logging_2184/tillsyn/A 23732-2025 tillsynsbegäran.docx", "A 23732-2025")</f>
        <v/>
      </c>
      <c r="Y356">
        <f>HYPERLINK("https://klasma.github.io/Logging_2184/tillsynsmail/A 23732-2025 tillsynsbegäran mail.docx", "A 23732-2025")</f>
        <v/>
      </c>
    </row>
    <row r="357" ht="15" customHeight="1">
      <c r="A357" t="inlineStr">
        <is>
          <t>A 50822-2023</t>
        </is>
      </c>
      <c r="B357" s="1" t="n">
        <v>45217</v>
      </c>
      <c r="C357" s="1" t="n">
        <v>45911</v>
      </c>
      <c r="D357" t="inlineStr">
        <is>
          <t>GÄVLEBORGS LÄN</t>
        </is>
      </c>
      <c r="E357" t="inlineStr">
        <is>
          <t>HUDIKSVALL</t>
        </is>
      </c>
      <c r="G357" t="n">
        <v>1.2</v>
      </c>
      <c r="H357" t="n">
        <v>1</v>
      </c>
      <c r="I357" t="n">
        <v>0</v>
      </c>
      <c r="J357" t="n">
        <v>1</v>
      </c>
      <c r="K357" t="n">
        <v>0</v>
      </c>
      <c r="L357" t="n">
        <v>0</v>
      </c>
      <c r="M357" t="n">
        <v>0</v>
      </c>
      <c r="N357" t="n">
        <v>0</v>
      </c>
      <c r="O357" t="n">
        <v>1</v>
      </c>
      <c r="P357" t="n">
        <v>0</v>
      </c>
      <c r="Q357" t="n">
        <v>1</v>
      </c>
      <c r="R357" s="2" t="inlineStr">
        <is>
          <t>Järpe</t>
        </is>
      </c>
      <c r="S357">
        <f>HYPERLINK("https://klasma.github.io/Logging_2184/artfynd/A 50822-2023 artfynd.xlsx", "A 50822-2023")</f>
        <v/>
      </c>
      <c r="T357">
        <f>HYPERLINK("https://klasma.github.io/Logging_2184/kartor/A 50822-2023 karta.png", "A 50822-2023")</f>
        <v/>
      </c>
      <c r="V357">
        <f>HYPERLINK("https://klasma.github.io/Logging_2184/klagomål/A 50822-2023 FSC-klagomål.docx", "A 50822-2023")</f>
        <v/>
      </c>
      <c r="W357">
        <f>HYPERLINK("https://klasma.github.io/Logging_2184/klagomålsmail/A 50822-2023 FSC-klagomål mail.docx", "A 50822-2023")</f>
        <v/>
      </c>
      <c r="X357">
        <f>HYPERLINK("https://klasma.github.io/Logging_2184/tillsyn/A 50822-2023 tillsynsbegäran.docx", "A 50822-2023")</f>
        <v/>
      </c>
      <c r="Y357">
        <f>HYPERLINK("https://klasma.github.io/Logging_2184/tillsynsmail/A 50822-2023 tillsynsbegäran mail.docx", "A 50822-2023")</f>
        <v/>
      </c>
      <c r="Z357">
        <f>HYPERLINK("https://klasma.github.io/Logging_2184/fåglar/A 50822-2023 prioriterade fågelarter.docx", "A 50822-2023")</f>
        <v/>
      </c>
    </row>
    <row r="358" ht="15" customHeight="1">
      <c r="A358" t="inlineStr">
        <is>
          <t>A 35349-2024</t>
        </is>
      </c>
      <c r="B358" s="1" t="n">
        <v>45531</v>
      </c>
      <c r="C358" s="1" t="n">
        <v>45911</v>
      </c>
      <c r="D358" t="inlineStr">
        <is>
          <t>GÄVLEBORGS LÄN</t>
        </is>
      </c>
      <c r="E358" t="inlineStr">
        <is>
          <t>OVANÅKER</t>
        </is>
      </c>
      <c r="F358" t="inlineStr">
        <is>
          <t>Sveaskog</t>
        </is>
      </c>
      <c r="G358" t="n">
        <v>10.4</v>
      </c>
      <c r="H358" t="n">
        <v>1</v>
      </c>
      <c r="I358" t="n">
        <v>0</v>
      </c>
      <c r="J358" t="n">
        <v>0</v>
      </c>
      <c r="K358" t="n">
        <v>0</v>
      </c>
      <c r="L358" t="n">
        <v>0</v>
      </c>
      <c r="M358" t="n">
        <v>0</v>
      </c>
      <c r="N358" t="n">
        <v>0</v>
      </c>
      <c r="O358" t="n">
        <v>0</v>
      </c>
      <c r="P358" t="n">
        <v>0</v>
      </c>
      <c r="Q358" t="n">
        <v>1</v>
      </c>
      <c r="R358" s="2" t="inlineStr">
        <is>
          <t>Nattviol</t>
        </is>
      </c>
      <c r="S358">
        <f>HYPERLINK("https://klasma.github.io/Logging_2121/artfynd/A 35349-2024 artfynd.xlsx", "A 35349-2024")</f>
        <v/>
      </c>
      <c r="T358">
        <f>HYPERLINK("https://klasma.github.io/Logging_2121/kartor/A 35349-2024 karta.png", "A 35349-2024")</f>
        <v/>
      </c>
      <c r="V358">
        <f>HYPERLINK("https://klasma.github.io/Logging_2121/klagomål/A 35349-2024 FSC-klagomål.docx", "A 35349-2024")</f>
        <v/>
      </c>
      <c r="W358">
        <f>HYPERLINK("https://klasma.github.io/Logging_2121/klagomålsmail/A 35349-2024 FSC-klagomål mail.docx", "A 35349-2024")</f>
        <v/>
      </c>
      <c r="X358">
        <f>HYPERLINK("https://klasma.github.io/Logging_2121/tillsyn/A 35349-2024 tillsynsbegäran.docx", "A 35349-2024")</f>
        <v/>
      </c>
      <c r="Y358">
        <f>HYPERLINK("https://klasma.github.io/Logging_2121/tillsynsmail/A 35349-2024 tillsynsbegäran mail.docx", "A 35349-2024")</f>
        <v/>
      </c>
    </row>
    <row r="359" ht="15" customHeight="1">
      <c r="A359" t="inlineStr">
        <is>
          <t>A 32171-2023</t>
        </is>
      </c>
      <c r="B359" s="1" t="n">
        <v>45107</v>
      </c>
      <c r="C359" s="1" t="n">
        <v>45911</v>
      </c>
      <c r="D359" t="inlineStr">
        <is>
          <t>GÄVLEBORGS LÄN</t>
        </is>
      </c>
      <c r="E359" t="inlineStr">
        <is>
          <t>LJUSDAL</t>
        </is>
      </c>
      <c r="G359" t="n">
        <v>1.5</v>
      </c>
      <c r="H359" t="n">
        <v>1</v>
      </c>
      <c r="I359" t="n">
        <v>0</v>
      </c>
      <c r="J359" t="n">
        <v>1</v>
      </c>
      <c r="K359" t="n">
        <v>0</v>
      </c>
      <c r="L359" t="n">
        <v>0</v>
      </c>
      <c r="M359" t="n">
        <v>0</v>
      </c>
      <c r="N359" t="n">
        <v>0</v>
      </c>
      <c r="O359" t="n">
        <v>1</v>
      </c>
      <c r="P359" t="n">
        <v>0</v>
      </c>
      <c r="Q359" t="n">
        <v>1</v>
      </c>
      <c r="R359" s="2" t="inlineStr">
        <is>
          <t>Talltita</t>
        </is>
      </c>
      <c r="S359">
        <f>HYPERLINK("https://klasma.github.io/Logging_2161/artfynd/A 32171-2023 artfynd.xlsx", "A 32171-2023")</f>
        <v/>
      </c>
      <c r="T359">
        <f>HYPERLINK("https://klasma.github.io/Logging_2161/kartor/A 32171-2023 karta.png", "A 32171-2023")</f>
        <v/>
      </c>
      <c r="V359">
        <f>HYPERLINK("https://klasma.github.io/Logging_2161/klagomål/A 32171-2023 FSC-klagomål.docx", "A 32171-2023")</f>
        <v/>
      </c>
      <c r="W359">
        <f>HYPERLINK("https://klasma.github.io/Logging_2161/klagomålsmail/A 32171-2023 FSC-klagomål mail.docx", "A 32171-2023")</f>
        <v/>
      </c>
      <c r="X359">
        <f>HYPERLINK("https://klasma.github.io/Logging_2161/tillsyn/A 32171-2023 tillsynsbegäran.docx", "A 32171-2023")</f>
        <v/>
      </c>
      <c r="Y359">
        <f>HYPERLINK("https://klasma.github.io/Logging_2161/tillsynsmail/A 32171-2023 tillsynsbegäran mail.docx", "A 32171-2023")</f>
        <v/>
      </c>
      <c r="Z359">
        <f>HYPERLINK("https://klasma.github.io/Logging_2161/fåglar/A 32171-2023 prioriterade fågelarter.docx", "A 32171-2023")</f>
        <v/>
      </c>
    </row>
    <row r="360" ht="15" customHeight="1">
      <c r="A360" t="inlineStr">
        <is>
          <t>A 23829-2025</t>
        </is>
      </c>
      <c r="B360" s="1" t="n">
        <v>45793.59726851852</v>
      </c>
      <c r="C360" s="1" t="n">
        <v>45911</v>
      </c>
      <c r="D360" t="inlineStr">
        <is>
          <t>GÄVLEBORGS LÄN</t>
        </is>
      </c>
      <c r="E360" t="inlineStr">
        <is>
          <t>LJUSDAL</t>
        </is>
      </c>
      <c r="F360" t="inlineStr">
        <is>
          <t>Sveaskog</t>
        </is>
      </c>
      <c r="G360" t="n">
        <v>14.6</v>
      </c>
      <c r="H360" t="n">
        <v>0</v>
      </c>
      <c r="I360" t="n">
        <v>0</v>
      </c>
      <c r="J360" t="n">
        <v>1</v>
      </c>
      <c r="K360" t="n">
        <v>0</v>
      </c>
      <c r="L360" t="n">
        <v>0</v>
      </c>
      <c r="M360" t="n">
        <v>0</v>
      </c>
      <c r="N360" t="n">
        <v>0</v>
      </c>
      <c r="O360" t="n">
        <v>1</v>
      </c>
      <c r="P360" t="n">
        <v>0</v>
      </c>
      <c r="Q360" t="n">
        <v>1</v>
      </c>
      <c r="R360" s="2" t="inlineStr">
        <is>
          <t>Kolflarnlav</t>
        </is>
      </c>
      <c r="S360">
        <f>HYPERLINK("https://klasma.github.io/Logging_2161/artfynd/A 23829-2025 artfynd.xlsx", "A 23829-2025")</f>
        <v/>
      </c>
      <c r="T360">
        <f>HYPERLINK("https://klasma.github.io/Logging_2161/kartor/A 23829-2025 karta.png", "A 23829-2025")</f>
        <v/>
      </c>
      <c r="V360">
        <f>HYPERLINK("https://klasma.github.io/Logging_2161/klagomål/A 23829-2025 FSC-klagomål.docx", "A 23829-2025")</f>
        <v/>
      </c>
      <c r="W360">
        <f>HYPERLINK("https://klasma.github.io/Logging_2161/klagomålsmail/A 23829-2025 FSC-klagomål mail.docx", "A 23829-2025")</f>
        <v/>
      </c>
      <c r="X360">
        <f>HYPERLINK("https://klasma.github.io/Logging_2161/tillsyn/A 23829-2025 tillsynsbegäran.docx", "A 23829-2025")</f>
        <v/>
      </c>
      <c r="Y360">
        <f>HYPERLINK("https://klasma.github.io/Logging_2161/tillsynsmail/A 23829-2025 tillsynsbegäran mail.docx", "A 23829-2025")</f>
        <v/>
      </c>
    </row>
    <row r="361" ht="15" customHeight="1">
      <c r="A361" t="inlineStr">
        <is>
          <t>A 31125-2023</t>
        </is>
      </c>
      <c r="B361" s="1" t="n">
        <v>45113.69546296296</v>
      </c>
      <c r="C361" s="1" t="n">
        <v>45911</v>
      </c>
      <c r="D361" t="inlineStr">
        <is>
          <t>GÄVLEBORGS LÄN</t>
        </is>
      </c>
      <c r="E361" t="inlineStr">
        <is>
          <t>LJUSDAL</t>
        </is>
      </c>
      <c r="F361" t="inlineStr">
        <is>
          <t>Sveaskog</t>
        </is>
      </c>
      <c r="G361" t="n">
        <v>1.8</v>
      </c>
      <c r="H361" t="n">
        <v>0</v>
      </c>
      <c r="I361" t="n">
        <v>1</v>
      </c>
      <c r="J361" t="n">
        <v>0</v>
      </c>
      <c r="K361" t="n">
        <v>0</v>
      </c>
      <c r="L361" t="n">
        <v>0</v>
      </c>
      <c r="M361" t="n">
        <v>0</v>
      </c>
      <c r="N361" t="n">
        <v>0</v>
      </c>
      <c r="O361" t="n">
        <v>0</v>
      </c>
      <c r="P361" t="n">
        <v>0</v>
      </c>
      <c r="Q361" t="n">
        <v>1</v>
      </c>
      <c r="R361" s="2" t="inlineStr">
        <is>
          <t>Stuplav</t>
        </is>
      </c>
      <c r="S361">
        <f>HYPERLINK("https://klasma.github.io/Logging_2161/artfynd/A 31125-2023 artfynd.xlsx", "A 31125-2023")</f>
        <v/>
      </c>
      <c r="T361">
        <f>HYPERLINK("https://klasma.github.io/Logging_2161/kartor/A 31125-2023 karta.png", "A 31125-2023")</f>
        <v/>
      </c>
      <c r="V361">
        <f>HYPERLINK("https://klasma.github.io/Logging_2161/klagomål/A 31125-2023 FSC-klagomål.docx", "A 31125-2023")</f>
        <v/>
      </c>
      <c r="W361">
        <f>HYPERLINK("https://klasma.github.io/Logging_2161/klagomålsmail/A 31125-2023 FSC-klagomål mail.docx", "A 31125-2023")</f>
        <v/>
      </c>
      <c r="X361">
        <f>HYPERLINK("https://klasma.github.io/Logging_2161/tillsyn/A 31125-2023 tillsynsbegäran.docx", "A 31125-2023")</f>
        <v/>
      </c>
      <c r="Y361">
        <f>HYPERLINK("https://klasma.github.io/Logging_2161/tillsynsmail/A 31125-2023 tillsynsbegäran mail.docx", "A 31125-2023")</f>
        <v/>
      </c>
    </row>
    <row r="362" ht="15" customHeight="1">
      <c r="A362" t="inlineStr">
        <is>
          <t>A 23729-2025</t>
        </is>
      </c>
      <c r="B362" s="1" t="n">
        <v>45793</v>
      </c>
      <c r="C362" s="1" t="n">
        <v>45911</v>
      </c>
      <c r="D362" t="inlineStr">
        <is>
          <t>GÄVLEBORGS LÄN</t>
        </is>
      </c>
      <c r="E362" t="inlineStr">
        <is>
          <t>HUDIKSVALL</t>
        </is>
      </c>
      <c r="F362" t="inlineStr">
        <is>
          <t>Sveaskog</t>
        </is>
      </c>
      <c r="G362" t="n">
        <v>22</v>
      </c>
      <c r="H362" t="n">
        <v>1</v>
      </c>
      <c r="I362" t="n">
        <v>0</v>
      </c>
      <c r="J362" t="n">
        <v>0</v>
      </c>
      <c r="K362" t="n">
        <v>0</v>
      </c>
      <c r="L362" t="n">
        <v>0</v>
      </c>
      <c r="M362" t="n">
        <v>0</v>
      </c>
      <c r="N362" t="n">
        <v>0</v>
      </c>
      <c r="O362" t="n">
        <v>0</v>
      </c>
      <c r="P362" t="n">
        <v>0</v>
      </c>
      <c r="Q362" t="n">
        <v>1</v>
      </c>
      <c r="R362" s="2" t="inlineStr">
        <is>
          <t>Fläcknycklar</t>
        </is>
      </c>
      <c r="S362">
        <f>HYPERLINK("https://klasma.github.io/Logging_2184/artfynd/A 23729-2025 artfynd.xlsx", "A 23729-2025")</f>
        <v/>
      </c>
      <c r="T362">
        <f>HYPERLINK("https://klasma.github.io/Logging_2184/kartor/A 23729-2025 karta.png", "A 23729-2025")</f>
        <v/>
      </c>
      <c r="V362">
        <f>HYPERLINK("https://klasma.github.io/Logging_2184/klagomål/A 23729-2025 FSC-klagomål.docx", "A 23729-2025")</f>
        <v/>
      </c>
      <c r="W362">
        <f>HYPERLINK("https://klasma.github.io/Logging_2184/klagomålsmail/A 23729-2025 FSC-klagomål mail.docx", "A 23729-2025")</f>
        <v/>
      </c>
      <c r="X362">
        <f>HYPERLINK("https://klasma.github.io/Logging_2184/tillsyn/A 23729-2025 tillsynsbegäran.docx", "A 23729-2025")</f>
        <v/>
      </c>
      <c r="Y362">
        <f>HYPERLINK("https://klasma.github.io/Logging_2184/tillsynsmail/A 23729-2025 tillsynsbegäran mail.docx", "A 23729-2025")</f>
        <v/>
      </c>
    </row>
    <row r="363" ht="15" customHeight="1">
      <c r="A363" t="inlineStr">
        <is>
          <t>A 21786-2022</t>
        </is>
      </c>
      <c r="B363" s="1" t="n">
        <v>44708.54719907408</v>
      </c>
      <c r="C363" s="1" t="n">
        <v>45911</v>
      </c>
      <c r="D363" t="inlineStr">
        <is>
          <t>GÄVLEBORGS LÄN</t>
        </is>
      </c>
      <c r="E363" t="inlineStr">
        <is>
          <t>LJUSDAL</t>
        </is>
      </c>
      <c r="F363" t="inlineStr">
        <is>
          <t>Holmen skog AB</t>
        </is>
      </c>
      <c r="G363" t="n">
        <v>1</v>
      </c>
      <c r="H363" t="n">
        <v>0</v>
      </c>
      <c r="I363" t="n">
        <v>1</v>
      </c>
      <c r="J363" t="n">
        <v>0</v>
      </c>
      <c r="K363" t="n">
        <v>0</v>
      </c>
      <c r="L363" t="n">
        <v>0</v>
      </c>
      <c r="M363" t="n">
        <v>0</v>
      </c>
      <c r="N363" t="n">
        <v>0</v>
      </c>
      <c r="O363" t="n">
        <v>0</v>
      </c>
      <c r="P363" t="n">
        <v>0</v>
      </c>
      <c r="Q363" t="n">
        <v>1</v>
      </c>
      <c r="R363" s="2" t="inlineStr">
        <is>
          <t>Vågbandad barkbock</t>
        </is>
      </c>
      <c r="S363">
        <f>HYPERLINK("https://klasma.github.io/Logging_2161/artfynd/A 21786-2022 artfynd.xlsx", "A 21786-2022")</f>
        <v/>
      </c>
      <c r="T363">
        <f>HYPERLINK("https://klasma.github.io/Logging_2161/kartor/A 21786-2022 karta.png", "A 21786-2022")</f>
        <v/>
      </c>
      <c r="V363">
        <f>HYPERLINK("https://klasma.github.io/Logging_2161/klagomål/A 21786-2022 FSC-klagomål.docx", "A 21786-2022")</f>
        <v/>
      </c>
      <c r="W363">
        <f>HYPERLINK("https://klasma.github.io/Logging_2161/klagomålsmail/A 21786-2022 FSC-klagomål mail.docx", "A 21786-2022")</f>
        <v/>
      </c>
      <c r="X363">
        <f>HYPERLINK("https://klasma.github.io/Logging_2161/tillsyn/A 21786-2022 tillsynsbegäran.docx", "A 21786-2022")</f>
        <v/>
      </c>
      <c r="Y363">
        <f>HYPERLINK("https://klasma.github.io/Logging_2161/tillsynsmail/A 21786-2022 tillsynsbegäran mail.docx", "A 21786-2022")</f>
        <v/>
      </c>
    </row>
    <row r="364" ht="15" customHeight="1">
      <c r="A364" t="inlineStr">
        <is>
          <t>A 25361-2025</t>
        </is>
      </c>
      <c r="B364" s="1" t="n">
        <v>45800.62012731482</v>
      </c>
      <c r="C364" s="1" t="n">
        <v>45911</v>
      </c>
      <c r="D364" t="inlineStr">
        <is>
          <t>GÄVLEBORGS LÄN</t>
        </is>
      </c>
      <c r="E364" t="inlineStr">
        <is>
          <t>OVANÅKER</t>
        </is>
      </c>
      <c r="F364" t="inlineStr">
        <is>
          <t>Sveaskog</t>
        </is>
      </c>
      <c r="G364" t="n">
        <v>9</v>
      </c>
      <c r="H364" t="n">
        <v>0</v>
      </c>
      <c r="I364" t="n">
        <v>1</v>
      </c>
      <c r="J364" t="n">
        <v>0</v>
      </c>
      <c r="K364" t="n">
        <v>0</v>
      </c>
      <c r="L364" t="n">
        <v>0</v>
      </c>
      <c r="M364" t="n">
        <v>0</v>
      </c>
      <c r="N364" t="n">
        <v>0</v>
      </c>
      <c r="O364" t="n">
        <v>0</v>
      </c>
      <c r="P364" t="n">
        <v>0</v>
      </c>
      <c r="Q364" t="n">
        <v>1</v>
      </c>
      <c r="R364" s="2" t="inlineStr">
        <is>
          <t>Dropptaggsvamp</t>
        </is>
      </c>
      <c r="S364">
        <f>HYPERLINK("https://klasma.github.io/Logging_2121/artfynd/A 25361-2025 artfynd.xlsx", "A 25361-2025")</f>
        <v/>
      </c>
      <c r="T364">
        <f>HYPERLINK("https://klasma.github.io/Logging_2121/kartor/A 25361-2025 karta.png", "A 25361-2025")</f>
        <v/>
      </c>
      <c r="V364">
        <f>HYPERLINK("https://klasma.github.io/Logging_2121/klagomål/A 25361-2025 FSC-klagomål.docx", "A 25361-2025")</f>
        <v/>
      </c>
      <c r="W364">
        <f>HYPERLINK("https://klasma.github.io/Logging_2121/klagomålsmail/A 25361-2025 FSC-klagomål mail.docx", "A 25361-2025")</f>
        <v/>
      </c>
      <c r="X364">
        <f>HYPERLINK("https://klasma.github.io/Logging_2121/tillsyn/A 25361-2025 tillsynsbegäran.docx", "A 25361-2025")</f>
        <v/>
      </c>
      <c r="Y364">
        <f>HYPERLINK("https://klasma.github.io/Logging_2121/tillsynsmail/A 25361-2025 tillsynsbegäran mail.docx", "A 25361-2025")</f>
        <v/>
      </c>
    </row>
    <row r="365" ht="15" customHeight="1">
      <c r="A365" t="inlineStr">
        <is>
          <t>A 24959-2025</t>
        </is>
      </c>
      <c r="B365" s="1" t="n">
        <v>45799.57641203704</v>
      </c>
      <c r="C365" s="1" t="n">
        <v>45911</v>
      </c>
      <c r="D365" t="inlineStr">
        <is>
          <t>GÄVLEBORGS LÄN</t>
        </is>
      </c>
      <c r="E365" t="inlineStr">
        <is>
          <t>LJUSDAL</t>
        </is>
      </c>
      <c r="F365" t="inlineStr">
        <is>
          <t>Sveaskog</t>
        </is>
      </c>
      <c r="G365" t="n">
        <v>21.9</v>
      </c>
      <c r="H365" t="n">
        <v>0</v>
      </c>
      <c r="I365" t="n">
        <v>0</v>
      </c>
      <c r="J365" t="n">
        <v>1</v>
      </c>
      <c r="K365" t="n">
        <v>0</v>
      </c>
      <c r="L365" t="n">
        <v>0</v>
      </c>
      <c r="M365" t="n">
        <v>0</v>
      </c>
      <c r="N365" t="n">
        <v>0</v>
      </c>
      <c r="O365" t="n">
        <v>1</v>
      </c>
      <c r="P365" t="n">
        <v>0</v>
      </c>
      <c r="Q365" t="n">
        <v>1</v>
      </c>
      <c r="R365" s="2" t="inlineStr">
        <is>
          <t>Vedflamlav</t>
        </is>
      </c>
      <c r="S365">
        <f>HYPERLINK("https://klasma.github.io/Logging_2161/artfynd/A 24959-2025 artfynd.xlsx", "A 24959-2025")</f>
        <v/>
      </c>
      <c r="T365">
        <f>HYPERLINK("https://klasma.github.io/Logging_2161/kartor/A 24959-2025 karta.png", "A 24959-2025")</f>
        <v/>
      </c>
      <c r="V365">
        <f>HYPERLINK("https://klasma.github.io/Logging_2161/klagomål/A 24959-2025 FSC-klagomål.docx", "A 24959-2025")</f>
        <v/>
      </c>
      <c r="W365">
        <f>HYPERLINK("https://klasma.github.io/Logging_2161/klagomålsmail/A 24959-2025 FSC-klagomål mail.docx", "A 24959-2025")</f>
        <v/>
      </c>
      <c r="X365">
        <f>HYPERLINK("https://klasma.github.io/Logging_2161/tillsyn/A 24959-2025 tillsynsbegäran.docx", "A 24959-2025")</f>
        <v/>
      </c>
      <c r="Y365">
        <f>HYPERLINK("https://klasma.github.io/Logging_2161/tillsynsmail/A 24959-2025 tillsynsbegäran mail.docx", "A 24959-2025")</f>
        <v/>
      </c>
    </row>
    <row r="366" ht="15" customHeight="1">
      <c r="A366" t="inlineStr">
        <is>
          <t>A 22470-2024</t>
        </is>
      </c>
      <c r="B366" s="1" t="n">
        <v>45446</v>
      </c>
      <c r="C366" s="1" t="n">
        <v>45911</v>
      </c>
      <c r="D366" t="inlineStr">
        <is>
          <t>GÄVLEBORGS LÄN</t>
        </is>
      </c>
      <c r="E366" t="inlineStr">
        <is>
          <t>LJUSDAL</t>
        </is>
      </c>
      <c r="F366" t="inlineStr">
        <is>
          <t>SCA</t>
        </is>
      </c>
      <c r="G366" t="n">
        <v>5.3</v>
      </c>
      <c r="H366" t="n">
        <v>1</v>
      </c>
      <c r="I366" t="n">
        <v>0</v>
      </c>
      <c r="J366" t="n">
        <v>0</v>
      </c>
      <c r="K366" t="n">
        <v>1</v>
      </c>
      <c r="L366" t="n">
        <v>0</v>
      </c>
      <c r="M366" t="n">
        <v>0</v>
      </c>
      <c r="N366" t="n">
        <v>0</v>
      </c>
      <c r="O366" t="n">
        <v>1</v>
      </c>
      <c r="P366" t="n">
        <v>1</v>
      </c>
      <c r="Q366" t="n">
        <v>1</v>
      </c>
      <c r="R366" s="2" t="inlineStr">
        <is>
          <t>Knärot</t>
        </is>
      </c>
      <c r="S366">
        <f>HYPERLINK("https://klasma.github.io/Logging_2161/artfynd/A 22470-2024 artfynd.xlsx", "A 22470-2024")</f>
        <v/>
      </c>
      <c r="T366">
        <f>HYPERLINK("https://klasma.github.io/Logging_2161/kartor/A 22470-2024 karta.png", "A 22470-2024")</f>
        <v/>
      </c>
      <c r="U366">
        <f>HYPERLINK("https://klasma.github.io/Logging_2161/knärot/A 22470-2024 karta knärot.png", "A 22470-2024")</f>
        <v/>
      </c>
      <c r="V366">
        <f>HYPERLINK("https://klasma.github.io/Logging_2161/klagomål/A 22470-2024 FSC-klagomål.docx", "A 22470-2024")</f>
        <v/>
      </c>
      <c r="W366">
        <f>HYPERLINK("https://klasma.github.io/Logging_2161/klagomålsmail/A 22470-2024 FSC-klagomål mail.docx", "A 22470-2024")</f>
        <v/>
      </c>
      <c r="X366">
        <f>HYPERLINK("https://klasma.github.io/Logging_2161/tillsyn/A 22470-2024 tillsynsbegäran.docx", "A 22470-2024")</f>
        <v/>
      </c>
      <c r="Y366">
        <f>HYPERLINK("https://klasma.github.io/Logging_2161/tillsynsmail/A 22470-2024 tillsynsbegäran mail.docx", "A 22470-2024")</f>
        <v/>
      </c>
    </row>
    <row r="367" ht="15" customHeight="1">
      <c r="A367" t="inlineStr">
        <is>
          <t>A 25323-2025</t>
        </is>
      </c>
      <c r="B367" s="1" t="n">
        <v>45800.58765046296</v>
      </c>
      <c r="C367" s="1" t="n">
        <v>45911</v>
      </c>
      <c r="D367" t="inlineStr">
        <is>
          <t>GÄVLEBORGS LÄN</t>
        </is>
      </c>
      <c r="E367" t="inlineStr">
        <is>
          <t>SANDVIKEN</t>
        </is>
      </c>
      <c r="F367" t="inlineStr">
        <is>
          <t>Sveaskog</t>
        </is>
      </c>
      <c r="G367" t="n">
        <v>3.8</v>
      </c>
      <c r="H367" t="n">
        <v>1</v>
      </c>
      <c r="I367" t="n">
        <v>1</v>
      </c>
      <c r="J367" t="n">
        <v>0</v>
      </c>
      <c r="K367" t="n">
        <v>0</v>
      </c>
      <c r="L367" t="n">
        <v>0</v>
      </c>
      <c r="M367" t="n">
        <v>0</v>
      </c>
      <c r="N367" t="n">
        <v>0</v>
      </c>
      <c r="O367" t="n">
        <v>0</v>
      </c>
      <c r="P367" t="n">
        <v>0</v>
      </c>
      <c r="Q367" t="n">
        <v>1</v>
      </c>
      <c r="R367" s="2" t="inlineStr">
        <is>
          <t>Plattlummer</t>
        </is>
      </c>
      <c r="S367">
        <f>HYPERLINK("https://klasma.github.io/Logging_2181/artfynd/A 25323-2025 artfynd.xlsx", "A 25323-2025")</f>
        <v/>
      </c>
      <c r="T367">
        <f>HYPERLINK("https://klasma.github.io/Logging_2181/kartor/A 25323-2025 karta.png", "A 25323-2025")</f>
        <v/>
      </c>
      <c r="V367">
        <f>HYPERLINK("https://klasma.github.io/Logging_2181/klagomål/A 25323-2025 FSC-klagomål.docx", "A 25323-2025")</f>
        <v/>
      </c>
      <c r="W367">
        <f>HYPERLINK("https://klasma.github.io/Logging_2181/klagomålsmail/A 25323-2025 FSC-klagomål mail.docx", "A 25323-2025")</f>
        <v/>
      </c>
      <c r="X367">
        <f>HYPERLINK("https://klasma.github.io/Logging_2181/tillsyn/A 25323-2025 tillsynsbegäran.docx", "A 25323-2025")</f>
        <v/>
      </c>
      <c r="Y367">
        <f>HYPERLINK("https://klasma.github.io/Logging_2181/tillsynsmail/A 25323-2025 tillsynsbegäran mail.docx", "A 25323-2025")</f>
        <v/>
      </c>
    </row>
    <row r="368" ht="15" customHeight="1">
      <c r="A368" t="inlineStr">
        <is>
          <t>A 24831-2025</t>
        </is>
      </c>
      <c r="B368" s="1" t="n">
        <v>45799.45872685185</v>
      </c>
      <c r="C368" s="1" t="n">
        <v>45911</v>
      </c>
      <c r="D368" t="inlineStr">
        <is>
          <t>GÄVLEBORGS LÄN</t>
        </is>
      </c>
      <c r="E368" t="inlineStr">
        <is>
          <t>LJUSDAL</t>
        </is>
      </c>
      <c r="F368" t="inlineStr">
        <is>
          <t>Sveaskog</t>
        </is>
      </c>
      <c r="G368" t="n">
        <v>25.9</v>
      </c>
      <c r="H368" t="n">
        <v>0</v>
      </c>
      <c r="I368" t="n">
        <v>0</v>
      </c>
      <c r="J368" t="n">
        <v>1</v>
      </c>
      <c r="K368" t="n">
        <v>0</v>
      </c>
      <c r="L368" t="n">
        <v>0</v>
      </c>
      <c r="M368" t="n">
        <v>0</v>
      </c>
      <c r="N368" t="n">
        <v>0</v>
      </c>
      <c r="O368" t="n">
        <v>1</v>
      </c>
      <c r="P368" t="n">
        <v>0</v>
      </c>
      <c r="Q368" t="n">
        <v>1</v>
      </c>
      <c r="R368" s="2" t="inlineStr">
        <is>
          <t>Lunglav</t>
        </is>
      </c>
      <c r="S368">
        <f>HYPERLINK("https://klasma.github.io/Logging_2161/artfynd/A 24831-2025 artfynd.xlsx", "A 24831-2025")</f>
        <v/>
      </c>
      <c r="T368">
        <f>HYPERLINK("https://klasma.github.io/Logging_2161/kartor/A 24831-2025 karta.png", "A 24831-2025")</f>
        <v/>
      </c>
      <c r="V368">
        <f>HYPERLINK("https://klasma.github.io/Logging_2161/klagomål/A 24831-2025 FSC-klagomål.docx", "A 24831-2025")</f>
        <v/>
      </c>
      <c r="W368">
        <f>HYPERLINK("https://klasma.github.io/Logging_2161/klagomålsmail/A 24831-2025 FSC-klagomål mail.docx", "A 24831-2025")</f>
        <v/>
      </c>
      <c r="X368">
        <f>HYPERLINK("https://klasma.github.io/Logging_2161/tillsyn/A 24831-2025 tillsynsbegäran.docx", "A 24831-2025")</f>
        <v/>
      </c>
      <c r="Y368">
        <f>HYPERLINK("https://klasma.github.io/Logging_2161/tillsynsmail/A 24831-2025 tillsynsbegäran mail.docx", "A 24831-2025")</f>
        <v/>
      </c>
    </row>
    <row r="369" ht="15" customHeight="1">
      <c r="A369" t="inlineStr">
        <is>
          <t>A 25850-2025</t>
        </is>
      </c>
      <c r="B369" s="1" t="n">
        <v>45800</v>
      </c>
      <c r="C369" s="1" t="n">
        <v>45911</v>
      </c>
      <c r="D369" t="inlineStr">
        <is>
          <t>GÄVLEBORGS LÄN</t>
        </is>
      </c>
      <c r="E369" t="inlineStr">
        <is>
          <t>HUDIKSVALL</t>
        </is>
      </c>
      <c r="G369" t="n">
        <v>5.7</v>
      </c>
      <c r="H369" t="n">
        <v>0</v>
      </c>
      <c r="I369" t="n">
        <v>0</v>
      </c>
      <c r="J369" t="n">
        <v>1</v>
      </c>
      <c r="K369" t="n">
        <v>0</v>
      </c>
      <c r="L369" t="n">
        <v>0</v>
      </c>
      <c r="M369" t="n">
        <v>0</v>
      </c>
      <c r="N369" t="n">
        <v>0</v>
      </c>
      <c r="O369" t="n">
        <v>1</v>
      </c>
      <c r="P369" t="n">
        <v>0</v>
      </c>
      <c r="Q369" t="n">
        <v>1</v>
      </c>
      <c r="R369" s="2" t="inlineStr">
        <is>
          <t>Ullticka</t>
        </is>
      </c>
      <c r="S369">
        <f>HYPERLINK("https://klasma.github.io/Logging_2184/artfynd/A 25850-2025 artfynd.xlsx", "A 25850-2025")</f>
        <v/>
      </c>
      <c r="T369">
        <f>HYPERLINK("https://klasma.github.io/Logging_2184/kartor/A 25850-2025 karta.png", "A 25850-2025")</f>
        <v/>
      </c>
      <c r="V369">
        <f>HYPERLINK("https://klasma.github.io/Logging_2184/klagomål/A 25850-2025 FSC-klagomål.docx", "A 25850-2025")</f>
        <v/>
      </c>
      <c r="W369">
        <f>HYPERLINK("https://klasma.github.io/Logging_2184/klagomålsmail/A 25850-2025 FSC-klagomål mail.docx", "A 25850-2025")</f>
        <v/>
      </c>
      <c r="X369">
        <f>HYPERLINK("https://klasma.github.io/Logging_2184/tillsyn/A 25850-2025 tillsynsbegäran.docx", "A 25850-2025")</f>
        <v/>
      </c>
      <c r="Y369">
        <f>HYPERLINK("https://klasma.github.io/Logging_2184/tillsynsmail/A 25850-2025 tillsynsbegäran mail.docx", "A 25850-2025")</f>
        <v/>
      </c>
    </row>
    <row r="370" ht="15" customHeight="1">
      <c r="A370" t="inlineStr">
        <is>
          <t>A 32254-2023</t>
        </is>
      </c>
      <c r="B370" s="1" t="n">
        <v>45120</v>
      </c>
      <c r="C370" s="1" t="n">
        <v>45911</v>
      </c>
      <c r="D370" t="inlineStr">
        <is>
          <t>GÄVLEBORGS LÄN</t>
        </is>
      </c>
      <c r="E370" t="inlineStr">
        <is>
          <t>GÄVLE</t>
        </is>
      </c>
      <c r="G370" t="n">
        <v>2.5</v>
      </c>
      <c r="H370" t="n">
        <v>0</v>
      </c>
      <c r="I370" t="n">
        <v>0</v>
      </c>
      <c r="J370" t="n">
        <v>1</v>
      </c>
      <c r="K370" t="n">
        <v>0</v>
      </c>
      <c r="L370" t="n">
        <v>0</v>
      </c>
      <c r="M370" t="n">
        <v>0</v>
      </c>
      <c r="N370" t="n">
        <v>0</v>
      </c>
      <c r="O370" t="n">
        <v>1</v>
      </c>
      <c r="P370" t="n">
        <v>0</v>
      </c>
      <c r="Q370" t="n">
        <v>1</v>
      </c>
      <c r="R370" s="2" t="inlineStr">
        <is>
          <t>Slåtterfibbla</t>
        </is>
      </c>
      <c r="S370">
        <f>HYPERLINK("https://klasma.github.io/Logging_2180/artfynd/A 32254-2023 artfynd.xlsx", "A 32254-2023")</f>
        <v/>
      </c>
      <c r="T370">
        <f>HYPERLINK("https://klasma.github.io/Logging_2180/kartor/A 32254-2023 karta.png", "A 32254-2023")</f>
        <v/>
      </c>
      <c r="V370">
        <f>HYPERLINK("https://klasma.github.io/Logging_2180/klagomål/A 32254-2023 FSC-klagomål.docx", "A 32254-2023")</f>
        <v/>
      </c>
      <c r="W370">
        <f>HYPERLINK("https://klasma.github.io/Logging_2180/klagomålsmail/A 32254-2023 FSC-klagomål mail.docx", "A 32254-2023")</f>
        <v/>
      </c>
      <c r="X370">
        <f>HYPERLINK("https://klasma.github.io/Logging_2180/tillsyn/A 32254-2023 tillsynsbegäran.docx", "A 32254-2023")</f>
        <v/>
      </c>
      <c r="Y370">
        <f>HYPERLINK("https://klasma.github.io/Logging_2180/tillsynsmail/A 32254-2023 tillsynsbegäran mail.docx", "A 32254-2023")</f>
        <v/>
      </c>
    </row>
    <row r="371" ht="15" customHeight="1">
      <c r="A371" t="inlineStr">
        <is>
          <t>A 57932-2024</t>
        </is>
      </c>
      <c r="B371" s="1" t="n">
        <v>45631.52961805555</v>
      </c>
      <c r="C371" s="1" t="n">
        <v>45911</v>
      </c>
      <c r="D371" t="inlineStr">
        <is>
          <t>GÄVLEBORGS LÄN</t>
        </is>
      </c>
      <c r="E371" t="inlineStr">
        <is>
          <t>GÄVLE</t>
        </is>
      </c>
      <c r="F371" t="inlineStr">
        <is>
          <t>Bergvik skog öst AB</t>
        </is>
      </c>
      <c r="G371" t="n">
        <v>48.7</v>
      </c>
      <c r="H371" t="n">
        <v>1</v>
      </c>
      <c r="I371" t="n">
        <v>0</v>
      </c>
      <c r="J371" t="n">
        <v>0</v>
      </c>
      <c r="K371" t="n">
        <v>0</v>
      </c>
      <c r="L371" t="n">
        <v>0</v>
      </c>
      <c r="M371" t="n">
        <v>0</v>
      </c>
      <c r="N371" t="n">
        <v>0</v>
      </c>
      <c r="O371" t="n">
        <v>0</v>
      </c>
      <c r="P371" t="n">
        <v>0</v>
      </c>
      <c r="Q371" t="n">
        <v>1</v>
      </c>
      <c r="R371" s="2" t="inlineStr">
        <is>
          <t>Tjäder</t>
        </is>
      </c>
      <c r="S371">
        <f>HYPERLINK("https://klasma.github.io/Logging_2180/artfynd/A 57932-2024 artfynd.xlsx", "A 57932-2024")</f>
        <v/>
      </c>
      <c r="T371">
        <f>HYPERLINK("https://klasma.github.io/Logging_2180/kartor/A 57932-2024 karta.png", "A 57932-2024")</f>
        <v/>
      </c>
      <c r="V371">
        <f>HYPERLINK("https://klasma.github.io/Logging_2180/klagomål/A 57932-2024 FSC-klagomål.docx", "A 57932-2024")</f>
        <v/>
      </c>
      <c r="W371">
        <f>HYPERLINK("https://klasma.github.io/Logging_2180/klagomålsmail/A 57932-2024 FSC-klagomål mail.docx", "A 57932-2024")</f>
        <v/>
      </c>
      <c r="X371">
        <f>HYPERLINK("https://klasma.github.io/Logging_2180/tillsyn/A 57932-2024 tillsynsbegäran.docx", "A 57932-2024")</f>
        <v/>
      </c>
      <c r="Y371">
        <f>HYPERLINK("https://klasma.github.io/Logging_2180/tillsynsmail/A 57932-2024 tillsynsbegäran mail.docx", "A 57932-2024")</f>
        <v/>
      </c>
      <c r="Z371">
        <f>HYPERLINK("https://klasma.github.io/Logging_2180/fåglar/A 57932-2024 prioriterade fågelarter.docx", "A 57932-2024")</f>
        <v/>
      </c>
    </row>
    <row r="372" ht="15" customHeight="1">
      <c r="A372" t="inlineStr">
        <is>
          <t>A 47971-2024</t>
        </is>
      </c>
      <c r="B372" s="1" t="n">
        <v>45589.39483796297</v>
      </c>
      <c r="C372" s="1" t="n">
        <v>45911</v>
      </c>
      <c r="D372" t="inlineStr">
        <is>
          <t>GÄVLEBORGS LÄN</t>
        </is>
      </c>
      <c r="E372" t="inlineStr">
        <is>
          <t>SANDVIKEN</t>
        </is>
      </c>
      <c r="F372" t="inlineStr">
        <is>
          <t>Bergvik skog väst AB</t>
        </is>
      </c>
      <c r="G372" t="n">
        <v>0.9</v>
      </c>
      <c r="H372" t="n">
        <v>0</v>
      </c>
      <c r="I372" t="n">
        <v>1</v>
      </c>
      <c r="J372" t="n">
        <v>0</v>
      </c>
      <c r="K372" t="n">
        <v>0</v>
      </c>
      <c r="L372" t="n">
        <v>0</v>
      </c>
      <c r="M372" t="n">
        <v>0</v>
      </c>
      <c r="N372" t="n">
        <v>0</v>
      </c>
      <c r="O372" t="n">
        <v>0</v>
      </c>
      <c r="P372" t="n">
        <v>0</v>
      </c>
      <c r="Q372" t="n">
        <v>1</v>
      </c>
      <c r="R372" s="2" t="inlineStr">
        <is>
          <t>Kamjordstjärna</t>
        </is>
      </c>
      <c r="S372">
        <f>HYPERLINK("https://klasma.github.io/Logging_2181/artfynd/A 47971-2024 artfynd.xlsx", "A 47971-2024")</f>
        <v/>
      </c>
      <c r="T372">
        <f>HYPERLINK("https://klasma.github.io/Logging_2181/kartor/A 47971-2024 karta.png", "A 47971-2024")</f>
        <v/>
      </c>
      <c r="V372">
        <f>HYPERLINK("https://klasma.github.io/Logging_2181/klagomål/A 47971-2024 FSC-klagomål.docx", "A 47971-2024")</f>
        <v/>
      </c>
      <c r="W372">
        <f>HYPERLINK("https://klasma.github.io/Logging_2181/klagomålsmail/A 47971-2024 FSC-klagomål mail.docx", "A 47971-2024")</f>
        <v/>
      </c>
      <c r="X372">
        <f>HYPERLINK("https://klasma.github.io/Logging_2181/tillsyn/A 47971-2024 tillsynsbegäran.docx", "A 47971-2024")</f>
        <v/>
      </c>
      <c r="Y372">
        <f>HYPERLINK("https://klasma.github.io/Logging_2181/tillsynsmail/A 47971-2024 tillsynsbegäran mail.docx", "A 47971-2024")</f>
        <v/>
      </c>
    </row>
    <row r="373" ht="15" customHeight="1">
      <c r="A373" t="inlineStr">
        <is>
          <t>A 35521-2024</t>
        </is>
      </c>
      <c r="B373" s="1" t="n">
        <v>45531.57493055556</v>
      </c>
      <c r="C373" s="1" t="n">
        <v>45911</v>
      </c>
      <c r="D373" t="inlineStr">
        <is>
          <t>GÄVLEBORGS LÄN</t>
        </is>
      </c>
      <c r="E373" t="inlineStr">
        <is>
          <t>HOFORS</t>
        </is>
      </c>
      <c r="F373" t="inlineStr">
        <is>
          <t>Sveaskog</t>
        </is>
      </c>
      <c r="G373" t="n">
        <v>1.3</v>
      </c>
      <c r="H373" t="n">
        <v>1</v>
      </c>
      <c r="I373" t="n">
        <v>0</v>
      </c>
      <c r="J373" t="n">
        <v>0</v>
      </c>
      <c r="K373" t="n">
        <v>0</v>
      </c>
      <c r="L373" t="n">
        <v>0</v>
      </c>
      <c r="M373" t="n">
        <v>0</v>
      </c>
      <c r="N373" t="n">
        <v>0</v>
      </c>
      <c r="O373" t="n">
        <v>0</v>
      </c>
      <c r="P373" t="n">
        <v>0</v>
      </c>
      <c r="Q373" t="n">
        <v>1</v>
      </c>
      <c r="R373" s="2" t="inlineStr">
        <is>
          <t>Revlummer</t>
        </is>
      </c>
      <c r="S373">
        <f>HYPERLINK("https://klasma.github.io/Logging_2104/artfynd/A 35521-2024 artfynd.xlsx", "A 35521-2024")</f>
        <v/>
      </c>
      <c r="T373">
        <f>HYPERLINK("https://klasma.github.io/Logging_2104/kartor/A 35521-2024 karta.png", "A 35521-2024")</f>
        <v/>
      </c>
      <c r="V373">
        <f>HYPERLINK("https://klasma.github.io/Logging_2104/klagomål/A 35521-2024 FSC-klagomål.docx", "A 35521-2024")</f>
        <v/>
      </c>
      <c r="W373">
        <f>HYPERLINK("https://klasma.github.io/Logging_2104/klagomålsmail/A 35521-2024 FSC-klagomål mail.docx", "A 35521-2024")</f>
        <v/>
      </c>
      <c r="X373">
        <f>HYPERLINK("https://klasma.github.io/Logging_2104/tillsyn/A 35521-2024 tillsynsbegäran.docx", "A 35521-2024")</f>
        <v/>
      </c>
      <c r="Y373">
        <f>HYPERLINK("https://klasma.github.io/Logging_2104/tillsynsmail/A 35521-2024 tillsynsbegäran mail.docx", "A 35521-2024")</f>
        <v/>
      </c>
    </row>
    <row r="374" ht="15" customHeight="1">
      <c r="A374" t="inlineStr">
        <is>
          <t>A 32807-2024</t>
        </is>
      </c>
      <c r="B374" s="1" t="n">
        <v>45516</v>
      </c>
      <c r="C374" s="1" t="n">
        <v>45911</v>
      </c>
      <c r="D374" t="inlineStr">
        <is>
          <t>GÄVLEBORGS LÄN</t>
        </is>
      </c>
      <c r="E374" t="inlineStr">
        <is>
          <t>LJUSDAL</t>
        </is>
      </c>
      <c r="F374" t="inlineStr">
        <is>
          <t>Sveaskog</t>
        </is>
      </c>
      <c r="G374" t="n">
        <v>11.5</v>
      </c>
      <c r="H374" t="n">
        <v>0</v>
      </c>
      <c r="I374" t="n">
        <v>0</v>
      </c>
      <c r="J374" t="n">
        <v>1</v>
      </c>
      <c r="K374" t="n">
        <v>0</v>
      </c>
      <c r="L374" t="n">
        <v>0</v>
      </c>
      <c r="M374" t="n">
        <v>0</v>
      </c>
      <c r="N374" t="n">
        <v>0</v>
      </c>
      <c r="O374" t="n">
        <v>1</v>
      </c>
      <c r="P374" t="n">
        <v>0</v>
      </c>
      <c r="Q374" t="n">
        <v>1</v>
      </c>
      <c r="R374" s="2" t="inlineStr">
        <is>
          <t>Kolflarnlav</t>
        </is>
      </c>
      <c r="S374">
        <f>HYPERLINK("https://klasma.github.io/Logging_2161/artfynd/A 32807-2024 artfynd.xlsx", "A 32807-2024")</f>
        <v/>
      </c>
      <c r="T374">
        <f>HYPERLINK("https://klasma.github.io/Logging_2161/kartor/A 32807-2024 karta.png", "A 32807-2024")</f>
        <v/>
      </c>
      <c r="V374">
        <f>HYPERLINK("https://klasma.github.io/Logging_2161/klagomål/A 32807-2024 FSC-klagomål.docx", "A 32807-2024")</f>
        <v/>
      </c>
      <c r="W374">
        <f>HYPERLINK("https://klasma.github.io/Logging_2161/klagomålsmail/A 32807-2024 FSC-klagomål mail.docx", "A 32807-2024")</f>
        <v/>
      </c>
      <c r="X374">
        <f>HYPERLINK("https://klasma.github.io/Logging_2161/tillsyn/A 32807-2024 tillsynsbegäran.docx", "A 32807-2024")</f>
        <v/>
      </c>
      <c r="Y374">
        <f>HYPERLINK("https://klasma.github.io/Logging_2161/tillsynsmail/A 32807-2024 tillsynsbegäran mail.docx", "A 32807-2024")</f>
        <v/>
      </c>
    </row>
    <row r="375" ht="15" customHeight="1">
      <c r="A375" t="inlineStr">
        <is>
          <t>A 58239-2024</t>
        </is>
      </c>
      <c r="B375" s="1" t="n">
        <v>45632.54140046296</v>
      </c>
      <c r="C375" s="1" t="n">
        <v>45911</v>
      </c>
      <c r="D375" t="inlineStr">
        <is>
          <t>GÄVLEBORGS LÄN</t>
        </is>
      </c>
      <c r="E375" t="inlineStr">
        <is>
          <t>HUDIKSVALL</t>
        </is>
      </c>
      <c r="F375" t="inlineStr">
        <is>
          <t>Holmen skog AB</t>
        </is>
      </c>
      <c r="G375" t="n">
        <v>4.3</v>
      </c>
      <c r="H375" t="n">
        <v>1</v>
      </c>
      <c r="I375" t="n">
        <v>0</v>
      </c>
      <c r="J375" t="n">
        <v>1</v>
      </c>
      <c r="K375" t="n">
        <v>0</v>
      </c>
      <c r="L375" t="n">
        <v>0</v>
      </c>
      <c r="M375" t="n">
        <v>0</v>
      </c>
      <c r="N375" t="n">
        <v>0</v>
      </c>
      <c r="O375" t="n">
        <v>1</v>
      </c>
      <c r="P375" t="n">
        <v>0</v>
      </c>
      <c r="Q375" t="n">
        <v>1</v>
      </c>
      <c r="R375" s="2" t="inlineStr">
        <is>
          <t>Kungsörn</t>
        </is>
      </c>
      <c r="S375">
        <f>HYPERLINK("https://klasma.github.io/Logging_2184/artfynd/A 58239-2024 artfynd.xlsx", "A 58239-2024")</f>
        <v/>
      </c>
      <c r="T375">
        <f>HYPERLINK("https://klasma.github.io/Logging_2184/kartor/A 58239-2024 karta.png", "A 58239-2024")</f>
        <v/>
      </c>
      <c r="V375">
        <f>HYPERLINK("https://klasma.github.io/Logging_2184/klagomål/A 58239-2024 FSC-klagomål.docx", "A 58239-2024")</f>
        <v/>
      </c>
      <c r="W375">
        <f>HYPERLINK("https://klasma.github.io/Logging_2184/klagomålsmail/A 58239-2024 FSC-klagomål mail.docx", "A 58239-2024")</f>
        <v/>
      </c>
      <c r="X375">
        <f>HYPERLINK("https://klasma.github.io/Logging_2184/tillsyn/A 58239-2024 tillsynsbegäran.docx", "A 58239-2024")</f>
        <v/>
      </c>
      <c r="Y375">
        <f>HYPERLINK("https://klasma.github.io/Logging_2184/tillsynsmail/A 58239-2024 tillsynsbegäran mail.docx", "A 58239-2024")</f>
        <v/>
      </c>
      <c r="Z375">
        <f>HYPERLINK("https://klasma.github.io/Logging_2184/fåglar/A 58239-2024 prioriterade fågelarter.docx", "A 58239-2024")</f>
        <v/>
      </c>
    </row>
    <row r="376" ht="15" customHeight="1">
      <c r="A376" t="inlineStr">
        <is>
          <t>A 38971-2024</t>
        </is>
      </c>
      <c r="B376" s="1" t="n">
        <v>45548</v>
      </c>
      <c r="C376" s="1" t="n">
        <v>45911</v>
      </c>
      <c r="D376" t="inlineStr">
        <is>
          <t>GÄVLEBORGS LÄN</t>
        </is>
      </c>
      <c r="E376" t="inlineStr">
        <is>
          <t>BOLLNÄS</t>
        </is>
      </c>
      <c r="F376" t="inlineStr">
        <is>
          <t>Sveaskog</t>
        </is>
      </c>
      <c r="G376" t="n">
        <v>5.7</v>
      </c>
      <c r="H376" t="n">
        <v>1</v>
      </c>
      <c r="I376" t="n">
        <v>0</v>
      </c>
      <c r="J376" t="n">
        <v>0</v>
      </c>
      <c r="K376" t="n">
        <v>0</v>
      </c>
      <c r="L376" t="n">
        <v>0</v>
      </c>
      <c r="M376" t="n">
        <v>0</v>
      </c>
      <c r="N376" t="n">
        <v>0</v>
      </c>
      <c r="O376" t="n">
        <v>0</v>
      </c>
      <c r="P376" t="n">
        <v>0</v>
      </c>
      <c r="Q376" t="n">
        <v>1</v>
      </c>
      <c r="R376" s="2" t="inlineStr">
        <is>
          <t>Lavskrika</t>
        </is>
      </c>
      <c r="S376">
        <f>HYPERLINK("https://klasma.github.io/Logging_2183/artfynd/A 38971-2024 artfynd.xlsx", "A 38971-2024")</f>
        <v/>
      </c>
      <c r="T376">
        <f>HYPERLINK("https://klasma.github.io/Logging_2183/kartor/A 38971-2024 karta.png", "A 38971-2024")</f>
        <v/>
      </c>
      <c r="V376">
        <f>HYPERLINK("https://klasma.github.io/Logging_2183/klagomål/A 38971-2024 FSC-klagomål.docx", "A 38971-2024")</f>
        <v/>
      </c>
      <c r="W376">
        <f>HYPERLINK("https://klasma.github.io/Logging_2183/klagomålsmail/A 38971-2024 FSC-klagomål mail.docx", "A 38971-2024")</f>
        <v/>
      </c>
      <c r="X376">
        <f>HYPERLINK("https://klasma.github.io/Logging_2183/tillsyn/A 38971-2024 tillsynsbegäran.docx", "A 38971-2024")</f>
        <v/>
      </c>
      <c r="Y376">
        <f>HYPERLINK("https://klasma.github.io/Logging_2183/tillsynsmail/A 38971-2024 tillsynsbegäran mail.docx", "A 38971-2024")</f>
        <v/>
      </c>
      <c r="Z376">
        <f>HYPERLINK("https://klasma.github.io/Logging_2183/fåglar/A 38971-2024 prioriterade fågelarter.docx", "A 38971-2024")</f>
        <v/>
      </c>
    </row>
    <row r="377" ht="15" customHeight="1">
      <c r="A377" t="inlineStr">
        <is>
          <t>A 26202-2025</t>
        </is>
      </c>
      <c r="B377" s="1" t="n">
        <v>45805.50910879629</v>
      </c>
      <c r="C377" s="1" t="n">
        <v>45911</v>
      </c>
      <c r="D377" t="inlineStr">
        <is>
          <t>GÄVLEBORGS LÄN</t>
        </is>
      </c>
      <c r="E377" t="inlineStr">
        <is>
          <t>LJUSDAL</t>
        </is>
      </c>
      <c r="G377" t="n">
        <v>3.3</v>
      </c>
      <c r="H377" t="n">
        <v>0</v>
      </c>
      <c r="I377" t="n">
        <v>0</v>
      </c>
      <c r="J377" t="n">
        <v>1</v>
      </c>
      <c r="K377" t="n">
        <v>0</v>
      </c>
      <c r="L377" t="n">
        <v>0</v>
      </c>
      <c r="M377" t="n">
        <v>0</v>
      </c>
      <c r="N377" t="n">
        <v>0</v>
      </c>
      <c r="O377" t="n">
        <v>1</v>
      </c>
      <c r="P377" t="n">
        <v>0</v>
      </c>
      <c r="Q377" t="n">
        <v>1</v>
      </c>
      <c r="R377" s="2" t="inlineStr">
        <is>
          <t>Violettgrå tagellav</t>
        </is>
      </c>
      <c r="S377">
        <f>HYPERLINK("https://klasma.github.io/Logging_2161/artfynd/A 26202-2025 artfynd.xlsx", "A 26202-2025")</f>
        <v/>
      </c>
      <c r="T377">
        <f>HYPERLINK("https://klasma.github.io/Logging_2161/kartor/A 26202-2025 karta.png", "A 26202-2025")</f>
        <v/>
      </c>
      <c r="V377">
        <f>HYPERLINK("https://klasma.github.io/Logging_2161/klagomål/A 26202-2025 FSC-klagomål.docx", "A 26202-2025")</f>
        <v/>
      </c>
      <c r="W377">
        <f>HYPERLINK("https://klasma.github.io/Logging_2161/klagomålsmail/A 26202-2025 FSC-klagomål mail.docx", "A 26202-2025")</f>
        <v/>
      </c>
      <c r="X377">
        <f>HYPERLINK("https://klasma.github.io/Logging_2161/tillsyn/A 26202-2025 tillsynsbegäran.docx", "A 26202-2025")</f>
        <v/>
      </c>
      <c r="Y377">
        <f>HYPERLINK("https://klasma.github.io/Logging_2161/tillsynsmail/A 26202-2025 tillsynsbegäran mail.docx", "A 26202-2025")</f>
        <v/>
      </c>
    </row>
    <row r="378" ht="15" customHeight="1">
      <c r="A378" t="inlineStr">
        <is>
          <t>A 53571-2024</t>
        </is>
      </c>
      <c r="B378" s="1" t="n">
        <v>45614.66019675926</v>
      </c>
      <c r="C378" s="1" t="n">
        <v>45911</v>
      </c>
      <c r="D378" t="inlineStr">
        <is>
          <t>GÄVLEBORGS LÄN</t>
        </is>
      </c>
      <c r="E378" t="inlineStr">
        <is>
          <t>GÄVLE</t>
        </is>
      </c>
      <c r="F378" t="inlineStr">
        <is>
          <t>Bergvik skog öst AB</t>
        </is>
      </c>
      <c r="G378" t="n">
        <v>4.9</v>
      </c>
      <c r="H378" t="n">
        <v>0</v>
      </c>
      <c r="I378" t="n">
        <v>1</v>
      </c>
      <c r="J378" t="n">
        <v>0</v>
      </c>
      <c r="K378" t="n">
        <v>0</v>
      </c>
      <c r="L378" t="n">
        <v>0</v>
      </c>
      <c r="M378" t="n">
        <v>0</v>
      </c>
      <c r="N378" t="n">
        <v>0</v>
      </c>
      <c r="O378" t="n">
        <v>0</v>
      </c>
      <c r="P378" t="n">
        <v>0</v>
      </c>
      <c r="Q378" t="n">
        <v>1</v>
      </c>
      <c r="R378" s="2" t="inlineStr">
        <is>
          <t>Svavelriska</t>
        </is>
      </c>
      <c r="S378">
        <f>HYPERLINK("https://klasma.github.io/Logging_2180/artfynd/A 53571-2024 artfynd.xlsx", "A 53571-2024")</f>
        <v/>
      </c>
      <c r="T378">
        <f>HYPERLINK("https://klasma.github.io/Logging_2180/kartor/A 53571-2024 karta.png", "A 53571-2024")</f>
        <v/>
      </c>
      <c r="V378">
        <f>HYPERLINK("https://klasma.github.io/Logging_2180/klagomål/A 53571-2024 FSC-klagomål.docx", "A 53571-2024")</f>
        <v/>
      </c>
      <c r="W378">
        <f>HYPERLINK("https://klasma.github.io/Logging_2180/klagomålsmail/A 53571-2024 FSC-klagomål mail.docx", "A 53571-2024")</f>
        <v/>
      </c>
      <c r="X378">
        <f>HYPERLINK("https://klasma.github.io/Logging_2180/tillsyn/A 53571-2024 tillsynsbegäran.docx", "A 53571-2024")</f>
        <v/>
      </c>
      <c r="Y378">
        <f>HYPERLINK("https://klasma.github.io/Logging_2180/tillsynsmail/A 53571-2024 tillsynsbegäran mail.docx", "A 53571-2024")</f>
        <v/>
      </c>
    </row>
    <row r="379" ht="15" customHeight="1">
      <c r="A379" t="inlineStr">
        <is>
          <t>A 12338-2025</t>
        </is>
      </c>
      <c r="B379" s="1" t="n">
        <v>45730</v>
      </c>
      <c r="C379" s="1" t="n">
        <v>45911</v>
      </c>
      <c r="D379" t="inlineStr">
        <is>
          <t>GÄVLEBORGS LÄN</t>
        </is>
      </c>
      <c r="E379" t="inlineStr">
        <is>
          <t>GÄVLE</t>
        </is>
      </c>
      <c r="F379" t="inlineStr">
        <is>
          <t>Bergvik skog öst AB</t>
        </is>
      </c>
      <c r="G379" t="n">
        <v>6.8</v>
      </c>
      <c r="H379" t="n">
        <v>0</v>
      </c>
      <c r="I379" t="n">
        <v>0</v>
      </c>
      <c r="J379" t="n">
        <v>1</v>
      </c>
      <c r="K379" t="n">
        <v>0</v>
      </c>
      <c r="L379" t="n">
        <v>0</v>
      </c>
      <c r="M379" t="n">
        <v>0</v>
      </c>
      <c r="N379" t="n">
        <v>0</v>
      </c>
      <c r="O379" t="n">
        <v>1</v>
      </c>
      <c r="P379" t="n">
        <v>0</v>
      </c>
      <c r="Q379" t="n">
        <v>1</v>
      </c>
      <c r="R379" s="2" t="inlineStr">
        <is>
          <t>Skogsklocka</t>
        </is>
      </c>
      <c r="S379">
        <f>HYPERLINK("https://klasma.github.io/Logging_2180/artfynd/A 12338-2025 artfynd.xlsx", "A 12338-2025")</f>
        <v/>
      </c>
      <c r="T379">
        <f>HYPERLINK("https://klasma.github.io/Logging_2180/kartor/A 12338-2025 karta.png", "A 12338-2025")</f>
        <v/>
      </c>
      <c r="V379">
        <f>HYPERLINK("https://klasma.github.io/Logging_2180/klagomål/A 12338-2025 FSC-klagomål.docx", "A 12338-2025")</f>
        <v/>
      </c>
      <c r="W379">
        <f>HYPERLINK("https://klasma.github.io/Logging_2180/klagomålsmail/A 12338-2025 FSC-klagomål mail.docx", "A 12338-2025")</f>
        <v/>
      </c>
      <c r="X379">
        <f>HYPERLINK("https://klasma.github.io/Logging_2180/tillsyn/A 12338-2025 tillsynsbegäran.docx", "A 12338-2025")</f>
        <v/>
      </c>
      <c r="Y379">
        <f>HYPERLINK("https://klasma.github.io/Logging_2180/tillsynsmail/A 12338-2025 tillsynsbegäran mail.docx", "A 12338-2025")</f>
        <v/>
      </c>
    </row>
    <row r="380" ht="15" customHeight="1">
      <c r="A380" t="inlineStr">
        <is>
          <t>A 30008-2024</t>
        </is>
      </c>
      <c r="B380" s="1" t="n">
        <v>45488.6040162037</v>
      </c>
      <c r="C380" s="1" t="n">
        <v>45911</v>
      </c>
      <c r="D380" t="inlineStr">
        <is>
          <t>GÄVLEBORGS LÄN</t>
        </is>
      </c>
      <c r="E380" t="inlineStr">
        <is>
          <t>HOFORS</t>
        </is>
      </c>
      <c r="F380" t="inlineStr">
        <is>
          <t>Sveaskog</t>
        </is>
      </c>
      <c r="G380" t="n">
        <v>0.8</v>
      </c>
      <c r="H380" t="n">
        <v>0</v>
      </c>
      <c r="I380" t="n">
        <v>1</v>
      </c>
      <c r="J380" t="n">
        <v>0</v>
      </c>
      <c r="K380" t="n">
        <v>0</v>
      </c>
      <c r="L380" t="n">
        <v>0</v>
      </c>
      <c r="M380" t="n">
        <v>0</v>
      </c>
      <c r="N380" t="n">
        <v>0</v>
      </c>
      <c r="O380" t="n">
        <v>0</v>
      </c>
      <c r="P380" t="n">
        <v>0</v>
      </c>
      <c r="Q380" t="n">
        <v>1</v>
      </c>
      <c r="R380" s="2" t="inlineStr">
        <is>
          <t>Tibast</t>
        </is>
      </c>
      <c r="S380">
        <f>HYPERLINK("https://klasma.github.io/Logging_2104/artfynd/A 30008-2024 artfynd.xlsx", "A 30008-2024")</f>
        <v/>
      </c>
      <c r="T380">
        <f>HYPERLINK("https://klasma.github.io/Logging_2104/kartor/A 30008-2024 karta.png", "A 30008-2024")</f>
        <v/>
      </c>
      <c r="V380">
        <f>HYPERLINK("https://klasma.github.io/Logging_2104/klagomål/A 30008-2024 FSC-klagomål.docx", "A 30008-2024")</f>
        <v/>
      </c>
      <c r="W380">
        <f>HYPERLINK("https://klasma.github.io/Logging_2104/klagomålsmail/A 30008-2024 FSC-klagomål mail.docx", "A 30008-2024")</f>
        <v/>
      </c>
      <c r="X380">
        <f>HYPERLINK("https://klasma.github.io/Logging_2104/tillsyn/A 30008-2024 tillsynsbegäran.docx", "A 30008-2024")</f>
        <v/>
      </c>
      <c r="Y380">
        <f>HYPERLINK("https://klasma.github.io/Logging_2104/tillsynsmail/A 30008-2024 tillsynsbegäran mail.docx", "A 30008-2024")</f>
        <v/>
      </c>
    </row>
    <row r="381" ht="15" customHeight="1">
      <c r="A381" t="inlineStr">
        <is>
          <t>A 44032-2023</t>
        </is>
      </c>
      <c r="B381" s="1" t="n">
        <v>45188.36288194444</v>
      </c>
      <c r="C381" s="1" t="n">
        <v>45911</v>
      </c>
      <c r="D381" t="inlineStr">
        <is>
          <t>GÄVLEBORGS LÄN</t>
        </is>
      </c>
      <c r="E381" t="inlineStr">
        <is>
          <t>NORDANSTIG</t>
        </is>
      </c>
      <c r="F381" t="inlineStr">
        <is>
          <t>Holmen skog AB</t>
        </is>
      </c>
      <c r="G381" t="n">
        <v>5.3</v>
      </c>
      <c r="H381" t="n">
        <v>1</v>
      </c>
      <c r="I381" t="n">
        <v>0</v>
      </c>
      <c r="J381" t="n">
        <v>0</v>
      </c>
      <c r="K381" t="n">
        <v>0</v>
      </c>
      <c r="L381" t="n">
        <v>0</v>
      </c>
      <c r="M381" t="n">
        <v>0</v>
      </c>
      <c r="N381" t="n">
        <v>0</v>
      </c>
      <c r="O381" t="n">
        <v>0</v>
      </c>
      <c r="P381" t="n">
        <v>0</v>
      </c>
      <c r="Q381" t="n">
        <v>1</v>
      </c>
      <c r="R381" s="2" t="inlineStr">
        <is>
          <t>Revlummer</t>
        </is>
      </c>
      <c r="S381">
        <f>HYPERLINK("https://klasma.github.io/Logging_2132/artfynd/A 44032-2023 artfynd.xlsx", "A 44032-2023")</f>
        <v/>
      </c>
      <c r="T381">
        <f>HYPERLINK("https://klasma.github.io/Logging_2132/kartor/A 44032-2023 karta.png", "A 44032-2023")</f>
        <v/>
      </c>
      <c r="V381">
        <f>HYPERLINK("https://klasma.github.io/Logging_2132/klagomål/A 44032-2023 FSC-klagomål.docx", "A 44032-2023")</f>
        <v/>
      </c>
      <c r="W381">
        <f>HYPERLINK("https://klasma.github.io/Logging_2132/klagomålsmail/A 44032-2023 FSC-klagomål mail.docx", "A 44032-2023")</f>
        <v/>
      </c>
      <c r="X381">
        <f>HYPERLINK("https://klasma.github.io/Logging_2132/tillsyn/A 44032-2023 tillsynsbegäran.docx", "A 44032-2023")</f>
        <v/>
      </c>
      <c r="Y381">
        <f>HYPERLINK("https://klasma.github.io/Logging_2132/tillsynsmail/A 44032-2023 tillsynsbegäran mail.docx", "A 44032-2023")</f>
        <v/>
      </c>
    </row>
    <row r="382" ht="15" customHeight="1">
      <c r="A382" t="inlineStr">
        <is>
          <t>A 26829-2025</t>
        </is>
      </c>
      <c r="B382" s="1" t="n">
        <v>45810.65657407408</v>
      </c>
      <c r="C382" s="1" t="n">
        <v>45911</v>
      </c>
      <c r="D382" t="inlineStr">
        <is>
          <t>GÄVLEBORGS LÄN</t>
        </is>
      </c>
      <c r="E382" t="inlineStr">
        <is>
          <t>LJUSDAL</t>
        </is>
      </c>
      <c r="F382" t="inlineStr">
        <is>
          <t>SCA</t>
        </is>
      </c>
      <c r="G382" t="n">
        <v>9.199999999999999</v>
      </c>
      <c r="H382" t="n">
        <v>1</v>
      </c>
      <c r="I382" t="n">
        <v>0</v>
      </c>
      <c r="J382" t="n">
        <v>0</v>
      </c>
      <c r="K382" t="n">
        <v>0</v>
      </c>
      <c r="L382" t="n">
        <v>0</v>
      </c>
      <c r="M382" t="n">
        <v>0</v>
      </c>
      <c r="N382" t="n">
        <v>0</v>
      </c>
      <c r="O382" t="n">
        <v>0</v>
      </c>
      <c r="P382" t="n">
        <v>0</v>
      </c>
      <c r="Q382" t="n">
        <v>1</v>
      </c>
      <c r="R382" s="2" t="inlineStr">
        <is>
          <t>Revlummer</t>
        </is>
      </c>
      <c r="S382">
        <f>HYPERLINK("https://klasma.github.io/Logging_2161/artfynd/A 26829-2025 artfynd.xlsx", "A 26829-2025")</f>
        <v/>
      </c>
      <c r="T382">
        <f>HYPERLINK("https://klasma.github.io/Logging_2161/kartor/A 26829-2025 karta.png", "A 26829-2025")</f>
        <v/>
      </c>
      <c r="V382">
        <f>HYPERLINK("https://klasma.github.io/Logging_2161/klagomål/A 26829-2025 FSC-klagomål.docx", "A 26829-2025")</f>
        <v/>
      </c>
      <c r="W382">
        <f>HYPERLINK("https://klasma.github.io/Logging_2161/klagomålsmail/A 26829-2025 FSC-klagomål mail.docx", "A 26829-2025")</f>
        <v/>
      </c>
      <c r="X382">
        <f>HYPERLINK("https://klasma.github.io/Logging_2161/tillsyn/A 26829-2025 tillsynsbegäran.docx", "A 26829-2025")</f>
        <v/>
      </c>
      <c r="Y382">
        <f>HYPERLINK("https://klasma.github.io/Logging_2161/tillsynsmail/A 26829-2025 tillsynsbegäran mail.docx", "A 26829-2025")</f>
        <v/>
      </c>
    </row>
    <row r="383" ht="15" customHeight="1">
      <c r="A383" t="inlineStr">
        <is>
          <t>A 37090-2024</t>
        </is>
      </c>
      <c r="B383" s="1" t="n">
        <v>45539.49916666667</v>
      </c>
      <c r="C383" s="1" t="n">
        <v>45911</v>
      </c>
      <c r="D383" t="inlineStr">
        <is>
          <t>GÄVLEBORGS LÄN</t>
        </is>
      </c>
      <c r="E383" t="inlineStr">
        <is>
          <t>LJUSDAL</t>
        </is>
      </c>
      <c r="F383" t="inlineStr">
        <is>
          <t>Sveaskog</t>
        </is>
      </c>
      <c r="G383" t="n">
        <v>2.6</v>
      </c>
      <c r="H383" t="n">
        <v>0</v>
      </c>
      <c r="I383" t="n">
        <v>0</v>
      </c>
      <c r="J383" t="n">
        <v>1</v>
      </c>
      <c r="K383" t="n">
        <v>0</v>
      </c>
      <c r="L383" t="n">
        <v>0</v>
      </c>
      <c r="M383" t="n">
        <v>0</v>
      </c>
      <c r="N383" t="n">
        <v>0</v>
      </c>
      <c r="O383" t="n">
        <v>1</v>
      </c>
      <c r="P383" t="n">
        <v>0</v>
      </c>
      <c r="Q383" t="n">
        <v>1</v>
      </c>
      <c r="R383" s="2" t="inlineStr">
        <is>
          <t>Skrovellav</t>
        </is>
      </c>
      <c r="S383">
        <f>HYPERLINK("https://klasma.github.io/Logging_2161/artfynd/A 37090-2024 artfynd.xlsx", "A 37090-2024")</f>
        <v/>
      </c>
      <c r="T383">
        <f>HYPERLINK("https://klasma.github.io/Logging_2161/kartor/A 37090-2024 karta.png", "A 37090-2024")</f>
        <v/>
      </c>
      <c r="V383">
        <f>HYPERLINK("https://klasma.github.io/Logging_2161/klagomål/A 37090-2024 FSC-klagomål.docx", "A 37090-2024")</f>
        <v/>
      </c>
      <c r="W383">
        <f>HYPERLINK("https://klasma.github.io/Logging_2161/klagomålsmail/A 37090-2024 FSC-klagomål mail.docx", "A 37090-2024")</f>
        <v/>
      </c>
      <c r="X383">
        <f>HYPERLINK("https://klasma.github.io/Logging_2161/tillsyn/A 37090-2024 tillsynsbegäran.docx", "A 37090-2024")</f>
        <v/>
      </c>
      <c r="Y383">
        <f>HYPERLINK("https://klasma.github.io/Logging_2161/tillsynsmail/A 37090-2024 tillsynsbegäran mail.docx", "A 37090-2024")</f>
        <v/>
      </c>
    </row>
    <row r="384" ht="15" customHeight="1">
      <c r="A384" t="inlineStr">
        <is>
          <t>A 45427-2023</t>
        </is>
      </c>
      <c r="B384" s="1" t="n">
        <v>45194.3671875</v>
      </c>
      <c r="C384" s="1" t="n">
        <v>45911</v>
      </c>
      <c r="D384" t="inlineStr">
        <is>
          <t>GÄVLEBORGS LÄN</t>
        </is>
      </c>
      <c r="E384" t="inlineStr">
        <is>
          <t>SANDVIKEN</t>
        </is>
      </c>
      <c r="F384" t="inlineStr">
        <is>
          <t>Bergvik skog öst AB</t>
        </is>
      </c>
      <c r="G384" t="n">
        <v>3.5</v>
      </c>
      <c r="H384" t="n">
        <v>1</v>
      </c>
      <c r="I384" t="n">
        <v>0</v>
      </c>
      <c r="J384" t="n">
        <v>0</v>
      </c>
      <c r="K384" t="n">
        <v>0</v>
      </c>
      <c r="L384" t="n">
        <v>0</v>
      </c>
      <c r="M384" t="n">
        <v>0</v>
      </c>
      <c r="N384" t="n">
        <v>0</v>
      </c>
      <c r="O384" t="n">
        <v>0</v>
      </c>
      <c r="P384" t="n">
        <v>0</v>
      </c>
      <c r="Q384" t="n">
        <v>1</v>
      </c>
      <c r="R384" s="2" t="inlineStr">
        <is>
          <t>Mattlummer</t>
        </is>
      </c>
      <c r="S384">
        <f>HYPERLINK("https://klasma.github.io/Logging_2181/artfynd/A 45427-2023 artfynd.xlsx", "A 45427-2023")</f>
        <v/>
      </c>
      <c r="T384">
        <f>HYPERLINK("https://klasma.github.io/Logging_2181/kartor/A 45427-2023 karta.png", "A 45427-2023")</f>
        <v/>
      </c>
      <c r="V384">
        <f>HYPERLINK("https://klasma.github.io/Logging_2181/klagomål/A 45427-2023 FSC-klagomål.docx", "A 45427-2023")</f>
        <v/>
      </c>
      <c r="W384">
        <f>HYPERLINK("https://klasma.github.io/Logging_2181/klagomålsmail/A 45427-2023 FSC-klagomål mail.docx", "A 45427-2023")</f>
        <v/>
      </c>
      <c r="X384">
        <f>HYPERLINK("https://klasma.github.io/Logging_2181/tillsyn/A 45427-2023 tillsynsbegäran.docx", "A 45427-2023")</f>
        <v/>
      </c>
      <c r="Y384">
        <f>HYPERLINK("https://klasma.github.io/Logging_2181/tillsynsmail/A 45427-2023 tillsynsbegäran mail.docx", "A 45427-2023")</f>
        <v/>
      </c>
    </row>
    <row r="385" ht="15" customHeight="1">
      <c r="A385" t="inlineStr">
        <is>
          <t>A 49803-2022</t>
        </is>
      </c>
      <c r="B385" s="1" t="n">
        <v>44862.66302083333</v>
      </c>
      <c r="C385" s="1" t="n">
        <v>45911</v>
      </c>
      <c r="D385" t="inlineStr">
        <is>
          <t>GÄVLEBORGS LÄN</t>
        </is>
      </c>
      <c r="E385" t="inlineStr">
        <is>
          <t>LJUSDAL</t>
        </is>
      </c>
      <c r="F385" t="inlineStr">
        <is>
          <t>Sveaskog</t>
        </is>
      </c>
      <c r="G385" t="n">
        <v>1.9</v>
      </c>
      <c r="H385" t="n">
        <v>1</v>
      </c>
      <c r="I385" t="n">
        <v>0</v>
      </c>
      <c r="J385" t="n">
        <v>0</v>
      </c>
      <c r="K385" t="n">
        <v>0</v>
      </c>
      <c r="L385" t="n">
        <v>0</v>
      </c>
      <c r="M385" t="n">
        <v>0</v>
      </c>
      <c r="N385" t="n">
        <v>0</v>
      </c>
      <c r="O385" t="n">
        <v>0</v>
      </c>
      <c r="P385" t="n">
        <v>0</v>
      </c>
      <c r="Q385" t="n">
        <v>1</v>
      </c>
      <c r="R385" s="2" t="inlineStr">
        <is>
          <t>Fläcknycklar</t>
        </is>
      </c>
      <c r="S385">
        <f>HYPERLINK("https://klasma.github.io/Logging_2161/artfynd/A 49803-2022 artfynd.xlsx", "A 49803-2022")</f>
        <v/>
      </c>
      <c r="T385">
        <f>HYPERLINK("https://klasma.github.io/Logging_2161/kartor/A 49803-2022 karta.png", "A 49803-2022")</f>
        <v/>
      </c>
      <c r="V385">
        <f>HYPERLINK("https://klasma.github.io/Logging_2161/klagomål/A 49803-2022 FSC-klagomål.docx", "A 49803-2022")</f>
        <v/>
      </c>
      <c r="W385">
        <f>HYPERLINK("https://klasma.github.io/Logging_2161/klagomålsmail/A 49803-2022 FSC-klagomål mail.docx", "A 49803-2022")</f>
        <v/>
      </c>
      <c r="X385">
        <f>HYPERLINK("https://klasma.github.io/Logging_2161/tillsyn/A 49803-2022 tillsynsbegäran.docx", "A 49803-2022")</f>
        <v/>
      </c>
      <c r="Y385">
        <f>HYPERLINK("https://klasma.github.io/Logging_2161/tillsynsmail/A 49803-2022 tillsynsbegäran mail.docx", "A 49803-2022")</f>
        <v/>
      </c>
    </row>
    <row r="386" ht="15" customHeight="1">
      <c r="A386" t="inlineStr">
        <is>
          <t>A 18215-2024</t>
        </is>
      </c>
      <c r="B386" s="1" t="n">
        <v>45420</v>
      </c>
      <c r="C386" s="1" t="n">
        <v>45911</v>
      </c>
      <c r="D386" t="inlineStr">
        <is>
          <t>GÄVLEBORGS LÄN</t>
        </is>
      </c>
      <c r="E386" t="inlineStr">
        <is>
          <t>GÄVLE</t>
        </is>
      </c>
      <c r="F386" t="inlineStr">
        <is>
          <t>Bergvik skog väst AB</t>
        </is>
      </c>
      <c r="G386" t="n">
        <v>68.59999999999999</v>
      </c>
      <c r="H386" t="n">
        <v>1</v>
      </c>
      <c r="I386" t="n">
        <v>0</v>
      </c>
      <c r="J386" t="n">
        <v>0</v>
      </c>
      <c r="K386" t="n">
        <v>0</v>
      </c>
      <c r="L386" t="n">
        <v>0</v>
      </c>
      <c r="M386" t="n">
        <v>0</v>
      </c>
      <c r="N386" t="n">
        <v>0</v>
      </c>
      <c r="O386" t="n">
        <v>0</v>
      </c>
      <c r="P386" t="n">
        <v>0</v>
      </c>
      <c r="Q386" t="n">
        <v>1</v>
      </c>
      <c r="R386" s="2" t="inlineStr">
        <is>
          <t>Huggorm</t>
        </is>
      </c>
      <c r="S386">
        <f>HYPERLINK("https://klasma.github.io/Logging_2180/artfynd/A 18215-2024 artfynd.xlsx", "A 18215-2024")</f>
        <v/>
      </c>
      <c r="T386">
        <f>HYPERLINK("https://klasma.github.io/Logging_2180/kartor/A 18215-2024 karta.png", "A 18215-2024")</f>
        <v/>
      </c>
      <c r="V386">
        <f>HYPERLINK("https://klasma.github.io/Logging_2180/klagomål/A 18215-2024 FSC-klagomål.docx", "A 18215-2024")</f>
        <v/>
      </c>
      <c r="W386">
        <f>HYPERLINK("https://klasma.github.io/Logging_2180/klagomålsmail/A 18215-2024 FSC-klagomål mail.docx", "A 18215-2024")</f>
        <v/>
      </c>
      <c r="X386">
        <f>HYPERLINK("https://klasma.github.io/Logging_2180/tillsyn/A 18215-2024 tillsynsbegäran.docx", "A 18215-2024")</f>
        <v/>
      </c>
      <c r="Y386">
        <f>HYPERLINK("https://klasma.github.io/Logging_2180/tillsynsmail/A 18215-2024 tillsynsbegäran mail.docx", "A 18215-2024")</f>
        <v/>
      </c>
    </row>
    <row r="387" ht="15" customHeight="1">
      <c r="A387" t="inlineStr">
        <is>
          <t>A 56782-2023</t>
        </is>
      </c>
      <c r="B387" s="1" t="n">
        <v>45244</v>
      </c>
      <c r="C387" s="1" t="n">
        <v>45911</v>
      </c>
      <c r="D387" t="inlineStr">
        <is>
          <t>GÄVLEBORGS LÄN</t>
        </is>
      </c>
      <c r="E387" t="inlineStr">
        <is>
          <t>LJUSDAL</t>
        </is>
      </c>
      <c r="F387" t="inlineStr">
        <is>
          <t>Sveaskog</t>
        </is>
      </c>
      <c r="G387" t="n">
        <v>0.8</v>
      </c>
      <c r="H387" t="n">
        <v>1</v>
      </c>
      <c r="I387" t="n">
        <v>0</v>
      </c>
      <c r="J387" t="n">
        <v>1</v>
      </c>
      <c r="K387" t="n">
        <v>0</v>
      </c>
      <c r="L387" t="n">
        <v>0</v>
      </c>
      <c r="M387" t="n">
        <v>0</v>
      </c>
      <c r="N387" t="n">
        <v>0</v>
      </c>
      <c r="O387" t="n">
        <v>1</v>
      </c>
      <c r="P387" t="n">
        <v>0</v>
      </c>
      <c r="Q387" t="n">
        <v>1</v>
      </c>
      <c r="R387" s="2" t="inlineStr">
        <is>
          <t>Järpe</t>
        </is>
      </c>
      <c r="S387">
        <f>HYPERLINK("https://klasma.github.io/Logging_2161/artfynd/A 56782-2023 artfynd.xlsx", "A 56782-2023")</f>
        <v/>
      </c>
      <c r="T387">
        <f>HYPERLINK("https://klasma.github.io/Logging_2161/kartor/A 56782-2023 karta.png", "A 56782-2023")</f>
        <v/>
      </c>
      <c r="U387">
        <f>HYPERLINK("https://klasma.github.io/Logging_2161/knärot/A 56782-2023 karta knärot.png", "A 56782-2023")</f>
        <v/>
      </c>
      <c r="V387">
        <f>HYPERLINK("https://klasma.github.io/Logging_2161/klagomål/A 56782-2023 FSC-klagomål.docx", "A 56782-2023")</f>
        <v/>
      </c>
      <c r="W387">
        <f>HYPERLINK("https://klasma.github.io/Logging_2161/klagomålsmail/A 56782-2023 FSC-klagomål mail.docx", "A 56782-2023")</f>
        <v/>
      </c>
      <c r="X387">
        <f>HYPERLINK("https://klasma.github.io/Logging_2161/tillsyn/A 56782-2023 tillsynsbegäran.docx", "A 56782-2023")</f>
        <v/>
      </c>
      <c r="Y387">
        <f>HYPERLINK("https://klasma.github.io/Logging_2161/tillsynsmail/A 56782-2023 tillsynsbegäran mail.docx", "A 56782-2023")</f>
        <v/>
      </c>
      <c r="Z387">
        <f>HYPERLINK("https://klasma.github.io/Logging_2161/fåglar/A 56782-2023 prioriterade fågelarter.docx", "A 56782-2023")</f>
        <v/>
      </c>
    </row>
    <row r="388" ht="15" customHeight="1">
      <c r="A388" t="inlineStr">
        <is>
          <t>A 22595-2025</t>
        </is>
      </c>
      <c r="B388" s="1" t="n">
        <v>45789</v>
      </c>
      <c r="C388" s="1" t="n">
        <v>45911</v>
      </c>
      <c r="D388" t="inlineStr">
        <is>
          <t>GÄVLEBORGS LÄN</t>
        </is>
      </c>
      <c r="E388" t="inlineStr">
        <is>
          <t>HUDIKSVALL</t>
        </is>
      </c>
      <c r="F388" t="inlineStr">
        <is>
          <t>Holmen skog AB</t>
        </is>
      </c>
      <c r="G388" t="n">
        <v>6.6</v>
      </c>
      <c r="H388" t="n">
        <v>1</v>
      </c>
      <c r="I388" t="n">
        <v>0</v>
      </c>
      <c r="J388" t="n">
        <v>0</v>
      </c>
      <c r="K388" t="n">
        <v>0</v>
      </c>
      <c r="L388" t="n">
        <v>0</v>
      </c>
      <c r="M388" t="n">
        <v>0</v>
      </c>
      <c r="N388" t="n">
        <v>0</v>
      </c>
      <c r="O388" t="n">
        <v>0</v>
      </c>
      <c r="P388" t="n">
        <v>0</v>
      </c>
      <c r="Q388" t="n">
        <v>1</v>
      </c>
      <c r="R388" s="2" t="inlineStr">
        <is>
          <t>Revlummer</t>
        </is>
      </c>
      <c r="S388">
        <f>HYPERLINK("https://klasma.github.io/Logging_2184/artfynd/A 22595-2025 artfynd.xlsx", "A 22595-2025")</f>
        <v/>
      </c>
      <c r="T388">
        <f>HYPERLINK("https://klasma.github.io/Logging_2184/kartor/A 22595-2025 karta.png", "A 22595-2025")</f>
        <v/>
      </c>
      <c r="V388">
        <f>HYPERLINK("https://klasma.github.io/Logging_2184/klagomål/A 22595-2025 FSC-klagomål.docx", "A 22595-2025")</f>
        <v/>
      </c>
      <c r="W388">
        <f>HYPERLINK("https://klasma.github.io/Logging_2184/klagomålsmail/A 22595-2025 FSC-klagomål mail.docx", "A 22595-2025")</f>
        <v/>
      </c>
      <c r="X388">
        <f>HYPERLINK("https://klasma.github.io/Logging_2184/tillsyn/A 22595-2025 tillsynsbegäran.docx", "A 22595-2025")</f>
        <v/>
      </c>
      <c r="Y388">
        <f>HYPERLINK("https://klasma.github.io/Logging_2184/tillsynsmail/A 22595-2025 tillsynsbegäran mail.docx", "A 22595-2025")</f>
        <v/>
      </c>
    </row>
    <row r="389" ht="15" customHeight="1">
      <c r="A389" t="inlineStr">
        <is>
          <t>A 2254-2025</t>
        </is>
      </c>
      <c r="B389" s="1" t="n">
        <v>45673.50789351852</v>
      </c>
      <c r="C389" s="1" t="n">
        <v>45911</v>
      </c>
      <c r="D389" t="inlineStr">
        <is>
          <t>GÄVLEBORGS LÄN</t>
        </is>
      </c>
      <c r="E389" t="inlineStr">
        <is>
          <t>NORDANSTIG</t>
        </is>
      </c>
      <c r="F389" t="inlineStr">
        <is>
          <t>Holmen skog AB</t>
        </is>
      </c>
      <c r="G389" t="n">
        <v>1.3</v>
      </c>
      <c r="H389" t="n">
        <v>1</v>
      </c>
      <c r="I389" t="n">
        <v>0</v>
      </c>
      <c r="J389" t="n">
        <v>0</v>
      </c>
      <c r="K389" t="n">
        <v>0</v>
      </c>
      <c r="L389" t="n">
        <v>1</v>
      </c>
      <c r="M389" t="n">
        <v>0</v>
      </c>
      <c r="N389" t="n">
        <v>0</v>
      </c>
      <c r="O389" t="n">
        <v>1</v>
      </c>
      <c r="P389" t="n">
        <v>1</v>
      </c>
      <c r="Q389" t="n">
        <v>1</v>
      </c>
      <c r="R389" s="2" t="inlineStr">
        <is>
          <t>Bredgentiana</t>
        </is>
      </c>
      <c r="S389">
        <f>HYPERLINK("https://klasma.github.io/Logging_2132/artfynd/A 2254-2025 artfynd.xlsx", "A 2254-2025")</f>
        <v/>
      </c>
      <c r="T389">
        <f>HYPERLINK("https://klasma.github.io/Logging_2132/kartor/A 2254-2025 karta.png", "A 2254-2025")</f>
        <v/>
      </c>
      <c r="V389">
        <f>HYPERLINK("https://klasma.github.io/Logging_2132/klagomål/A 2254-2025 FSC-klagomål.docx", "A 2254-2025")</f>
        <v/>
      </c>
      <c r="W389">
        <f>HYPERLINK("https://klasma.github.io/Logging_2132/klagomålsmail/A 2254-2025 FSC-klagomål mail.docx", "A 2254-2025")</f>
        <v/>
      </c>
      <c r="X389">
        <f>HYPERLINK("https://klasma.github.io/Logging_2132/tillsyn/A 2254-2025 tillsynsbegäran.docx", "A 2254-2025")</f>
        <v/>
      </c>
      <c r="Y389">
        <f>HYPERLINK("https://klasma.github.io/Logging_2132/tillsynsmail/A 2254-2025 tillsynsbegäran mail.docx", "A 2254-2025")</f>
        <v/>
      </c>
    </row>
    <row r="390" ht="15" customHeight="1">
      <c r="A390" t="inlineStr">
        <is>
          <t>A 27434-2025</t>
        </is>
      </c>
      <c r="B390" s="1" t="n">
        <v>45813</v>
      </c>
      <c r="C390" s="1" t="n">
        <v>45911</v>
      </c>
      <c r="D390" t="inlineStr">
        <is>
          <t>GÄVLEBORGS LÄN</t>
        </is>
      </c>
      <c r="E390" t="inlineStr">
        <is>
          <t>HOFORS</t>
        </is>
      </c>
      <c r="F390" t="inlineStr">
        <is>
          <t>Sveaskog</t>
        </is>
      </c>
      <c r="G390" t="n">
        <v>4.2</v>
      </c>
      <c r="H390" t="n">
        <v>1</v>
      </c>
      <c r="I390" t="n">
        <v>0</v>
      </c>
      <c r="J390" t="n">
        <v>0</v>
      </c>
      <c r="K390" t="n">
        <v>0</v>
      </c>
      <c r="L390" t="n">
        <v>0</v>
      </c>
      <c r="M390" t="n">
        <v>0</v>
      </c>
      <c r="N390" t="n">
        <v>0</v>
      </c>
      <c r="O390" t="n">
        <v>0</v>
      </c>
      <c r="P390" t="n">
        <v>0</v>
      </c>
      <c r="Q390" t="n">
        <v>1</v>
      </c>
      <c r="R390" s="2" t="inlineStr">
        <is>
          <t>Revlummer</t>
        </is>
      </c>
      <c r="S390">
        <f>HYPERLINK("https://klasma.github.io/Logging_2104/artfynd/A 27434-2025 artfynd.xlsx", "A 27434-2025")</f>
        <v/>
      </c>
      <c r="T390">
        <f>HYPERLINK("https://klasma.github.io/Logging_2104/kartor/A 27434-2025 karta.png", "A 27434-2025")</f>
        <v/>
      </c>
      <c r="V390">
        <f>HYPERLINK("https://klasma.github.io/Logging_2104/klagomål/A 27434-2025 FSC-klagomål.docx", "A 27434-2025")</f>
        <v/>
      </c>
      <c r="W390">
        <f>HYPERLINK("https://klasma.github.io/Logging_2104/klagomålsmail/A 27434-2025 FSC-klagomål mail.docx", "A 27434-2025")</f>
        <v/>
      </c>
      <c r="X390">
        <f>HYPERLINK("https://klasma.github.io/Logging_2104/tillsyn/A 27434-2025 tillsynsbegäran.docx", "A 27434-2025")</f>
        <v/>
      </c>
      <c r="Y390">
        <f>HYPERLINK("https://klasma.github.io/Logging_2104/tillsynsmail/A 27434-2025 tillsynsbegäran mail.docx", "A 27434-2025")</f>
        <v/>
      </c>
    </row>
    <row r="391" ht="15" customHeight="1">
      <c r="A391" t="inlineStr">
        <is>
          <t>A 30115-2024</t>
        </is>
      </c>
      <c r="B391" s="1" t="n">
        <v>45489.47310185185</v>
      </c>
      <c r="C391" s="1" t="n">
        <v>45911</v>
      </c>
      <c r="D391" t="inlineStr">
        <is>
          <t>GÄVLEBORGS LÄN</t>
        </is>
      </c>
      <c r="E391" t="inlineStr">
        <is>
          <t>LJUSDAL</t>
        </is>
      </c>
      <c r="F391" t="inlineStr">
        <is>
          <t>Sveaskog</t>
        </is>
      </c>
      <c r="G391" t="n">
        <v>3.7</v>
      </c>
      <c r="H391" t="n">
        <v>0</v>
      </c>
      <c r="I391" t="n">
        <v>0</v>
      </c>
      <c r="J391" t="n">
        <v>1</v>
      </c>
      <c r="K391" t="n">
        <v>0</v>
      </c>
      <c r="L391" t="n">
        <v>0</v>
      </c>
      <c r="M391" t="n">
        <v>0</v>
      </c>
      <c r="N391" t="n">
        <v>0</v>
      </c>
      <c r="O391" t="n">
        <v>1</v>
      </c>
      <c r="P391" t="n">
        <v>0</v>
      </c>
      <c r="Q391" t="n">
        <v>1</v>
      </c>
      <c r="R391" s="2" t="inlineStr">
        <is>
          <t>Kolflarnlav</t>
        </is>
      </c>
      <c r="S391">
        <f>HYPERLINK("https://klasma.github.io/Logging_2161/artfynd/A 30115-2024 artfynd.xlsx", "A 30115-2024")</f>
        <v/>
      </c>
      <c r="T391">
        <f>HYPERLINK("https://klasma.github.io/Logging_2161/kartor/A 30115-2024 karta.png", "A 30115-2024")</f>
        <v/>
      </c>
      <c r="V391">
        <f>HYPERLINK("https://klasma.github.io/Logging_2161/klagomål/A 30115-2024 FSC-klagomål.docx", "A 30115-2024")</f>
        <v/>
      </c>
      <c r="W391">
        <f>HYPERLINK("https://klasma.github.io/Logging_2161/klagomålsmail/A 30115-2024 FSC-klagomål mail.docx", "A 30115-2024")</f>
        <v/>
      </c>
      <c r="X391">
        <f>HYPERLINK("https://klasma.github.io/Logging_2161/tillsyn/A 30115-2024 tillsynsbegäran.docx", "A 30115-2024")</f>
        <v/>
      </c>
      <c r="Y391">
        <f>HYPERLINK("https://klasma.github.io/Logging_2161/tillsynsmail/A 30115-2024 tillsynsbegäran mail.docx", "A 30115-2024")</f>
        <v/>
      </c>
    </row>
    <row r="392" ht="15" customHeight="1">
      <c r="A392" t="inlineStr">
        <is>
          <t>A 62316-2020</t>
        </is>
      </c>
      <c r="B392" s="1" t="n">
        <v>44160</v>
      </c>
      <c r="C392" s="1" t="n">
        <v>45911</v>
      </c>
      <c r="D392" t="inlineStr">
        <is>
          <t>GÄVLEBORGS LÄN</t>
        </is>
      </c>
      <c r="E392" t="inlineStr">
        <is>
          <t>GÄVLE</t>
        </is>
      </c>
      <c r="F392" t="inlineStr">
        <is>
          <t>Kommuner</t>
        </is>
      </c>
      <c r="G392" t="n">
        <v>2.5</v>
      </c>
      <c r="H392" t="n">
        <v>1</v>
      </c>
      <c r="I392" t="n">
        <v>0</v>
      </c>
      <c r="J392" t="n">
        <v>0</v>
      </c>
      <c r="K392" t="n">
        <v>0</v>
      </c>
      <c r="L392" t="n">
        <v>0</v>
      </c>
      <c r="M392" t="n">
        <v>0</v>
      </c>
      <c r="N392" t="n">
        <v>0</v>
      </c>
      <c r="O392" t="n">
        <v>0</v>
      </c>
      <c r="P392" t="n">
        <v>0</v>
      </c>
      <c r="Q392" t="n">
        <v>1</v>
      </c>
      <c r="R392" s="2" t="inlineStr">
        <is>
          <t>Blåsippa</t>
        </is>
      </c>
      <c r="S392">
        <f>HYPERLINK("https://klasma.github.io/Logging_2180/artfynd/A 62316-2020 artfynd.xlsx", "A 62316-2020")</f>
        <v/>
      </c>
      <c r="T392">
        <f>HYPERLINK("https://klasma.github.io/Logging_2180/kartor/A 62316-2020 karta.png", "A 62316-2020")</f>
        <v/>
      </c>
      <c r="V392">
        <f>HYPERLINK("https://klasma.github.io/Logging_2180/klagomål/A 62316-2020 FSC-klagomål.docx", "A 62316-2020")</f>
        <v/>
      </c>
      <c r="W392">
        <f>HYPERLINK("https://klasma.github.io/Logging_2180/klagomålsmail/A 62316-2020 FSC-klagomål mail.docx", "A 62316-2020")</f>
        <v/>
      </c>
      <c r="X392">
        <f>HYPERLINK("https://klasma.github.io/Logging_2180/tillsyn/A 62316-2020 tillsynsbegäran.docx", "A 62316-2020")</f>
        <v/>
      </c>
      <c r="Y392">
        <f>HYPERLINK("https://klasma.github.io/Logging_2180/tillsynsmail/A 62316-2020 tillsynsbegäran mail.docx", "A 62316-2020")</f>
        <v/>
      </c>
    </row>
    <row r="393" ht="15" customHeight="1">
      <c r="A393" t="inlineStr">
        <is>
          <t>A 28374-2025</t>
        </is>
      </c>
      <c r="B393" s="1" t="n">
        <v>45818</v>
      </c>
      <c r="C393" s="1" t="n">
        <v>45911</v>
      </c>
      <c r="D393" t="inlineStr">
        <is>
          <t>GÄVLEBORGS LÄN</t>
        </is>
      </c>
      <c r="E393" t="inlineStr">
        <is>
          <t>GÄVLE</t>
        </is>
      </c>
      <c r="F393" t="inlineStr">
        <is>
          <t>Bergvik skog väst AB</t>
        </is>
      </c>
      <c r="G393" t="n">
        <v>30.1</v>
      </c>
      <c r="H393" t="n">
        <v>1</v>
      </c>
      <c r="I393" t="n">
        <v>1</v>
      </c>
      <c r="J393" t="n">
        <v>0</v>
      </c>
      <c r="K393" t="n">
        <v>0</v>
      </c>
      <c r="L393" t="n">
        <v>0</v>
      </c>
      <c r="M393" t="n">
        <v>0</v>
      </c>
      <c r="N393" t="n">
        <v>0</v>
      </c>
      <c r="O393" t="n">
        <v>0</v>
      </c>
      <c r="P393" t="n">
        <v>0</v>
      </c>
      <c r="Q393" t="n">
        <v>1</v>
      </c>
      <c r="R393" s="2" t="inlineStr">
        <is>
          <t>Korallrot</t>
        </is>
      </c>
      <c r="S393">
        <f>HYPERLINK("https://klasma.github.io/Logging_2180/artfynd/A 28374-2025 artfynd.xlsx", "A 28374-2025")</f>
        <v/>
      </c>
      <c r="T393">
        <f>HYPERLINK("https://klasma.github.io/Logging_2180/kartor/A 28374-2025 karta.png", "A 28374-2025")</f>
        <v/>
      </c>
      <c r="V393">
        <f>HYPERLINK("https://klasma.github.io/Logging_2180/klagomål/A 28374-2025 FSC-klagomål.docx", "A 28374-2025")</f>
        <v/>
      </c>
      <c r="W393">
        <f>HYPERLINK("https://klasma.github.io/Logging_2180/klagomålsmail/A 28374-2025 FSC-klagomål mail.docx", "A 28374-2025")</f>
        <v/>
      </c>
      <c r="X393">
        <f>HYPERLINK("https://klasma.github.io/Logging_2180/tillsyn/A 28374-2025 tillsynsbegäran.docx", "A 28374-2025")</f>
        <v/>
      </c>
      <c r="Y393">
        <f>HYPERLINK("https://klasma.github.io/Logging_2180/tillsynsmail/A 28374-2025 tillsynsbegäran mail.docx", "A 28374-2025")</f>
        <v/>
      </c>
    </row>
    <row r="394" ht="15" customHeight="1">
      <c r="A394" t="inlineStr">
        <is>
          <t>A 27884-2025</t>
        </is>
      </c>
      <c r="B394" s="1" t="n">
        <v>45817.44993055556</v>
      </c>
      <c r="C394" s="1" t="n">
        <v>45911</v>
      </c>
      <c r="D394" t="inlineStr">
        <is>
          <t>GÄVLEBORGS LÄN</t>
        </is>
      </c>
      <c r="E394" t="inlineStr">
        <is>
          <t>LJUSDAL</t>
        </is>
      </c>
      <c r="F394" t="inlineStr">
        <is>
          <t>Sveaskog</t>
        </is>
      </c>
      <c r="G394" t="n">
        <v>5.8</v>
      </c>
      <c r="H394" t="n">
        <v>0</v>
      </c>
      <c r="I394" t="n">
        <v>0</v>
      </c>
      <c r="J394" t="n">
        <v>1</v>
      </c>
      <c r="K394" t="n">
        <v>0</v>
      </c>
      <c r="L394" t="n">
        <v>0</v>
      </c>
      <c r="M394" t="n">
        <v>0</v>
      </c>
      <c r="N394" t="n">
        <v>0</v>
      </c>
      <c r="O394" t="n">
        <v>1</v>
      </c>
      <c r="P394" t="n">
        <v>0</v>
      </c>
      <c r="Q394" t="n">
        <v>1</v>
      </c>
      <c r="R394" s="2" t="inlineStr">
        <is>
          <t>Lunglav</t>
        </is>
      </c>
      <c r="S394">
        <f>HYPERLINK("https://klasma.github.io/Logging_2161/artfynd/A 27884-2025 artfynd.xlsx", "A 27884-2025")</f>
        <v/>
      </c>
      <c r="T394">
        <f>HYPERLINK("https://klasma.github.io/Logging_2161/kartor/A 27884-2025 karta.png", "A 27884-2025")</f>
        <v/>
      </c>
      <c r="V394">
        <f>HYPERLINK("https://klasma.github.io/Logging_2161/klagomål/A 27884-2025 FSC-klagomål.docx", "A 27884-2025")</f>
        <v/>
      </c>
      <c r="W394">
        <f>HYPERLINK("https://klasma.github.io/Logging_2161/klagomålsmail/A 27884-2025 FSC-klagomål mail.docx", "A 27884-2025")</f>
        <v/>
      </c>
      <c r="X394">
        <f>HYPERLINK("https://klasma.github.io/Logging_2161/tillsyn/A 27884-2025 tillsynsbegäran.docx", "A 27884-2025")</f>
        <v/>
      </c>
      <c r="Y394">
        <f>HYPERLINK("https://klasma.github.io/Logging_2161/tillsynsmail/A 27884-2025 tillsynsbegäran mail.docx", "A 27884-2025")</f>
        <v/>
      </c>
    </row>
    <row r="395" ht="15" customHeight="1">
      <c r="A395" t="inlineStr">
        <is>
          <t>A 3755-2023</t>
        </is>
      </c>
      <c r="B395" s="1" t="n">
        <v>44951</v>
      </c>
      <c r="C395" s="1" t="n">
        <v>45911</v>
      </c>
      <c r="D395" t="inlineStr">
        <is>
          <t>GÄVLEBORGS LÄN</t>
        </is>
      </c>
      <c r="E395" t="inlineStr">
        <is>
          <t>NORDANSTIG</t>
        </is>
      </c>
      <c r="G395" t="n">
        <v>8.199999999999999</v>
      </c>
      <c r="H395" t="n">
        <v>1</v>
      </c>
      <c r="I395" t="n">
        <v>0</v>
      </c>
      <c r="J395" t="n">
        <v>0</v>
      </c>
      <c r="K395" t="n">
        <v>0</v>
      </c>
      <c r="L395" t="n">
        <v>1</v>
      </c>
      <c r="M395" t="n">
        <v>0</v>
      </c>
      <c r="N395" t="n">
        <v>0</v>
      </c>
      <c r="O395" t="n">
        <v>1</v>
      </c>
      <c r="P395" t="n">
        <v>1</v>
      </c>
      <c r="Q395" t="n">
        <v>1</v>
      </c>
      <c r="R395" s="2" t="inlineStr">
        <is>
          <t>Bredgentiana</t>
        </is>
      </c>
      <c r="S395">
        <f>HYPERLINK("https://klasma.github.io/Logging_2132/artfynd/A 3755-2023 artfynd.xlsx", "A 3755-2023")</f>
        <v/>
      </c>
      <c r="T395">
        <f>HYPERLINK("https://klasma.github.io/Logging_2132/kartor/A 3755-2023 karta.png", "A 3755-2023")</f>
        <v/>
      </c>
      <c r="V395">
        <f>HYPERLINK("https://klasma.github.io/Logging_2132/klagomål/A 3755-2023 FSC-klagomål.docx", "A 3755-2023")</f>
        <v/>
      </c>
      <c r="W395">
        <f>HYPERLINK("https://klasma.github.io/Logging_2132/klagomålsmail/A 3755-2023 FSC-klagomål mail.docx", "A 3755-2023")</f>
        <v/>
      </c>
      <c r="X395">
        <f>HYPERLINK("https://klasma.github.io/Logging_2132/tillsyn/A 3755-2023 tillsynsbegäran.docx", "A 3755-2023")</f>
        <v/>
      </c>
      <c r="Y395">
        <f>HYPERLINK("https://klasma.github.io/Logging_2132/tillsynsmail/A 3755-2023 tillsynsbegäran mail.docx", "A 3755-2023")</f>
        <v/>
      </c>
    </row>
    <row r="396" ht="15" customHeight="1">
      <c r="A396" t="inlineStr">
        <is>
          <t>A 55289-2024</t>
        </is>
      </c>
      <c r="B396" s="1" t="n">
        <v>45621.63445601852</v>
      </c>
      <c r="C396" s="1" t="n">
        <v>45911</v>
      </c>
      <c r="D396" t="inlineStr">
        <is>
          <t>GÄVLEBORGS LÄN</t>
        </is>
      </c>
      <c r="E396" t="inlineStr">
        <is>
          <t>LJUSDAL</t>
        </is>
      </c>
      <c r="F396" t="inlineStr">
        <is>
          <t>Sveaskog</t>
        </is>
      </c>
      <c r="G396" t="n">
        <v>3.3</v>
      </c>
      <c r="H396" t="n">
        <v>0</v>
      </c>
      <c r="I396" t="n">
        <v>0</v>
      </c>
      <c r="J396" t="n">
        <v>1</v>
      </c>
      <c r="K396" t="n">
        <v>0</v>
      </c>
      <c r="L396" t="n">
        <v>0</v>
      </c>
      <c r="M396" t="n">
        <v>0</v>
      </c>
      <c r="N396" t="n">
        <v>0</v>
      </c>
      <c r="O396" t="n">
        <v>1</v>
      </c>
      <c r="P396" t="n">
        <v>0</v>
      </c>
      <c r="Q396" t="n">
        <v>1</v>
      </c>
      <c r="R396" s="2" t="inlineStr">
        <is>
          <t>Garnlav</t>
        </is>
      </c>
      <c r="S396">
        <f>HYPERLINK("https://klasma.github.io/Logging_2161/artfynd/A 55289-2024 artfynd.xlsx", "A 55289-2024")</f>
        <v/>
      </c>
      <c r="T396">
        <f>HYPERLINK("https://klasma.github.io/Logging_2161/kartor/A 55289-2024 karta.png", "A 55289-2024")</f>
        <v/>
      </c>
      <c r="V396">
        <f>HYPERLINK("https://klasma.github.io/Logging_2161/klagomål/A 55289-2024 FSC-klagomål.docx", "A 55289-2024")</f>
        <v/>
      </c>
      <c r="W396">
        <f>HYPERLINK("https://klasma.github.io/Logging_2161/klagomålsmail/A 55289-2024 FSC-klagomål mail.docx", "A 55289-2024")</f>
        <v/>
      </c>
      <c r="X396">
        <f>HYPERLINK("https://klasma.github.io/Logging_2161/tillsyn/A 55289-2024 tillsynsbegäran.docx", "A 55289-2024")</f>
        <v/>
      </c>
      <c r="Y396">
        <f>HYPERLINK("https://klasma.github.io/Logging_2161/tillsynsmail/A 55289-2024 tillsynsbegäran mail.docx", "A 55289-2024")</f>
        <v/>
      </c>
    </row>
    <row r="397" ht="15" customHeight="1">
      <c r="A397" t="inlineStr">
        <is>
          <t>A 33950-2024</t>
        </is>
      </c>
      <c r="B397" s="1" t="n">
        <v>45523.46476851852</v>
      </c>
      <c r="C397" s="1" t="n">
        <v>45911</v>
      </c>
      <c r="D397" t="inlineStr">
        <is>
          <t>GÄVLEBORGS LÄN</t>
        </is>
      </c>
      <c r="E397" t="inlineStr">
        <is>
          <t>LJUSDAL</t>
        </is>
      </c>
      <c r="F397" t="inlineStr">
        <is>
          <t>Sveaskog</t>
        </is>
      </c>
      <c r="G397" t="n">
        <v>3.6</v>
      </c>
      <c r="H397" t="n">
        <v>0</v>
      </c>
      <c r="I397" t="n">
        <v>0</v>
      </c>
      <c r="J397" t="n">
        <v>1</v>
      </c>
      <c r="K397" t="n">
        <v>0</v>
      </c>
      <c r="L397" t="n">
        <v>0</v>
      </c>
      <c r="M397" t="n">
        <v>0</v>
      </c>
      <c r="N397" t="n">
        <v>0</v>
      </c>
      <c r="O397" t="n">
        <v>1</v>
      </c>
      <c r="P397" t="n">
        <v>0</v>
      </c>
      <c r="Q397" t="n">
        <v>1</v>
      </c>
      <c r="R397" s="2" t="inlineStr">
        <is>
          <t>Lunglav</t>
        </is>
      </c>
      <c r="S397">
        <f>HYPERLINK("https://klasma.github.io/Logging_2161/artfynd/A 33950-2024 artfynd.xlsx", "A 33950-2024")</f>
        <v/>
      </c>
      <c r="T397">
        <f>HYPERLINK("https://klasma.github.io/Logging_2161/kartor/A 33950-2024 karta.png", "A 33950-2024")</f>
        <v/>
      </c>
      <c r="V397">
        <f>HYPERLINK("https://klasma.github.io/Logging_2161/klagomål/A 33950-2024 FSC-klagomål.docx", "A 33950-2024")</f>
        <v/>
      </c>
      <c r="W397">
        <f>HYPERLINK("https://klasma.github.io/Logging_2161/klagomålsmail/A 33950-2024 FSC-klagomål mail.docx", "A 33950-2024")</f>
        <v/>
      </c>
      <c r="X397">
        <f>HYPERLINK("https://klasma.github.io/Logging_2161/tillsyn/A 33950-2024 tillsynsbegäran.docx", "A 33950-2024")</f>
        <v/>
      </c>
      <c r="Y397">
        <f>HYPERLINK("https://klasma.github.io/Logging_2161/tillsynsmail/A 33950-2024 tillsynsbegäran mail.docx", "A 33950-2024")</f>
        <v/>
      </c>
    </row>
    <row r="398" ht="15" customHeight="1">
      <c r="A398" t="inlineStr">
        <is>
          <t>A 28521-2025</t>
        </is>
      </c>
      <c r="B398" s="1" t="n">
        <v>45819.49046296296</v>
      </c>
      <c r="C398" s="1" t="n">
        <v>45911</v>
      </c>
      <c r="D398" t="inlineStr">
        <is>
          <t>GÄVLEBORGS LÄN</t>
        </is>
      </c>
      <c r="E398" t="inlineStr">
        <is>
          <t>LJUSDAL</t>
        </is>
      </c>
      <c r="F398" t="inlineStr">
        <is>
          <t>Allmännings- och besparingsskogar</t>
        </is>
      </c>
      <c r="G398" t="n">
        <v>1.6</v>
      </c>
      <c r="H398" t="n">
        <v>0</v>
      </c>
      <c r="I398" t="n">
        <v>0</v>
      </c>
      <c r="J398" t="n">
        <v>1</v>
      </c>
      <c r="K398" t="n">
        <v>0</v>
      </c>
      <c r="L398" t="n">
        <v>0</v>
      </c>
      <c r="M398" t="n">
        <v>0</v>
      </c>
      <c r="N398" t="n">
        <v>0</v>
      </c>
      <c r="O398" t="n">
        <v>1</v>
      </c>
      <c r="P398" t="n">
        <v>0</v>
      </c>
      <c r="Q398" t="n">
        <v>1</v>
      </c>
      <c r="R398" s="2" t="inlineStr">
        <is>
          <t>Garnlav</t>
        </is>
      </c>
      <c r="S398">
        <f>HYPERLINK("https://klasma.github.io/Logging_2161/artfynd/A 28521-2025 artfynd.xlsx", "A 28521-2025")</f>
        <v/>
      </c>
      <c r="T398">
        <f>HYPERLINK("https://klasma.github.io/Logging_2161/kartor/A 28521-2025 karta.png", "A 28521-2025")</f>
        <v/>
      </c>
      <c r="V398">
        <f>HYPERLINK("https://klasma.github.io/Logging_2161/klagomål/A 28521-2025 FSC-klagomål.docx", "A 28521-2025")</f>
        <v/>
      </c>
      <c r="W398">
        <f>HYPERLINK("https://klasma.github.io/Logging_2161/klagomålsmail/A 28521-2025 FSC-klagomål mail.docx", "A 28521-2025")</f>
        <v/>
      </c>
      <c r="X398">
        <f>HYPERLINK("https://klasma.github.io/Logging_2161/tillsyn/A 28521-2025 tillsynsbegäran.docx", "A 28521-2025")</f>
        <v/>
      </c>
      <c r="Y398">
        <f>HYPERLINK("https://klasma.github.io/Logging_2161/tillsynsmail/A 28521-2025 tillsynsbegäran mail.docx", "A 28521-2025")</f>
        <v/>
      </c>
    </row>
    <row r="399" ht="15" customHeight="1">
      <c r="A399" t="inlineStr">
        <is>
          <t>A 51508-2024</t>
        </is>
      </c>
      <c r="B399" s="1" t="n">
        <v>45604.55732638889</v>
      </c>
      <c r="C399" s="1" t="n">
        <v>45911</v>
      </c>
      <c r="D399" t="inlineStr">
        <is>
          <t>GÄVLEBORGS LÄN</t>
        </is>
      </c>
      <c r="E399" t="inlineStr">
        <is>
          <t>GÄVLE</t>
        </is>
      </c>
      <c r="G399" t="n">
        <v>0.9</v>
      </c>
      <c r="H399" t="n">
        <v>0</v>
      </c>
      <c r="I399" t="n">
        <v>1</v>
      </c>
      <c r="J399" t="n">
        <v>0</v>
      </c>
      <c r="K399" t="n">
        <v>0</v>
      </c>
      <c r="L399" t="n">
        <v>0</v>
      </c>
      <c r="M399" t="n">
        <v>0</v>
      </c>
      <c r="N399" t="n">
        <v>0</v>
      </c>
      <c r="O399" t="n">
        <v>0</v>
      </c>
      <c r="P399" t="n">
        <v>0</v>
      </c>
      <c r="Q399" t="n">
        <v>1</v>
      </c>
      <c r="R399" s="2" t="inlineStr">
        <is>
          <t>Tibast</t>
        </is>
      </c>
      <c r="S399">
        <f>HYPERLINK("https://klasma.github.io/Logging_2180/artfynd/A 51508-2024 artfynd.xlsx", "A 51508-2024")</f>
        <v/>
      </c>
      <c r="T399">
        <f>HYPERLINK("https://klasma.github.io/Logging_2180/kartor/A 51508-2024 karta.png", "A 51508-2024")</f>
        <v/>
      </c>
      <c r="V399">
        <f>HYPERLINK("https://klasma.github.io/Logging_2180/klagomål/A 51508-2024 FSC-klagomål.docx", "A 51508-2024")</f>
        <v/>
      </c>
      <c r="W399">
        <f>HYPERLINK("https://klasma.github.io/Logging_2180/klagomålsmail/A 51508-2024 FSC-klagomål mail.docx", "A 51508-2024")</f>
        <v/>
      </c>
      <c r="X399">
        <f>HYPERLINK("https://klasma.github.io/Logging_2180/tillsyn/A 51508-2024 tillsynsbegäran.docx", "A 51508-2024")</f>
        <v/>
      </c>
      <c r="Y399">
        <f>HYPERLINK("https://klasma.github.io/Logging_2180/tillsynsmail/A 51508-2024 tillsynsbegäran mail.docx", "A 51508-2024")</f>
        <v/>
      </c>
    </row>
    <row r="400" ht="15" customHeight="1">
      <c r="A400" t="inlineStr">
        <is>
          <t>A 28875-2025</t>
        </is>
      </c>
      <c r="B400" s="1" t="n">
        <v>45820</v>
      </c>
      <c r="C400" s="1" t="n">
        <v>45911</v>
      </c>
      <c r="D400" t="inlineStr">
        <is>
          <t>GÄVLEBORGS LÄN</t>
        </is>
      </c>
      <c r="E400" t="inlineStr">
        <is>
          <t>GÄVLE</t>
        </is>
      </c>
      <c r="F400" t="inlineStr">
        <is>
          <t>Bergvik skog väst AB</t>
        </is>
      </c>
      <c r="G400" t="n">
        <v>43.3</v>
      </c>
      <c r="H400" t="n">
        <v>1</v>
      </c>
      <c r="I400" t="n">
        <v>0</v>
      </c>
      <c r="J400" t="n">
        <v>0</v>
      </c>
      <c r="K400" t="n">
        <v>0</v>
      </c>
      <c r="L400" t="n">
        <v>0</v>
      </c>
      <c r="M400" t="n">
        <v>0</v>
      </c>
      <c r="N400" t="n">
        <v>0</v>
      </c>
      <c r="O400" t="n">
        <v>0</v>
      </c>
      <c r="P400" t="n">
        <v>0</v>
      </c>
      <c r="Q400" t="n">
        <v>1</v>
      </c>
      <c r="R400" s="2" t="inlineStr">
        <is>
          <t>Revlummer</t>
        </is>
      </c>
      <c r="S400">
        <f>HYPERLINK("https://klasma.github.io/Logging_2180/artfynd/A 28875-2025 artfynd.xlsx", "A 28875-2025")</f>
        <v/>
      </c>
      <c r="T400">
        <f>HYPERLINK("https://klasma.github.io/Logging_2180/kartor/A 28875-2025 karta.png", "A 28875-2025")</f>
        <v/>
      </c>
      <c r="V400">
        <f>HYPERLINK("https://klasma.github.io/Logging_2180/klagomål/A 28875-2025 FSC-klagomål.docx", "A 28875-2025")</f>
        <v/>
      </c>
      <c r="W400">
        <f>HYPERLINK("https://klasma.github.io/Logging_2180/klagomålsmail/A 28875-2025 FSC-klagomål mail.docx", "A 28875-2025")</f>
        <v/>
      </c>
      <c r="X400">
        <f>HYPERLINK("https://klasma.github.io/Logging_2180/tillsyn/A 28875-2025 tillsynsbegäran.docx", "A 28875-2025")</f>
        <v/>
      </c>
      <c r="Y400">
        <f>HYPERLINK("https://klasma.github.io/Logging_2180/tillsynsmail/A 28875-2025 tillsynsbegäran mail.docx", "A 28875-2025")</f>
        <v/>
      </c>
    </row>
    <row r="401" ht="15" customHeight="1">
      <c r="A401" t="inlineStr">
        <is>
          <t>A 29292-2025</t>
        </is>
      </c>
      <c r="B401" s="1" t="n">
        <v>45824.44224537037</v>
      </c>
      <c r="C401" s="1" t="n">
        <v>45911</v>
      </c>
      <c r="D401" t="inlineStr">
        <is>
          <t>GÄVLEBORGS LÄN</t>
        </is>
      </c>
      <c r="E401" t="inlineStr">
        <is>
          <t>LJUSDAL</t>
        </is>
      </c>
      <c r="F401" t="inlineStr">
        <is>
          <t>Sveaskog</t>
        </is>
      </c>
      <c r="G401" t="n">
        <v>4.6</v>
      </c>
      <c r="H401" t="n">
        <v>0</v>
      </c>
      <c r="I401" t="n">
        <v>0</v>
      </c>
      <c r="J401" t="n">
        <v>1</v>
      </c>
      <c r="K401" t="n">
        <v>0</v>
      </c>
      <c r="L401" t="n">
        <v>0</v>
      </c>
      <c r="M401" t="n">
        <v>0</v>
      </c>
      <c r="N401" t="n">
        <v>0</v>
      </c>
      <c r="O401" t="n">
        <v>1</v>
      </c>
      <c r="P401" t="n">
        <v>0</v>
      </c>
      <c r="Q401" t="n">
        <v>1</v>
      </c>
      <c r="R401" s="2" t="inlineStr">
        <is>
          <t>Kolflarnlav</t>
        </is>
      </c>
      <c r="S401">
        <f>HYPERLINK("https://klasma.github.io/Logging_2161/artfynd/A 29292-2025 artfynd.xlsx", "A 29292-2025")</f>
        <v/>
      </c>
      <c r="T401">
        <f>HYPERLINK("https://klasma.github.io/Logging_2161/kartor/A 29292-2025 karta.png", "A 29292-2025")</f>
        <v/>
      </c>
      <c r="V401">
        <f>HYPERLINK("https://klasma.github.io/Logging_2161/klagomål/A 29292-2025 FSC-klagomål.docx", "A 29292-2025")</f>
        <v/>
      </c>
      <c r="W401">
        <f>HYPERLINK("https://klasma.github.io/Logging_2161/klagomålsmail/A 29292-2025 FSC-klagomål mail.docx", "A 29292-2025")</f>
        <v/>
      </c>
      <c r="X401">
        <f>HYPERLINK("https://klasma.github.io/Logging_2161/tillsyn/A 29292-2025 tillsynsbegäran.docx", "A 29292-2025")</f>
        <v/>
      </c>
      <c r="Y401">
        <f>HYPERLINK("https://klasma.github.io/Logging_2161/tillsynsmail/A 29292-2025 tillsynsbegäran mail.docx", "A 29292-2025")</f>
        <v/>
      </c>
    </row>
    <row r="402" ht="15" customHeight="1">
      <c r="A402" t="inlineStr">
        <is>
          <t>A 53286-2023</t>
        </is>
      </c>
      <c r="B402" s="1" t="n">
        <v>45229.57386574074</v>
      </c>
      <c r="C402" s="1" t="n">
        <v>45911</v>
      </c>
      <c r="D402" t="inlineStr">
        <is>
          <t>GÄVLEBORGS LÄN</t>
        </is>
      </c>
      <c r="E402" t="inlineStr">
        <is>
          <t>LJUSDAL</t>
        </is>
      </c>
      <c r="F402" t="inlineStr">
        <is>
          <t>Sveaskog</t>
        </is>
      </c>
      <c r="G402" t="n">
        <v>8</v>
      </c>
      <c r="H402" t="n">
        <v>0</v>
      </c>
      <c r="I402" t="n">
        <v>0</v>
      </c>
      <c r="J402" t="n">
        <v>1</v>
      </c>
      <c r="K402" t="n">
        <v>0</v>
      </c>
      <c r="L402" t="n">
        <v>0</v>
      </c>
      <c r="M402" t="n">
        <v>0</v>
      </c>
      <c r="N402" t="n">
        <v>0</v>
      </c>
      <c r="O402" t="n">
        <v>1</v>
      </c>
      <c r="P402" t="n">
        <v>0</v>
      </c>
      <c r="Q402" t="n">
        <v>1</v>
      </c>
      <c r="R402" s="2" t="inlineStr">
        <is>
          <t>Kolflarnlav</t>
        </is>
      </c>
      <c r="S402">
        <f>HYPERLINK("https://klasma.github.io/Logging_2161/artfynd/A 53286-2023 artfynd.xlsx", "A 53286-2023")</f>
        <v/>
      </c>
      <c r="T402">
        <f>HYPERLINK("https://klasma.github.io/Logging_2161/kartor/A 53286-2023 karta.png", "A 53286-2023")</f>
        <v/>
      </c>
      <c r="V402">
        <f>HYPERLINK("https://klasma.github.io/Logging_2161/klagomål/A 53286-2023 FSC-klagomål.docx", "A 53286-2023")</f>
        <v/>
      </c>
      <c r="W402">
        <f>HYPERLINK("https://klasma.github.io/Logging_2161/klagomålsmail/A 53286-2023 FSC-klagomål mail.docx", "A 53286-2023")</f>
        <v/>
      </c>
      <c r="X402">
        <f>HYPERLINK("https://klasma.github.io/Logging_2161/tillsyn/A 53286-2023 tillsynsbegäran.docx", "A 53286-2023")</f>
        <v/>
      </c>
      <c r="Y402">
        <f>HYPERLINK("https://klasma.github.io/Logging_2161/tillsynsmail/A 53286-2023 tillsynsbegäran mail.docx", "A 53286-2023")</f>
        <v/>
      </c>
    </row>
    <row r="403" ht="15" customHeight="1">
      <c r="A403" t="inlineStr">
        <is>
          <t>A 49122-2023</t>
        </is>
      </c>
      <c r="B403" s="1" t="n">
        <v>45205</v>
      </c>
      <c r="C403" s="1" t="n">
        <v>45911</v>
      </c>
      <c r="D403" t="inlineStr">
        <is>
          <t>GÄVLEBORGS LÄN</t>
        </is>
      </c>
      <c r="E403" t="inlineStr">
        <is>
          <t>SÖDERHAMN</t>
        </is>
      </c>
      <c r="G403" t="n">
        <v>5</v>
      </c>
      <c r="H403" t="n">
        <v>0</v>
      </c>
      <c r="I403" t="n">
        <v>0</v>
      </c>
      <c r="J403" t="n">
        <v>1</v>
      </c>
      <c r="K403" t="n">
        <v>0</v>
      </c>
      <c r="L403" t="n">
        <v>0</v>
      </c>
      <c r="M403" t="n">
        <v>0</v>
      </c>
      <c r="N403" t="n">
        <v>0</v>
      </c>
      <c r="O403" t="n">
        <v>1</v>
      </c>
      <c r="P403" t="n">
        <v>0</v>
      </c>
      <c r="Q403" t="n">
        <v>1</v>
      </c>
      <c r="R403" s="2" t="inlineStr">
        <is>
          <t>Dofttaggsvamp</t>
        </is>
      </c>
      <c r="S403">
        <f>HYPERLINK("https://klasma.github.io/Logging_2182/artfynd/A 49122-2023 artfynd.xlsx", "A 49122-2023")</f>
        <v/>
      </c>
      <c r="T403">
        <f>HYPERLINK("https://klasma.github.io/Logging_2182/kartor/A 49122-2023 karta.png", "A 49122-2023")</f>
        <v/>
      </c>
      <c r="V403">
        <f>HYPERLINK("https://klasma.github.io/Logging_2182/klagomål/A 49122-2023 FSC-klagomål.docx", "A 49122-2023")</f>
        <v/>
      </c>
      <c r="W403">
        <f>HYPERLINK("https://klasma.github.io/Logging_2182/klagomålsmail/A 49122-2023 FSC-klagomål mail.docx", "A 49122-2023")</f>
        <v/>
      </c>
      <c r="X403">
        <f>HYPERLINK("https://klasma.github.io/Logging_2182/tillsyn/A 49122-2023 tillsynsbegäran.docx", "A 49122-2023")</f>
        <v/>
      </c>
      <c r="Y403">
        <f>HYPERLINK("https://klasma.github.io/Logging_2182/tillsynsmail/A 49122-2023 tillsynsbegäran mail.docx", "A 49122-2023")</f>
        <v/>
      </c>
    </row>
    <row r="404" ht="15" customHeight="1">
      <c r="A404" t="inlineStr">
        <is>
          <t>A 16809-2022</t>
        </is>
      </c>
      <c r="B404" s="1" t="n">
        <v>44673</v>
      </c>
      <c r="C404" s="1" t="n">
        <v>45911</v>
      </c>
      <c r="D404" t="inlineStr">
        <is>
          <t>GÄVLEBORGS LÄN</t>
        </is>
      </c>
      <c r="E404" t="inlineStr">
        <is>
          <t>NORDANSTIG</t>
        </is>
      </c>
      <c r="G404" t="n">
        <v>4.4</v>
      </c>
      <c r="H404" t="n">
        <v>0</v>
      </c>
      <c r="I404" t="n">
        <v>0</v>
      </c>
      <c r="J404" t="n">
        <v>1</v>
      </c>
      <c r="K404" t="n">
        <v>0</v>
      </c>
      <c r="L404" t="n">
        <v>0</v>
      </c>
      <c r="M404" t="n">
        <v>0</v>
      </c>
      <c r="N404" t="n">
        <v>0</v>
      </c>
      <c r="O404" t="n">
        <v>1</v>
      </c>
      <c r="P404" t="n">
        <v>0</v>
      </c>
      <c r="Q404" t="n">
        <v>1</v>
      </c>
      <c r="R404" s="2" t="inlineStr">
        <is>
          <t>Garnlav</t>
        </is>
      </c>
      <c r="S404">
        <f>HYPERLINK("https://klasma.github.io/Logging_2132/artfynd/A 16809-2022 artfynd.xlsx", "A 16809-2022")</f>
        <v/>
      </c>
      <c r="T404">
        <f>HYPERLINK("https://klasma.github.io/Logging_2132/kartor/A 16809-2022 karta.png", "A 16809-2022")</f>
        <v/>
      </c>
      <c r="V404">
        <f>HYPERLINK("https://klasma.github.io/Logging_2132/klagomål/A 16809-2022 FSC-klagomål.docx", "A 16809-2022")</f>
        <v/>
      </c>
      <c r="W404">
        <f>HYPERLINK("https://klasma.github.io/Logging_2132/klagomålsmail/A 16809-2022 FSC-klagomål mail.docx", "A 16809-2022")</f>
        <v/>
      </c>
      <c r="X404">
        <f>HYPERLINK("https://klasma.github.io/Logging_2132/tillsyn/A 16809-2022 tillsynsbegäran.docx", "A 16809-2022")</f>
        <v/>
      </c>
      <c r="Y404">
        <f>HYPERLINK("https://klasma.github.io/Logging_2132/tillsynsmail/A 16809-2022 tillsynsbegäran mail.docx", "A 16809-2022")</f>
        <v/>
      </c>
    </row>
    <row r="405" ht="15" customHeight="1">
      <c r="A405" t="inlineStr">
        <is>
          <t>A 9479-2025</t>
        </is>
      </c>
      <c r="B405" s="1" t="n">
        <v>45715.47814814815</v>
      </c>
      <c r="C405" s="1" t="n">
        <v>45911</v>
      </c>
      <c r="D405" t="inlineStr">
        <is>
          <t>GÄVLEBORGS LÄN</t>
        </is>
      </c>
      <c r="E405" t="inlineStr">
        <is>
          <t>OCKELBO</t>
        </is>
      </c>
      <c r="F405" t="inlineStr">
        <is>
          <t>Bergvik skog öst AB</t>
        </is>
      </c>
      <c r="G405" t="n">
        <v>5.8</v>
      </c>
      <c r="H405" t="n">
        <v>0</v>
      </c>
      <c r="I405" t="n">
        <v>0</v>
      </c>
      <c r="J405" t="n">
        <v>1</v>
      </c>
      <c r="K405" t="n">
        <v>0</v>
      </c>
      <c r="L405" t="n">
        <v>0</v>
      </c>
      <c r="M405" t="n">
        <v>0</v>
      </c>
      <c r="N405" t="n">
        <v>0</v>
      </c>
      <c r="O405" t="n">
        <v>1</v>
      </c>
      <c r="P405" t="n">
        <v>0</v>
      </c>
      <c r="Q405" t="n">
        <v>1</v>
      </c>
      <c r="R405" s="2" t="inlineStr">
        <is>
          <t>Klofibbla</t>
        </is>
      </c>
      <c r="S405">
        <f>HYPERLINK("https://klasma.github.io/Logging_2101/artfynd/A 9479-2025 artfynd.xlsx", "A 9479-2025")</f>
        <v/>
      </c>
      <c r="T405">
        <f>HYPERLINK("https://klasma.github.io/Logging_2101/kartor/A 9479-2025 karta.png", "A 9479-2025")</f>
        <v/>
      </c>
      <c r="V405">
        <f>HYPERLINK("https://klasma.github.io/Logging_2101/klagomål/A 9479-2025 FSC-klagomål.docx", "A 9479-2025")</f>
        <v/>
      </c>
      <c r="W405">
        <f>HYPERLINK("https://klasma.github.io/Logging_2101/klagomålsmail/A 9479-2025 FSC-klagomål mail.docx", "A 9479-2025")</f>
        <v/>
      </c>
      <c r="X405">
        <f>HYPERLINK("https://klasma.github.io/Logging_2101/tillsyn/A 9479-2025 tillsynsbegäran.docx", "A 9479-2025")</f>
        <v/>
      </c>
      <c r="Y405">
        <f>HYPERLINK("https://klasma.github.io/Logging_2101/tillsynsmail/A 9479-2025 tillsynsbegäran mail.docx", "A 9479-2025")</f>
        <v/>
      </c>
    </row>
    <row r="406" ht="15" customHeight="1">
      <c r="A406" t="inlineStr">
        <is>
          <t>A 37635-2024</t>
        </is>
      </c>
      <c r="B406" s="1" t="n">
        <v>45541</v>
      </c>
      <c r="C406" s="1" t="n">
        <v>45911</v>
      </c>
      <c r="D406" t="inlineStr">
        <is>
          <t>GÄVLEBORGS LÄN</t>
        </is>
      </c>
      <c r="E406" t="inlineStr">
        <is>
          <t>SANDVIKEN</t>
        </is>
      </c>
      <c r="F406" t="inlineStr">
        <is>
          <t>Sveaskog</t>
        </is>
      </c>
      <c r="G406" t="n">
        <v>25</v>
      </c>
      <c r="H406" t="n">
        <v>1</v>
      </c>
      <c r="I406" t="n">
        <v>0</v>
      </c>
      <c r="J406" t="n">
        <v>1</v>
      </c>
      <c r="K406" t="n">
        <v>0</v>
      </c>
      <c r="L406" t="n">
        <v>0</v>
      </c>
      <c r="M406" t="n">
        <v>0</v>
      </c>
      <c r="N406" t="n">
        <v>0</v>
      </c>
      <c r="O406" t="n">
        <v>1</v>
      </c>
      <c r="P406" t="n">
        <v>0</v>
      </c>
      <c r="Q406" t="n">
        <v>1</v>
      </c>
      <c r="R406" s="2" t="inlineStr">
        <is>
          <t>Talltita</t>
        </is>
      </c>
      <c r="S406">
        <f>HYPERLINK("https://klasma.github.io/Logging_2181/artfynd/A 37635-2024 artfynd.xlsx", "A 37635-2024")</f>
        <v/>
      </c>
      <c r="T406">
        <f>HYPERLINK("https://klasma.github.io/Logging_2181/kartor/A 37635-2024 karta.png", "A 37635-2024")</f>
        <v/>
      </c>
      <c r="V406">
        <f>HYPERLINK("https://klasma.github.io/Logging_2181/klagomål/A 37635-2024 FSC-klagomål.docx", "A 37635-2024")</f>
        <v/>
      </c>
      <c r="W406">
        <f>HYPERLINK("https://klasma.github.io/Logging_2181/klagomålsmail/A 37635-2024 FSC-klagomål mail.docx", "A 37635-2024")</f>
        <v/>
      </c>
      <c r="X406">
        <f>HYPERLINK("https://klasma.github.io/Logging_2181/tillsyn/A 37635-2024 tillsynsbegäran.docx", "A 37635-2024")</f>
        <v/>
      </c>
      <c r="Y406">
        <f>HYPERLINK("https://klasma.github.io/Logging_2181/tillsynsmail/A 37635-2024 tillsynsbegäran mail.docx", "A 37635-2024")</f>
        <v/>
      </c>
      <c r="Z406">
        <f>HYPERLINK("https://klasma.github.io/Logging_2181/fåglar/A 37635-2024 prioriterade fågelarter.docx", "A 37635-2024")</f>
        <v/>
      </c>
    </row>
    <row r="407" ht="15" customHeight="1">
      <c r="A407" t="inlineStr">
        <is>
          <t>A 15729-2022</t>
        </is>
      </c>
      <c r="B407" s="1" t="n">
        <v>44663</v>
      </c>
      <c r="C407" s="1" t="n">
        <v>45911</v>
      </c>
      <c r="D407" t="inlineStr">
        <is>
          <t>GÄVLEBORGS LÄN</t>
        </is>
      </c>
      <c r="E407" t="inlineStr">
        <is>
          <t>SANDVIKEN</t>
        </is>
      </c>
      <c r="G407" t="n">
        <v>2.1</v>
      </c>
      <c r="H407" t="n">
        <v>1</v>
      </c>
      <c r="I407" t="n">
        <v>0</v>
      </c>
      <c r="J407" t="n">
        <v>0</v>
      </c>
      <c r="K407" t="n">
        <v>1</v>
      </c>
      <c r="L407" t="n">
        <v>0</v>
      </c>
      <c r="M407" t="n">
        <v>0</v>
      </c>
      <c r="N407" t="n">
        <v>0</v>
      </c>
      <c r="O407" t="n">
        <v>1</v>
      </c>
      <c r="P407" t="n">
        <v>1</v>
      </c>
      <c r="Q407" t="n">
        <v>1</v>
      </c>
      <c r="R407" s="2" t="inlineStr">
        <is>
          <t>Knärot</t>
        </is>
      </c>
      <c r="S407">
        <f>HYPERLINK("https://klasma.github.io/Logging_2181/artfynd/A 15729-2022 artfynd.xlsx", "A 15729-2022")</f>
        <v/>
      </c>
      <c r="T407">
        <f>HYPERLINK("https://klasma.github.io/Logging_2181/kartor/A 15729-2022 karta.png", "A 15729-2022")</f>
        <v/>
      </c>
      <c r="U407">
        <f>HYPERLINK("https://klasma.github.io/Logging_2181/knärot/A 15729-2022 karta knärot.png", "A 15729-2022")</f>
        <v/>
      </c>
      <c r="V407">
        <f>HYPERLINK("https://klasma.github.io/Logging_2181/klagomål/A 15729-2022 FSC-klagomål.docx", "A 15729-2022")</f>
        <v/>
      </c>
      <c r="W407">
        <f>HYPERLINK("https://klasma.github.io/Logging_2181/klagomålsmail/A 15729-2022 FSC-klagomål mail.docx", "A 15729-2022")</f>
        <v/>
      </c>
      <c r="X407">
        <f>HYPERLINK("https://klasma.github.io/Logging_2181/tillsyn/A 15729-2022 tillsynsbegäran.docx", "A 15729-2022")</f>
        <v/>
      </c>
      <c r="Y407">
        <f>HYPERLINK("https://klasma.github.io/Logging_2181/tillsynsmail/A 15729-2022 tillsynsbegäran mail.docx", "A 15729-2022")</f>
        <v/>
      </c>
    </row>
    <row r="408" ht="15" customHeight="1">
      <c r="A408" t="inlineStr">
        <is>
          <t>A 58261-2024</t>
        </is>
      </c>
      <c r="B408" s="1" t="n">
        <v>45632.56211805555</v>
      </c>
      <c r="C408" s="1" t="n">
        <v>45911</v>
      </c>
      <c r="D408" t="inlineStr">
        <is>
          <t>GÄVLEBORGS LÄN</t>
        </is>
      </c>
      <c r="E408" t="inlineStr">
        <is>
          <t>SÖDERHAMN</t>
        </is>
      </c>
      <c r="F408" t="inlineStr">
        <is>
          <t>Bergvik skog väst AB</t>
        </is>
      </c>
      <c r="G408" t="n">
        <v>2.3</v>
      </c>
      <c r="H408" t="n">
        <v>1</v>
      </c>
      <c r="I408" t="n">
        <v>0</v>
      </c>
      <c r="J408" t="n">
        <v>0</v>
      </c>
      <c r="K408" t="n">
        <v>0</v>
      </c>
      <c r="L408" t="n">
        <v>0</v>
      </c>
      <c r="M408" t="n">
        <v>0</v>
      </c>
      <c r="N408" t="n">
        <v>0</v>
      </c>
      <c r="O408" t="n">
        <v>0</v>
      </c>
      <c r="P408" t="n">
        <v>0</v>
      </c>
      <c r="Q408" t="n">
        <v>1</v>
      </c>
      <c r="R408" s="2" t="inlineStr">
        <is>
          <t>Fläcknycklar</t>
        </is>
      </c>
      <c r="S408">
        <f>HYPERLINK("https://klasma.github.io/Logging_2182/artfynd/A 58261-2024 artfynd.xlsx", "A 58261-2024")</f>
        <v/>
      </c>
      <c r="T408">
        <f>HYPERLINK("https://klasma.github.io/Logging_2182/kartor/A 58261-2024 karta.png", "A 58261-2024")</f>
        <v/>
      </c>
      <c r="V408">
        <f>HYPERLINK("https://klasma.github.io/Logging_2182/klagomål/A 58261-2024 FSC-klagomål.docx", "A 58261-2024")</f>
        <v/>
      </c>
      <c r="W408">
        <f>HYPERLINK("https://klasma.github.io/Logging_2182/klagomålsmail/A 58261-2024 FSC-klagomål mail.docx", "A 58261-2024")</f>
        <v/>
      </c>
      <c r="X408">
        <f>HYPERLINK("https://klasma.github.io/Logging_2182/tillsyn/A 58261-2024 tillsynsbegäran.docx", "A 58261-2024")</f>
        <v/>
      </c>
      <c r="Y408">
        <f>HYPERLINK("https://klasma.github.io/Logging_2182/tillsynsmail/A 58261-2024 tillsynsbegäran mail.docx", "A 58261-2024")</f>
        <v/>
      </c>
    </row>
    <row r="409" ht="15" customHeight="1">
      <c r="A409" t="inlineStr">
        <is>
          <t>A 41258-2022</t>
        </is>
      </c>
      <c r="B409" s="1" t="n">
        <v>44826</v>
      </c>
      <c r="C409" s="1" t="n">
        <v>45911</v>
      </c>
      <c r="D409" t="inlineStr">
        <is>
          <t>GÄVLEBORGS LÄN</t>
        </is>
      </c>
      <c r="E409" t="inlineStr">
        <is>
          <t>SÖDERHAMN</t>
        </is>
      </c>
      <c r="G409" t="n">
        <v>0.8</v>
      </c>
      <c r="H409" t="n">
        <v>0</v>
      </c>
      <c r="I409" t="n">
        <v>0</v>
      </c>
      <c r="J409" t="n">
        <v>1</v>
      </c>
      <c r="K409" t="n">
        <v>0</v>
      </c>
      <c r="L409" t="n">
        <v>0</v>
      </c>
      <c r="M409" t="n">
        <v>0</v>
      </c>
      <c r="N409" t="n">
        <v>0</v>
      </c>
      <c r="O409" t="n">
        <v>1</v>
      </c>
      <c r="P409" t="n">
        <v>0</v>
      </c>
      <c r="Q409" t="n">
        <v>1</v>
      </c>
      <c r="R409" s="2" t="inlineStr">
        <is>
          <t>Rosenticka</t>
        </is>
      </c>
      <c r="S409">
        <f>HYPERLINK("https://klasma.github.io/Logging_2182/artfynd/A 41258-2022 artfynd.xlsx", "A 41258-2022")</f>
        <v/>
      </c>
      <c r="T409">
        <f>HYPERLINK("https://klasma.github.io/Logging_2182/kartor/A 41258-2022 karta.png", "A 41258-2022")</f>
        <v/>
      </c>
      <c r="V409">
        <f>HYPERLINK("https://klasma.github.io/Logging_2182/klagomål/A 41258-2022 FSC-klagomål.docx", "A 41258-2022")</f>
        <v/>
      </c>
      <c r="W409">
        <f>HYPERLINK("https://klasma.github.io/Logging_2182/klagomålsmail/A 41258-2022 FSC-klagomål mail.docx", "A 41258-2022")</f>
        <v/>
      </c>
      <c r="X409">
        <f>HYPERLINK("https://klasma.github.io/Logging_2182/tillsyn/A 41258-2022 tillsynsbegäran.docx", "A 41258-2022")</f>
        <v/>
      </c>
      <c r="Y409">
        <f>HYPERLINK("https://klasma.github.io/Logging_2182/tillsynsmail/A 41258-2022 tillsynsbegäran mail.docx", "A 41258-2022")</f>
        <v/>
      </c>
    </row>
    <row r="410" ht="15" customHeight="1">
      <c r="A410" t="inlineStr">
        <is>
          <t>A 23354-2024</t>
        </is>
      </c>
      <c r="B410" s="1" t="n">
        <v>45453</v>
      </c>
      <c r="C410" s="1" t="n">
        <v>45911</v>
      </c>
      <c r="D410" t="inlineStr">
        <is>
          <t>GÄVLEBORGS LÄN</t>
        </is>
      </c>
      <c r="E410" t="inlineStr">
        <is>
          <t>HOFORS</t>
        </is>
      </c>
      <c r="F410" t="inlineStr">
        <is>
          <t>Sveaskog</t>
        </is>
      </c>
      <c r="G410" t="n">
        <v>2</v>
      </c>
      <c r="H410" t="n">
        <v>1</v>
      </c>
      <c r="I410" t="n">
        <v>0</v>
      </c>
      <c r="J410" t="n">
        <v>0</v>
      </c>
      <c r="K410" t="n">
        <v>0</v>
      </c>
      <c r="L410" t="n">
        <v>0</v>
      </c>
      <c r="M410" t="n">
        <v>0</v>
      </c>
      <c r="N410" t="n">
        <v>0</v>
      </c>
      <c r="O410" t="n">
        <v>0</v>
      </c>
      <c r="P410" t="n">
        <v>0</v>
      </c>
      <c r="Q410" t="n">
        <v>1</v>
      </c>
      <c r="R410" s="2" t="inlineStr">
        <is>
          <t>Fläcknycklar</t>
        </is>
      </c>
      <c r="S410">
        <f>HYPERLINK("https://klasma.github.io/Logging_2104/artfynd/A 23354-2024 artfynd.xlsx", "A 23354-2024")</f>
        <v/>
      </c>
      <c r="T410">
        <f>HYPERLINK("https://klasma.github.io/Logging_2104/kartor/A 23354-2024 karta.png", "A 23354-2024")</f>
        <v/>
      </c>
      <c r="V410">
        <f>HYPERLINK("https://klasma.github.io/Logging_2104/klagomål/A 23354-2024 FSC-klagomål.docx", "A 23354-2024")</f>
        <v/>
      </c>
      <c r="W410">
        <f>HYPERLINK("https://klasma.github.io/Logging_2104/klagomålsmail/A 23354-2024 FSC-klagomål mail.docx", "A 23354-2024")</f>
        <v/>
      </c>
      <c r="X410">
        <f>HYPERLINK("https://klasma.github.io/Logging_2104/tillsyn/A 23354-2024 tillsynsbegäran.docx", "A 23354-2024")</f>
        <v/>
      </c>
      <c r="Y410">
        <f>HYPERLINK("https://klasma.github.io/Logging_2104/tillsynsmail/A 23354-2024 tillsynsbegäran mail.docx", "A 23354-2024")</f>
        <v/>
      </c>
    </row>
    <row r="411" ht="15" customHeight="1">
      <c r="A411" t="inlineStr">
        <is>
          <t>A 30296-2025</t>
        </is>
      </c>
      <c r="B411" s="1" t="n">
        <v>45827.47434027777</v>
      </c>
      <c r="C411" s="1" t="n">
        <v>45911</v>
      </c>
      <c r="D411" t="inlineStr">
        <is>
          <t>GÄVLEBORGS LÄN</t>
        </is>
      </c>
      <c r="E411" t="inlineStr">
        <is>
          <t>LJUSDAL</t>
        </is>
      </c>
      <c r="F411" t="inlineStr">
        <is>
          <t>Sveaskog</t>
        </is>
      </c>
      <c r="G411" t="n">
        <v>5.5</v>
      </c>
      <c r="H411" t="n">
        <v>0</v>
      </c>
      <c r="I411" t="n">
        <v>0</v>
      </c>
      <c r="J411" t="n">
        <v>1</v>
      </c>
      <c r="K411" t="n">
        <v>0</v>
      </c>
      <c r="L411" t="n">
        <v>0</v>
      </c>
      <c r="M411" t="n">
        <v>0</v>
      </c>
      <c r="N411" t="n">
        <v>0</v>
      </c>
      <c r="O411" t="n">
        <v>1</v>
      </c>
      <c r="P411" t="n">
        <v>0</v>
      </c>
      <c r="Q411" t="n">
        <v>1</v>
      </c>
      <c r="R411" s="2" t="inlineStr">
        <is>
          <t>Kolflarnlav</t>
        </is>
      </c>
      <c r="S411">
        <f>HYPERLINK("https://klasma.github.io/Logging_2161/artfynd/A 30296-2025 artfynd.xlsx", "A 30296-2025")</f>
        <v/>
      </c>
      <c r="T411">
        <f>HYPERLINK("https://klasma.github.io/Logging_2161/kartor/A 30296-2025 karta.png", "A 30296-2025")</f>
        <v/>
      </c>
      <c r="V411">
        <f>HYPERLINK("https://klasma.github.io/Logging_2161/klagomål/A 30296-2025 FSC-klagomål.docx", "A 30296-2025")</f>
        <v/>
      </c>
      <c r="W411">
        <f>HYPERLINK("https://klasma.github.io/Logging_2161/klagomålsmail/A 30296-2025 FSC-klagomål mail.docx", "A 30296-2025")</f>
        <v/>
      </c>
      <c r="X411">
        <f>HYPERLINK("https://klasma.github.io/Logging_2161/tillsyn/A 30296-2025 tillsynsbegäran.docx", "A 30296-2025")</f>
        <v/>
      </c>
      <c r="Y411">
        <f>HYPERLINK("https://klasma.github.io/Logging_2161/tillsynsmail/A 30296-2025 tillsynsbegäran mail.docx", "A 30296-2025")</f>
        <v/>
      </c>
    </row>
    <row r="412" ht="15" customHeight="1">
      <c r="A412" t="inlineStr">
        <is>
          <t>A 30323-2025</t>
        </is>
      </c>
      <c r="B412" s="1" t="n">
        <v>45827.50162037037</v>
      </c>
      <c r="C412" s="1" t="n">
        <v>45911</v>
      </c>
      <c r="D412" t="inlineStr">
        <is>
          <t>GÄVLEBORGS LÄN</t>
        </is>
      </c>
      <c r="E412" t="inlineStr">
        <is>
          <t>GÄVLE</t>
        </is>
      </c>
      <c r="G412" t="n">
        <v>4.9</v>
      </c>
      <c r="H412" t="n">
        <v>1</v>
      </c>
      <c r="I412" t="n">
        <v>0</v>
      </c>
      <c r="J412" t="n">
        <v>0</v>
      </c>
      <c r="K412" t="n">
        <v>0</v>
      </c>
      <c r="L412" t="n">
        <v>0</v>
      </c>
      <c r="M412" t="n">
        <v>0</v>
      </c>
      <c r="N412" t="n">
        <v>0</v>
      </c>
      <c r="O412" t="n">
        <v>0</v>
      </c>
      <c r="P412" t="n">
        <v>0</v>
      </c>
      <c r="Q412" t="n">
        <v>1</v>
      </c>
      <c r="R412" s="2" t="inlineStr">
        <is>
          <t>Fläcknycklar</t>
        </is>
      </c>
      <c r="S412">
        <f>HYPERLINK("https://klasma.github.io/Logging_2180/artfynd/A 30323-2025 artfynd.xlsx", "A 30323-2025")</f>
        <v/>
      </c>
      <c r="T412">
        <f>HYPERLINK("https://klasma.github.io/Logging_2180/kartor/A 30323-2025 karta.png", "A 30323-2025")</f>
        <v/>
      </c>
      <c r="V412">
        <f>HYPERLINK("https://klasma.github.io/Logging_2180/klagomål/A 30323-2025 FSC-klagomål.docx", "A 30323-2025")</f>
        <v/>
      </c>
      <c r="W412">
        <f>HYPERLINK("https://klasma.github.io/Logging_2180/klagomålsmail/A 30323-2025 FSC-klagomål mail.docx", "A 30323-2025")</f>
        <v/>
      </c>
      <c r="X412">
        <f>HYPERLINK("https://klasma.github.io/Logging_2180/tillsyn/A 30323-2025 tillsynsbegäran.docx", "A 30323-2025")</f>
        <v/>
      </c>
      <c r="Y412">
        <f>HYPERLINK("https://klasma.github.io/Logging_2180/tillsynsmail/A 30323-2025 tillsynsbegäran mail.docx", "A 30323-2025")</f>
        <v/>
      </c>
    </row>
    <row r="413" ht="15" customHeight="1">
      <c r="A413" t="inlineStr">
        <is>
          <t>A 36606-2025</t>
        </is>
      </c>
      <c r="B413" s="1" t="n">
        <v>45870.54482638889</v>
      </c>
      <c r="C413" s="1" t="n">
        <v>45911</v>
      </c>
      <c r="D413" t="inlineStr">
        <is>
          <t>GÄVLEBORGS LÄN</t>
        </is>
      </c>
      <c r="E413" t="inlineStr">
        <is>
          <t>HOFORS</t>
        </is>
      </c>
      <c r="F413" t="inlineStr">
        <is>
          <t>Sveaskog</t>
        </is>
      </c>
      <c r="G413" t="n">
        <v>13.3</v>
      </c>
      <c r="H413" t="n">
        <v>0</v>
      </c>
      <c r="I413" t="n">
        <v>0</v>
      </c>
      <c r="J413" t="n">
        <v>1</v>
      </c>
      <c r="K413" t="n">
        <v>0</v>
      </c>
      <c r="L413" t="n">
        <v>0</v>
      </c>
      <c r="M413" t="n">
        <v>0</v>
      </c>
      <c r="N413" t="n">
        <v>0</v>
      </c>
      <c r="O413" t="n">
        <v>1</v>
      </c>
      <c r="P413" t="n">
        <v>0</v>
      </c>
      <c r="Q413" t="n">
        <v>1</v>
      </c>
      <c r="R413" s="2" t="inlineStr">
        <is>
          <t>Brunklöver</t>
        </is>
      </c>
      <c r="S413">
        <f>HYPERLINK("https://klasma.github.io/Logging_2104/artfynd/A 36606-2025 artfynd.xlsx", "A 36606-2025")</f>
        <v/>
      </c>
      <c r="T413">
        <f>HYPERLINK("https://klasma.github.io/Logging_2104/kartor/A 36606-2025 karta.png", "A 36606-2025")</f>
        <v/>
      </c>
      <c r="V413">
        <f>HYPERLINK("https://klasma.github.io/Logging_2104/klagomål/A 36606-2025 FSC-klagomål.docx", "A 36606-2025")</f>
        <v/>
      </c>
      <c r="W413">
        <f>HYPERLINK("https://klasma.github.io/Logging_2104/klagomålsmail/A 36606-2025 FSC-klagomål mail.docx", "A 36606-2025")</f>
        <v/>
      </c>
      <c r="X413">
        <f>HYPERLINK("https://klasma.github.io/Logging_2104/tillsyn/A 36606-2025 tillsynsbegäran.docx", "A 36606-2025")</f>
        <v/>
      </c>
      <c r="Y413">
        <f>HYPERLINK("https://klasma.github.io/Logging_2104/tillsynsmail/A 36606-2025 tillsynsbegäran mail.docx", "A 36606-2025")</f>
        <v/>
      </c>
    </row>
    <row r="414" ht="15" customHeight="1">
      <c r="A414" t="inlineStr">
        <is>
          <t>A 20047-2025</t>
        </is>
      </c>
      <c r="B414" s="1" t="n">
        <v>45772.38952546296</v>
      </c>
      <c r="C414" s="1" t="n">
        <v>45911</v>
      </c>
      <c r="D414" t="inlineStr">
        <is>
          <t>GÄVLEBORGS LÄN</t>
        </is>
      </c>
      <c r="E414" t="inlineStr">
        <is>
          <t>BOLLNÄS</t>
        </is>
      </c>
      <c r="G414" t="n">
        <v>1.1</v>
      </c>
      <c r="H414" t="n">
        <v>0</v>
      </c>
      <c r="I414" t="n">
        <v>1</v>
      </c>
      <c r="J414" t="n">
        <v>0</v>
      </c>
      <c r="K414" t="n">
        <v>0</v>
      </c>
      <c r="L414" t="n">
        <v>0</v>
      </c>
      <c r="M414" t="n">
        <v>0</v>
      </c>
      <c r="N414" t="n">
        <v>0</v>
      </c>
      <c r="O414" t="n">
        <v>0</v>
      </c>
      <c r="P414" t="n">
        <v>0</v>
      </c>
      <c r="Q414" t="n">
        <v>1</v>
      </c>
      <c r="R414" s="2" t="inlineStr">
        <is>
          <t>Tibast</t>
        </is>
      </c>
      <c r="S414">
        <f>HYPERLINK("https://klasma.github.io/Logging_2183/artfynd/A 20047-2025 artfynd.xlsx", "A 20047-2025")</f>
        <v/>
      </c>
      <c r="T414">
        <f>HYPERLINK("https://klasma.github.io/Logging_2183/kartor/A 20047-2025 karta.png", "A 20047-2025")</f>
        <v/>
      </c>
      <c r="V414">
        <f>HYPERLINK("https://klasma.github.io/Logging_2183/klagomål/A 20047-2025 FSC-klagomål.docx", "A 20047-2025")</f>
        <v/>
      </c>
      <c r="W414">
        <f>HYPERLINK("https://klasma.github.io/Logging_2183/klagomålsmail/A 20047-2025 FSC-klagomål mail.docx", "A 20047-2025")</f>
        <v/>
      </c>
      <c r="X414">
        <f>HYPERLINK("https://klasma.github.io/Logging_2183/tillsyn/A 20047-2025 tillsynsbegäran.docx", "A 20047-2025")</f>
        <v/>
      </c>
      <c r="Y414">
        <f>HYPERLINK("https://klasma.github.io/Logging_2183/tillsynsmail/A 20047-2025 tillsynsbegäran mail.docx", "A 20047-2025")</f>
        <v/>
      </c>
    </row>
    <row r="415" ht="15" customHeight="1">
      <c r="A415" t="inlineStr">
        <is>
          <t>A 24451-2022</t>
        </is>
      </c>
      <c r="B415" s="1" t="n">
        <v>44726</v>
      </c>
      <c r="C415" s="1" t="n">
        <v>45911</v>
      </c>
      <c r="D415" t="inlineStr">
        <is>
          <t>GÄVLEBORGS LÄN</t>
        </is>
      </c>
      <c r="E415" t="inlineStr">
        <is>
          <t>HUDIKSVALL</t>
        </is>
      </c>
      <c r="F415" t="inlineStr">
        <is>
          <t>Holmen skog AB</t>
        </is>
      </c>
      <c r="G415" t="n">
        <v>3</v>
      </c>
      <c r="H415" t="n">
        <v>0</v>
      </c>
      <c r="I415" t="n">
        <v>0</v>
      </c>
      <c r="J415" t="n">
        <v>1</v>
      </c>
      <c r="K415" t="n">
        <v>0</v>
      </c>
      <c r="L415" t="n">
        <v>0</v>
      </c>
      <c r="M415" t="n">
        <v>0</v>
      </c>
      <c r="N415" t="n">
        <v>0</v>
      </c>
      <c r="O415" t="n">
        <v>1</v>
      </c>
      <c r="P415" t="n">
        <v>0</v>
      </c>
      <c r="Q415" t="n">
        <v>1</v>
      </c>
      <c r="R415" s="2" t="inlineStr">
        <is>
          <t>Vitgrynig nållav</t>
        </is>
      </c>
      <c r="S415">
        <f>HYPERLINK("https://klasma.github.io/Logging_2184/artfynd/A 24451-2022 artfynd.xlsx", "A 24451-2022")</f>
        <v/>
      </c>
      <c r="T415">
        <f>HYPERLINK("https://klasma.github.io/Logging_2184/kartor/A 24451-2022 karta.png", "A 24451-2022")</f>
        <v/>
      </c>
      <c r="V415">
        <f>HYPERLINK("https://klasma.github.io/Logging_2184/klagomål/A 24451-2022 FSC-klagomål.docx", "A 24451-2022")</f>
        <v/>
      </c>
      <c r="W415">
        <f>HYPERLINK("https://klasma.github.io/Logging_2184/klagomålsmail/A 24451-2022 FSC-klagomål mail.docx", "A 24451-2022")</f>
        <v/>
      </c>
      <c r="X415">
        <f>HYPERLINK("https://klasma.github.io/Logging_2184/tillsyn/A 24451-2022 tillsynsbegäran.docx", "A 24451-2022")</f>
        <v/>
      </c>
      <c r="Y415">
        <f>HYPERLINK("https://klasma.github.io/Logging_2184/tillsynsmail/A 24451-2022 tillsynsbegäran mail.docx", "A 24451-2022")</f>
        <v/>
      </c>
    </row>
    <row r="416" ht="15" customHeight="1">
      <c r="A416" t="inlineStr">
        <is>
          <t>A 53858-2023</t>
        </is>
      </c>
      <c r="B416" s="1" t="n">
        <v>45231</v>
      </c>
      <c r="C416" s="1" t="n">
        <v>45911</v>
      </c>
      <c r="D416" t="inlineStr">
        <is>
          <t>GÄVLEBORGS LÄN</t>
        </is>
      </c>
      <c r="E416" t="inlineStr">
        <is>
          <t>LJUSDAL</t>
        </is>
      </c>
      <c r="F416" t="inlineStr">
        <is>
          <t>Allmännings- och besparingsskogar</t>
        </is>
      </c>
      <c r="G416" t="n">
        <v>2.3</v>
      </c>
      <c r="H416" t="n">
        <v>1</v>
      </c>
      <c r="I416" t="n">
        <v>0</v>
      </c>
      <c r="J416" t="n">
        <v>0</v>
      </c>
      <c r="K416" t="n">
        <v>1</v>
      </c>
      <c r="L416" t="n">
        <v>0</v>
      </c>
      <c r="M416" t="n">
        <v>0</v>
      </c>
      <c r="N416" t="n">
        <v>0</v>
      </c>
      <c r="O416" t="n">
        <v>1</v>
      </c>
      <c r="P416" t="n">
        <v>1</v>
      </c>
      <c r="Q416" t="n">
        <v>1</v>
      </c>
      <c r="R416" s="2" t="inlineStr">
        <is>
          <t>Mellanlummer</t>
        </is>
      </c>
      <c r="S416">
        <f>HYPERLINK("https://klasma.github.io/Logging_2161/artfynd/A 53858-2023 artfynd.xlsx", "A 53858-2023")</f>
        <v/>
      </c>
      <c r="T416">
        <f>HYPERLINK("https://klasma.github.io/Logging_2161/kartor/A 53858-2023 karta.png", "A 53858-2023")</f>
        <v/>
      </c>
      <c r="V416">
        <f>HYPERLINK("https://klasma.github.io/Logging_2161/klagomål/A 53858-2023 FSC-klagomål.docx", "A 53858-2023")</f>
        <v/>
      </c>
      <c r="W416">
        <f>HYPERLINK("https://klasma.github.io/Logging_2161/klagomålsmail/A 53858-2023 FSC-klagomål mail.docx", "A 53858-2023")</f>
        <v/>
      </c>
      <c r="X416">
        <f>HYPERLINK("https://klasma.github.io/Logging_2161/tillsyn/A 53858-2023 tillsynsbegäran.docx", "A 53858-2023")</f>
        <v/>
      </c>
      <c r="Y416">
        <f>HYPERLINK("https://klasma.github.io/Logging_2161/tillsynsmail/A 53858-2023 tillsynsbegäran mail.docx", "A 53858-2023")</f>
        <v/>
      </c>
    </row>
    <row r="417" ht="15" customHeight="1">
      <c r="A417" t="inlineStr">
        <is>
          <t>A 30239-2025</t>
        </is>
      </c>
      <c r="B417" s="1" t="n">
        <v>45827.40430555555</v>
      </c>
      <c r="C417" s="1" t="n">
        <v>45911</v>
      </c>
      <c r="D417" t="inlineStr">
        <is>
          <t>GÄVLEBORGS LÄN</t>
        </is>
      </c>
      <c r="E417" t="inlineStr">
        <is>
          <t>OVANÅKER</t>
        </is>
      </c>
      <c r="F417" t="inlineStr">
        <is>
          <t>Sveaskog</t>
        </is>
      </c>
      <c r="G417" t="n">
        <v>20.8</v>
      </c>
      <c r="H417" t="n">
        <v>0</v>
      </c>
      <c r="I417" t="n">
        <v>1</v>
      </c>
      <c r="J417" t="n">
        <v>0</v>
      </c>
      <c r="K417" t="n">
        <v>0</v>
      </c>
      <c r="L417" t="n">
        <v>0</v>
      </c>
      <c r="M417" t="n">
        <v>0</v>
      </c>
      <c r="N417" t="n">
        <v>0</v>
      </c>
      <c r="O417" t="n">
        <v>0</v>
      </c>
      <c r="P417" t="n">
        <v>0</v>
      </c>
      <c r="Q417" t="n">
        <v>1</v>
      </c>
      <c r="R417" s="2" t="inlineStr">
        <is>
          <t>Dropptaggsvamp</t>
        </is>
      </c>
      <c r="S417">
        <f>HYPERLINK("https://klasma.github.io/Logging_2121/artfynd/A 30239-2025 artfynd.xlsx", "A 30239-2025")</f>
        <v/>
      </c>
      <c r="T417">
        <f>HYPERLINK("https://klasma.github.io/Logging_2121/kartor/A 30239-2025 karta.png", "A 30239-2025")</f>
        <v/>
      </c>
      <c r="V417">
        <f>HYPERLINK("https://klasma.github.io/Logging_2121/klagomål/A 30239-2025 FSC-klagomål.docx", "A 30239-2025")</f>
        <v/>
      </c>
      <c r="W417">
        <f>HYPERLINK("https://klasma.github.io/Logging_2121/klagomålsmail/A 30239-2025 FSC-klagomål mail.docx", "A 30239-2025")</f>
        <v/>
      </c>
      <c r="X417">
        <f>HYPERLINK("https://klasma.github.io/Logging_2121/tillsyn/A 30239-2025 tillsynsbegäran.docx", "A 30239-2025")</f>
        <v/>
      </c>
      <c r="Y417">
        <f>HYPERLINK("https://klasma.github.io/Logging_2121/tillsynsmail/A 30239-2025 tillsynsbegäran mail.docx", "A 30239-2025")</f>
        <v/>
      </c>
    </row>
    <row r="418" ht="15" customHeight="1">
      <c r="A418" t="inlineStr">
        <is>
          <t>A 30371-2025</t>
        </is>
      </c>
      <c r="B418" s="1" t="n">
        <v>45827.56134259259</v>
      </c>
      <c r="C418" s="1" t="n">
        <v>45911</v>
      </c>
      <c r="D418" t="inlineStr">
        <is>
          <t>GÄVLEBORGS LÄN</t>
        </is>
      </c>
      <c r="E418" t="inlineStr">
        <is>
          <t>LJUSDAL</t>
        </is>
      </c>
      <c r="F418" t="inlineStr">
        <is>
          <t>Sveaskog</t>
        </is>
      </c>
      <c r="G418" t="n">
        <v>4.6</v>
      </c>
      <c r="H418" t="n">
        <v>0</v>
      </c>
      <c r="I418" t="n">
        <v>0</v>
      </c>
      <c r="J418" t="n">
        <v>1</v>
      </c>
      <c r="K418" t="n">
        <v>0</v>
      </c>
      <c r="L418" t="n">
        <v>0</v>
      </c>
      <c r="M418" t="n">
        <v>0</v>
      </c>
      <c r="N418" t="n">
        <v>0</v>
      </c>
      <c r="O418" t="n">
        <v>1</v>
      </c>
      <c r="P418" t="n">
        <v>0</v>
      </c>
      <c r="Q418" t="n">
        <v>1</v>
      </c>
      <c r="R418" s="2" t="inlineStr">
        <is>
          <t>Kolflarnlav</t>
        </is>
      </c>
      <c r="S418">
        <f>HYPERLINK("https://klasma.github.io/Logging_2161/artfynd/A 30371-2025 artfynd.xlsx", "A 30371-2025")</f>
        <v/>
      </c>
      <c r="T418">
        <f>HYPERLINK("https://klasma.github.io/Logging_2161/kartor/A 30371-2025 karta.png", "A 30371-2025")</f>
        <v/>
      </c>
      <c r="V418">
        <f>HYPERLINK("https://klasma.github.io/Logging_2161/klagomål/A 30371-2025 FSC-klagomål.docx", "A 30371-2025")</f>
        <v/>
      </c>
      <c r="W418">
        <f>HYPERLINK("https://klasma.github.io/Logging_2161/klagomålsmail/A 30371-2025 FSC-klagomål mail.docx", "A 30371-2025")</f>
        <v/>
      </c>
      <c r="X418">
        <f>HYPERLINK("https://klasma.github.io/Logging_2161/tillsyn/A 30371-2025 tillsynsbegäran.docx", "A 30371-2025")</f>
        <v/>
      </c>
      <c r="Y418">
        <f>HYPERLINK("https://klasma.github.io/Logging_2161/tillsynsmail/A 30371-2025 tillsynsbegäran mail.docx", "A 30371-2025")</f>
        <v/>
      </c>
    </row>
    <row r="419" ht="15" customHeight="1">
      <c r="A419" t="inlineStr">
        <is>
          <t>A 30298-2025</t>
        </is>
      </c>
      <c r="B419" s="1" t="n">
        <v>45827.47530092593</v>
      </c>
      <c r="C419" s="1" t="n">
        <v>45911</v>
      </c>
      <c r="D419" t="inlineStr">
        <is>
          <t>GÄVLEBORGS LÄN</t>
        </is>
      </c>
      <c r="E419" t="inlineStr">
        <is>
          <t>LJUSDAL</t>
        </is>
      </c>
      <c r="F419" t="inlineStr">
        <is>
          <t>Sveaskog</t>
        </is>
      </c>
      <c r="G419" t="n">
        <v>8.800000000000001</v>
      </c>
      <c r="H419" t="n">
        <v>0</v>
      </c>
      <c r="I419" t="n">
        <v>0</v>
      </c>
      <c r="J419" t="n">
        <v>1</v>
      </c>
      <c r="K419" t="n">
        <v>0</v>
      </c>
      <c r="L419" t="n">
        <v>0</v>
      </c>
      <c r="M419" t="n">
        <v>0</v>
      </c>
      <c r="N419" t="n">
        <v>0</v>
      </c>
      <c r="O419" t="n">
        <v>1</v>
      </c>
      <c r="P419" t="n">
        <v>0</v>
      </c>
      <c r="Q419" t="n">
        <v>1</v>
      </c>
      <c r="R419" s="2" t="inlineStr">
        <is>
          <t>Kolflarnlav</t>
        </is>
      </c>
      <c r="S419">
        <f>HYPERLINK("https://klasma.github.io/Logging_2161/artfynd/A 30298-2025 artfynd.xlsx", "A 30298-2025")</f>
        <v/>
      </c>
      <c r="T419">
        <f>HYPERLINK("https://klasma.github.io/Logging_2161/kartor/A 30298-2025 karta.png", "A 30298-2025")</f>
        <v/>
      </c>
      <c r="V419">
        <f>HYPERLINK("https://klasma.github.io/Logging_2161/klagomål/A 30298-2025 FSC-klagomål.docx", "A 30298-2025")</f>
        <v/>
      </c>
      <c r="W419">
        <f>HYPERLINK("https://klasma.github.io/Logging_2161/klagomålsmail/A 30298-2025 FSC-klagomål mail.docx", "A 30298-2025")</f>
        <v/>
      </c>
      <c r="X419">
        <f>HYPERLINK("https://klasma.github.io/Logging_2161/tillsyn/A 30298-2025 tillsynsbegäran.docx", "A 30298-2025")</f>
        <v/>
      </c>
      <c r="Y419">
        <f>HYPERLINK("https://klasma.github.io/Logging_2161/tillsynsmail/A 30298-2025 tillsynsbegäran mail.docx", "A 30298-2025")</f>
        <v/>
      </c>
    </row>
    <row r="420" ht="15" customHeight="1">
      <c r="A420" t="inlineStr">
        <is>
          <t>A 33812-2022</t>
        </is>
      </c>
      <c r="B420" s="1" t="n">
        <v>44790</v>
      </c>
      <c r="C420" s="1" t="n">
        <v>45911</v>
      </c>
      <c r="D420" t="inlineStr">
        <is>
          <t>GÄVLEBORGS LÄN</t>
        </is>
      </c>
      <c r="E420" t="inlineStr">
        <is>
          <t>GÄVLE</t>
        </is>
      </c>
      <c r="G420" t="n">
        <v>2.1</v>
      </c>
      <c r="H420" t="n">
        <v>0</v>
      </c>
      <c r="I420" t="n">
        <v>1</v>
      </c>
      <c r="J420" t="n">
        <v>0</v>
      </c>
      <c r="K420" t="n">
        <v>0</v>
      </c>
      <c r="L420" t="n">
        <v>0</v>
      </c>
      <c r="M420" t="n">
        <v>0</v>
      </c>
      <c r="N420" t="n">
        <v>0</v>
      </c>
      <c r="O420" t="n">
        <v>0</v>
      </c>
      <c r="P420" t="n">
        <v>0</v>
      </c>
      <c r="Q420" t="n">
        <v>1</v>
      </c>
      <c r="R420" s="2" t="inlineStr">
        <is>
          <t>Myskmadra</t>
        </is>
      </c>
      <c r="S420">
        <f>HYPERLINK("https://klasma.github.io/Logging_2180/artfynd/A 33812-2022 artfynd.xlsx", "A 33812-2022")</f>
        <v/>
      </c>
      <c r="T420">
        <f>HYPERLINK("https://klasma.github.io/Logging_2180/kartor/A 33812-2022 karta.png", "A 33812-2022")</f>
        <v/>
      </c>
      <c r="V420">
        <f>HYPERLINK("https://klasma.github.io/Logging_2180/klagomål/A 33812-2022 FSC-klagomål.docx", "A 33812-2022")</f>
        <v/>
      </c>
      <c r="W420">
        <f>HYPERLINK("https://klasma.github.io/Logging_2180/klagomålsmail/A 33812-2022 FSC-klagomål mail.docx", "A 33812-2022")</f>
        <v/>
      </c>
      <c r="X420">
        <f>HYPERLINK("https://klasma.github.io/Logging_2180/tillsyn/A 33812-2022 tillsynsbegäran.docx", "A 33812-2022")</f>
        <v/>
      </c>
      <c r="Y420">
        <f>HYPERLINK("https://klasma.github.io/Logging_2180/tillsynsmail/A 33812-2022 tillsynsbegäran mail.docx", "A 33812-2022")</f>
        <v/>
      </c>
    </row>
    <row r="421" ht="15" customHeight="1">
      <c r="A421" t="inlineStr">
        <is>
          <t>A 34744-2024</t>
        </is>
      </c>
      <c r="B421" s="1" t="n">
        <v>45526.59482638889</v>
      </c>
      <c r="C421" s="1" t="n">
        <v>45911</v>
      </c>
      <c r="D421" t="inlineStr">
        <is>
          <t>GÄVLEBORGS LÄN</t>
        </is>
      </c>
      <c r="E421" t="inlineStr">
        <is>
          <t>LJUSDAL</t>
        </is>
      </c>
      <c r="F421" t="inlineStr">
        <is>
          <t>Sveaskog</t>
        </is>
      </c>
      <c r="G421" t="n">
        <v>9.9</v>
      </c>
      <c r="H421" t="n">
        <v>0</v>
      </c>
      <c r="I421" t="n">
        <v>0</v>
      </c>
      <c r="J421" t="n">
        <v>1</v>
      </c>
      <c r="K421" t="n">
        <v>0</v>
      </c>
      <c r="L421" t="n">
        <v>0</v>
      </c>
      <c r="M421" t="n">
        <v>0</v>
      </c>
      <c r="N421" t="n">
        <v>0</v>
      </c>
      <c r="O421" t="n">
        <v>1</v>
      </c>
      <c r="P421" t="n">
        <v>0</v>
      </c>
      <c r="Q421" t="n">
        <v>1</v>
      </c>
      <c r="R421" s="2" t="inlineStr">
        <is>
          <t>Lunglav</t>
        </is>
      </c>
      <c r="S421">
        <f>HYPERLINK("https://klasma.github.io/Logging_2161/artfynd/A 34744-2024 artfynd.xlsx", "A 34744-2024")</f>
        <v/>
      </c>
      <c r="T421">
        <f>HYPERLINK("https://klasma.github.io/Logging_2161/kartor/A 34744-2024 karta.png", "A 34744-2024")</f>
        <v/>
      </c>
      <c r="V421">
        <f>HYPERLINK("https://klasma.github.io/Logging_2161/klagomål/A 34744-2024 FSC-klagomål.docx", "A 34744-2024")</f>
        <v/>
      </c>
      <c r="W421">
        <f>HYPERLINK("https://klasma.github.io/Logging_2161/klagomålsmail/A 34744-2024 FSC-klagomål mail.docx", "A 34744-2024")</f>
        <v/>
      </c>
      <c r="X421">
        <f>HYPERLINK("https://klasma.github.io/Logging_2161/tillsyn/A 34744-2024 tillsynsbegäran.docx", "A 34744-2024")</f>
        <v/>
      </c>
      <c r="Y421">
        <f>HYPERLINK("https://klasma.github.io/Logging_2161/tillsynsmail/A 34744-2024 tillsynsbegäran mail.docx", "A 34744-2024")</f>
        <v/>
      </c>
    </row>
    <row r="422" ht="15" customHeight="1">
      <c r="A422" t="inlineStr">
        <is>
          <t>A 1214-2024</t>
        </is>
      </c>
      <c r="B422" s="1" t="n">
        <v>45302</v>
      </c>
      <c r="C422" s="1" t="n">
        <v>45911</v>
      </c>
      <c r="D422" t="inlineStr">
        <is>
          <t>GÄVLEBORGS LÄN</t>
        </is>
      </c>
      <c r="E422" t="inlineStr">
        <is>
          <t>OVANÅKER</t>
        </is>
      </c>
      <c r="F422" t="inlineStr">
        <is>
          <t>Bergvik skog väst AB</t>
        </is>
      </c>
      <c r="G422" t="n">
        <v>3.2</v>
      </c>
      <c r="H422" t="n">
        <v>1</v>
      </c>
      <c r="I422" t="n">
        <v>0</v>
      </c>
      <c r="J422" t="n">
        <v>0</v>
      </c>
      <c r="K422" t="n">
        <v>0</v>
      </c>
      <c r="L422" t="n">
        <v>0</v>
      </c>
      <c r="M422" t="n">
        <v>0</v>
      </c>
      <c r="N422" t="n">
        <v>0</v>
      </c>
      <c r="O422" t="n">
        <v>0</v>
      </c>
      <c r="P422" t="n">
        <v>0</v>
      </c>
      <c r="Q422" t="n">
        <v>1</v>
      </c>
      <c r="R422" s="2" t="inlineStr">
        <is>
          <t>Fläcknycklar</t>
        </is>
      </c>
      <c r="S422">
        <f>HYPERLINK("https://klasma.github.io/Logging_2121/artfynd/A 1214-2024 artfynd.xlsx", "A 1214-2024")</f>
        <v/>
      </c>
      <c r="T422">
        <f>HYPERLINK("https://klasma.github.io/Logging_2121/kartor/A 1214-2024 karta.png", "A 1214-2024")</f>
        <v/>
      </c>
      <c r="V422">
        <f>HYPERLINK("https://klasma.github.io/Logging_2121/klagomål/A 1214-2024 FSC-klagomål.docx", "A 1214-2024")</f>
        <v/>
      </c>
      <c r="W422">
        <f>HYPERLINK("https://klasma.github.io/Logging_2121/klagomålsmail/A 1214-2024 FSC-klagomål mail.docx", "A 1214-2024")</f>
        <v/>
      </c>
      <c r="X422">
        <f>HYPERLINK("https://klasma.github.io/Logging_2121/tillsyn/A 1214-2024 tillsynsbegäran.docx", "A 1214-2024")</f>
        <v/>
      </c>
      <c r="Y422">
        <f>HYPERLINK("https://klasma.github.io/Logging_2121/tillsynsmail/A 1214-2024 tillsynsbegäran mail.docx", "A 1214-2024")</f>
        <v/>
      </c>
    </row>
    <row r="423" ht="15" customHeight="1">
      <c r="A423" t="inlineStr">
        <is>
          <t>A 36737-2025</t>
        </is>
      </c>
      <c r="B423" s="1" t="n">
        <v>45873.52961805555</v>
      </c>
      <c r="C423" s="1" t="n">
        <v>45911</v>
      </c>
      <c r="D423" t="inlineStr">
        <is>
          <t>GÄVLEBORGS LÄN</t>
        </is>
      </c>
      <c r="E423" t="inlineStr">
        <is>
          <t>LJUSDAL</t>
        </is>
      </c>
      <c r="G423" t="n">
        <v>2.8</v>
      </c>
      <c r="H423" t="n">
        <v>1</v>
      </c>
      <c r="I423" t="n">
        <v>0</v>
      </c>
      <c r="J423" t="n">
        <v>1</v>
      </c>
      <c r="K423" t="n">
        <v>0</v>
      </c>
      <c r="L423" t="n">
        <v>0</v>
      </c>
      <c r="M423" t="n">
        <v>0</v>
      </c>
      <c r="N423" t="n">
        <v>0</v>
      </c>
      <c r="O423" t="n">
        <v>1</v>
      </c>
      <c r="P423" t="n">
        <v>0</v>
      </c>
      <c r="Q423" t="n">
        <v>1</v>
      </c>
      <c r="R423" s="2" t="inlineStr">
        <is>
          <t>Nordfladdermus</t>
        </is>
      </c>
      <c r="S423">
        <f>HYPERLINK("https://klasma.github.io/Logging_2161/artfynd/A 36737-2025 artfynd.xlsx", "A 36737-2025")</f>
        <v/>
      </c>
      <c r="T423">
        <f>HYPERLINK("https://klasma.github.io/Logging_2161/kartor/A 36737-2025 karta.png", "A 36737-2025")</f>
        <v/>
      </c>
      <c r="V423">
        <f>HYPERLINK("https://klasma.github.io/Logging_2161/klagomål/A 36737-2025 FSC-klagomål.docx", "A 36737-2025")</f>
        <v/>
      </c>
      <c r="W423">
        <f>HYPERLINK("https://klasma.github.io/Logging_2161/klagomålsmail/A 36737-2025 FSC-klagomål mail.docx", "A 36737-2025")</f>
        <v/>
      </c>
      <c r="X423">
        <f>HYPERLINK("https://klasma.github.io/Logging_2161/tillsyn/A 36737-2025 tillsynsbegäran.docx", "A 36737-2025")</f>
        <v/>
      </c>
      <c r="Y423">
        <f>HYPERLINK("https://klasma.github.io/Logging_2161/tillsynsmail/A 36737-2025 tillsynsbegäran mail.docx", "A 36737-2025")</f>
        <v/>
      </c>
    </row>
    <row r="424" ht="15" customHeight="1">
      <c r="A424" t="inlineStr">
        <is>
          <t>A 37011-2025</t>
        </is>
      </c>
      <c r="B424" s="1" t="n">
        <v>45874.70511574074</v>
      </c>
      <c r="C424" s="1" t="n">
        <v>45911</v>
      </c>
      <c r="D424" t="inlineStr">
        <is>
          <t>GÄVLEBORGS LÄN</t>
        </is>
      </c>
      <c r="E424" t="inlineStr">
        <is>
          <t>HOFORS</t>
        </is>
      </c>
      <c r="F424" t="inlineStr">
        <is>
          <t>Sveaskog</t>
        </is>
      </c>
      <c r="G424" t="n">
        <v>3</v>
      </c>
      <c r="H424" t="n">
        <v>1</v>
      </c>
      <c r="I424" t="n">
        <v>0</v>
      </c>
      <c r="J424" t="n">
        <v>0</v>
      </c>
      <c r="K424" t="n">
        <v>1</v>
      </c>
      <c r="L424" t="n">
        <v>0</v>
      </c>
      <c r="M424" t="n">
        <v>0</v>
      </c>
      <c r="N424" t="n">
        <v>0</v>
      </c>
      <c r="O424" t="n">
        <v>1</v>
      </c>
      <c r="P424" t="n">
        <v>1</v>
      </c>
      <c r="Q424" t="n">
        <v>1</v>
      </c>
      <c r="R424" s="2" t="inlineStr">
        <is>
          <t>Knärot</t>
        </is>
      </c>
      <c r="S424">
        <f>HYPERLINK("https://klasma.github.io/Logging_2104/artfynd/A 37011-2025 artfynd.xlsx", "A 37011-2025")</f>
        <v/>
      </c>
      <c r="T424">
        <f>HYPERLINK("https://klasma.github.io/Logging_2104/kartor/A 37011-2025 karta.png", "A 37011-2025")</f>
        <v/>
      </c>
      <c r="U424">
        <f>HYPERLINK("https://klasma.github.io/Logging_2104/knärot/A 37011-2025 karta knärot.png", "A 37011-2025")</f>
        <v/>
      </c>
      <c r="V424">
        <f>HYPERLINK("https://klasma.github.io/Logging_2104/klagomål/A 37011-2025 FSC-klagomål.docx", "A 37011-2025")</f>
        <v/>
      </c>
      <c r="W424">
        <f>HYPERLINK("https://klasma.github.io/Logging_2104/klagomålsmail/A 37011-2025 FSC-klagomål mail.docx", "A 37011-2025")</f>
        <v/>
      </c>
      <c r="X424">
        <f>HYPERLINK("https://klasma.github.io/Logging_2104/tillsyn/A 37011-2025 tillsynsbegäran.docx", "A 37011-2025")</f>
        <v/>
      </c>
      <c r="Y424">
        <f>HYPERLINK("https://klasma.github.io/Logging_2104/tillsynsmail/A 37011-2025 tillsynsbegäran mail.docx", "A 37011-2025")</f>
        <v/>
      </c>
    </row>
    <row r="425" ht="15" customHeight="1">
      <c r="A425" t="inlineStr">
        <is>
          <t>A 47219-2024</t>
        </is>
      </c>
      <c r="B425" s="1" t="n">
        <v>45586</v>
      </c>
      <c r="C425" s="1" t="n">
        <v>45911</v>
      </c>
      <c r="D425" t="inlineStr">
        <is>
          <t>GÄVLEBORGS LÄN</t>
        </is>
      </c>
      <c r="E425" t="inlineStr">
        <is>
          <t>HOFORS</t>
        </is>
      </c>
      <c r="F425" t="inlineStr">
        <is>
          <t>Sveaskog</t>
        </is>
      </c>
      <c r="G425" t="n">
        <v>8.300000000000001</v>
      </c>
      <c r="H425" t="n">
        <v>0</v>
      </c>
      <c r="I425" t="n">
        <v>0</v>
      </c>
      <c r="J425" t="n">
        <v>1</v>
      </c>
      <c r="K425" t="n">
        <v>0</v>
      </c>
      <c r="L425" t="n">
        <v>0</v>
      </c>
      <c r="M425" t="n">
        <v>0</v>
      </c>
      <c r="N425" t="n">
        <v>0</v>
      </c>
      <c r="O425" t="n">
        <v>1</v>
      </c>
      <c r="P425" t="n">
        <v>0</v>
      </c>
      <c r="Q425" t="n">
        <v>1</v>
      </c>
      <c r="R425" s="2" t="inlineStr">
        <is>
          <t>Motaggsvamp</t>
        </is>
      </c>
      <c r="S425">
        <f>HYPERLINK("https://klasma.github.io/Logging_2104/artfynd/A 47219-2024 artfynd.xlsx", "A 47219-2024")</f>
        <v/>
      </c>
      <c r="T425">
        <f>HYPERLINK("https://klasma.github.io/Logging_2104/kartor/A 47219-2024 karta.png", "A 47219-2024")</f>
        <v/>
      </c>
      <c r="V425">
        <f>HYPERLINK("https://klasma.github.io/Logging_2104/klagomål/A 47219-2024 FSC-klagomål.docx", "A 47219-2024")</f>
        <v/>
      </c>
      <c r="W425">
        <f>HYPERLINK("https://klasma.github.io/Logging_2104/klagomålsmail/A 47219-2024 FSC-klagomål mail.docx", "A 47219-2024")</f>
        <v/>
      </c>
      <c r="X425">
        <f>HYPERLINK("https://klasma.github.io/Logging_2104/tillsyn/A 47219-2024 tillsynsbegäran.docx", "A 47219-2024")</f>
        <v/>
      </c>
      <c r="Y425">
        <f>HYPERLINK("https://klasma.github.io/Logging_2104/tillsynsmail/A 47219-2024 tillsynsbegäran mail.docx", "A 47219-2024")</f>
        <v/>
      </c>
    </row>
    <row r="426" ht="15" customHeight="1">
      <c r="A426" t="inlineStr">
        <is>
          <t>A 5576-2025</t>
        </is>
      </c>
      <c r="B426" s="1" t="n">
        <v>45693</v>
      </c>
      <c r="C426" s="1" t="n">
        <v>45911</v>
      </c>
      <c r="D426" t="inlineStr">
        <is>
          <t>GÄVLEBORGS LÄN</t>
        </is>
      </c>
      <c r="E426" t="inlineStr">
        <is>
          <t>GÄVLE</t>
        </is>
      </c>
      <c r="G426" t="n">
        <v>3.8</v>
      </c>
      <c r="H426" t="n">
        <v>1</v>
      </c>
      <c r="I426" t="n">
        <v>0</v>
      </c>
      <c r="J426" t="n">
        <v>1</v>
      </c>
      <c r="K426" t="n">
        <v>0</v>
      </c>
      <c r="L426" t="n">
        <v>0</v>
      </c>
      <c r="M426" t="n">
        <v>0</v>
      </c>
      <c r="N426" t="n">
        <v>0</v>
      </c>
      <c r="O426" t="n">
        <v>1</v>
      </c>
      <c r="P426" t="n">
        <v>0</v>
      </c>
      <c r="Q426" t="n">
        <v>1</v>
      </c>
      <c r="R426" s="2" t="inlineStr">
        <is>
          <t>Spillkråka</t>
        </is>
      </c>
      <c r="S426">
        <f>HYPERLINK("https://klasma.github.io/Logging_2180/artfynd/A 5576-2025 artfynd.xlsx", "A 5576-2025")</f>
        <v/>
      </c>
      <c r="T426">
        <f>HYPERLINK("https://klasma.github.io/Logging_2180/kartor/A 5576-2025 karta.png", "A 5576-2025")</f>
        <v/>
      </c>
      <c r="V426">
        <f>HYPERLINK("https://klasma.github.io/Logging_2180/klagomål/A 5576-2025 FSC-klagomål.docx", "A 5576-2025")</f>
        <v/>
      </c>
      <c r="W426">
        <f>HYPERLINK("https://klasma.github.io/Logging_2180/klagomålsmail/A 5576-2025 FSC-klagomål mail.docx", "A 5576-2025")</f>
        <v/>
      </c>
      <c r="X426">
        <f>HYPERLINK("https://klasma.github.io/Logging_2180/tillsyn/A 5576-2025 tillsynsbegäran.docx", "A 5576-2025")</f>
        <v/>
      </c>
      <c r="Y426">
        <f>HYPERLINK("https://klasma.github.io/Logging_2180/tillsynsmail/A 5576-2025 tillsynsbegäran mail.docx", "A 5576-2025")</f>
        <v/>
      </c>
      <c r="Z426">
        <f>HYPERLINK("https://klasma.github.io/Logging_2180/fåglar/A 5576-2025 prioriterade fågelarter.docx", "A 5576-2025")</f>
        <v/>
      </c>
    </row>
    <row r="427" ht="15" customHeight="1">
      <c r="A427" t="inlineStr">
        <is>
          <t>A 311-2024</t>
        </is>
      </c>
      <c r="B427" s="1" t="n">
        <v>45295.51502314815</v>
      </c>
      <c r="C427" s="1" t="n">
        <v>45911</v>
      </c>
      <c r="D427" t="inlineStr">
        <is>
          <t>GÄVLEBORGS LÄN</t>
        </is>
      </c>
      <c r="E427" t="inlineStr">
        <is>
          <t>SANDVIKEN</t>
        </is>
      </c>
      <c r="G427" t="n">
        <v>1.3</v>
      </c>
      <c r="H427" t="n">
        <v>1</v>
      </c>
      <c r="I427" t="n">
        <v>1</v>
      </c>
      <c r="J427" t="n">
        <v>0</v>
      </c>
      <c r="K427" t="n">
        <v>0</v>
      </c>
      <c r="L427" t="n">
        <v>0</v>
      </c>
      <c r="M427" t="n">
        <v>0</v>
      </c>
      <c r="N427" t="n">
        <v>0</v>
      </c>
      <c r="O427" t="n">
        <v>0</v>
      </c>
      <c r="P427" t="n">
        <v>0</v>
      </c>
      <c r="Q427" t="n">
        <v>1</v>
      </c>
      <c r="R427" s="2" t="inlineStr">
        <is>
          <t>Plattlummer</t>
        </is>
      </c>
      <c r="S427">
        <f>HYPERLINK("https://klasma.github.io/Logging_2181/artfynd/A 311-2024 artfynd.xlsx", "A 311-2024")</f>
        <v/>
      </c>
      <c r="T427">
        <f>HYPERLINK("https://klasma.github.io/Logging_2181/kartor/A 311-2024 karta.png", "A 311-2024")</f>
        <v/>
      </c>
      <c r="V427">
        <f>HYPERLINK("https://klasma.github.io/Logging_2181/klagomål/A 311-2024 FSC-klagomål.docx", "A 311-2024")</f>
        <v/>
      </c>
      <c r="W427">
        <f>HYPERLINK("https://klasma.github.io/Logging_2181/klagomålsmail/A 311-2024 FSC-klagomål mail.docx", "A 311-2024")</f>
        <v/>
      </c>
      <c r="X427">
        <f>HYPERLINK("https://klasma.github.io/Logging_2181/tillsyn/A 311-2024 tillsynsbegäran.docx", "A 311-2024")</f>
        <v/>
      </c>
      <c r="Y427">
        <f>HYPERLINK("https://klasma.github.io/Logging_2181/tillsynsmail/A 311-2024 tillsynsbegäran mail.docx", "A 311-2024")</f>
        <v/>
      </c>
    </row>
    <row r="428" ht="15" customHeight="1">
      <c r="A428" t="inlineStr">
        <is>
          <t>A 28392-2024</t>
        </is>
      </c>
      <c r="B428" s="1" t="n">
        <v>45477.60362268519</v>
      </c>
      <c r="C428" s="1" t="n">
        <v>45911</v>
      </c>
      <c r="D428" t="inlineStr">
        <is>
          <t>GÄVLEBORGS LÄN</t>
        </is>
      </c>
      <c r="E428" t="inlineStr">
        <is>
          <t>HOFORS</t>
        </is>
      </c>
      <c r="F428" t="inlineStr">
        <is>
          <t>Sveaskog</t>
        </is>
      </c>
      <c r="G428" t="n">
        <v>0.5</v>
      </c>
      <c r="H428" t="n">
        <v>1</v>
      </c>
      <c r="I428" t="n">
        <v>0</v>
      </c>
      <c r="J428" t="n">
        <v>0</v>
      </c>
      <c r="K428" t="n">
        <v>0</v>
      </c>
      <c r="L428" t="n">
        <v>0</v>
      </c>
      <c r="M428" t="n">
        <v>0</v>
      </c>
      <c r="N428" t="n">
        <v>0</v>
      </c>
      <c r="O428" t="n">
        <v>0</v>
      </c>
      <c r="P428" t="n">
        <v>0</v>
      </c>
      <c r="Q428" t="n">
        <v>1</v>
      </c>
      <c r="R428" s="2" t="inlineStr">
        <is>
          <t>Fläcknycklar</t>
        </is>
      </c>
      <c r="S428">
        <f>HYPERLINK("https://klasma.github.io/Logging_2104/artfynd/A 28392-2024 artfynd.xlsx", "A 28392-2024")</f>
        <v/>
      </c>
      <c r="T428">
        <f>HYPERLINK("https://klasma.github.io/Logging_2104/kartor/A 28392-2024 karta.png", "A 28392-2024")</f>
        <v/>
      </c>
      <c r="V428">
        <f>HYPERLINK("https://klasma.github.io/Logging_2104/klagomål/A 28392-2024 FSC-klagomål.docx", "A 28392-2024")</f>
        <v/>
      </c>
      <c r="W428">
        <f>HYPERLINK("https://klasma.github.io/Logging_2104/klagomålsmail/A 28392-2024 FSC-klagomål mail.docx", "A 28392-2024")</f>
        <v/>
      </c>
      <c r="X428">
        <f>HYPERLINK("https://klasma.github.io/Logging_2104/tillsyn/A 28392-2024 tillsynsbegäran.docx", "A 28392-2024")</f>
        <v/>
      </c>
      <c r="Y428">
        <f>HYPERLINK("https://klasma.github.io/Logging_2104/tillsynsmail/A 28392-2024 tillsynsbegäran mail.docx", "A 28392-2024")</f>
        <v/>
      </c>
    </row>
    <row r="429" ht="15" customHeight="1">
      <c r="A429" t="inlineStr">
        <is>
          <t>A 31828-2025</t>
        </is>
      </c>
      <c r="B429" s="1" t="n">
        <v>45834.58667824074</v>
      </c>
      <c r="C429" s="1" t="n">
        <v>45911</v>
      </c>
      <c r="D429" t="inlineStr">
        <is>
          <t>GÄVLEBORGS LÄN</t>
        </is>
      </c>
      <c r="E429" t="inlineStr">
        <is>
          <t>LJUSDAL</t>
        </is>
      </c>
      <c r="F429" t="inlineStr">
        <is>
          <t>Sveaskog</t>
        </is>
      </c>
      <c r="G429" t="n">
        <v>4</v>
      </c>
      <c r="H429" t="n">
        <v>0</v>
      </c>
      <c r="I429" t="n">
        <v>0</v>
      </c>
      <c r="J429" t="n">
        <v>1</v>
      </c>
      <c r="K429" t="n">
        <v>0</v>
      </c>
      <c r="L429" t="n">
        <v>0</v>
      </c>
      <c r="M429" t="n">
        <v>0</v>
      </c>
      <c r="N429" t="n">
        <v>0</v>
      </c>
      <c r="O429" t="n">
        <v>1</v>
      </c>
      <c r="P429" t="n">
        <v>0</v>
      </c>
      <c r="Q429" t="n">
        <v>1</v>
      </c>
      <c r="R429" s="2" t="inlineStr">
        <is>
          <t>Blå taggsvamp</t>
        </is>
      </c>
      <c r="S429">
        <f>HYPERLINK("https://klasma.github.io/Logging_2161/artfynd/A 31828-2025 artfynd.xlsx", "A 31828-2025")</f>
        <v/>
      </c>
      <c r="T429">
        <f>HYPERLINK("https://klasma.github.io/Logging_2161/kartor/A 31828-2025 karta.png", "A 31828-2025")</f>
        <v/>
      </c>
      <c r="V429">
        <f>HYPERLINK("https://klasma.github.io/Logging_2161/klagomål/A 31828-2025 FSC-klagomål.docx", "A 31828-2025")</f>
        <v/>
      </c>
      <c r="W429">
        <f>HYPERLINK("https://klasma.github.io/Logging_2161/klagomålsmail/A 31828-2025 FSC-klagomål mail.docx", "A 31828-2025")</f>
        <v/>
      </c>
      <c r="X429">
        <f>HYPERLINK("https://klasma.github.io/Logging_2161/tillsyn/A 31828-2025 tillsynsbegäran.docx", "A 31828-2025")</f>
        <v/>
      </c>
      <c r="Y429">
        <f>HYPERLINK("https://klasma.github.io/Logging_2161/tillsynsmail/A 31828-2025 tillsynsbegäran mail.docx", "A 31828-2025")</f>
        <v/>
      </c>
    </row>
    <row r="430" ht="15" customHeight="1">
      <c r="A430" t="inlineStr">
        <is>
          <t>A 31596-2025</t>
        </is>
      </c>
      <c r="B430" s="1" t="n">
        <v>45833.70858796296</v>
      </c>
      <c r="C430" s="1" t="n">
        <v>45911</v>
      </c>
      <c r="D430" t="inlineStr">
        <is>
          <t>GÄVLEBORGS LÄN</t>
        </is>
      </c>
      <c r="E430" t="inlineStr">
        <is>
          <t>GÄVLE</t>
        </is>
      </c>
      <c r="G430" t="n">
        <v>2.1</v>
      </c>
      <c r="H430" t="n">
        <v>1</v>
      </c>
      <c r="I430" t="n">
        <v>0</v>
      </c>
      <c r="J430" t="n">
        <v>0</v>
      </c>
      <c r="K430" t="n">
        <v>0</v>
      </c>
      <c r="L430" t="n">
        <v>0</v>
      </c>
      <c r="M430" t="n">
        <v>0</v>
      </c>
      <c r="N430" t="n">
        <v>0</v>
      </c>
      <c r="O430" t="n">
        <v>0</v>
      </c>
      <c r="P430" t="n">
        <v>0</v>
      </c>
      <c r="Q430" t="n">
        <v>1</v>
      </c>
      <c r="R430" s="2" t="inlineStr">
        <is>
          <t>Fläcknycklar</t>
        </is>
      </c>
      <c r="S430">
        <f>HYPERLINK("https://klasma.github.io/Logging_2180/artfynd/A 31596-2025 artfynd.xlsx", "A 31596-2025")</f>
        <v/>
      </c>
      <c r="T430">
        <f>HYPERLINK("https://klasma.github.io/Logging_2180/kartor/A 31596-2025 karta.png", "A 31596-2025")</f>
        <v/>
      </c>
      <c r="V430">
        <f>HYPERLINK("https://klasma.github.io/Logging_2180/klagomål/A 31596-2025 FSC-klagomål.docx", "A 31596-2025")</f>
        <v/>
      </c>
      <c r="W430">
        <f>HYPERLINK("https://klasma.github.io/Logging_2180/klagomålsmail/A 31596-2025 FSC-klagomål mail.docx", "A 31596-2025")</f>
        <v/>
      </c>
      <c r="X430">
        <f>HYPERLINK("https://klasma.github.io/Logging_2180/tillsyn/A 31596-2025 tillsynsbegäran.docx", "A 31596-2025")</f>
        <v/>
      </c>
      <c r="Y430">
        <f>HYPERLINK("https://klasma.github.io/Logging_2180/tillsynsmail/A 31596-2025 tillsynsbegäran mail.docx", "A 31596-2025")</f>
        <v/>
      </c>
    </row>
    <row r="431" ht="15" customHeight="1">
      <c r="A431" t="inlineStr">
        <is>
          <t>A 54335-2024</t>
        </is>
      </c>
      <c r="B431" s="1" t="n">
        <v>45617.38313657408</v>
      </c>
      <c r="C431" s="1" t="n">
        <v>45911</v>
      </c>
      <c r="D431" t="inlineStr">
        <is>
          <t>GÄVLEBORGS LÄN</t>
        </is>
      </c>
      <c r="E431" t="inlineStr">
        <is>
          <t>SANDVIKEN</t>
        </is>
      </c>
      <c r="G431" t="n">
        <v>7</v>
      </c>
      <c r="H431" t="n">
        <v>1</v>
      </c>
      <c r="I431" t="n">
        <v>0</v>
      </c>
      <c r="J431" t="n">
        <v>0</v>
      </c>
      <c r="K431" t="n">
        <v>1</v>
      </c>
      <c r="L431" t="n">
        <v>0</v>
      </c>
      <c r="M431" t="n">
        <v>0</v>
      </c>
      <c r="N431" t="n">
        <v>0</v>
      </c>
      <c r="O431" t="n">
        <v>1</v>
      </c>
      <c r="P431" t="n">
        <v>1</v>
      </c>
      <c r="Q431" t="n">
        <v>1</v>
      </c>
      <c r="R431" s="2" t="inlineStr">
        <is>
          <t>Väddnätfjäril</t>
        </is>
      </c>
      <c r="S431">
        <f>HYPERLINK("https://klasma.github.io/Logging_2181/artfynd/A 54335-2024 artfynd.xlsx", "A 54335-2024")</f>
        <v/>
      </c>
      <c r="T431">
        <f>HYPERLINK("https://klasma.github.io/Logging_2181/kartor/A 54335-2024 karta.png", "A 54335-2024")</f>
        <v/>
      </c>
      <c r="V431">
        <f>HYPERLINK("https://klasma.github.io/Logging_2181/klagomål/A 54335-2024 FSC-klagomål.docx", "A 54335-2024")</f>
        <v/>
      </c>
      <c r="W431">
        <f>HYPERLINK("https://klasma.github.io/Logging_2181/klagomålsmail/A 54335-2024 FSC-klagomål mail.docx", "A 54335-2024")</f>
        <v/>
      </c>
      <c r="X431">
        <f>HYPERLINK("https://klasma.github.io/Logging_2181/tillsyn/A 54335-2024 tillsynsbegäran.docx", "A 54335-2024")</f>
        <v/>
      </c>
      <c r="Y431">
        <f>HYPERLINK("https://klasma.github.io/Logging_2181/tillsynsmail/A 54335-2024 tillsynsbegäran mail.docx", "A 54335-2024")</f>
        <v/>
      </c>
    </row>
    <row r="432" ht="15" customHeight="1">
      <c r="A432" t="inlineStr">
        <is>
          <t>A 58333-2022</t>
        </is>
      </c>
      <c r="B432" s="1" t="n">
        <v>44901</v>
      </c>
      <c r="C432" s="1" t="n">
        <v>45911</v>
      </c>
      <c r="D432" t="inlineStr">
        <is>
          <t>GÄVLEBORGS LÄN</t>
        </is>
      </c>
      <c r="E432" t="inlineStr">
        <is>
          <t>BOLLNÄS</t>
        </is>
      </c>
      <c r="G432" t="n">
        <v>1.8</v>
      </c>
      <c r="H432" t="n">
        <v>0</v>
      </c>
      <c r="I432" t="n">
        <v>0</v>
      </c>
      <c r="J432" t="n">
        <v>1</v>
      </c>
      <c r="K432" t="n">
        <v>0</v>
      </c>
      <c r="L432" t="n">
        <v>0</v>
      </c>
      <c r="M432" t="n">
        <v>0</v>
      </c>
      <c r="N432" t="n">
        <v>0</v>
      </c>
      <c r="O432" t="n">
        <v>1</v>
      </c>
      <c r="P432" t="n">
        <v>0</v>
      </c>
      <c r="Q432" t="n">
        <v>1</v>
      </c>
      <c r="R432" s="2" t="inlineStr">
        <is>
          <t>Granticka</t>
        </is>
      </c>
      <c r="S432">
        <f>HYPERLINK("https://klasma.github.io/Logging_2183/artfynd/A 58333-2022 artfynd.xlsx", "A 58333-2022")</f>
        <v/>
      </c>
      <c r="T432">
        <f>HYPERLINK("https://klasma.github.io/Logging_2183/kartor/A 58333-2022 karta.png", "A 58333-2022")</f>
        <v/>
      </c>
      <c r="V432">
        <f>HYPERLINK("https://klasma.github.io/Logging_2183/klagomål/A 58333-2022 FSC-klagomål.docx", "A 58333-2022")</f>
        <v/>
      </c>
      <c r="W432">
        <f>HYPERLINK("https://klasma.github.io/Logging_2183/klagomålsmail/A 58333-2022 FSC-klagomål mail.docx", "A 58333-2022")</f>
        <v/>
      </c>
      <c r="X432">
        <f>HYPERLINK("https://klasma.github.io/Logging_2183/tillsyn/A 58333-2022 tillsynsbegäran.docx", "A 58333-2022")</f>
        <v/>
      </c>
      <c r="Y432">
        <f>HYPERLINK("https://klasma.github.io/Logging_2183/tillsynsmail/A 58333-2022 tillsynsbegäran mail.docx", "A 58333-2022")</f>
        <v/>
      </c>
    </row>
    <row r="433" ht="15" customHeight="1">
      <c r="A433" t="inlineStr">
        <is>
          <t>A 31802-2025</t>
        </is>
      </c>
      <c r="B433" s="1" t="n">
        <v>45834.55302083334</v>
      </c>
      <c r="C433" s="1" t="n">
        <v>45911</v>
      </c>
      <c r="D433" t="inlineStr">
        <is>
          <t>GÄVLEBORGS LÄN</t>
        </is>
      </c>
      <c r="E433" t="inlineStr">
        <is>
          <t>HUDIKSVALL</t>
        </is>
      </c>
      <c r="G433" t="n">
        <v>2.2</v>
      </c>
      <c r="H433" t="n">
        <v>0</v>
      </c>
      <c r="I433" t="n">
        <v>1</v>
      </c>
      <c r="J433" t="n">
        <v>0</v>
      </c>
      <c r="K433" t="n">
        <v>0</v>
      </c>
      <c r="L433" t="n">
        <v>0</v>
      </c>
      <c r="M433" t="n">
        <v>0</v>
      </c>
      <c r="N433" t="n">
        <v>0</v>
      </c>
      <c r="O433" t="n">
        <v>0</v>
      </c>
      <c r="P433" t="n">
        <v>0</v>
      </c>
      <c r="Q433" t="n">
        <v>1</v>
      </c>
      <c r="R433" s="2" t="inlineStr">
        <is>
          <t>Stor aspticka</t>
        </is>
      </c>
      <c r="S433">
        <f>HYPERLINK("https://klasma.github.io/Logging_2184/artfynd/A 31802-2025 artfynd.xlsx", "A 31802-2025")</f>
        <v/>
      </c>
      <c r="T433">
        <f>HYPERLINK("https://klasma.github.io/Logging_2184/kartor/A 31802-2025 karta.png", "A 31802-2025")</f>
        <v/>
      </c>
      <c r="V433">
        <f>HYPERLINK("https://klasma.github.io/Logging_2184/klagomål/A 31802-2025 FSC-klagomål.docx", "A 31802-2025")</f>
        <v/>
      </c>
      <c r="W433">
        <f>HYPERLINK("https://klasma.github.io/Logging_2184/klagomålsmail/A 31802-2025 FSC-klagomål mail.docx", "A 31802-2025")</f>
        <v/>
      </c>
      <c r="X433">
        <f>HYPERLINK("https://klasma.github.io/Logging_2184/tillsyn/A 31802-2025 tillsynsbegäran.docx", "A 31802-2025")</f>
        <v/>
      </c>
      <c r="Y433">
        <f>HYPERLINK("https://klasma.github.io/Logging_2184/tillsynsmail/A 31802-2025 tillsynsbegäran mail.docx", "A 31802-2025")</f>
        <v/>
      </c>
    </row>
    <row r="434" ht="15" customHeight="1">
      <c r="A434" t="inlineStr">
        <is>
          <t>A 32035-2025</t>
        </is>
      </c>
      <c r="B434" s="1" t="n">
        <v>45835.42466435185</v>
      </c>
      <c r="C434" s="1" t="n">
        <v>45911</v>
      </c>
      <c r="D434" t="inlineStr">
        <is>
          <t>GÄVLEBORGS LÄN</t>
        </is>
      </c>
      <c r="E434" t="inlineStr">
        <is>
          <t>NORDANSTIG</t>
        </is>
      </c>
      <c r="G434" t="n">
        <v>6.6</v>
      </c>
      <c r="H434" t="n">
        <v>1</v>
      </c>
      <c r="I434" t="n">
        <v>0</v>
      </c>
      <c r="J434" t="n">
        <v>0</v>
      </c>
      <c r="K434" t="n">
        <v>0</v>
      </c>
      <c r="L434" t="n">
        <v>0</v>
      </c>
      <c r="M434" t="n">
        <v>0</v>
      </c>
      <c r="N434" t="n">
        <v>0</v>
      </c>
      <c r="O434" t="n">
        <v>0</v>
      </c>
      <c r="P434" t="n">
        <v>0</v>
      </c>
      <c r="Q434" t="n">
        <v>1</v>
      </c>
      <c r="R434" s="2" t="inlineStr">
        <is>
          <t>Revlummer</t>
        </is>
      </c>
      <c r="S434">
        <f>HYPERLINK("https://klasma.github.io/Logging_2132/artfynd/A 32035-2025 artfynd.xlsx", "A 32035-2025")</f>
        <v/>
      </c>
      <c r="T434">
        <f>HYPERLINK("https://klasma.github.io/Logging_2132/kartor/A 32035-2025 karta.png", "A 32035-2025")</f>
        <v/>
      </c>
      <c r="V434">
        <f>HYPERLINK("https://klasma.github.io/Logging_2132/klagomål/A 32035-2025 FSC-klagomål.docx", "A 32035-2025")</f>
        <v/>
      </c>
      <c r="W434">
        <f>HYPERLINK("https://klasma.github.io/Logging_2132/klagomålsmail/A 32035-2025 FSC-klagomål mail.docx", "A 32035-2025")</f>
        <v/>
      </c>
      <c r="X434">
        <f>HYPERLINK("https://klasma.github.io/Logging_2132/tillsyn/A 32035-2025 tillsynsbegäran.docx", "A 32035-2025")</f>
        <v/>
      </c>
      <c r="Y434">
        <f>HYPERLINK("https://klasma.github.io/Logging_2132/tillsynsmail/A 32035-2025 tillsynsbegäran mail.docx", "A 32035-2025")</f>
        <v/>
      </c>
    </row>
    <row r="435" ht="15" customHeight="1">
      <c r="A435" t="inlineStr">
        <is>
          <t>A 32254-2025</t>
        </is>
      </c>
      <c r="B435" s="1" t="n">
        <v>45835.6319212963</v>
      </c>
      <c r="C435" s="1" t="n">
        <v>45911</v>
      </c>
      <c r="D435" t="inlineStr">
        <is>
          <t>GÄVLEBORGS LÄN</t>
        </is>
      </c>
      <c r="E435" t="inlineStr">
        <is>
          <t>OVANÅKER</t>
        </is>
      </c>
      <c r="F435" t="inlineStr">
        <is>
          <t>Bergvik skog öst AB</t>
        </is>
      </c>
      <c r="G435" t="n">
        <v>3.8</v>
      </c>
      <c r="H435" t="n">
        <v>1</v>
      </c>
      <c r="I435" t="n">
        <v>0</v>
      </c>
      <c r="J435" t="n">
        <v>0</v>
      </c>
      <c r="K435" t="n">
        <v>0</v>
      </c>
      <c r="L435" t="n">
        <v>0</v>
      </c>
      <c r="M435" t="n">
        <v>0</v>
      </c>
      <c r="N435" t="n">
        <v>0</v>
      </c>
      <c r="O435" t="n">
        <v>0</v>
      </c>
      <c r="P435" t="n">
        <v>0</v>
      </c>
      <c r="Q435" t="n">
        <v>1</v>
      </c>
      <c r="R435" s="2" t="inlineStr">
        <is>
          <t>Revlummer</t>
        </is>
      </c>
      <c r="S435">
        <f>HYPERLINK("https://klasma.github.io/Logging_2121/artfynd/A 32254-2025 artfynd.xlsx", "A 32254-2025")</f>
        <v/>
      </c>
      <c r="T435">
        <f>HYPERLINK("https://klasma.github.io/Logging_2121/kartor/A 32254-2025 karta.png", "A 32254-2025")</f>
        <v/>
      </c>
      <c r="V435">
        <f>HYPERLINK("https://klasma.github.io/Logging_2121/klagomål/A 32254-2025 FSC-klagomål.docx", "A 32254-2025")</f>
        <v/>
      </c>
      <c r="W435">
        <f>HYPERLINK("https://klasma.github.io/Logging_2121/klagomålsmail/A 32254-2025 FSC-klagomål mail.docx", "A 32254-2025")</f>
        <v/>
      </c>
      <c r="X435">
        <f>HYPERLINK("https://klasma.github.io/Logging_2121/tillsyn/A 32254-2025 tillsynsbegäran.docx", "A 32254-2025")</f>
        <v/>
      </c>
      <c r="Y435">
        <f>HYPERLINK("https://klasma.github.io/Logging_2121/tillsynsmail/A 32254-2025 tillsynsbegäran mail.docx", "A 32254-2025")</f>
        <v/>
      </c>
    </row>
    <row r="436" ht="15" customHeight="1">
      <c r="A436" t="inlineStr">
        <is>
          <t>A 32152-2025</t>
        </is>
      </c>
      <c r="B436" s="1" t="n">
        <v>45835.53287037037</v>
      </c>
      <c r="C436" s="1" t="n">
        <v>45911</v>
      </c>
      <c r="D436" t="inlineStr">
        <is>
          <t>GÄVLEBORGS LÄN</t>
        </is>
      </c>
      <c r="E436" t="inlineStr">
        <is>
          <t>LJUSDAL</t>
        </is>
      </c>
      <c r="F436" t="inlineStr">
        <is>
          <t>Allmännings- och besparingsskogar</t>
        </is>
      </c>
      <c r="G436" t="n">
        <v>3.1</v>
      </c>
      <c r="H436" t="n">
        <v>1</v>
      </c>
      <c r="I436" t="n">
        <v>0</v>
      </c>
      <c r="J436" t="n">
        <v>1</v>
      </c>
      <c r="K436" t="n">
        <v>0</v>
      </c>
      <c r="L436" t="n">
        <v>0</v>
      </c>
      <c r="M436" t="n">
        <v>0</v>
      </c>
      <c r="N436" t="n">
        <v>0</v>
      </c>
      <c r="O436" t="n">
        <v>1</v>
      </c>
      <c r="P436" t="n">
        <v>0</v>
      </c>
      <c r="Q436" t="n">
        <v>1</v>
      </c>
      <c r="R436" s="2" t="inlineStr">
        <is>
          <t>Talltita</t>
        </is>
      </c>
      <c r="S436">
        <f>HYPERLINK("https://klasma.github.io/Logging_2161/artfynd/A 32152-2025 artfynd.xlsx", "A 32152-2025")</f>
        <v/>
      </c>
      <c r="T436">
        <f>HYPERLINK("https://klasma.github.io/Logging_2161/kartor/A 32152-2025 karta.png", "A 32152-2025")</f>
        <v/>
      </c>
      <c r="V436">
        <f>HYPERLINK("https://klasma.github.io/Logging_2161/klagomål/A 32152-2025 FSC-klagomål.docx", "A 32152-2025")</f>
        <v/>
      </c>
      <c r="W436">
        <f>HYPERLINK("https://klasma.github.io/Logging_2161/klagomålsmail/A 32152-2025 FSC-klagomål mail.docx", "A 32152-2025")</f>
        <v/>
      </c>
      <c r="X436">
        <f>HYPERLINK("https://klasma.github.io/Logging_2161/tillsyn/A 32152-2025 tillsynsbegäran.docx", "A 32152-2025")</f>
        <v/>
      </c>
      <c r="Y436">
        <f>HYPERLINK("https://klasma.github.io/Logging_2161/tillsynsmail/A 32152-2025 tillsynsbegäran mail.docx", "A 32152-2025")</f>
        <v/>
      </c>
      <c r="Z436">
        <f>HYPERLINK("https://klasma.github.io/Logging_2161/fåglar/A 32152-2025 prioriterade fågelarter.docx", "A 32152-2025")</f>
        <v/>
      </c>
    </row>
    <row r="437" ht="15" customHeight="1">
      <c r="A437" t="inlineStr">
        <is>
          <t>A 32489-2025</t>
        </is>
      </c>
      <c r="B437" s="1" t="n">
        <v>45838</v>
      </c>
      <c r="C437" s="1" t="n">
        <v>45911</v>
      </c>
      <c r="D437" t="inlineStr">
        <is>
          <t>GÄVLEBORGS LÄN</t>
        </is>
      </c>
      <c r="E437" t="inlineStr">
        <is>
          <t>LJUSDAL</t>
        </is>
      </c>
      <c r="F437" t="inlineStr">
        <is>
          <t>Allmännings- och besparingsskogar</t>
        </is>
      </c>
      <c r="G437" t="n">
        <v>21</v>
      </c>
      <c r="H437" t="n">
        <v>0</v>
      </c>
      <c r="I437" t="n">
        <v>0</v>
      </c>
      <c r="J437" t="n">
        <v>1</v>
      </c>
      <c r="K437" t="n">
        <v>0</v>
      </c>
      <c r="L437" t="n">
        <v>0</v>
      </c>
      <c r="M437" t="n">
        <v>0</v>
      </c>
      <c r="N437" t="n">
        <v>0</v>
      </c>
      <c r="O437" t="n">
        <v>1</v>
      </c>
      <c r="P437" t="n">
        <v>0</v>
      </c>
      <c r="Q437" t="n">
        <v>1</v>
      </c>
      <c r="R437" s="2" t="inlineStr">
        <is>
          <t>Garnlav</t>
        </is>
      </c>
      <c r="S437">
        <f>HYPERLINK("https://klasma.github.io/Logging_2161/artfynd/A 32489-2025 artfynd.xlsx", "A 32489-2025")</f>
        <v/>
      </c>
      <c r="T437">
        <f>HYPERLINK("https://klasma.github.io/Logging_2161/kartor/A 32489-2025 karta.png", "A 32489-2025")</f>
        <v/>
      </c>
      <c r="V437">
        <f>HYPERLINK("https://klasma.github.io/Logging_2161/klagomål/A 32489-2025 FSC-klagomål.docx", "A 32489-2025")</f>
        <v/>
      </c>
      <c r="W437">
        <f>HYPERLINK("https://klasma.github.io/Logging_2161/klagomålsmail/A 32489-2025 FSC-klagomål mail.docx", "A 32489-2025")</f>
        <v/>
      </c>
      <c r="X437">
        <f>HYPERLINK("https://klasma.github.io/Logging_2161/tillsyn/A 32489-2025 tillsynsbegäran.docx", "A 32489-2025")</f>
        <v/>
      </c>
      <c r="Y437">
        <f>HYPERLINK("https://klasma.github.io/Logging_2161/tillsynsmail/A 32489-2025 tillsynsbegäran mail.docx", "A 32489-2025")</f>
        <v/>
      </c>
    </row>
    <row r="438" ht="15" customHeight="1">
      <c r="A438" t="inlineStr">
        <is>
          <t>A 35080-2023</t>
        </is>
      </c>
      <c r="B438" s="1" t="n">
        <v>45145.42868055555</v>
      </c>
      <c r="C438" s="1" t="n">
        <v>45911</v>
      </c>
      <c r="D438" t="inlineStr">
        <is>
          <t>GÄVLEBORGS LÄN</t>
        </is>
      </c>
      <c r="E438" t="inlineStr">
        <is>
          <t>LJUSDAL</t>
        </is>
      </c>
      <c r="F438" t="inlineStr">
        <is>
          <t>Sveaskog</t>
        </is>
      </c>
      <c r="G438" t="n">
        <v>2.9</v>
      </c>
      <c r="H438" t="n">
        <v>0</v>
      </c>
      <c r="I438" t="n">
        <v>0</v>
      </c>
      <c r="J438" t="n">
        <v>1</v>
      </c>
      <c r="K438" t="n">
        <v>0</v>
      </c>
      <c r="L438" t="n">
        <v>0</v>
      </c>
      <c r="M438" t="n">
        <v>0</v>
      </c>
      <c r="N438" t="n">
        <v>0</v>
      </c>
      <c r="O438" t="n">
        <v>1</v>
      </c>
      <c r="P438" t="n">
        <v>0</v>
      </c>
      <c r="Q438" t="n">
        <v>1</v>
      </c>
      <c r="R438" s="2" t="inlineStr">
        <is>
          <t>Vedflamlav</t>
        </is>
      </c>
      <c r="S438">
        <f>HYPERLINK("https://klasma.github.io/Logging_2161/artfynd/A 35080-2023 artfynd.xlsx", "A 35080-2023")</f>
        <v/>
      </c>
      <c r="T438">
        <f>HYPERLINK("https://klasma.github.io/Logging_2161/kartor/A 35080-2023 karta.png", "A 35080-2023")</f>
        <v/>
      </c>
      <c r="V438">
        <f>HYPERLINK("https://klasma.github.io/Logging_2161/klagomål/A 35080-2023 FSC-klagomål.docx", "A 35080-2023")</f>
        <v/>
      </c>
      <c r="W438">
        <f>HYPERLINK("https://klasma.github.io/Logging_2161/klagomålsmail/A 35080-2023 FSC-klagomål mail.docx", "A 35080-2023")</f>
        <v/>
      </c>
      <c r="X438">
        <f>HYPERLINK("https://klasma.github.io/Logging_2161/tillsyn/A 35080-2023 tillsynsbegäran.docx", "A 35080-2023")</f>
        <v/>
      </c>
      <c r="Y438">
        <f>HYPERLINK("https://klasma.github.io/Logging_2161/tillsynsmail/A 35080-2023 tillsynsbegäran mail.docx", "A 35080-2023")</f>
        <v/>
      </c>
    </row>
    <row r="439" ht="15" customHeight="1">
      <c r="A439" t="inlineStr">
        <is>
          <t>A 51232-2023</t>
        </is>
      </c>
      <c r="B439" s="1" t="n">
        <v>45219.4621412037</v>
      </c>
      <c r="C439" s="1" t="n">
        <v>45911</v>
      </c>
      <c r="D439" t="inlineStr">
        <is>
          <t>GÄVLEBORGS LÄN</t>
        </is>
      </c>
      <c r="E439" t="inlineStr">
        <is>
          <t>LJUSDAL</t>
        </is>
      </c>
      <c r="F439" t="inlineStr">
        <is>
          <t>Sveaskog</t>
        </is>
      </c>
      <c r="G439" t="n">
        <v>1.9</v>
      </c>
      <c r="H439" t="n">
        <v>0</v>
      </c>
      <c r="I439" t="n">
        <v>0</v>
      </c>
      <c r="J439" t="n">
        <v>1</v>
      </c>
      <c r="K439" t="n">
        <v>0</v>
      </c>
      <c r="L439" t="n">
        <v>0</v>
      </c>
      <c r="M439" t="n">
        <v>0</v>
      </c>
      <c r="N439" t="n">
        <v>0</v>
      </c>
      <c r="O439" t="n">
        <v>1</v>
      </c>
      <c r="P439" t="n">
        <v>0</v>
      </c>
      <c r="Q439" t="n">
        <v>1</v>
      </c>
      <c r="R439" s="2" t="inlineStr">
        <is>
          <t>Lunglav</t>
        </is>
      </c>
      <c r="S439">
        <f>HYPERLINK("https://klasma.github.io/Logging_2161/artfynd/A 51232-2023 artfynd.xlsx", "A 51232-2023")</f>
        <v/>
      </c>
      <c r="T439">
        <f>HYPERLINK("https://klasma.github.io/Logging_2161/kartor/A 51232-2023 karta.png", "A 51232-2023")</f>
        <v/>
      </c>
      <c r="V439">
        <f>HYPERLINK("https://klasma.github.io/Logging_2161/klagomål/A 51232-2023 FSC-klagomål.docx", "A 51232-2023")</f>
        <v/>
      </c>
      <c r="W439">
        <f>HYPERLINK("https://klasma.github.io/Logging_2161/klagomålsmail/A 51232-2023 FSC-klagomål mail.docx", "A 51232-2023")</f>
        <v/>
      </c>
      <c r="X439">
        <f>HYPERLINK("https://klasma.github.io/Logging_2161/tillsyn/A 51232-2023 tillsynsbegäran.docx", "A 51232-2023")</f>
        <v/>
      </c>
      <c r="Y439">
        <f>HYPERLINK("https://klasma.github.io/Logging_2161/tillsynsmail/A 51232-2023 tillsynsbegäran mail.docx", "A 51232-2023")</f>
        <v/>
      </c>
    </row>
    <row r="440" ht="15" customHeight="1">
      <c r="A440" t="inlineStr">
        <is>
          <t>A 33075-2025</t>
        </is>
      </c>
      <c r="B440" s="1" t="n">
        <v>45840.45563657407</v>
      </c>
      <c r="C440" s="1" t="n">
        <v>45911</v>
      </c>
      <c r="D440" t="inlineStr">
        <is>
          <t>GÄVLEBORGS LÄN</t>
        </is>
      </c>
      <c r="E440" t="inlineStr">
        <is>
          <t>OCKELBO</t>
        </is>
      </c>
      <c r="F440" t="inlineStr">
        <is>
          <t>Bergvik skog väst AB</t>
        </is>
      </c>
      <c r="G440" t="n">
        <v>15.7</v>
      </c>
      <c r="H440" t="n">
        <v>1</v>
      </c>
      <c r="I440" t="n">
        <v>1</v>
      </c>
      <c r="J440" t="n">
        <v>0</v>
      </c>
      <c r="K440" t="n">
        <v>0</v>
      </c>
      <c r="L440" t="n">
        <v>0</v>
      </c>
      <c r="M440" t="n">
        <v>0</v>
      </c>
      <c r="N440" t="n">
        <v>0</v>
      </c>
      <c r="O440" t="n">
        <v>0</v>
      </c>
      <c r="P440" t="n">
        <v>0</v>
      </c>
      <c r="Q440" t="n">
        <v>1</v>
      </c>
      <c r="R440" s="2" t="inlineStr">
        <is>
          <t>Grön sköldmossa</t>
        </is>
      </c>
      <c r="S440">
        <f>HYPERLINK("https://klasma.github.io/Logging_2101/artfynd/A 33075-2025 artfynd.xlsx", "A 33075-2025")</f>
        <v/>
      </c>
      <c r="T440">
        <f>HYPERLINK("https://klasma.github.io/Logging_2101/kartor/A 33075-2025 karta.png", "A 33075-2025")</f>
        <v/>
      </c>
      <c r="V440">
        <f>HYPERLINK("https://klasma.github.io/Logging_2101/klagomål/A 33075-2025 FSC-klagomål.docx", "A 33075-2025")</f>
        <v/>
      </c>
      <c r="W440">
        <f>HYPERLINK("https://klasma.github.io/Logging_2101/klagomålsmail/A 33075-2025 FSC-klagomål mail.docx", "A 33075-2025")</f>
        <v/>
      </c>
      <c r="X440">
        <f>HYPERLINK("https://klasma.github.io/Logging_2101/tillsyn/A 33075-2025 tillsynsbegäran.docx", "A 33075-2025")</f>
        <v/>
      </c>
      <c r="Y440">
        <f>HYPERLINK("https://klasma.github.io/Logging_2101/tillsynsmail/A 33075-2025 tillsynsbegäran mail.docx", "A 33075-2025")</f>
        <v/>
      </c>
    </row>
    <row r="441" ht="15" customHeight="1">
      <c r="A441" t="inlineStr">
        <is>
          <t>A 17653-2025</t>
        </is>
      </c>
      <c r="B441" s="1" t="n">
        <v>45758.33842592593</v>
      </c>
      <c r="C441" s="1" t="n">
        <v>45911</v>
      </c>
      <c r="D441" t="inlineStr">
        <is>
          <t>GÄVLEBORGS LÄN</t>
        </is>
      </c>
      <c r="E441" t="inlineStr">
        <is>
          <t>SANDVIKEN</t>
        </is>
      </c>
      <c r="F441" t="inlineStr">
        <is>
          <t>Bergvik skog öst AB</t>
        </is>
      </c>
      <c r="G441" t="n">
        <v>2.5</v>
      </c>
      <c r="H441" t="n">
        <v>1</v>
      </c>
      <c r="I441" t="n">
        <v>0</v>
      </c>
      <c r="J441" t="n">
        <v>0</v>
      </c>
      <c r="K441" t="n">
        <v>0</v>
      </c>
      <c r="L441" t="n">
        <v>0</v>
      </c>
      <c r="M441" t="n">
        <v>0</v>
      </c>
      <c r="N441" t="n">
        <v>0</v>
      </c>
      <c r="O441" t="n">
        <v>0</v>
      </c>
      <c r="P441" t="n">
        <v>0</v>
      </c>
      <c r="Q441" t="n">
        <v>1</v>
      </c>
      <c r="R441" s="2" t="inlineStr">
        <is>
          <t>Mattlummer</t>
        </is>
      </c>
      <c r="S441">
        <f>HYPERLINK("https://klasma.github.io/Logging_2181/artfynd/A 17653-2025 artfynd.xlsx", "A 17653-2025")</f>
        <v/>
      </c>
      <c r="T441">
        <f>HYPERLINK("https://klasma.github.io/Logging_2181/kartor/A 17653-2025 karta.png", "A 17653-2025")</f>
        <v/>
      </c>
      <c r="V441">
        <f>HYPERLINK("https://klasma.github.io/Logging_2181/klagomål/A 17653-2025 FSC-klagomål.docx", "A 17653-2025")</f>
        <v/>
      </c>
      <c r="W441">
        <f>HYPERLINK("https://klasma.github.io/Logging_2181/klagomålsmail/A 17653-2025 FSC-klagomål mail.docx", "A 17653-2025")</f>
        <v/>
      </c>
      <c r="X441">
        <f>HYPERLINK("https://klasma.github.io/Logging_2181/tillsyn/A 17653-2025 tillsynsbegäran.docx", "A 17653-2025")</f>
        <v/>
      </c>
      <c r="Y441">
        <f>HYPERLINK("https://klasma.github.io/Logging_2181/tillsynsmail/A 17653-2025 tillsynsbegäran mail.docx", "A 17653-2025")</f>
        <v/>
      </c>
    </row>
    <row r="442" ht="15" customHeight="1">
      <c r="A442" t="inlineStr">
        <is>
          <t>A 47459-2023</t>
        </is>
      </c>
      <c r="B442" s="1" t="n">
        <v>45202.83313657407</v>
      </c>
      <c r="C442" s="1" t="n">
        <v>45911</v>
      </c>
      <c r="D442" t="inlineStr">
        <is>
          <t>GÄVLEBORGS LÄN</t>
        </is>
      </c>
      <c r="E442" t="inlineStr">
        <is>
          <t>HOFORS</t>
        </is>
      </c>
      <c r="G442" t="n">
        <v>6</v>
      </c>
      <c r="H442" t="n">
        <v>0</v>
      </c>
      <c r="I442" t="n">
        <v>1</v>
      </c>
      <c r="J442" t="n">
        <v>0</v>
      </c>
      <c r="K442" t="n">
        <v>0</v>
      </c>
      <c r="L442" t="n">
        <v>0</v>
      </c>
      <c r="M442" t="n">
        <v>0</v>
      </c>
      <c r="N442" t="n">
        <v>0</v>
      </c>
      <c r="O442" t="n">
        <v>0</v>
      </c>
      <c r="P442" t="n">
        <v>0</v>
      </c>
      <c r="Q442" t="n">
        <v>1</v>
      </c>
      <c r="R442" s="2" t="inlineStr">
        <is>
          <t>Grönpyrola</t>
        </is>
      </c>
      <c r="S442">
        <f>HYPERLINK("https://klasma.github.io/Logging_2104/artfynd/A 47459-2023 artfynd.xlsx", "A 47459-2023")</f>
        <v/>
      </c>
      <c r="T442">
        <f>HYPERLINK("https://klasma.github.io/Logging_2104/kartor/A 47459-2023 karta.png", "A 47459-2023")</f>
        <v/>
      </c>
      <c r="V442">
        <f>HYPERLINK("https://klasma.github.io/Logging_2104/klagomål/A 47459-2023 FSC-klagomål.docx", "A 47459-2023")</f>
        <v/>
      </c>
      <c r="W442">
        <f>HYPERLINK("https://klasma.github.io/Logging_2104/klagomålsmail/A 47459-2023 FSC-klagomål mail.docx", "A 47459-2023")</f>
        <v/>
      </c>
      <c r="X442">
        <f>HYPERLINK("https://klasma.github.io/Logging_2104/tillsyn/A 47459-2023 tillsynsbegäran.docx", "A 47459-2023")</f>
        <v/>
      </c>
      <c r="Y442">
        <f>HYPERLINK("https://klasma.github.io/Logging_2104/tillsynsmail/A 47459-2023 tillsynsbegäran mail.docx", "A 47459-2023")</f>
        <v/>
      </c>
    </row>
    <row r="443" ht="15" customHeight="1">
      <c r="A443" t="inlineStr">
        <is>
          <t>A 22731-2022</t>
        </is>
      </c>
      <c r="B443" s="1" t="n">
        <v>44714.65887731482</v>
      </c>
      <c r="C443" s="1" t="n">
        <v>45911</v>
      </c>
      <c r="D443" t="inlineStr">
        <is>
          <t>GÄVLEBORGS LÄN</t>
        </is>
      </c>
      <c r="E443" t="inlineStr">
        <is>
          <t>BOLLNÄS</t>
        </is>
      </c>
      <c r="G443" t="n">
        <v>3.1</v>
      </c>
      <c r="H443" t="n">
        <v>0</v>
      </c>
      <c r="I443" t="n">
        <v>0</v>
      </c>
      <c r="J443" t="n">
        <v>1</v>
      </c>
      <c r="K443" t="n">
        <v>0</v>
      </c>
      <c r="L443" t="n">
        <v>0</v>
      </c>
      <c r="M443" t="n">
        <v>0</v>
      </c>
      <c r="N443" t="n">
        <v>0</v>
      </c>
      <c r="O443" t="n">
        <v>1</v>
      </c>
      <c r="P443" t="n">
        <v>0</v>
      </c>
      <c r="Q443" t="n">
        <v>1</v>
      </c>
      <c r="R443" s="2" t="inlineStr">
        <is>
          <t>Brunklöver</t>
        </is>
      </c>
      <c r="S443">
        <f>HYPERLINK("https://klasma.github.io/Logging_2183/artfynd/A 22731-2022 artfynd.xlsx", "A 22731-2022")</f>
        <v/>
      </c>
      <c r="T443">
        <f>HYPERLINK("https://klasma.github.io/Logging_2183/kartor/A 22731-2022 karta.png", "A 22731-2022")</f>
        <v/>
      </c>
      <c r="V443">
        <f>HYPERLINK("https://klasma.github.io/Logging_2183/klagomål/A 22731-2022 FSC-klagomål.docx", "A 22731-2022")</f>
        <v/>
      </c>
      <c r="W443">
        <f>HYPERLINK("https://klasma.github.io/Logging_2183/klagomålsmail/A 22731-2022 FSC-klagomål mail.docx", "A 22731-2022")</f>
        <v/>
      </c>
      <c r="X443">
        <f>HYPERLINK("https://klasma.github.io/Logging_2183/tillsyn/A 22731-2022 tillsynsbegäran.docx", "A 22731-2022")</f>
        <v/>
      </c>
      <c r="Y443">
        <f>HYPERLINK("https://klasma.github.io/Logging_2183/tillsynsmail/A 22731-2022 tillsynsbegäran mail.docx", "A 22731-2022")</f>
        <v/>
      </c>
    </row>
    <row r="444" ht="15" customHeight="1">
      <c r="A444" t="inlineStr">
        <is>
          <t>A 38105-2025</t>
        </is>
      </c>
      <c r="B444" s="1" t="n">
        <v>45882</v>
      </c>
      <c r="C444" s="1" t="n">
        <v>45911</v>
      </c>
      <c r="D444" t="inlineStr">
        <is>
          <t>GÄVLEBORGS LÄN</t>
        </is>
      </c>
      <c r="E444" t="inlineStr">
        <is>
          <t>LJUSDAL</t>
        </is>
      </c>
      <c r="F444" t="inlineStr">
        <is>
          <t>Bergvik skog väst AB</t>
        </is>
      </c>
      <c r="G444" t="n">
        <v>11.7</v>
      </c>
      <c r="H444" t="n">
        <v>0</v>
      </c>
      <c r="I444" t="n">
        <v>0</v>
      </c>
      <c r="J444" t="n">
        <v>1</v>
      </c>
      <c r="K444" t="n">
        <v>0</v>
      </c>
      <c r="L444" t="n">
        <v>0</v>
      </c>
      <c r="M444" t="n">
        <v>0</v>
      </c>
      <c r="N444" t="n">
        <v>0</v>
      </c>
      <c r="O444" t="n">
        <v>1</v>
      </c>
      <c r="P444" t="n">
        <v>0</v>
      </c>
      <c r="Q444" t="n">
        <v>1</v>
      </c>
      <c r="R444" s="2" t="inlineStr">
        <is>
          <t>Lunglav</t>
        </is>
      </c>
      <c r="S444">
        <f>HYPERLINK("https://klasma.github.io/Logging_2161/artfynd/A 38105-2025 artfynd.xlsx", "A 38105-2025")</f>
        <v/>
      </c>
      <c r="T444">
        <f>HYPERLINK("https://klasma.github.io/Logging_2161/kartor/A 38105-2025 karta.png", "A 38105-2025")</f>
        <v/>
      </c>
      <c r="V444">
        <f>HYPERLINK("https://klasma.github.io/Logging_2161/klagomål/A 38105-2025 FSC-klagomål.docx", "A 38105-2025")</f>
        <v/>
      </c>
      <c r="W444">
        <f>HYPERLINK("https://klasma.github.io/Logging_2161/klagomålsmail/A 38105-2025 FSC-klagomål mail.docx", "A 38105-2025")</f>
        <v/>
      </c>
      <c r="X444">
        <f>HYPERLINK("https://klasma.github.io/Logging_2161/tillsyn/A 38105-2025 tillsynsbegäran.docx", "A 38105-2025")</f>
        <v/>
      </c>
      <c r="Y444">
        <f>HYPERLINK("https://klasma.github.io/Logging_2161/tillsynsmail/A 38105-2025 tillsynsbegäran mail.docx", "A 38105-2025")</f>
        <v/>
      </c>
    </row>
    <row r="445" ht="15" customHeight="1">
      <c r="A445" t="inlineStr">
        <is>
          <t>A 24831-2024</t>
        </is>
      </c>
      <c r="B445" s="1" t="n">
        <v>45461.37734953704</v>
      </c>
      <c r="C445" s="1" t="n">
        <v>45911</v>
      </c>
      <c r="D445" t="inlineStr">
        <is>
          <t>GÄVLEBORGS LÄN</t>
        </is>
      </c>
      <c r="E445" t="inlineStr">
        <is>
          <t>LJUSDAL</t>
        </is>
      </c>
      <c r="G445" t="n">
        <v>4.9</v>
      </c>
      <c r="H445" t="n">
        <v>0</v>
      </c>
      <c r="I445" t="n">
        <v>0</v>
      </c>
      <c r="J445" t="n">
        <v>1</v>
      </c>
      <c r="K445" t="n">
        <v>0</v>
      </c>
      <c r="L445" t="n">
        <v>0</v>
      </c>
      <c r="M445" t="n">
        <v>0</v>
      </c>
      <c r="N445" t="n">
        <v>0</v>
      </c>
      <c r="O445" t="n">
        <v>1</v>
      </c>
      <c r="P445" t="n">
        <v>0</v>
      </c>
      <c r="Q445" t="n">
        <v>1</v>
      </c>
      <c r="R445" s="2" t="inlineStr">
        <is>
          <t>Lunglav</t>
        </is>
      </c>
      <c r="S445">
        <f>HYPERLINK("https://klasma.github.io/Logging_2161/artfynd/A 24831-2024 artfynd.xlsx", "A 24831-2024")</f>
        <v/>
      </c>
      <c r="T445">
        <f>HYPERLINK("https://klasma.github.io/Logging_2161/kartor/A 24831-2024 karta.png", "A 24831-2024")</f>
        <v/>
      </c>
      <c r="V445">
        <f>HYPERLINK("https://klasma.github.io/Logging_2161/klagomål/A 24831-2024 FSC-klagomål.docx", "A 24831-2024")</f>
        <v/>
      </c>
      <c r="W445">
        <f>HYPERLINK("https://klasma.github.io/Logging_2161/klagomålsmail/A 24831-2024 FSC-klagomål mail.docx", "A 24831-2024")</f>
        <v/>
      </c>
      <c r="X445">
        <f>HYPERLINK("https://klasma.github.io/Logging_2161/tillsyn/A 24831-2024 tillsynsbegäran.docx", "A 24831-2024")</f>
        <v/>
      </c>
      <c r="Y445">
        <f>HYPERLINK("https://klasma.github.io/Logging_2161/tillsynsmail/A 24831-2024 tillsynsbegäran mail.docx", "A 24831-2024")</f>
        <v/>
      </c>
    </row>
    <row r="446" ht="15" customHeight="1">
      <c r="A446" t="inlineStr">
        <is>
          <t>A 33933-2025</t>
        </is>
      </c>
      <c r="B446" s="1" t="n">
        <v>45842.63458333333</v>
      </c>
      <c r="C446" s="1" t="n">
        <v>45911</v>
      </c>
      <c r="D446" t="inlineStr">
        <is>
          <t>GÄVLEBORGS LÄN</t>
        </is>
      </c>
      <c r="E446" t="inlineStr">
        <is>
          <t>LJUSDAL</t>
        </is>
      </c>
      <c r="F446" t="inlineStr">
        <is>
          <t>Sveaskog</t>
        </is>
      </c>
      <c r="G446" t="n">
        <v>16.3</v>
      </c>
      <c r="H446" t="n">
        <v>1</v>
      </c>
      <c r="I446" t="n">
        <v>0</v>
      </c>
      <c r="J446" t="n">
        <v>0</v>
      </c>
      <c r="K446" t="n">
        <v>0</v>
      </c>
      <c r="L446" t="n">
        <v>0</v>
      </c>
      <c r="M446" t="n">
        <v>0</v>
      </c>
      <c r="N446" t="n">
        <v>0</v>
      </c>
      <c r="O446" t="n">
        <v>0</v>
      </c>
      <c r="P446" t="n">
        <v>0</v>
      </c>
      <c r="Q446" t="n">
        <v>1</v>
      </c>
      <c r="R446" s="2" t="inlineStr">
        <is>
          <t>Fläcknycklar</t>
        </is>
      </c>
      <c r="S446">
        <f>HYPERLINK("https://klasma.github.io/Logging_2161/artfynd/A 33933-2025 artfynd.xlsx", "A 33933-2025")</f>
        <v/>
      </c>
      <c r="T446">
        <f>HYPERLINK("https://klasma.github.io/Logging_2161/kartor/A 33933-2025 karta.png", "A 33933-2025")</f>
        <v/>
      </c>
      <c r="V446">
        <f>HYPERLINK("https://klasma.github.io/Logging_2161/klagomål/A 33933-2025 FSC-klagomål.docx", "A 33933-2025")</f>
        <v/>
      </c>
      <c r="W446">
        <f>HYPERLINK("https://klasma.github.io/Logging_2161/klagomålsmail/A 33933-2025 FSC-klagomål mail.docx", "A 33933-2025")</f>
        <v/>
      </c>
      <c r="X446">
        <f>HYPERLINK("https://klasma.github.io/Logging_2161/tillsyn/A 33933-2025 tillsynsbegäran.docx", "A 33933-2025")</f>
        <v/>
      </c>
      <c r="Y446">
        <f>HYPERLINK("https://klasma.github.io/Logging_2161/tillsynsmail/A 33933-2025 tillsynsbegäran mail.docx", "A 33933-2025")</f>
        <v/>
      </c>
    </row>
    <row r="447" ht="15" customHeight="1">
      <c r="A447" t="inlineStr">
        <is>
          <t>A 14667-2025</t>
        </is>
      </c>
      <c r="B447" s="1" t="n">
        <v>45742.53870370371</v>
      </c>
      <c r="C447" s="1" t="n">
        <v>45911</v>
      </c>
      <c r="D447" t="inlineStr">
        <is>
          <t>GÄVLEBORGS LÄN</t>
        </is>
      </c>
      <c r="E447" t="inlineStr">
        <is>
          <t>OCKELBO</t>
        </is>
      </c>
      <c r="F447" t="inlineStr">
        <is>
          <t>Bergvik skog väst AB</t>
        </is>
      </c>
      <c r="G447" t="n">
        <v>6.6</v>
      </c>
      <c r="H447" t="n">
        <v>1</v>
      </c>
      <c r="I447" t="n">
        <v>0</v>
      </c>
      <c r="J447" t="n">
        <v>0</v>
      </c>
      <c r="K447" t="n">
        <v>0</v>
      </c>
      <c r="L447" t="n">
        <v>0</v>
      </c>
      <c r="M447" t="n">
        <v>0</v>
      </c>
      <c r="N447" t="n">
        <v>0</v>
      </c>
      <c r="O447" t="n">
        <v>0</v>
      </c>
      <c r="P447" t="n">
        <v>0</v>
      </c>
      <c r="Q447" t="n">
        <v>1</v>
      </c>
      <c r="R447" s="2" t="inlineStr">
        <is>
          <t>Fläcknycklar</t>
        </is>
      </c>
      <c r="S447">
        <f>HYPERLINK("https://klasma.github.io/Logging_2101/artfynd/A 14667-2025 artfynd.xlsx", "A 14667-2025")</f>
        <v/>
      </c>
      <c r="T447">
        <f>HYPERLINK("https://klasma.github.io/Logging_2101/kartor/A 14667-2025 karta.png", "A 14667-2025")</f>
        <v/>
      </c>
      <c r="V447">
        <f>HYPERLINK("https://klasma.github.io/Logging_2101/klagomål/A 14667-2025 FSC-klagomål.docx", "A 14667-2025")</f>
        <v/>
      </c>
      <c r="W447">
        <f>HYPERLINK("https://klasma.github.io/Logging_2101/klagomålsmail/A 14667-2025 FSC-klagomål mail.docx", "A 14667-2025")</f>
        <v/>
      </c>
      <c r="X447">
        <f>HYPERLINK("https://klasma.github.io/Logging_2101/tillsyn/A 14667-2025 tillsynsbegäran.docx", "A 14667-2025")</f>
        <v/>
      </c>
      <c r="Y447">
        <f>HYPERLINK("https://klasma.github.io/Logging_2101/tillsynsmail/A 14667-2025 tillsynsbegäran mail.docx", "A 14667-2025")</f>
        <v/>
      </c>
    </row>
    <row r="448" ht="15" customHeight="1">
      <c r="A448" t="inlineStr">
        <is>
          <t>A 17435-2025</t>
        </is>
      </c>
      <c r="B448" s="1" t="n">
        <v>45757.41109953704</v>
      </c>
      <c r="C448" s="1" t="n">
        <v>45911</v>
      </c>
      <c r="D448" t="inlineStr">
        <is>
          <t>GÄVLEBORGS LÄN</t>
        </is>
      </c>
      <c r="E448" t="inlineStr">
        <is>
          <t>LJUSDAL</t>
        </is>
      </c>
      <c r="F448" t="inlineStr">
        <is>
          <t>Bergvik skog väst AB</t>
        </is>
      </c>
      <c r="G448" t="n">
        <v>1.9</v>
      </c>
      <c r="H448" t="n">
        <v>0</v>
      </c>
      <c r="I448" t="n">
        <v>0</v>
      </c>
      <c r="J448" t="n">
        <v>1</v>
      </c>
      <c r="K448" t="n">
        <v>0</v>
      </c>
      <c r="L448" t="n">
        <v>0</v>
      </c>
      <c r="M448" t="n">
        <v>0</v>
      </c>
      <c r="N448" t="n">
        <v>0</v>
      </c>
      <c r="O448" t="n">
        <v>1</v>
      </c>
      <c r="P448" t="n">
        <v>0</v>
      </c>
      <c r="Q448" t="n">
        <v>1</v>
      </c>
      <c r="R448" s="2" t="inlineStr">
        <is>
          <t>Lunglav</t>
        </is>
      </c>
      <c r="S448">
        <f>HYPERLINK("https://klasma.github.io/Logging_2161/artfynd/A 17435-2025 artfynd.xlsx", "A 17435-2025")</f>
        <v/>
      </c>
      <c r="T448">
        <f>HYPERLINK("https://klasma.github.io/Logging_2161/kartor/A 17435-2025 karta.png", "A 17435-2025")</f>
        <v/>
      </c>
      <c r="V448">
        <f>HYPERLINK("https://klasma.github.io/Logging_2161/klagomål/A 17435-2025 FSC-klagomål.docx", "A 17435-2025")</f>
        <v/>
      </c>
      <c r="W448">
        <f>HYPERLINK("https://klasma.github.io/Logging_2161/klagomålsmail/A 17435-2025 FSC-klagomål mail.docx", "A 17435-2025")</f>
        <v/>
      </c>
      <c r="X448">
        <f>HYPERLINK("https://klasma.github.io/Logging_2161/tillsyn/A 17435-2025 tillsynsbegäran.docx", "A 17435-2025")</f>
        <v/>
      </c>
      <c r="Y448">
        <f>HYPERLINK("https://klasma.github.io/Logging_2161/tillsynsmail/A 17435-2025 tillsynsbegäran mail.docx", "A 17435-2025")</f>
        <v/>
      </c>
    </row>
    <row r="449" ht="15" customHeight="1">
      <c r="A449" t="inlineStr">
        <is>
          <t>A 38496-2025</t>
        </is>
      </c>
      <c r="B449" s="1" t="n">
        <v>45884</v>
      </c>
      <c r="C449" s="1" t="n">
        <v>45911</v>
      </c>
      <c r="D449" t="inlineStr">
        <is>
          <t>GÄVLEBORGS LÄN</t>
        </is>
      </c>
      <c r="E449" t="inlineStr">
        <is>
          <t>HUDIKSVALL</t>
        </is>
      </c>
      <c r="G449" t="n">
        <v>42.9</v>
      </c>
      <c r="H449" t="n">
        <v>1</v>
      </c>
      <c r="I449" t="n">
        <v>0</v>
      </c>
      <c r="J449" t="n">
        <v>0</v>
      </c>
      <c r="K449" t="n">
        <v>0</v>
      </c>
      <c r="L449" t="n">
        <v>0</v>
      </c>
      <c r="M449" t="n">
        <v>0</v>
      </c>
      <c r="N449" t="n">
        <v>0</v>
      </c>
      <c r="O449" t="n">
        <v>0</v>
      </c>
      <c r="P449" t="n">
        <v>0</v>
      </c>
      <c r="Q449" t="n">
        <v>1</v>
      </c>
      <c r="R449" s="2" t="inlineStr">
        <is>
          <t>Vanlig groda</t>
        </is>
      </c>
      <c r="S449">
        <f>HYPERLINK("https://klasma.github.io/Logging_2184/artfynd/A 38496-2025 artfynd.xlsx", "A 38496-2025")</f>
        <v/>
      </c>
      <c r="T449">
        <f>HYPERLINK("https://klasma.github.io/Logging_2184/kartor/A 38496-2025 karta.png", "A 38496-2025")</f>
        <v/>
      </c>
      <c r="V449">
        <f>HYPERLINK("https://klasma.github.io/Logging_2184/klagomål/A 38496-2025 FSC-klagomål.docx", "A 38496-2025")</f>
        <v/>
      </c>
      <c r="W449">
        <f>HYPERLINK("https://klasma.github.io/Logging_2184/klagomålsmail/A 38496-2025 FSC-klagomål mail.docx", "A 38496-2025")</f>
        <v/>
      </c>
      <c r="X449">
        <f>HYPERLINK("https://klasma.github.io/Logging_2184/tillsyn/A 38496-2025 tillsynsbegäran.docx", "A 38496-2025")</f>
        <v/>
      </c>
      <c r="Y449">
        <f>HYPERLINK("https://klasma.github.io/Logging_2184/tillsynsmail/A 38496-2025 tillsynsbegäran mail.docx", "A 38496-2025")</f>
        <v/>
      </c>
    </row>
    <row r="450" ht="15" customHeight="1">
      <c r="A450" t="inlineStr">
        <is>
          <t>A 6378-2023</t>
        </is>
      </c>
      <c r="B450" s="1" t="n">
        <v>44965</v>
      </c>
      <c r="C450" s="1" t="n">
        <v>45911</v>
      </c>
      <c r="D450" t="inlineStr">
        <is>
          <t>GÄVLEBORGS LÄN</t>
        </is>
      </c>
      <c r="E450" t="inlineStr">
        <is>
          <t>SANDVIKEN</t>
        </is>
      </c>
      <c r="G450" t="n">
        <v>4</v>
      </c>
      <c r="H450" t="n">
        <v>1</v>
      </c>
      <c r="I450" t="n">
        <v>0</v>
      </c>
      <c r="J450" t="n">
        <v>1</v>
      </c>
      <c r="K450" t="n">
        <v>0</v>
      </c>
      <c r="L450" t="n">
        <v>0</v>
      </c>
      <c r="M450" t="n">
        <v>0</v>
      </c>
      <c r="N450" t="n">
        <v>0</v>
      </c>
      <c r="O450" t="n">
        <v>1</v>
      </c>
      <c r="P450" t="n">
        <v>0</v>
      </c>
      <c r="Q450" t="n">
        <v>1</v>
      </c>
      <c r="R450" s="2" t="inlineStr">
        <is>
          <t>Rödvingetrast</t>
        </is>
      </c>
      <c r="S450">
        <f>HYPERLINK("https://klasma.github.io/Logging_2181/artfynd/A 6378-2023 artfynd.xlsx", "A 6378-2023")</f>
        <v/>
      </c>
      <c r="T450">
        <f>HYPERLINK("https://klasma.github.io/Logging_2181/kartor/A 6378-2023 karta.png", "A 6378-2023")</f>
        <v/>
      </c>
      <c r="V450">
        <f>HYPERLINK("https://klasma.github.io/Logging_2181/klagomål/A 6378-2023 FSC-klagomål.docx", "A 6378-2023")</f>
        <v/>
      </c>
      <c r="W450">
        <f>HYPERLINK("https://klasma.github.io/Logging_2181/klagomålsmail/A 6378-2023 FSC-klagomål mail.docx", "A 6378-2023")</f>
        <v/>
      </c>
      <c r="X450">
        <f>HYPERLINK("https://klasma.github.io/Logging_2181/tillsyn/A 6378-2023 tillsynsbegäran.docx", "A 6378-2023")</f>
        <v/>
      </c>
      <c r="Y450">
        <f>HYPERLINK("https://klasma.github.io/Logging_2181/tillsynsmail/A 6378-2023 tillsynsbegäran mail.docx", "A 6378-2023")</f>
        <v/>
      </c>
      <c r="Z450">
        <f>HYPERLINK("https://klasma.github.io/Logging_2181/fåglar/A 6378-2023 prioriterade fågelarter.docx", "A 6378-2023")</f>
        <v/>
      </c>
    </row>
    <row r="451" ht="15" customHeight="1">
      <c r="A451" t="inlineStr">
        <is>
          <t>A 38699-2025</t>
        </is>
      </c>
      <c r="B451" s="1" t="n">
        <v>45884.78680555556</v>
      </c>
      <c r="C451" s="1" t="n">
        <v>45911</v>
      </c>
      <c r="D451" t="inlineStr">
        <is>
          <t>GÄVLEBORGS LÄN</t>
        </is>
      </c>
      <c r="E451" t="inlineStr">
        <is>
          <t>LJUSDAL</t>
        </is>
      </c>
      <c r="F451" t="inlineStr">
        <is>
          <t>Sveaskog</t>
        </is>
      </c>
      <c r="G451" t="n">
        <v>5.5</v>
      </c>
      <c r="H451" t="n">
        <v>0</v>
      </c>
      <c r="I451" t="n">
        <v>0</v>
      </c>
      <c r="J451" t="n">
        <v>1</v>
      </c>
      <c r="K451" t="n">
        <v>0</v>
      </c>
      <c r="L451" t="n">
        <v>0</v>
      </c>
      <c r="M451" t="n">
        <v>0</v>
      </c>
      <c r="N451" t="n">
        <v>0</v>
      </c>
      <c r="O451" t="n">
        <v>1</v>
      </c>
      <c r="P451" t="n">
        <v>0</v>
      </c>
      <c r="Q451" t="n">
        <v>1</v>
      </c>
      <c r="R451" s="2" t="inlineStr">
        <is>
          <t>Kolflarnlav</t>
        </is>
      </c>
      <c r="S451">
        <f>HYPERLINK("https://klasma.github.io/Logging_2161/artfynd/A 38699-2025 artfynd.xlsx", "A 38699-2025")</f>
        <v/>
      </c>
      <c r="T451">
        <f>HYPERLINK("https://klasma.github.io/Logging_2161/kartor/A 38699-2025 karta.png", "A 38699-2025")</f>
        <v/>
      </c>
      <c r="V451">
        <f>HYPERLINK("https://klasma.github.io/Logging_2161/klagomål/A 38699-2025 FSC-klagomål.docx", "A 38699-2025")</f>
        <v/>
      </c>
      <c r="W451">
        <f>HYPERLINK("https://klasma.github.io/Logging_2161/klagomålsmail/A 38699-2025 FSC-klagomål mail.docx", "A 38699-2025")</f>
        <v/>
      </c>
      <c r="X451">
        <f>HYPERLINK("https://klasma.github.io/Logging_2161/tillsyn/A 38699-2025 tillsynsbegäran.docx", "A 38699-2025")</f>
        <v/>
      </c>
      <c r="Y451">
        <f>HYPERLINK("https://klasma.github.io/Logging_2161/tillsynsmail/A 38699-2025 tillsynsbegäran mail.docx", "A 38699-2025")</f>
        <v/>
      </c>
    </row>
    <row r="452" ht="15" customHeight="1">
      <c r="A452" t="inlineStr">
        <is>
          <t>A 12817-2025</t>
        </is>
      </c>
      <c r="B452" s="1" t="n">
        <v>45733.62414351852</v>
      </c>
      <c r="C452" s="1" t="n">
        <v>45911</v>
      </c>
      <c r="D452" t="inlineStr">
        <is>
          <t>GÄVLEBORGS LÄN</t>
        </is>
      </c>
      <c r="E452" t="inlineStr">
        <is>
          <t>BOLLNÄS</t>
        </is>
      </c>
      <c r="G452" t="n">
        <v>1.8</v>
      </c>
      <c r="H452" t="n">
        <v>0</v>
      </c>
      <c r="I452" t="n">
        <v>1</v>
      </c>
      <c r="J452" t="n">
        <v>0</v>
      </c>
      <c r="K452" t="n">
        <v>0</v>
      </c>
      <c r="L452" t="n">
        <v>0</v>
      </c>
      <c r="M452" t="n">
        <v>0</v>
      </c>
      <c r="N452" t="n">
        <v>0</v>
      </c>
      <c r="O452" t="n">
        <v>0</v>
      </c>
      <c r="P452" t="n">
        <v>0</v>
      </c>
      <c r="Q452" t="n">
        <v>1</v>
      </c>
      <c r="R452" s="2" t="inlineStr">
        <is>
          <t>Dropptaggsvamp</t>
        </is>
      </c>
      <c r="S452">
        <f>HYPERLINK("https://klasma.github.io/Logging_2183/artfynd/A 12817-2025 artfynd.xlsx", "A 12817-2025")</f>
        <v/>
      </c>
      <c r="T452">
        <f>HYPERLINK("https://klasma.github.io/Logging_2183/kartor/A 12817-2025 karta.png", "A 12817-2025")</f>
        <v/>
      </c>
      <c r="V452">
        <f>HYPERLINK("https://klasma.github.io/Logging_2183/klagomål/A 12817-2025 FSC-klagomål.docx", "A 12817-2025")</f>
        <v/>
      </c>
      <c r="W452">
        <f>HYPERLINK("https://klasma.github.io/Logging_2183/klagomålsmail/A 12817-2025 FSC-klagomål mail.docx", "A 12817-2025")</f>
        <v/>
      </c>
      <c r="X452">
        <f>HYPERLINK("https://klasma.github.io/Logging_2183/tillsyn/A 12817-2025 tillsynsbegäran.docx", "A 12817-2025")</f>
        <v/>
      </c>
      <c r="Y452">
        <f>HYPERLINK("https://klasma.github.io/Logging_2183/tillsynsmail/A 12817-2025 tillsynsbegäran mail.docx", "A 12817-2025")</f>
        <v/>
      </c>
    </row>
    <row r="453" ht="15" customHeight="1">
      <c r="A453" t="inlineStr">
        <is>
          <t>A 38558-2025</t>
        </is>
      </c>
      <c r="B453" s="1" t="n">
        <v>45884.44667824074</v>
      </c>
      <c r="C453" s="1" t="n">
        <v>45911</v>
      </c>
      <c r="D453" t="inlineStr">
        <is>
          <t>GÄVLEBORGS LÄN</t>
        </is>
      </c>
      <c r="E453" t="inlineStr">
        <is>
          <t>GÄVLE</t>
        </is>
      </c>
      <c r="F453" t="inlineStr">
        <is>
          <t>Bergvik skog öst AB</t>
        </is>
      </c>
      <c r="G453" t="n">
        <v>1.1</v>
      </c>
      <c r="H453" t="n">
        <v>0</v>
      </c>
      <c r="I453" t="n">
        <v>0</v>
      </c>
      <c r="J453" t="n">
        <v>0</v>
      </c>
      <c r="K453" t="n">
        <v>1</v>
      </c>
      <c r="L453" t="n">
        <v>0</v>
      </c>
      <c r="M453" t="n">
        <v>0</v>
      </c>
      <c r="N453" t="n">
        <v>0</v>
      </c>
      <c r="O453" t="n">
        <v>1</v>
      </c>
      <c r="P453" t="n">
        <v>1</v>
      </c>
      <c r="Q453" t="n">
        <v>1</v>
      </c>
      <c r="R453" s="2" t="inlineStr">
        <is>
          <t>Rynkskinn</t>
        </is>
      </c>
      <c r="S453">
        <f>HYPERLINK("https://klasma.github.io/Logging_2180/artfynd/A 38558-2025 artfynd.xlsx", "A 38558-2025")</f>
        <v/>
      </c>
      <c r="T453">
        <f>HYPERLINK("https://klasma.github.io/Logging_2180/kartor/A 38558-2025 karta.png", "A 38558-2025")</f>
        <v/>
      </c>
      <c r="V453">
        <f>HYPERLINK("https://klasma.github.io/Logging_2180/klagomål/A 38558-2025 FSC-klagomål.docx", "A 38558-2025")</f>
        <v/>
      </c>
      <c r="W453">
        <f>HYPERLINK("https://klasma.github.io/Logging_2180/klagomålsmail/A 38558-2025 FSC-klagomål mail.docx", "A 38558-2025")</f>
        <v/>
      </c>
      <c r="X453">
        <f>HYPERLINK("https://klasma.github.io/Logging_2180/tillsyn/A 38558-2025 tillsynsbegäran.docx", "A 38558-2025")</f>
        <v/>
      </c>
      <c r="Y453">
        <f>HYPERLINK("https://klasma.github.io/Logging_2180/tillsynsmail/A 38558-2025 tillsynsbegäran mail.docx", "A 38558-2025")</f>
        <v/>
      </c>
    </row>
    <row r="454" ht="15" customHeight="1">
      <c r="A454" t="inlineStr">
        <is>
          <t>A 33338-2025</t>
        </is>
      </c>
      <c r="B454" s="1" t="n">
        <v>45841.35872685185</v>
      </c>
      <c r="C454" s="1" t="n">
        <v>45911</v>
      </c>
      <c r="D454" t="inlineStr">
        <is>
          <t>GÄVLEBORGS LÄN</t>
        </is>
      </c>
      <c r="E454" t="inlineStr">
        <is>
          <t>LJUSDAL</t>
        </is>
      </c>
      <c r="F454" t="inlineStr">
        <is>
          <t>Sveaskog</t>
        </is>
      </c>
      <c r="G454" t="n">
        <v>1.6</v>
      </c>
      <c r="H454" t="n">
        <v>1</v>
      </c>
      <c r="I454" t="n">
        <v>0</v>
      </c>
      <c r="J454" t="n">
        <v>0</v>
      </c>
      <c r="K454" t="n">
        <v>0</v>
      </c>
      <c r="L454" t="n">
        <v>0</v>
      </c>
      <c r="M454" t="n">
        <v>0</v>
      </c>
      <c r="N454" t="n">
        <v>0</v>
      </c>
      <c r="O454" t="n">
        <v>0</v>
      </c>
      <c r="P454" t="n">
        <v>0</v>
      </c>
      <c r="Q454" t="n">
        <v>1</v>
      </c>
      <c r="R454" s="2" t="inlineStr">
        <is>
          <t>Fläcknycklar</t>
        </is>
      </c>
      <c r="S454">
        <f>HYPERLINK("https://klasma.github.io/Logging_2161/artfynd/A 33338-2025 artfynd.xlsx", "A 33338-2025")</f>
        <v/>
      </c>
      <c r="T454">
        <f>HYPERLINK("https://klasma.github.io/Logging_2161/kartor/A 33338-2025 karta.png", "A 33338-2025")</f>
        <v/>
      </c>
      <c r="V454">
        <f>HYPERLINK("https://klasma.github.io/Logging_2161/klagomål/A 33338-2025 FSC-klagomål.docx", "A 33338-2025")</f>
        <v/>
      </c>
      <c r="W454">
        <f>HYPERLINK("https://klasma.github.io/Logging_2161/klagomålsmail/A 33338-2025 FSC-klagomål mail.docx", "A 33338-2025")</f>
        <v/>
      </c>
      <c r="X454">
        <f>HYPERLINK("https://klasma.github.io/Logging_2161/tillsyn/A 33338-2025 tillsynsbegäran.docx", "A 33338-2025")</f>
        <v/>
      </c>
      <c r="Y454">
        <f>HYPERLINK("https://klasma.github.io/Logging_2161/tillsynsmail/A 33338-2025 tillsynsbegäran mail.docx", "A 33338-2025")</f>
        <v/>
      </c>
    </row>
    <row r="455" ht="15" customHeight="1">
      <c r="A455" t="inlineStr">
        <is>
          <t>A 38495-2025</t>
        </is>
      </c>
      <c r="B455" s="1" t="n">
        <v>45884.36899305556</v>
      </c>
      <c r="C455" s="1" t="n">
        <v>45911</v>
      </c>
      <c r="D455" t="inlineStr">
        <is>
          <t>GÄVLEBORGS LÄN</t>
        </is>
      </c>
      <c r="E455" t="inlineStr">
        <is>
          <t>LJUSDAL</t>
        </is>
      </c>
      <c r="F455" t="inlineStr">
        <is>
          <t>Sveaskog</t>
        </is>
      </c>
      <c r="G455" t="n">
        <v>3.3</v>
      </c>
      <c r="H455" t="n">
        <v>0</v>
      </c>
      <c r="I455" t="n">
        <v>0</v>
      </c>
      <c r="J455" t="n">
        <v>1</v>
      </c>
      <c r="K455" t="n">
        <v>0</v>
      </c>
      <c r="L455" t="n">
        <v>0</v>
      </c>
      <c r="M455" t="n">
        <v>0</v>
      </c>
      <c r="N455" t="n">
        <v>0</v>
      </c>
      <c r="O455" t="n">
        <v>1</v>
      </c>
      <c r="P455" t="n">
        <v>0</v>
      </c>
      <c r="Q455" t="n">
        <v>1</v>
      </c>
      <c r="R455" s="2" t="inlineStr">
        <is>
          <t>Kolflarnlav</t>
        </is>
      </c>
      <c r="S455">
        <f>HYPERLINK("https://klasma.github.io/Logging_2161/artfynd/A 38495-2025 artfynd.xlsx", "A 38495-2025")</f>
        <v/>
      </c>
      <c r="T455">
        <f>HYPERLINK("https://klasma.github.io/Logging_2161/kartor/A 38495-2025 karta.png", "A 38495-2025")</f>
        <v/>
      </c>
      <c r="V455">
        <f>HYPERLINK("https://klasma.github.io/Logging_2161/klagomål/A 38495-2025 FSC-klagomål.docx", "A 38495-2025")</f>
        <v/>
      </c>
      <c r="W455">
        <f>HYPERLINK("https://klasma.github.io/Logging_2161/klagomålsmail/A 38495-2025 FSC-klagomål mail.docx", "A 38495-2025")</f>
        <v/>
      </c>
      <c r="X455">
        <f>HYPERLINK("https://klasma.github.io/Logging_2161/tillsyn/A 38495-2025 tillsynsbegäran.docx", "A 38495-2025")</f>
        <v/>
      </c>
      <c r="Y455">
        <f>HYPERLINK("https://klasma.github.io/Logging_2161/tillsynsmail/A 38495-2025 tillsynsbegäran mail.docx", "A 38495-2025")</f>
        <v/>
      </c>
    </row>
    <row r="456" ht="15" customHeight="1">
      <c r="A456" t="inlineStr">
        <is>
          <t>A 46614-2024</t>
        </is>
      </c>
      <c r="B456" s="1" t="n">
        <v>45583</v>
      </c>
      <c r="C456" s="1" t="n">
        <v>45911</v>
      </c>
      <c r="D456" t="inlineStr">
        <is>
          <t>GÄVLEBORGS LÄN</t>
        </is>
      </c>
      <c r="E456" t="inlineStr">
        <is>
          <t>HUDIKSVALL</t>
        </is>
      </c>
      <c r="G456" t="n">
        <v>2</v>
      </c>
      <c r="H456" t="n">
        <v>0</v>
      </c>
      <c r="I456" t="n">
        <v>0</v>
      </c>
      <c r="J456" t="n">
        <v>1</v>
      </c>
      <c r="K456" t="n">
        <v>0</v>
      </c>
      <c r="L456" t="n">
        <v>0</v>
      </c>
      <c r="M456" t="n">
        <v>0</v>
      </c>
      <c r="N456" t="n">
        <v>0</v>
      </c>
      <c r="O456" t="n">
        <v>1</v>
      </c>
      <c r="P456" t="n">
        <v>0</v>
      </c>
      <c r="Q456" t="n">
        <v>1</v>
      </c>
      <c r="R456" s="2" t="inlineStr">
        <is>
          <t>Orange taggsvamp</t>
        </is>
      </c>
      <c r="S456">
        <f>HYPERLINK("https://klasma.github.io/Logging_2184/artfynd/A 46614-2024 artfynd.xlsx", "A 46614-2024")</f>
        <v/>
      </c>
      <c r="T456">
        <f>HYPERLINK("https://klasma.github.io/Logging_2184/kartor/A 46614-2024 karta.png", "A 46614-2024")</f>
        <v/>
      </c>
      <c r="V456">
        <f>HYPERLINK("https://klasma.github.io/Logging_2184/klagomål/A 46614-2024 FSC-klagomål.docx", "A 46614-2024")</f>
        <v/>
      </c>
      <c r="W456">
        <f>HYPERLINK("https://klasma.github.io/Logging_2184/klagomålsmail/A 46614-2024 FSC-klagomål mail.docx", "A 46614-2024")</f>
        <v/>
      </c>
      <c r="X456">
        <f>HYPERLINK("https://klasma.github.io/Logging_2184/tillsyn/A 46614-2024 tillsynsbegäran.docx", "A 46614-2024")</f>
        <v/>
      </c>
      <c r="Y456">
        <f>HYPERLINK("https://klasma.github.io/Logging_2184/tillsynsmail/A 46614-2024 tillsynsbegäran mail.docx", "A 46614-2024")</f>
        <v/>
      </c>
    </row>
    <row r="457" ht="15" customHeight="1">
      <c r="A457" t="inlineStr">
        <is>
          <t>A 22096-2021</t>
        </is>
      </c>
      <c r="B457" s="1" t="n">
        <v>44323</v>
      </c>
      <c r="C457" s="1" t="n">
        <v>45911</v>
      </c>
      <c r="D457" t="inlineStr">
        <is>
          <t>GÄVLEBORGS LÄN</t>
        </is>
      </c>
      <c r="E457" t="inlineStr">
        <is>
          <t>HOFORS</t>
        </is>
      </c>
      <c r="F457" t="inlineStr">
        <is>
          <t>Sveaskog</t>
        </is>
      </c>
      <c r="G457" t="n">
        <v>1.7</v>
      </c>
      <c r="H457" t="n">
        <v>1</v>
      </c>
      <c r="I457" t="n">
        <v>0</v>
      </c>
      <c r="J457" t="n">
        <v>0</v>
      </c>
      <c r="K457" t="n">
        <v>1</v>
      </c>
      <c r="L457" t="n">
        <v>0</v>
      </c>
      <c r="M457" t="n">
        <v>0</v>
      </c>
      <c r="N457" t="n">
        <v>0</v>
      </c>
      <c r="O457" t="n">
        <v>1</v>
      </c>
      <c r="P457" t="n">
        <v>1</v>
      </c>
      <c r="Q457" t="n">
        <v>1</v>
      </c>
      <c r="R457" s="2" t="inlineStr">
        <is>
          <t>Knärot</t>
        </is>
      </c>
      <c r="S457">
        <f>HYPERLINK("https://klasma.github.io/Logging_2104/artfynd/A 22096-2021 artfynd.xlsx", "A 22096-2021")</f>
        <v/>
      </c>
      <c r="T457">
        <f>HYPERLINK("https://klasma.github.io/Logging_2104/kartor/A 22096-2021 karta.png", "A 22096-2021")</f>
        <v/>
      </c>
      <c r="U457">
        <f>HYPERLINK("https://klasma.github.io/Logging_2104/knärot/A 22096-2021 karta knärot.png", "A 22096-2021")</f>
        <v/>
      </c>
      <c r="V457">
        <f>HYPERLINK("https://klasma.github.io/Logging_2104/klagomål/A 22096-2021 FSC-klagomål.docx", "A 22096-2021")</f>
        <v/>
      </c>
      <c r="W457">
        <f>HYPERLINK("https://klasma.github.io/Logging_2104/klagomålsmail/A 22096-2021 FSC-klagomål mail.docx", "A 22096-2021")</f>
        <v/>
      </c>
      <c r="X457">
        <f>HYPERLINK("https://klasma.github.io/Logging_2104/tillsyn/A 22096-2021 tillsynsbegäran.docx", "A 22096-2021")</f>
        <v/>
      </c>
      <c r="Y457">
        <f>HYPERLINK("https://klasma.github.io/Logging_2104/tillsynsmail/A 22096-2021 tillsynsbegäran mail.docx", "A 22096-2021")</f>
        <v/>
      </c>
    </row>
    <row r="458" ht="15" customHeight="1">
      <c r="A458" t="inlineStr">
        <is>
          <t>A 34343-2025</t>
        </is>
      </c>
      <c r="B458" s="1" t="n">
        <v>45846.46173611111</v>
      </c>
      <c r="C458" s="1" t="n">
        <v>45911</v>
      </c>
      <c r="D458" t="inlineStr">
        <is>
          <t>GÄVLEBORGS LÄN</t>
        </is>
      </c>
      <c r="E458" t="inlineStr">
        <is>
          <t>LJUSDAL</t>
        </is>
      </c>
      <c r="F458" t="inlineStr">
        <is>
          <t>Bergvik skog väst AB</t>
        </is>
      </c>
      <c r="G458" t="n">
        <v>4.3</v>
      </c>
      <c r="H458" t="n">
        <v>0</v>
      </c>
      <c r="I458" t="n">
        <v>0</v>
      </c>
      <c r="J458" t="n">
        <v>1</v>
      </c>
      <c r="K458" t="n">
        <v>0</v>
      </c>
      <c r="L458" t="n">
        <v>0</v>
      </c>
      <c r="M458" t="n">
        <v>0</v>
      </c>
      <c r="N458" t="n">
        <v>0</v>
      </c>
      <c r="O458" t="n">
        <v>1</v>
      </c>
      <c r="P458" t="n">
        <v>0</v>
      </c>
      <c r="Q458" t="n">
        <v>1</v>
      </c>
      <c r="R458" s="2" t="inlineStr">
        <is>
          <t>Garnlav</t>
        </is>
      </c>
      <c r="S458">
        <f>HYPERLINK("https://klasma.github.io/Logging_2161/artfynd/A 34343-2025 artfynd.xlsx", "A 34343-2025")</f>
        <v/>
      </c>
      <c r="T458">
        <f>HYPERLINK("https://klasma.github.io/Logging_2161/kartor/A 34343-2025 karta.png", "A 34343-2025")</f>
        <v/>
      </c>
      <c r="V458">
        <f>HYPERLINK("https://klasma.github.io/Logging_2161/klagomål/A 34343-2025 FSC-klagomål.docx", "A 34343-2025")</f>
        <v/>
      </c>
      <c r="W458">
        <f>HYPERLINK("https://klasma.github.io/Logging_2161/klagomålsmail/A 34343-2025 FSC-klagomål mail.docx", "A 34343-2025")</f>
        <v/>
      </c>
      <c r="X458">
        <f>HYPERLINK("https://klasma.github.io/Logging_2161/tillsyn/A 34343-2025 tillsynsbegäran.docx", "A 34343-2025")</f>
        <v/>
      </c>
      <c r="Y458">
        <f>HYPERLINK("https://klasma.github.io/Logging_2161/tillsynsmail/A 34343-2025 tillsynsbegäran mail.docx", "A 34343-2025")</f>
        <v/>
      </c>
    </row>
    <row r="459" ht="15" customHeight="1">
      <c r="A459" t="inlineStr">
        <is>
          <t>A 39024-2024</t>
        </is>
      </c>
      <c r="B459" s="1" t="n">
        <v>45548</v>
      </c>
      <c r="C459" s="1" t="n">
        <v>45911</v>
      </c>
      <c r="D459" t="inlineStr">
        <is>
          <t>GÄVLEBORGS LÄN</t>
        </is>
      </c>
      <c r="E459" t="inlineStr">
        <is>
          <t>LJUSDAL</t>
        </is>
      </c>
      <c r="F459" t="inlineStr">
        <is>
          <t>Sveaskog</t>
        </is>
      </c>
      <c r="G459" t="n">
        <v>17</v>
      </c>
      <c r="H459" t="n">
        <v>0</v>
      </c>
      <c r="I459" t="n">
        <v>0</v>
      </c>
      <c r="J459" t="n">
        <v>1</v>
      </c>
      <c r="K459" t="n">
        <v>0</v>
      </c>
      <c r="L459" t="n">
        <v>0</v>
      </c>
      <c r="M459" t="n">
        <v>0</v>
      </c>
      <c r="N459" t="n">
        <v>0</v>
      </c>
      <c r="O459" t="n">
        <v>1</v>
      </c>
      <c r="P459" t="n">
        <v>0</v>
      </c>
      <c r="Q459" t="n">
        <v>1</v>
      </c>
      <c r="R459" s="2" t="inlineStr">
        <is>
          <t>Lunglav</t>
        </is>
      </c>
      <c r="S459">
        <f>HYPERLINK("https://klasma.github.io/Logging_2161/artfynd/A 39024-2024 artfynd.xlsx", "A 39024-2024")</f>
        <v/>
      </c>
      <c r="T459">
        <f>HYPERLINK("https://klasma.github.io/Logging_2161/kartor/A 39024-2024 karta.png", "A 39024-2024")</f>
        <v/>
      </c>
      <c r="V459">
        <f>HYPERLINK("https://klasma.github.io/Logging_2161/klagomål/A 39024-2024 FSC-klagomål.docx", "A 39024-2024")</f>
        <v/>
      </c>
      <c r="W459">
        <f>HYPERLINK("https://klasma.github.io/Logging_2161/klagomålsmail/A 39024-2024 FSC-klagomål mail.docx", "A 39024-2024")</f>
        <v/>
      </c>
      <c r="X459">
        <f>HYPERLINK("https://klasma.github.io/Logging_2161/tillsyn/A 39024-2024 tillsynsbegäran.docx", "A 39024-2024")</f>
        <v/>
      </c>
      <c r="Y459">
        <f>HYPERLINK("https://klasma.github.io/Logging_2161/tillsynsmail/A 39024-2024 tillsynsbegäran mail.docx", "A 39024-2024")</f>
        <v/>
      </c>
    </row>
    <row r="460" ht="15" customHeight="1">
      <c r="A460" t="inlineStr">
        <is>
          <t>A 37927-2022</t>
        </is>
      </c>
      <c r="B460" s="1" t="n">
        <v>44811</v>
      </c>
      <c r="C460" s="1" t="n">
        <v>45911</v>
      </c>
      <c r="D460" t="inlineStr">
        <is>
          <t>GÄVLEBORGS LÄN</t>
        </is>
      </c>
      <c r="E460" t="inlineStr">
        <is>
          <t>GÄVLE</t>
        </is>
      </c>
      <c r="G460" t="n">
        <v>1.6</v>
      </c>
      <c r="H460" t="n">
        <v>1</v>
      </c>
      <c r="I460" t="n">
        <v>0</v>
      </c>
      <c r="J460" t="n">
        <v>0</v>
      </c>
      <c r="K460" t="n">
        <v>1</v>
      </c>
      <c r="L460" t="n">
        <v>0</v>
      </c>
      <c r="M460" t="n">
        <v>0</v>
      </c>
      <c r="N460" t="n">
        <v>0</v>
      </c>
      <c r="O460" t="n">
        <v>1</v>
      </c>
      <c r="P460" t="n">
        <v>1</v>
      </c>
      <c r="Q460" t="n">
        <v>1</v>
      </c>
      <c r="R460" s="2" t="inlineStr">
        <is>
          <t>Knärot</t>
        </is>
      </c>
      <c r="S460">
        <f>HYPERLINK("https://klasma.github.io/Logging_2180/artfynd/A 37927-2022 artfynd.xlsx", "A 37927-2022")</f>
        <v/>
      </c>
      <c r="T460">
        <f>HYPERLINK("https://klasma.github.io/Logging_2180/kartor/A 37927-2022 karta.png", "A 37927-2022")</f>
        <v/>
      </c>
      <c r="U460">
        <f>HYPERLINK("https://klasma.github.io/Logging_2180/knärot/A 37927-2022 karta knärot.png", "A 37927-2022")</f>
        <v/>
      </c>
      <c r="V460">
        <f>HYPERLINK("https://klasma.github.io/Logging_2180/klagomål/A 37927-2022 FSC-klagomål.docx", "A 37927-2022")</f>
        <v/>
      </c>
      <c r="W460">
        <f>HYPERLINK("https://klasma.github.io/Logging_2180/klagomålsmail/A 37927-2022 FSC-klagomål mail.docx", "A 37927-2022")</f>
        <v/>
      </c>
      <c r="X460">
        <f>HYPERLINK("https://klasma.github.io/Logging_2180/tillsyn/A 37927-2022 tillsynsbegäran.docx", "A 37927-2022")</f>
        <v/>
      </c>
      <c r="Y460">
        <f>HYPERLINK("https://klasma.github.io/Logging_2180/tillsynsmail/A 37927-2022 tillsynsbegäran mail.docx", "A 37927-2022")</f>
        <v/>
      </c>
    </row>
    <row r="461" ht="15" customHeight="1">
      <c r="A461" t="inlineStr">
        <is>
          <t>A 54828-2021</t>
        </is>
      </c>
      <c r="B461" s="1" t="n">
        <v>44473</v>
      </c>
      <c r="C461" s="1" t="n">
        <v>45911</v>
      </c>
      <c r="D461" t="inlineStr">
        <is>
          <t>GÄVLEBORGS LÄN</t>
        </is>
      </c>
      <c r="E461" t="inlineStr">
        <is>
          <t>HOFORS</t>
        </is>
      </c>
      <c r="F461" t="inlineStr">
        <is>
          <t>Bergvik skog väst AB</t>
        </is>
      </c>
      <c r="G461" t="n">
        <v>5.1</v>
      </c>
      <c r="H461" t="n">
        <v>1</v>
      </c>
      <c r="I461" t="n">
        <v>0</v>
      </c>
      <c r="J461" t="n">
        <v>0</v>
      </c>
      <c r="K461" t="n">
        <v>1</v>
      </c>
      <c r="L461" t="n">
        <v>0</v>
      </c>
      <c r="M461" t="n">
        <v>0</v>
      </c>
      <c r="N461" t="n">
        <v>0</v>
      </c>
      <c r="O461" t="n">
        <v>1</v>
      </c>
      <c r="P461" t="n">
        <v>1</v>
      </c>
      <c r="Q461" t="n">
        <v>1</v>
      </c>
      <c r="R461" s="2" t="inlineStr">
        <is>
          <t>Knärot</t>
        </is>
      </c>
      <c r="S461">
        <f>HYPERLINK("https://klasma.github.io/Logging_2104/artfynd/A 54828-2021 artfynd.xlsx", "A 54828-2021")</f>
        <v/>
      </c>
      <c r="T461">
        <f>HYPERLINK("https://klasma.github.io/Logging_2104/kartor/A 54828-2021 karta.png", "A 54828-2021")</f>
        <v/>
      </c>
      <c r="U461">
        <f>HYPERLINK("https://klasma.github.io/Logging_2104/knärot/A 54828-2021 karta knärot.png", "A 54828-2021")</f>
        <v/>
      </c>
      <c r="V461">
        <f>HYPERLINK("https://klasma.github.io/Logging_2104/klagomål/A 54828-2021 FSC-klagomål.docx", "A 54828-2021")</f>
        <v/>
      </c>
      <c r="W461">
        <f>HYPERLINK("https://klasma.github.io/Logging_2104/klagomålsmail/A 54828-2021 FSC-klagomål mail.docx", "A 54828-2021")</f>
        <v/>
      </c>
      <c r="X461">
        <f>HYPERLINK("https://klasma.github.io/Logging_2104/tillsyn/A 54828-2021 tillsynsbegäran.docx", "A 54828-2021")</f>
        <v/>
      </c>
      <c r="Y461">
        <f>HYPERLINK("https://klasma.github.io/Logging_2104/tillsynsmail/A 54828-2021 tillsynsbegäran mail.docx", "A 54828-2021")</f>
        <v/>
      </c>
    </row>
    <row r="462" ht="15" customHeight="1">
      <c r="A462" t="inlineStr">
        <is>
          <t>A 60594-2024</t>
        </is>
      </c>
      <c r="B462" s="1" t="n">
        <v>45644.35909722222</v>
      </c>
      <c r="C462" s="1" t="n">
        <v>45911</v>
      </c>
      <c r="D462" t="inlineStr">
        <is>
          <t>GÄVLEBORGS LÄN</t>
        </is>
      </c>
      <c r="E462" t="inlineStr">
        <is>
          <t>HUDIKSVALL</t>
        </is>
      </c>
      <c r="G462" t="n">
        <v>3.7</v>
      </c>
      <c r="H462" t="n">
        <v>1</v>
      </c>
      <c r="I462" t="n">
        <v>0</v>
      </c>
      <c r="J462" t="n">
        <v>0</v>
      </c>
      <c r="K462" t="n">
        <v>0</v>
      </c>
      <c r="L462" t="n">
        <v>0</v>
      </c>
      <c r="M462" t="n">
        <v>0</v>
      </c>
      <c r="N462" t="n">
        <v>0</v>
      </c>
      <c r="O462" t="n">
        <v>0</v>
      </c>
      <c r="P462" t="n">
        <v>0</v>
      </c>
      <c r="Q462" t="n">
        <v>1</v>
      </c>
      <c r="R462" s="2" t="inlineStr">
        <is>
          <t>Vanlig padda</t>
        </is>
      </c>
      <c r="S462">
        <f>HYPERLINK("https://klasma.github.io/Logging_2184/artfynd/A 60594-2024 artfynd.xlsx", "A 60594-2024")</f>
        <v/>
      </c>
      <c r="T462">
        <f>HYPERLINK("https://klasma.github.io/Logging_2184/kartor/A 60594-2024 karta.png", "A 60594-2024")</f>
        <v/>
      </c>
      <c r="V462">
        <f>HYPERLINK("https://klasma.github.io/Logging_2184/klagomål/A 60594-2024 FSC-klagomål.docx", "A 60594-2024")</f>
        <v/>
      </c>
      <c r="W462">
        <f>HYPERLINK("https://klasma.github.io/Logging_2184/klagomålsmail/A 60594-2024 FSC-klagomål mail.docx", "A 60594-2024")</f>
        <v/>
      </c>
      <c r="X462">
        <f>HYPERLINK("https://klasma.github.io/Logging_2184/tillsyn/A 60594-2024 tillsynsbegäran.docx", "A 60594-2024")</f>
        <v/>
      </c>
      <c r="Y462">
        <f>HYPERLINK("https://klasma.github.io/Logging_2184/tillsynsmail/A 60594-2024 tillsynsbegäran mail.docx", "A 60594-2024")</f>
        <v/>
      </c>
    </row>
    <row r="463" ht="15" customHeight="1">
      <c r="A463" t="inlineStr">
        <is>
          <t>A 11411-2025</t>
        </is>
      </c>
      <c r="B463" s="1" t="n">
        <v>45726.59087962963</v>
      </c>
      <c r="C463" s="1" t="n">
        <v>45911</v>
      </c>
      <c r="D463" t="inlineStr">
        <is>
          <t>GÄVLEBORGS LÄN</t>
        </is>
      </c>
      <c r="E463" t="inlineStr">
        <is>
          <t>GÄVLE</t>
        </is>
      </c>
      <c r="G463" t="n">
        <v>2.4</v>
      </c>
      <c r="H463" t="n">
        <v>1</v>
      </c>
      <c r="I463" t="n">
        <v>0</v>
      </c>
      <c r="J463" t="n">
        <v>0</v>
      </c>
      <c r="K463" t="n">
        <v>0</v>
      </c>
      <c r="L463" t="n">
        <v>0</v>
      </c>
      <c r="M463" t="n">
        <v>0</v>
      </c>
      <c r="N463" t="n">
        <v>0</v>
      </c>
      <c r="O463" t="n">
        <v>0</v>
      </c>
      <c r="P463" t="n">
        <v>0</v>
      </c>
      <c r="Q463" t="n">
        <v>1</v>
      </c>
      <c r="R463" s="2" t="inlineStr">
        <is>
          <t>Blåsippa</t>
        </is>
      </c>
      <c r="S463">
        <f>HYPERLINK("https://klasma.github.io/Logging_2180/artfynd/A 11411-2025 artfynd.xlsx", "A 11411-2025")</f>
        <v/>
      </c>
      <c r="T463">
        <f>HYPERLINK("https://klasma.github.io/Logging_2180/kartor/A 11411-2025 karta.png", "A 11411-2025")</f>
        <v/>
      </c>
      <c r="V463">
        <f>HYPERLINK("https://klasma.github.io/Logging_2180/klagomål/A 11411-2025 FSC-klagomål.docx", "A 11411-2025")</f>
        <v/>
      </c>
      <c r="W463">
        <f>HYPERLINK("https://klasma.github.io/Logging_2180/klagomålsmail/A 11411-2025 FSC-klagomål mail.docx", "A 11411-2025")</f>
        <v/>
      </c>
      <c r="X463">
        <f>HYPERLINK("https://klasma.github.io/Logging_2180/tillsyn/A 11411-2025 tillsynsbegäran.docx", "A 11411-2025")</f>
        <v/>
      </c>
      <c r="Y463">
        <f>HYPERLINK("https://klasma.github.io/Logging_2180/tillsynsmail/A 11411-2025 tillsynsbegäran mail.docx", "A 11411-2025")</f>
        <v/>
      </c>
    </row>
    <row r="464" ht="15" customHeight="1">
      <c r="A464" t="inlineStr">
        <is>
          <t>A 28397-2024</t>
        </is>
      </c>
      <c r="B464" s="1" t="n">
        <v>45477.60549768519</v>
      </c>
      <c r="C464" s="1" t="n">
        <v>45911</v>
      </c>
      <c r="D464" t="inlineStr">
        <is>
          <t>GÄVLEBORGS LÄN</t>
        </is>
      </c>
      <c r="E464" t="inlineStr">
        <is>
          <t>HOFORS</t>
        </is>
      </c>
      <c r="F464" t="inlineStr">
        <is>
          <t>Sveaskog</t>
        </is>
      </c>
      <c r="G464" t="n">
        <v>5</v>
      </c>
      <c r="H464" t="n">
        <v>1</v>
      </c>
      <c r="I464" t="n">
        <v>0</v>
      </c>
      <c r="J464" t="n">
        <v>0</v>
      </c>
      <c r="K464" t="n">
        <v>0</v>
      </c>
      <c r="L464" t="n">
        <v>0</v>
      </c>
      <c r="M464" t="n">
        <v>0</v>
      </c>
      <c r="N464" t="n">
        <v>0</v>
      </c>
      <c r="O464" t="n">
        <v>0</v>
      </c>
      <c r="P464" t="n">
        <v>0</v>
      </c>
      <c r="Q464" t="n">
        <v>1</v>
      </c>
      <c r="R464" s="2" t="inlineStr">
        <is>
          <t>Fläcknycklar</t>
        </is>
      </c>
      <c r="S464">
        <f>HYPERLINK("https://klasma.github.io/Logging_2104/artfynd/A 28397-2024 artfynd.xlsx", "A 28397-2024")</f>
        <v/>
      </c>
      <c r="T464">
        <f>HYPERLINK("https://klasma.github.io/Logging_2104/kartor/A 28397-2024 karta.png", "A 28397-2024")</f>
        <v/>
      </c>
      <c r="V464">
        <f>HYPERLINK("https://klasma.github.io/Logging_2104/klagomål/A 28397-2024 FSC-klagomål.docx", "A 28397-2024")</f>
        <v/>
      </c>
      <c r="W464">
        <f>HYPERLINK("https://klasma.github.io/Logging_2104/klagomålsmail/A 28397-2024 FSC-klagomål mail.docx", "A 28397-2024")</f>
        <v/>
      </c>
      <c r="X464">
        <f>HYPERLINK("https://klasma.github.io/Logging_2104/tillsyn/A 28397-2024 tillsynsbegäran.docx", "A 28397-2024")</f>
        <v/>
      </c>
      <c r="Y464">
        <f>HYPERLINK("https://klasma.github.io/Logging_2104/tillsynsmail/A 28397-2024 tillsynsbegäran mail.docx", "A 28397-2024")</f>
        <v/>
      </c>
    </row>
    <row r="465" ht="15" customHeight="1">
      <c r="A465" t="inlineStr">
        <is>
          <t>A 38050-2024</t>
        </is>
      </c>
      <c r="B465" s="1" t="n">
        <v>45544</v>
      </c>
      <c r="C465" s="1" t="n">
        <v>45911</v>
      </c>
      <c r="D465" t="inlineStr">
        <is>
          <t>GÄVLEBORGS LÄN</t>
        </is>
      </c>
      <c r="E465" t="inlineStr">
        <is>
          <t>NORDANSTIG</t>
        </is>
      </c>
      <c r="F465" t="inlineStr">
        <is>
          <t>Holmen skog AB</t>
        </is>
      </c>
      <c r="G465" t="n">
        <v>3.1</v>
      </c>
      <c r="H465" t="n">
        <v>0</v>
      </c>
      <c r="I465" t="n">
        <v>0</v>
      </c>
      <c r="J465" t="n">
        <v>1</v>
      </c>
      <c r="K465" t="n">
        <v>0</v>
      </c>
      <c r="L465" t="n">
        <v>0</v>
      </c>
      <c r="M465" t="n">
        <v>0</v>
      </c>
      <c r="N465" t="n">
        <v>0</v>
      </c>
      <c r="O465" t="n">
        <v>1</v>
      </c>
      <c r="P465" t="n">
        <v>0</v>
      </c>
      <c r="Q465" t="n">
        <v>1</v>
      </c>
      <c r="R465" s="2" t="inlineStr">
        <is>
          <t>Tallticka</t>
        </is>
      </c>
      <c r="S465">
        <f>HYPERLINK("https://klasma.github.io/Logging_2132/artfynd/A 38050-2024 artfynd.xlsx", "A 38050-2024")</f>
        <v/>
      </c>
      <c r="T465">
        <f>HYPERLINK("https://klasma.github.io/Logging_2132/kartor/A 38050-2024 karta.png", "A 38050-2024")</f>
        <v/>
      </c>
      <c r="U465">
        <f>HYPERLINK("https://klasma.github.io/Logging_2132/knärot/A 38050-2024 karta knärot.png", "A 38050-2024")</f>
        <v/>
      </c>
      <c r="V465">
        <f>HYPERLINK("https://klasma.github.io/Logging_2132/klagomål/A 38050-2024 FSC-klagomål.docx", "A 38050-2024")</f>
        <v/>
      </c>
      <c r="W465">
        <f>HYPERLINK("https://klasma.github.io/Logging_2132/klagomålsmail/A 38050-2024 FSC-klagomål mail.docx", "A 38050-2024")</f>
        <v/>
      </c>
      <c r="X465">
        <f>HYPERLINK("https://klasma.github.io/Logging_2132/tillsyn/A 38050-2024 tillsynsbegäran.docx", "A 38050-2024")</f>
        <v/>
      </c>
      <c r="Y465">
        <f>HYPERLINK("https://klasma.github.io/Logging_2132/tillsynsmail/A 38050-2024 tillsynsbegäran mail.docx", "A 38050-2024")</f>
        <v/>
      </c>
    </row>
    <row r="466" ht="15" customHeight="1">
      <c r="A466" t="inlineStr">
        <is>
          <t>A 39545-2025</t>
        </is>
      </c>
      <c r="B466" s="1" t="n">
        <v>45890.45697916667</v>
      </c>
      <c r="C466" s="1" t="n">
        <v>45911</v>
      </c>
      <c r="D466" t="inlineStr">
        <is>
          <t>GÄVLEBORGS LÄN</t>
        </is>
      </c>
      <c r="E466" t="inlineStr">
        <is>
          <t>LJUSDAL</t>
        </is>
      </c>
      <c r="F466" t="inlineStr">
        <is>
          <t>Sveaskog</t>
        </is>
      </c>
      <c r="G466" t="n">
        <v>4.3</v>
      </c>
      <c r="H466" t="n">
        <v>0</v>
      </c>
      <c r="I466" t="n">
        <v>0</v>
      </c>
      <c r="J466" t="n">
        <v>1</v>
      </c>
      <c r="K466" t="n">
        <v>0</v>
      </c>
      <c r="L466" t="n">
        <v>0</v>
      </c>
      <c r="M466" t="n">
        <v>0</v>
      </c>
      <c r="N466" t="n">
        <v>0</v>
      </c>
      <c r="O466" t="n">
        <v>1</v>
      </c>
      <c r="P466" t="n">
        <v>0</v>
      </c>
      <c r="Q466" t="n">
        <v>1</v>
      </c>
      <c r="R466" s="2" t="inlineStr">
        <is>
          <t>Lunglav</t>
        </is>
      </c>
      <c r="S466">
        <f>HYPERLINK("https://klasma.github.io/Logging_2161/artfynd/A 39545-2025 artfynd.xlsx", "A 39545-2025")</f>
        <v/>
      </c>
      <c r="T466">
        <f>HYPERLINK("https://klasma.github.io/Logging_2161/kartor/A 39545-2025 karta.png", "A 39545-2025")</f>
        <v/>
      </c>
      <c r="V466">
        <f>HYPERLINK("https://klasma.github.io/Logging_2161/klagomål/A 39545-2025 FSC-klagomål.docx", "A 39545-2025")</f>
        <v/>
      </c>
      <c r="W466">
        <f>HYPERLINK("https://klasma.github.io/Logging_2161/klagomålsmail/A 39545-2025 FSC-klagomål mail.docx", "A 39545-2025")</f>
        <v/>
      </c>
      <c r="X466">
        <f>HYPERLINK("https://klasma.github.io/Logging_2161/tillsyn/A 39545-2025 tillsynsbegäran.docx", "A 39545-2025")</f>
        <v/>
      </c>
      <c r="Y466">
        <f>HYPERLINK("https://klasma.github.io/Logging_2161/tillsynsmail/A 39545-2025 tillsynsbegäran mail.docx", "A 39545-2025")</f>
        <v/>
      </c>
    </row>
    <row r="467" ht="15" customHeight="1">
      <c r="A467" t="inlineStr">
        <is>
          <t>A 39547-2025</t>
        </is>
      </c>
      <c r="B467" s="1" t="n">
        <v>45890.45960648148</v>
      </c>
      <c r="C467" s="1" t="n">
        <v>45911</v>
      </c>
      <c r="D467" t="inlineStr">
        <is>
          <t>GÄVLEBORGS LÄN</t>
        </is>
      </c>
      <c r="E467" t="inlineStr">
        <is>
          <t>LJUSDAL</t>
        </is>
      </c>
      <c r="F467" t="inlineStr">
        <is>
          <t>Sveaskog</t>
        </is>
      </c>
      <c r="G467" t="n">
        <v>2.6</v>
      </c>
      <c r="H467" t="n">
        <v>0</v>
      </c>
      <c r="I467" t="n">
        <v>0</v>
      </c>
      <c r="J467" t="n">
        <v>1</v>
      </c>
      <c r="K467" t="n">
        <v>0</v>
      </c>
      <c r="L467" t="n">
        <v>0</v>
      </c>
      <c r="M467" t="n">
        <v>0</v>
      </c>
      <c r="N467" t="n">
        <v>0</v>
      </c>
      <c r="O467" t="n">
        <v>1</v>
      </c>
      <c r="P467" t="n">
        <v>0</v>
      </c>
      <c r="Q467" t="n">
        <v>1</v>
      </c>
      <c r="R467" s="2" t="inlineStr">
        <is>
          <t>Lunglav</t>
        </is>
      </c>
      <c r="S467">
        <f>HYPERLINK("https://klasma.github.io/Logging_2161/artfynd/A 39547-2025 artfynd.xlsx", "A 39547-2025")</f>
        <v/>
      </c>
      <c r="T467">
        <f>HYPERLINK("https://klasma.github.io/Logging_2161/kartor/A 39547-2025 karta.png", "A 39547-2025")</f>
        <v/>
      </c>
      <c r="V467">
        <f>HYPERLINK("https://klasma.github.io/Logging_2161/klagomål/A 39547-2025 FSC-klagomål.docx", "A 39547-2025")</f>
        <v/>
      </c>
      <c r="W467">
        <f>HYPERLINK("https://klasma.github.io/Logging_2161/klagomålsmail/A 39547-2025 FSC-klagomål mail.docx", "A 39547-2025")</f>
        <v/>
      </c>
      <c r="X467">
        <f>HYPERLINK("https://klasma.github.io/Logging_2161/tillsyn/A 39547-2025 tillsynsbegäran.docx", "A 39547-2025")</f>
        <v/>
      </c>
      <c r="Y467">
        <f>HYPERLINK("https://klasma.github.io/Logging_2161/tillsynsmail/A 39547-2025 tillsynsbegäran mail.docx", "A 39547-2025")</f>
        <v/>
      </c>
    </row>
    <row r="468" ht="15" customHeight="1">
      <c r="A468" t="inlineStr">
        <is>
          <t>A 45241-2022</t>
        </is>
      </c>
      <c r="B468" s="1" t="n">
        <v>44840</v>
      </c>
      <c r="C468" s="1" t="n">
        <v>45911</v>
      </c>
      <c r="D468" t="inlineStr">
        <is>
          <t>GÄVLEBORGS LÄN</t>
        </is>
      </c>
      <c r="E468" t="inlineStr">
        <is>
          <t>GÄVLE</t>
        </is>
      </c>
      <c r="F468" t="inlineStr">
        <is>
          <t>Bergvik skog väst AB</t>
        </is>
      </c>
      <c r="G468" t="n">
        <v>22</v>
      </c>
      <c r="H468" t="n">
        <v>1</v>
      </c>
      <c r="I468" t="n">
        <v>0</v>
      </c>
      <c r="J468" t="n">
        <v>0</v>
      </c>
      <c r="K468" t="n">
        <v>0</v>
      </c>
      <c r="L468" t="n">
        <v>0</v>
      </c>
      <c r="M468" t="n">
        <v>0</v>
      </c>
      <c r="N468" t="n">
        <v>0</v>
      </c>
      <c r="O468" t="n">
        <v>0</v>
      </c>
      <c r="P468" t="n">
        <v>0</v>
      </c>
      <c r="Q468" t="n">
        <v>1</v>
      </c>
      <c r="R468" s="2" t="inlineStr">
        <is>
          <t>Blåsippa</t>
        </is>
      </c>
      <c r="S468">
        <f>HYPERLINK("https://klasma.github.io/Logging_2180/artfynd/A 45241-2022 artfynd.xlsx", "A 45241-2022")</f>
        <v/>
      </c>
      <c r="T468">
        <f>HYPERLINK("https://klasma.github.io/Logging_2180/kartor/A 45241-2022 karta.png", "A 45241-2022")</f>
        <v/>
      </c>
      <c r="V468">
        <f>HYPERLINK("https://klasma.github.io/Logging_2180/klagomål/A 45241-2022 FSC-klagomål.docx", "A 45241-2022")</f>
        <v/>
      </c>
      <c r="W468">
        <f>HYPERLINK("https://klasma.github.io/Logging_2180/klagomålsmail/A 45241-2022 FSC-klagomål mail.docx", "A 45241-2022")</f>
        <v/>
      </c>
      <c r="X468">
        <f>HYPERLINK("https://klasma.github.io/Logging_2180/tillsyn/A 45241-2022 tillsynsbegäran.docx", "A 45241-2022")</f>
        <v/>
      </c>
      <c r="Y468">
        <f>HYPERLINK("https://klasma.github.io/Logging_2180/tillsynsmail/A 45241-2022 tillsynsbegäran mail.docx", "A 45241-2022")</f>
        <v/>
      </c>
    </row>
    <row r="469" ht="15" customHeight="1">
      <c r="A469" t="inlineStr">
        <is>
          <t>A 39872-2025</t>
        </is>
      </c>
      <c r="B469" s="1" t="n">
        <v>45891.61175925926</v>
      </c>
      <c r="C469" s="1" t="n">
        <v>45911</v>
      </c>
      <c r="D469" t="inlineStr">
        <is>
          <t>GÄVLEBORGS LÄN</t>
        </is>
      </c>
      <c r="E469" t="inlineStr">
        <is>
          <t>SANDVIKEN</t>
        </is>
      </c>
      <c r="F469" t="inlineStr">
        <is>
          <t>Sveaskog</t>
        </is>
      </c>
      <c r="G469" t="n">
        <v>3.5</v>
      </c>
      <c r="H469" t="n">
        <v>1</v>
      </c>
      <c r="I469" t="n">
        <v>1</v>
      </c>
      <c r="J469" t="n">
        <v>0</v>
      </c>
      <c r="K469" t="n">
        <v>0</v>
      </c>
      <c r="L469" t="n">
        <v>0</v>
      </c>
      <c r="M469" t="n">
        <v>0</v>
      </c>
      <c r="N469" t="n">
        <v>0</v>
      </c>
      <c r="O469" t="n">
        <v>0</v>
      </c>
      <c r="P469" t="n">
        <v>0</v>
      </c>
      <c r="Q469" t="n">
        <v>1</v>
      </c>
      <c r="R469" s="2" t="inlineStr">
        <is>
          <t>Plattlummer</t>
        </is>
      </c>
      <c r="S469">
        <f>HYPERLINK("https://klasma.github.io/Logging_2181/artfynd/A 39872-2025 artfynd.xlsx", "A 39872-2025")</f>
        <v/>
      </c>
      <c r="T469">
        <f>HYPERLINK("https://klasma.github.io/Logging_2181/kartor/A 39872-2025 karta.png", "A 39872-2025")</f>
        <v/>
      </c>
      <c r="V469">
        <f>HYPERLINK("https://klasma.github.io/Logging_2181/klagomål/A 39872-2025 FSC-klagomål.docx", "A 39872-2025")</f>
        <v/>
      </c>
      <c r="W469">
        <f>HYPERLINK("https://klasma.github.io/Logging_2181/klagomålsmail/A 39872-2025 FSC-klagomål mail.docx", "A 39872-2025")</f>
        <v/>
      </c>
      <c r="X469">
        <f>HYPERLINK("https://klasma.github.io/Logging_2181/tillsyn/A 39872-2025 tillsynsbegäran.docx", "A 39872-2025")</f>
        <v/>
      </c>
      <c r="Y469">
        <f>HYPERLINK("https://klasma.github.io/Logging_2181/tillsynsmail/A 39872-2025 tillsynsbegäran mail.docx", "A 39872-2025")</f>
        <v/>
      </c>
    </row>
    <row r="470" ht="15" customHeight="1">
      <c r="A470" t="inlineStr">
        <is>
          <t>A 40179-2025</t>
        </is>
      </c>
      <c r="B470" s="1" t="n">
        <v>45894.6367824074</v>
      </c>
      <c r="C470" s="1" t="n">
        <v>45911</v>
      </c>
      <c r="D470" t="inlineStr">
        <is>
          <t>GÄVLEBORGS LÄN</t>
        </is>
      </c>
      <c r="E470" t="inlineStr">
        <is>
          <t>LJUSDAL</t>
        </is>
      </c>
      <c r="F470" t="inlineStr">
        <is>
          <t>SCA</t>
        </is>
      </c>
      <c r="G470" t="n">
        <v>2.9</v>
      </c>
      <c r="H470" t="n">
        <v>1</v>
      </c>
      <c r="I470" t="n">
        <v>0</v>
      </c>
      <c r="J470" t="n">
        <v>0</v>
      </c>
      <c r="K470" t="n">
        <v>0</v>
      </c>
      <c r="L470" t="n">
        <v>0</v>
      </c>
      <c r="M470" t="n">
        <v>0</v>
      </c>
      <c r="N470" t="n">
        <v>0</v>
      </c>
      <c r="O470" t="n">
        <v>0</v>
      </c>
      <c r="P470" t="n">
        <v>0</v>
      </c>
      <c r="Q470" t="n">
        <v>1</v>
      </c>
      <c r="R470" s="2" t="inlineStr">
        <is>
          <t>Revlummer</t>
        </is>
      </c>
      <c r="S470">
        <f>HYPERLINK("https://klasma.github.io/Logging_2161/artfynd/A 40179-2025 artfynd.xlsx", "A 40179-2025")</f>
        <v/>
      </c>
      <c r="T470">
        <f>HYPERLINK("https://klasma.github.io/Logging_2161/kartor/A 40179-2025 karta.png", "A 40179-2025")</f>
        <v/>
      </c>
      <c r="V470">
        <f>HYPERLINK("https://klasma.github.io/Logging_2161/klagomål/A 40179-2025 FSC-klagomål.docx", "A 40179-2025")</f>
        <v/>
      </c>
      <c r="W470">
        <f>HYPERLINK("https://klasma.github.io/Logging_2161/klagomålsmail/A 40179-2025 FSC-klagomål mail.docx", "A 40179-2025")</f>
        <v/>
      </c>
      <c r="X470">
        <f>HYPERLINK("https://klasma.github.io/Logging_2161/tillsyn/A 40179-2025 tillsynsbegäran.docx", "A 40179-2025")</f>
        <v/>
      </c>
      <c r="Y470">
        <f>HYPERLINK("https://klasma.github.io/Logging_2161/tillsynsmail/A 40179-2025 tillsynsbegäran mail.docx", "A 40179-2025")</f>
        <v/>
      </c>
    </row>
    <row r="471" ht="15" customHeight="1">
      <c r="A471" t="inlineStr">
        <is>
          <t>A 40143-2025</t>
        </is>
      </c>
      <c r="B471" s="1" t="n">
        <v>45894.57269675926</v>
      </c>
      <c r="C471" s="1" t="n">
        <v>45911</v>
      </c>
      <c r="D471" t="inlineStr">
        <is>
          <t>GÄVLEBORGS LÄN</t>
        </is>
      </c>
      <c r="E471" t="inlineStr">
        <is>
          <t>LJUSDAL</t>
        </is>
      </c>
      <c r="F471" t="inlineStr">
        <is>
          <t>Sveaskog</t>
        </is>
      </c>
      <c r="G471" t="n">
        <v>7.3</v>
      </c>
      <c r="H471" t="n">
        <v>1</v>
      </c>
      <c r="I471" t="n">
        <v>0</v>
      </c>
      <c r="J471" t="n">
        <v>0</v>
      </c>
      <c r="K471" t="n">
        <v>0</v>
      </c>
      <c r="L471" t="n">
        <v>0</v>
      </c>
      <c r="M471" t="n">
        <v>0</v>
      </c>
      <c r="N471" t="n">
        <v>0</v>
      </c>
      <c r="O471" t="n">
        <v>0</v>
      </c>
      <c r="P471" t="n">
        <v>0</v>
      </c>
      <c r="Q471" t="n">
        <v>1</v>
      </c>
      <c r="R471" s="2" t="inlineStr">
        <is>
          <t>Fläcknycklar</t>
        </is>
      </c>
      <c r="S471">
        <f>HYPERLINK("https://klasma.github.io/Logging_2161/artfynd/A 40143-2025 artfynd.xlsx", "A 40143-2025")</f>
        <v/>
      </c>
      <c r="T471">
        <f>HYPERLINK("https://klasma.github.io/Logging_2161/kartor/A 40143-2025 karta.png", "A 40143-2025")</f>
        <v/>
      </c>
      <c r="V471">
        <f>HYPERLINK("https://klasma.github.io/Logging_2161/klagomål/A 40143-2025 FSC-klagomål.docx", "A 40143-2025")</f>
        <v/>
      </c>
      <c r="W471">
        <f>HYPERLINK("https://klasma.github.io/Logging_2161/klagomålsmail/A 40143-2025 FSC-klagomål mail.docx", "A 40143-2025")</f>
        <v/>
      </c>
      <c r="X471">
        <f>HYPERLINK("https://klasma.github.io/Logging_2161/tillsyn/A 40143-2025 tillsynsbegäran.docx", "A 40143-2025")</f>
        <v/>
      </c>
      <c r="Y471">
        <f>HYPERLINK("https://klasma.github.io/Logging_2161/tillsynsmail/A 40143-2025 tillsynsbegäran mail.docx", "A 40143-2025")</f>
        <v/>
      </c>
    </row>
    <row r="472" ht="15" customHeight="1">
      <c r="A472" t="inlineStr">
        <is>
          <t>A 39873-2025</t>
        </is>
      </c>
      <c r="B472" s="1" t="n">
        <v>45891.61375</v>
      </c>
      <c r="C472" s="1" t="n">
        <v>45911</v>
      </c>
      <c r="D472" t="inlineStr">
        <is>
          <t>GÄVLEBORGS LÄN</t>
        </is>
      </c>
      <c r="E472" t="inlineStr">
        <is>
          <t>SANDVIKEN</t>
        </is>
      </c>
      <c r="F472" t="inlineStr">
        <is>
          <t>Sveaskog</t>
        </is>
      </c>
      <c r="G472" t="n">
        <v>3.5</v>
      </c>
      <c r="H472" t="n">
        <v>0</v>
      </c>
      <c r="I472" t="n">
        <v>1</v>
      </c>
      <c r="J472" t="n">
        <v>0</v>
      </c>
      <c r="K472" t="n">
        <v>0</v>
      </c>
      <c r="L472" t="n">
        <v>0</v>
      </c>
      <c r="M472" t="n">
        <v>0</v>
      </c>
      <c r="N472" t="n">
        <v>0</v>
      </c>
      <c r="O472" t="n">
        <v>0</v>
      </c>
      <c r="P472" t="n">
        <v>0</v>
      </c>
      <c r="Q472" t="n">
        <v>1</v>
      </c>
      <c r="R472" s="2" t="inlineStr">
        <is>
          <t>Dropptaggsvamp</t>
        </is>
      </c>
      <c r="S472">
        <f>HYPERLINK("https://klasma.github.io/Logging_2181/artfynd/A 39873-2025 artfynd.xlsx", "A 39873-2025")</f>
        <v/>
      </c>
      <c r="T472">
        <f>HYPERLINK("https://klasma.github.io/Logging_2181/kartor/A 39873-2025 karta.png", "A 39873-2025")</f>
        <v/>
      </c>
      <c r="V472">
        <f>HYPERLINK("https://klasma.github.io/Logging_2181/klagomål/A 39873-2025 FSC-klagomål.docx", "A 39873-2025")</f>
        <v/>
      </c>
      <c r="W472">
        <f>HYPERLINK("https://klasma.github.io/Logging_2181/klagomålsmail/A 39873-2025 FSC-klagomål mail.docx", "A 39873-2025")</f>
        <v/>
      </c>
      <c r="X472">
        <f>HYPERLINK("https://klasma.github.io/Logging_2181/tillsyn/A 39873-2025 tillsynsbegäran.docx", "A 39873-2025")</f>
        <v/>
      </c>
      <c r="Y472">
        <f>HYPERLINK("https://klasma.github.io/Logging_2181/tillsynsmail/A 39873-2025 tillsynsbegäran mail.docx", "A 39873-2025")</f>
        <v/>
      </c>
    </row>
    <row r="473" ht="15" customHeight="1">
      <c r="A473" t="inlineStr">
        <is>
          <t>A 40434-2025</t>
        </is>
      </c>
      <c r="B473" s="1" t="n">
        <v>45895.61741898148</v>
      </c>
      <c r="C473" s="1" t="n">
        <v>45911</v>
      </c>
      <c r="D473" t="inlineStr">
        <is>
          <t>GÄVLEBORGS LÄN</t>
        </is>
      </c>
      <c r="E473" t="inlineStr">
        <is>
          <t>SANDVIKEN</t>
        </is>
      </c>
      <c r="G473" t="n">
        <v>11.7</v>
      </c>
      <c r="H473" t="n">
        <v>0</v>
      </c>
      <c r="I473" t="n">
        <v>1</v>
      </c>
      <c r="J473" t="n">
        <v>0</v>
      </c>
      <c r="K473" t="n">
        <v>0</v>
      </c>
      <c r="L473" t="n">
        <v>0</v>
      </c>
      <c r="M473" t="n">
        <v>0</v>
      </c>
      <c r="N473" t="n">
        <v>0</v>
      </c>
      <c r="O473" t="n">
        <v>0</v>
      </c>
      <c r="P473" t="n">
        <v>0</v>
      </c>
      <c r="Q473" t="n">
        <v>1</v>
      </c>
      <c r="R473" s="2" t="inlineStr">
        <is>
          <t>Grönpyrola</t>
        </is>
      </c>
      <c r="S473">
        <f>HYPERLINK("https://klasma.github.io/Logging_2181/artfynd/A 40434-2025 artfynd.xlsx", "A 40434-2025")</f>
        <v/>
      </c>
      <c r="T473">
        <f>HYPERLINK("https://klasma.github.io/Logging_2181/kartor/A 40434-2025 karta.png", "A 40434-2025")</f>
        <v/>
      </c>
      <c r="V473">
        <f>HYPERLINK("https://klasma.github.io/Logging_2181/klagomål/A 40434-2025 FSC-klagomål.docx", "A 40434-2025")</f>
        <v/>
      </c>
      <c r="W473">
        <f>HYPERLINK("https://klasma.github.io/Logging_2181/klagomålsmail/A 40434-2025 FSC-klagomål mail.docx", "A 40434-2025")</f>
        <v/>
      </c>
      <c r="X473">
        <f>HYPERLINK("https://klasma.github.io/Logging_2181/tillsyn/A 40434-2025 tillsynsbegäran.docx", "A 40434-2025")</f>
        <v/>
      </c>
      <c r="Y473">
        <f>HYPERLINK("https://klasma.github.io/Logging_2181/tillsynsmail/A 40434-2025 tillsynsbegäran mail.docx", "A 40434-2025")</f>
        <v/>
      </c>
    </row>
    <row r="474" ht="15" customHeight="1">
      <c r="A474" t="inlineStr">
        <is>
          <t>A 234-2023</t>
        </is>
      </c>
      <c r="B474" s="1" t="n">
        <v>44928.66260416667</v>
      </c>
      <c r="C474" s="1" t="n">
        <v>45911</v>
      </c>
      <c r="D474" t="inlineStr">
        <is>
          <t>GÄVLEBORGS LÄN</t>
        </is>
      </c>
      <c r="E474" t="inlineStr">
        <is>
          <t>HOFORS</t>
        </is>
      </c>
      <c r="F474" t="inlineStr">
        <is>
          <t>Sveaskog</t>
        </is>
      </c>
      <c r="G474" t="n">
        <v>5.1</v>
      </c>
      <c r="H474" t="n">
        <v>1</v>
      </c>
      <c r="I474" t="n">
        <v>0</v>
      </c>
      <c r="J474" t="n">
        <v>0</v>
      </c>
      <c r="K474" t="n">
        <v>1</v>
      </c>
      <c r="L474" t="n">
        <v>0</v>
      </c>
      <c r="M474" t="n">
        <v>0</v>
      </c>
      <c r="N474" t="n">
        <v>0</v>
      </c>
      <c r="O474" t="n">
        <v>1</v>
      </c>
      <c r="P474" t="n">
        <v>1</v>
      </c>
      <c r="Q474" t="n">
        <v>1</v>
      </c>
      <c r="R474" s="2" t="inlineStr">
        <is>
          <t>Knärot</t>
        </is>
      </c>
      <c r="S474">
        <f>HYPERLINK("https://klasma.github.io/Logging_2104/artfynd/A 234-2023 artfynd.xlsx", "A 234-2023")</f>
        <v/>
      </c>
      <c r="T474">
        <f>HYPERLINK("https://klasma.github.io/Logging_2104/kartor/A 234-2023 karta.png", "A 234-2023")</f>
        <v/>
      </c>
      <c r="U474">
        <f>HYPERLINK("https://klasma.github.io/Logging_2104/knärot/A 234-2023 karta knärot.png", "A 234-2023")</f>
        <v/>
      </c>
      <c r="V474">
        <f>HYPERLINK("https://klasma.github.io/Logging_2104/klagomål/A 234-2023 FSC-klagomål.docx", "A 234-2023")</f>
        <v/>
      </c>
      <c r="W474">
        <f>HYPERLINK("https://klasma.github.io/Logging_2104/klagomålsmail/A 234-2023 FSC-klagomål mail.docx", "A 234-2023")</f>
        <v/>
      </c>
      <c r="X474">
        <f>HYPERLINK("https://klasma.github.io/Logging_2104/tillsyn/A 234-2023 tillsynsbegäran.docx", "A 234-2023")</f>
        <v/>
      </c>
      <c r="Y474">
        <f>HYPERLINK("https://klasma.github.io/Logging_2104/tillsynsmail/A 234-2023 tillsynsbegäran mail.docx", "A 234-2023")</f>
        <v/>
      </c>
    </row>
    <row r="475" ht="15" customHeight="1">
      <c r="A475" t="inlineStr">
        <is>
          <t>A 41119-2025</t>
        </is>
      </c>
      <c r="B475" s="1" t="n">
        <v>45898.46607638889</v>
      </c>
      <c r="C475" s="1" t="n">
        <v>45911</v>
      </c>
      <c r="D475" t="inlineStr">
        <is>
          <t>GÄVLEBORGS LÄN</t>
        </is>
      </c>
      <c r="E475" t="inlineStr">
        <is>
          <t>HUDIKSVALL</t>
        </is>
      </c>
      <c r="F475" t="inlineStr">
        <is>
          <t>Holmen skog AB</t>
        </is>
      </c>
      <c r="G475" t="n">
        <v>35.1</v>
      </c>
      <c r="H475" t="n">
        <v>0</v>
      </c>
      <c r="I475" t="n">
        <v>1</v>
      </c>
      <c r="J475" t="n">
        <v>0</v>
      </c>
      <c r="K475" t="n">
        <v>0</v>
      </c>
      <c r="L475" t="n">
        <v>0</v>
      </c>
      <c r="M475" t="n">
        <v>0</v>
      </c>
      <c r="N475" t="n">
        <v>0</v>
      </c>
      <c r="O475" t="n">
        <v>0</v>
      </c>
      <c r="P475" t="n">
        <v>0</v>
      </c>
      <c r="Q475" t="n">
        <v>1</v>
      </c>
      <c r="R475" s="2" t="inlineStr">
        <is>
          <t>Ögonpyrola</t>
        </is>
      </c>
      <c r="S475">
        <f>HYPERLINK("https://klasma.github.io/Logging_2184/artfynd/A 41119-2025 artfynd.xlsx", "A 41119-2025")</f>
        <v/>
      </c>
      <c r="T475">
        <f>HYPERLINK("https://klasma.github.io/Logging_2184/kartor/A 41119-2025 karta.png", "A 41119-2025")</f>
        <v/>
      </c>
      <c r="V475">
        <f>HYPERLINK("https://klasma.github.io/Logging_2184/klagomål/A 41119-2025 FSC-klagomål.docx", "A 41119-2025")</f>
        <v/>
      </c>
      <c r="W475">
        <f>HYPERLINK("https://klasma.github.io/Logging_2184/klagomålsmail/A 41119-2025 FSC-klagomål mail.docx", "A 41119-2025")</f>
        <v/>
      </c>
      <c r="X475">
        <f>HYPERLINK("https://klasma.github.io/Logging_2184/tillsyn/A 41119-2025 tillsynsbegäran.docx", "A 41119-2025")</f>
        <v/>
      </c>
      <c r="Y475">
        <f>HYPERLINK("https://klasma.github.io/Logging_2184/tillsynsmail/A 41119-2025 tillsynsbegäran mail.docx", "A 41119-2025")</f>
        <v/>
      </c>
    </row>
    <row r="476" ht="15" customHeight="1">
      <c r="A476" t="inlineStr">
        <is>
          <t>A 41211-2025</t>
        </is>
      </c>
      <c r="B476" s="1" t="n">
        <v>45898.57900462963</v>
      </c>
      <c r="C476" s="1" t="n">
        <v>45911</v>
      </c>
      <c r="D476" t="inlineStr">
        <is>
          <t>GÄVLEBORGS LÄN</t>
        </is>
      </c>
      <c r="E476" t="inlineStr">
        <is>
          <t>LJUSDAL</t>
        </is>
      </c>
      <c r="F476" t="inlineStr">
        <is>
          <t>Sveaskog</t>
        </is>
      </c>
      <c r="G476" t="n">
        <v>4.9</v>
      </c>
      <c r="H476" t="n">
        <v>0</v>
      </c>
      <c r="I476" t="n">
        <v>0</v>
      </c>
      <c r="J476" t="n">
        <v>1</v>
      </c>
      <c r="K476" t="n">
        <v>0</v>
      </c>
      <c r="L476" t="n">
        <v>0</v>
      </c>
      <c r="M476" t="n">
        <v>0</v>
      </c>
      <c r="N476" t="n">
        <v>0</v>
      </c>
      <c r="O476" t="n">
        <v>1</v>
      </c>
      <c r="P476" t="n">
        <v>0</v>
      </c>
      <c r="Q476" t="n">
        <v>1</v>
      </c>
      <c r="R476" s="2" t="inlineStr">
        <is>
          <t>Lunglav</t>
        </is>
      </c>
      <c r="S476">
        <f>HYPERLINK("https://klasma.github.io/Logging_2161/artfynd/A 41211-2025 artfynd.xlsx", "A 41211-2025")</f>
        <v/>
      </c>
      <c r="T476">
        <f>HYPERLINK("https://klasma.github.io/Logging_2161/kartor/A 41211-2025 karta.png", "A 41211-2025")</f>
        <v/>
      </c>
      <c r="V476">
        <f>HYPERLINK("https://klasma.github.io/Logging_2161/klagomål/A 41211-2025 FSC-klagomål.docx", "A 41211-2025")</f>
        <v/>
      </c>
      <c r="W476">
        <f>HYPERLINK("https://klasma.github.io/Logging_2161/klagomålsmail/A 41211-2025 FSC-klagomål mail.docx", "A 41211-2025")</f>
        <v/>
      </c>
      <c r="X476">
        <f>HYPERLINK("https://klasma.github.io/Logging_2161/tillsyn/A 41211-2025 tillsynsbegäran.docx", "A 41211-2025")</f>
        <v/>
      </c>
      <c r="Y476">
        <f>HYPERLINK("https://klasma.github.io/Logging_2161/tillsynsmail/A 41211-2025 tillsynsbegäran mail.docx", "A 41211-2025")</f>
        <v/>
      </c>
    </row>
    <row r="477" ht="15" customHeight="1">
      <c r="A477" t="inlineStr">
        <is>
          <t>A 29821-2023</t>
        </is>
      </c>
      <c r="B477" s="1" t="n">
        <v>45107.56270833333</v>
      </c>
      <c r="C477" s="1" t="n">
        <v>45911</v>
      </c>
      <c r="D477" t="inlineStr">
        <is>
          <t>GÄVLEBORGS LÄN</t>
        </is>
      </c>
      <c r="E477" t="inlineStr">
        <is>
          <t>GÄVLE</t>
        </is>
      </c>
      <c r="G477" t="n">
        <v>5.3</v>
      </c>
      <c r="H477" t="n">
        <v>1</v>
      </c>
      <c r="I477" t="n">
        <v>0</v>
      </c>
      <c r="J477" t="n">
        <v>1</v>
      </c>
      <c r="K477" t="n">
        <v>0</v>
      </c>
      <c r="L477" t="n">
        <v>0</v>
      </c>
      <c r="M477" t="n">
        <v>0</v>
      </c>
      <c r="N477" t="n">
        <v>0</v>
      </c>
      <c r="O477" t="n">
        <v>1</v>
      </c>
      <c r="P477" t="n">
        <v>0</v>
      </c>
      <c r="Q477" t="n">
        <v>1</v>
      </c>
      <c r="R477" s="2" t="inlineStr">
        <is>
          <t>Svartvit flugsnappare</t>
        </is>
      </c>
      <c r="S477">
        <f>HYPERLINK("https://klasma.github.io/Logging_2180/artfynd/A 29821-2023 artfynd.xlsx", "A 29821-2023")</f>
        <v/>
      </c>
      <c r="T477">
        <f>HYPERLINK("https://klasma.github.io/Logging_2180/kartor/A 29821-2023 karta.png", "A 29821-2023")</f>
        <v/>
      </c>
      <c r="V477">
        <f>HYPERLINK("https://klasma.github.io/Logging_2180/klagomål/A 29821-2023 FSC-klagomål.docx", "A 29821-2023")</f>
        <v/>
      </c>
      <c r="W477">
        <f>HYPERLINK("https://klasma.github.io/Logging_2180/klagomålsmail/A 29821-2023 FSC-klagomål mail.docx", "A 29821-2023")</f>
        <v/>
      </c>
      <c r="X477">
        <f>HYPERLINK("https://klasma.github.io/Logging_2180/tillsyn/A 29821-2023 tillsynsbegäran.docx", "A 29821-2023")</f>
        <v/>
      </c>
      <c r="Y477">
        <f>HYPERLINK("https://klasma.github.io/Logging_2180/tillsynsmail/A 29821-2023 tillsynsbegäran mail.docx", "A 29821-2023")</f>
        <v/>
      </c>
      <c r="Z477">
        <f>HYPERLINK("https://klasma.github.io/Logging_2180/fåglar/A 29821-2023 prioriterade fågelarter.docx", "A 29821-2023")</f>
        <v/>
      </c>
    </row>
    <row r="478" ht="15" customHeight="1">
      <c r="A478" t="inlineStr">
        <is>
          <t>A 40968-2025</t>
        </is>
      </c>
      <c r="B478" s="1" t="n">
        <v>45897.77994212963</v>
      </c>
      <c r="C478" s="1" t="n">
        <v>45911</v>
      </c>
      <c r="D478" t="inlineStr">
        <is>
          <t>GÄVLEBORGS LÄN</t>
        </is>
      </c>
      <c r="E478" t="inlineStr">
        <is>
          <t>LJUSDAL</t>
        </is>
      </c>
      <c r="F478" t="inlineStr">
        <is>
          <t>Sveaskog</t>
        </is>
      </c>
      <c r="G478" t="n">
        <v>6.7</v>
      </c>
      <c r="H478" t="n">
        <v>0</v>
      </c>
      <c r="I478" t="n">
        <v>0</v>
      </c>
      <c r="J478" t="n">
        <v>1</v>
      </c>
      <c r="K478" t="n">
        <v>0</v>
      </c>
      <c r="L478" t="n">
        <v>0</v>
      </c>
      <c r="M478" t="n">
        <v>0</v>
      </c>
      <c r="N478" t="n">
        <v>0</v>
      </c>
      <c r="O478" t="n">
        <v>1</v>
      </c>
      <c r="P478" t="n">
        <v>0</v>
      </c>
      <c r="Q478" t="n">
        <v>1</v>
      </c>
      <c r="R478" s="2" t="inlineStr">
        <is>
          <t>Lunglav</t>
        </is>
      </c>
      <c r="S478">
        <f>HYPERLINK("https://klasma.github.io/Logging_2161/artfynd/A 40968-2025 artfynd.xlsx", "A 40968-2025")</f>
        <v/>
      </c>
      <c r="T478">
        <f>HYPERLINK("https://klasma.github.io/Logging_2161/kartor/A 40968-2025 karta.png", "A 40968-2025")</f>
        <v/>
      </c>
      <c r="V478">
        <f>HYPERLINK("https://klasma.github.io/Logging_2161/klagomål/A 40968-2025 FSC-klagomål.docx", "A 40968-2025")</f>
        <v/>
      </c>
      <c r="W478">
        <f>HYPERLINK("https://klasma.github.io/Logging_2161/klagomålsmail/A 40968-2025 FSC-klagomål mail.docx", "A 40968-2025")</f>
        <v/>
      </c>
      <c r="X478">
        <f>HYPERLINK("https://klasma.github.io/Logging_2161/tillsyn/A 40968-2025 tillsynsbegäran.docx", "A 40968-2025")</f>
        <v/>
      </c>
      <c r="Y478">
        <f>HYPERLINK("https://klasma.github.io/Logging_2161/tillsynsmail/A 40968-2025 tillsynsbegäran mail.docx", "A 40968-2025")</f>
        <v/>
      </c>
    </row>
    <row r="479" ht="15" customHeight="1">
      <c r="A479" t="inlineStr">
        <is>
          <t>A 44963-2020</t>
        </is>
      </c>
      <c r="B479" s="1" t="n">
        <v>44088</v>
      </c>
      <c r="C479" s="1" t="n">
        <v>45911</v>
      </c>
      <c r="D479" t="inlineStr">
        <is>
          <t>GÄVLEBORGS LÄN</t>
        </is>
      </c>
      <c r="E479" t="inlineStr">
        <is>
          <t>HOFORS</t>
        </is>
      </c>
      <c r="G479" t="n">
        <v>3.1</v>
      </c>
      <c r="H479" t="n">
        <v>0</v>
      </c>
      <c r="I479" t="n">
        <v>0</v>
      </c>
      <c r="J479" t="n">
        <v>1</v>
      </c>
      <c r="K479" t="n">
        <v>0</v>
      </c>
      <c r="L479" t="n">
        <v>0</v>
      </c>
      <c r="M479" t="n">
        <v>0</v>
      </c>
      <c r="N479" t="n">
        <v>0</v>
      </c>
      <c r="O479" t="n">
        <v>1</v>
      </c>
      <c r="P479" t="n">
        <v>0</v>
      </c>
      <c r="Q479" t="n">
        <v>1</v>
      </c>
      <c r="R479" s="2" t="inlineStr">
        <is>
          <t>Slåtterfibbla</t>
        </is>
      </c>
      <c r="S479">
        <f>HYPERLINK("https://klasma.github.io/Logging_2104/artfynd/A 44963-2020 artfynd.xlsx", "A 44963-2020")</f>
        <v/>
      </c>
      <c r="T479">
        <f>HYPERLINK("https://klasma.github.io/Logging_2104/kartor/A 44963-2020 karta.png", "A 44963-2020")</f>
        <v/>
      </c>
      <c r="V479">
        <f>HYPERLINK("https://klasma.github.io/Logging_2104/klagomål/A 44963-2020 FSC-klagomål.docx", "A 44963-2020")</f>
        <v/>
      </c>
      <c r="W479">
        <f>HYPERLINK("https://klasma.github.io/Logging_2104/klagomålsmail/A 44963-2020 FSC-klagomål mail.docx", "A 44963-2020")</f>
        <v/>
      </c>
      <c r="X479">
        <f>HYPERLINK("https://klasma.github.io/Logging_2104/tillsyn/A 44963-2020 tillsynsbegäran.docx", "A 44963-2020")</f>
        <v/>
      </c>
      <c r="Y479">
        <f>HYPERLINK("https://klasma.github.io/Logging_2104/tillsynsmail/A 44963-2020 tillsynsbegäran mail.docx", "A 44963-2020")</f>
        <v/>
      </c>
    </row>
    <row r="480" ht="15" customHeight="1">
      <c r="A480" t="inlineStr">
        <is>
          <t>A 7148-2023</t>
        </is>
      </c>
      <c r="B480" s="1" t="n">
        <v>44970.45804398148</v>
      </c>
      <c r="C480" s="1" t="n">
        <v>45911</v>
      </c>
      <c r="D480" t="inlineStr">
        <is>
          <t>GÄVLEBORGS LÄN</t>
        </is>
      </c>
      <c r="E480" t="inlineStr">
        <is>
          <t>LJUSDAL</t>
        </is>
      </c>
      <c r="F480" t="inlineStr">
        <is>
          <t>Holmen skog AB</t>
        </is>
      </c>
      <c r="G480" t="n">
        <v>4.9</v>
      </c>
      <c r="H480" t="n">
        <v>0</v>
      </c>
      <c r="I480" t="n">
        <v>1</v>
      </c>
      <c r="J480" t="n">
        <v>0</v>
      </c>
      <c r="K480" t="n">
        <v>0</v>
      </c>
      <c r="L480" t="n">
        <v>0</v>
      </c>
      <c r="M480" t="n">
        <v>0</v>
      </c>
      <c r="N480" t="n">
        <v>0</v>
      </c>
      <c r="O480" t="n">
        <v>0</v>
      </c>
      <c r="P480" t="n">
        <v>0</v>
      </c>
      <c r="Q480" t="n">
        <v>1</v>
      </c>
      <c r="R480" s="2" t="inlineStr">
        <is>
          <t>Vedticka</t>
        </is>
      </c>
      <c r="S480">
        <f>HYPERLINK("https://klasma.github.io/Logging_2161/artfynd/A 7148-2023 artfynd.xlsx", "A 7148-2023")</f>
        <v/>
      </c>
      <c r="T480">
        <f>HYPERLINK("https://klasma.github.io/Logging_2161/kartor/A 7148-2023 karta.png", "A 7148-2023")</f>
        <v/>
      </c>
      <c r="V480">
        <f>HYPERLINK("https://klasma.github.io/Logging_2161/klagomål/A 7148-2023 FSC-klagomål.docx", "A 7148-2023")</f>
        <v/>
      </c>
      <c r="W480">
        <f>HYPERLINK("https://klasma.github.io/Logging_2161/klagomålsmail/A 7148-2023 FSC-klagomål mail.docx", "A 7148-2023")</f>
        <v/>
      </c>
      <c r="X480">
        <f>HYPERLINK("https://klasma.github.io/Logging_2161/tillsyn/A 7148-2023 tillsynsbegäran.docx", "A 7148-2023")</f>
        <v/>
      </c>
      <c r="Y480">
        <f>HYPERLINK("https://klasma.github.io/Logging_2161/tillsynsmail/A 7148-2023 tillsynsbegäran mail.docx", "A 7148-2023")</f>
        <v/>
      </c>
    </row>
    <row r="481" ht="15" customHeight="1">
      <c r="A481" t="inlineStr">
        <is>
          <t>A 34233-2024</t>
        </is>
      </c>
      <c r="B481" s="1" t="n">
        <v>45524.56537037037</v>
      </c>
      <c r="C481" s="1" t="n">
        <v>45911</v>
      </c>
      <c r="D481" t="inlineStr">
        <is>
          <t>GÄVLEBORGS LÄN</t>
        </is>
      </c>
      <c r="E481" t="inlineStr">
        <is>
          <t>LJUSDAL</t>
        </is>
      </c>
      <c r="F481" t="inlineStr">
        <is>
          <t>Sveaskog</t>
        </is>
      </c>
      <c r="G481" t="n">
        <v>7.5</v>
      </c>
      <c r="H481" t="n">
        <v>1</v>
      </c>
      <c r="I481" t="n">
        <v>1</v>
      </c>
      <c r="J481" t="n">
        <v>0</v>
      </c>
      <c r="K481" t="n">
        <v>0</v>
      </c>
      <c r="L481" t="n">
        <v>0</v>
      </c>
      <c r="M481" t="n">
        <v>0</v>
      </c>
      <c r="N481" t="n">
        <v>0</v>
      </c>
      <c r="O481" t="n">
        <v>0</v>
      </c>
      <c r="P481" t="n">
        <v>0</v>
      </c>
      <c r="Q481" t="n">
        <v>1</v>
      </c>
      <c r="R481" s="2" t="inlineStr">
        <is>
          <t>Plattlummer</t>
        </is>
      </c>
      <c r="S481">
        <f>HYPERLINK("https://klasma.github.io/Logging_2161/artfynd/A 34233-2024 artfynd.xlsx", "A 34233-2024")</f>
        <v/>
      </c>
      <c r="T481">
        <f>HYPERLINK("https://klasma.github.io/Logging_2161/kartor/A 34233-2024 karta.png", "A 34233-2024")</f>
        <v/>
      </c>
      <c r="V481">
        <f>HYPERLINK("https://klasma.github.io/Logging_2161/klagomål/A 34233-2024 FSC-klagomål.docx", "A 34233-2024")</f>
        <v/>
      </c>
      <c r="W481">
        <f>HYPERLINK("https://klasma.github.io/Logging_2161/klagomålsmail/A 34233-2024 FSC-klagomål mail.docx", "A 34233-2024")</f>
        <v/>
      </c>
      <c r="X481">
        <f>HYPERLINK("https://klasma.github.io/Logging_2161/tillsyn/A 34233-2024 tillsynsbegäran.docx", "A 34233-2024")</f>
        <v/>
      </c>
      <c r="Y481">
        <f>HYPERLINK("https://klasma.github.io/Logging_2161/tillsynsmail/A 34233-2024 tillsynsbegäran mail.docx", "A 34233-2024")</f>
        <v/>
      </c>
    </row>
    <row r="482" ht="15" customHeight="1">
      <c r="A482" t="inlineStr">
        <is>
          <t>A 25237-2022</t>
        </is>
      </c>
      <c r="B482" s="1" t="n">
        <v>44729</v>
      </c>
      <c r="C482" s="1" t="n">
        <v>45911</v>
      </c>
      <c r="D482" t="inlineStr">
        <is>
          <t>GÄVLEBORGS LÄN</t>
        </is>
      </c>
      <c r="E482" t="inlineStr">
        <is>
          <t>SÖDERHAMN</t>
        </is>
      </c>
      <c r="F482" t="inlineStr">
        <is>
          <t>Bergvik skog väst AB</t>
        </is>
      </c>
      <c r="G482" t="n">
        <v>18.6</v>
      </c>
      <c r="H482" t="n">
        <v>1</v>
      </c>
      <c r="I482" t="n">
        <v>0</v>
      </c>
      <c r="J482" t="n">
        <v>1</v>
      </c>
      <c r="K482" t="n">
        <v>0</v>
      </c>
      <c r="L482" t="n">
        <v>0</v>
      </c>
      <c r="M482" t="n">
        <v>0</v>
      </c>
      <c r="N482" t="n">
        <v>0</v>
      </c>
      <c r="O482" t="n">
        <v>1</v>
      </c>
      <c r="P482" t="n">
        <v>0</v>
      </c>
      <c r="Q482" t="n">
        <v>1</v>
      </c>
      <c r="R482" s="2" t="inlineStr">
        <is>
          <t>Talltita</t>
        </is>
      </c>
      <c r="S482">
        <f>HYPERLINK("https://klasma.github.io/Logging_2182/artfynd/A 25237-2022 artfynd.xlsx", "A 25237-2022")</f>
        <v/>
      </c>
      <c r="T482">
        <f>HYPERLINK("https://klasma.github.io/Logging_2182/kartor/A 25237-2022 karta.png", "A 25237-2022")</f>
        <v/>
      </c>
      <c r="V482">
        <f>HYPERLINK("https://klasma.github.io/Logging_2182/klagomål/A 25237-2022 FSC-klagomål.docx", "A 25237-2022")</f>
        <v/>
      </c>
      <c r="W482">
        <f>HYPERLINK("https://klasma.github.io/Logging_2182/klagomålsmail/A 25237-2022 FSC-klagomål mail.docx", "A 25237-2022")</f>
        <v/>
      </c>
      <c r="X482">
        <f>HYPERLINK("https://klasma.github.io/Logging_2182/tillsyn/A 25237-2022 tillsynsbegäran.docx", "A 25237-2022")</f>
        <v/>
      </c>
      <c r="Y482">
        <f>HYPERLINK("https://klasma.github.io/Logging_2182/tillsynsmail/A 25237-2022 tillsynsbegäran mail.docx", "A 25237-2022")</f>
        <v/>
      </c>
      <c r="Z482">
        <f>HYPERLINK("https://klasma.github.io/Logging_2182/fåglar/A 25237-2022 prioriterade fågelarter.docx", "A 25237-2022")</f>
        <v/>
      </c>
    </row>
    <row r="483" ht="15" customHeight="1">
      <c r="A483" t="inlineStr">
        <is>
          <t>A 41010-2025</t>
        </is>
      </c>
      <c r="B483" s="1" t="n">
        <v>45898.35421296296</v>
      </c>
      <c r="C483" s="1" t="n">
        <v>45911</v>
      </c>
      <c r="D483" t="inlineStr">
        <is>
          <t>GÄVLEBORGS LÄN</t>
        </is>
      </c>
      <c r="E483" t="inlineStr">
        <is>
          <t>LJUSDAL</t>
        </is>
      </c>
      <c r="F483" t="inlineStr">
        <is>
          <t>Sveaskog</t>
        </is>
      </c>
      <c r="G483" t="n">
        <v>10.1</v>
      </c>
      <c r="H483" t="n">
        <v>1</v>
      </c>
      <c r="I483" t="n">
        <v>0</v>
      </c>
      <c r="J483" t="n">
        <v>0</v>
      </c>
      <c r="K483" t="n">
        <v>1</v>
      </c>
      <c r="L483" t="n">
        <v>0</v>
      </c>
      <c r="M483" t="n">
        <v>0</v>
      </c>
      <c r="N483" t="n">
        <v>0</v>
      </c>
      <c r="O483" t="n">
        <v>1</v>
      </c>
      <c r="P483" t="n">
        <v>1</v>
      </c>
      <c r="Q483" t="n">
        <v>1</v>
      </c>
      <c r="R483" s="2" t="inlineStr">
        <is>
          <t>Knärot</t>
        </is>
      </c>
      <c r="S483">
        <f>HYPERLINK("https://klasma.github.io/Logging_2161/artfynd/A 41010-2025 artfynd.xlsx", "A 41010-2025")</f>
        <v/>
      </c>
      <c r="T483">
        <f>HYPERLINK("https://klasma.github.io/Logging_2161/kartor/A 41010-2025 karta.png", "A 41010-2025")</f>
        <v/>
      </c>
      <c r="U483">
        <f>HYPERLINK("https://klasma.github.io/Logging_2161/knärot/A 41010-2025 karta knärot.png", "A 41010-2025")</f>
        <v/>
      </c>
      <c r="V483">
        <f>HYPERLINK("https://klasma.github.io/Logging_2161/klagomål/A 41010-2025 FSC-klagomål.docx", "A 41010-2025")</f>
        <v/>
      </c>
      <c r="W483">
        <f>HYPERLINK("https://klasma.github.io/Logging_2161/klagomålsmail/A 41010-2025 FSC-klagomål mail.docx", "A 41010-2025")</f>
        <v/>
      </c>
      <c r="X483">
        <f>HYPERLINK("https://klasma.github.io/Logging_2161/tillsyn/A 41010-2025 tillsynsbegäran.docx", "A 41010-2025")</f>
        <v/>
      </c>
      <c r="Y483">
        <f>HYPERLINK("https://klasma.github.io/Logging_2161/tillsynsmail/A 41010-2025 tillsynsbegäran mail.docx", "A 41010-2025")</f>
        <v/>
      </c>
    </row>
    <row r="484" ht="15" customHeight="1">
      <c r="A484" t="inlineStr">
        <is>
          <t>A 63166-2023</t>
        </is>
      </c>
      <c r="B484" s="1" t="n">
        <v>45273</v>
      </c>
      <c r="C484" s="1" t="n">
        <v>45911</v>
      </c>
      <c r="D484" t="inlineStr">
        <is>
          <t>GÄVLEBORGS LÄN</t>
        </is>
      </c>
      <c r="E484" t="inlineStr">
        <is>
          <t>LJUSDAL</t>
        </is>
      </c>
      <c r="G484" t="n">
        <v>3.1</v>
      </c>
      <c r="H484" t="n">
        <v>0</v>
      </c>
      <c r="I484" t="n">
        <v>0</v>
      </c>
      <c r="J484" t="n">
        <v>1</v>
      </c>
      <c r="K484" t="n">
        <v>0</v>
      </c>
      <c r="L484" t="n">
        <v>0</v>
      </c>
      <c r="M484" t="n">
        <v>0</v>
      </c>
      <c r="N484" t="n">
        <v>0</v>
      </c>
      <c r="O484" t="n">
        <v>1</v>
      </c>
      <c r="P484" t="n">
        <v>0</v>
      </c>
      <c r="Q484" t="n">
        <v>1</v>
      </c>
      <c r="R484" s="2" t="inlineStr">
        <is>
          <t>Tallticka</t>
        </is>
      </c>
      <c r="S484">
        <f>HYPERLINK("https://klasma.github.io/Logging_2161/artfynd/A 63166-2023 artfynd.xlsx", "A 63166-2023")</f>
        <v/>
      </c>
      <c r="T484">
        <f>HYPERLINK("https://klasma.github.io/Logging_2161/kartor/A 63166-2023 karta.png", "A 63166-2023")</f>
        <v/>
      </c>
      <c r="V484">
        <f>HYPERLINK("https://klasma.github.io/Logging_2161/klagomål/A 63166-2023 FSC-klagomål.docx", "A 63166-2023")</f>
        <v/>
      </c>
      <c r="W484">
        <f>HYPERLINK("https://klasma.github.io/Logging_2161/klagomålsmail/A 63166-2023 FSC-klagomål mail.docx", "A 63166-2023")</f>
        <v/>
      </c>
      <c r="X484">
        <f>HYPERLINK("https://klasma.github.io/Logging_2161/tillsyn/A 63166-2023 tillsynsbegäran.docx", "A 63166-2023")</f>
        <v/>
      </c>
      <c r="Y484">
        <f>HYPERLINK("https://klasma.github.io/Logging_2161/tillsynsmail/A 63166-2023 tillsynsbegäran mail.docx", "A 63166-2023")</f>
        <v/>
      </c>
    </row>
    <row r="485" ht="15" customHeight="1">
      <c r="A485" t="inlineStr">
        <is>
          <t>A 57946-2023</t>
        </is>
      </c>
      <c r="B485" s="1" t="n">
        <v>45247.56151620371</v>
      </c>
      <c r="C485" s="1" t="n">
        <v>45911</v>
      </c>
      <c r="D485" t="inlineStr">
        <is>
          <t>GÄVLEBORGS LÄN</t>
        </is>
      </c>
      <c r="E485" t="inlineStr">
        <is>
          <t>OCKELBO</t>
        </is>
      </c>
      <c r="F485" t="inlineStr">
        <is>
          <t>Bergvik skog väst AB</t>
        </is>
      </c>
      <c r="G485" t="n">
        <v>2.4</v>
      </c>
      <c r="H485" t="n">
        <v>1</v>
      </c>
      <c r="I485" t="n">
        <v>0</v>
      </c>
      <c r="J485" t="n">
        <v>0</v>
      </c>
      <c r="K485" t="n">
        <v>0</v>
      </c>
      <c r="L485" t="n">
        <v>0</v>
      </c>
      <c r="M485" t="n">
        <v>0</v>
      </c>
      <c r="N485" t="n">
        <v>0</v>
      </c>
      <c r="O485" t="n">
        <v>0</v>
      </c>
      <c r="P485" t="n">
        <v>0</v>
      </c>
      <c r="Q485" t="n">
        <v>1</v>
      </c>
      <c r="R485" s="2" t="inlineStr">
        <is>
          <t>Revlummer</t>
        </is>
      </c>
      <c r="S485">
        <f>HYPERLINK("https://klasma.github.io/Logging_2101/artfynd/A 57946-2023 artfynd.xlsx", "A 57946-2023")</f>
        <v/>
      </c>
      <c r="T485">
        <f>HYPERLINK("https://klasma.github.io/Logging_2101/kartor/A 57946-2023 karta.png", "A 57946-2023")</f>
        <v/>
      </c>
      <c r="V485">
        <f>HYPERLINK("https://klasma.github.io/Logging_2101/klagomål/A 57946-2023 FSC-klagomål.docx", "A 57946-2023")</f>
        <v/>
      </c>
      <c r="W485">
        <f>HYPERLINK("https://klasma.github.io/Logging_2101/klagomålsmail/A 57946-2023 FSC-klagomål mail.docx", "A 57946-2023")</f>
        <v/>
      </c>
      <c r="X485">
        <f>HYPERLINK("https://klasma.github.io/Logging_2101/tillsyn/A 57946-2023 tillsynsbegäran.docx", "A 57946-2023")</f>
        <v/>
      </c>
      <c r="Y485">
        <f>HYPERLINK("https://klasma.github.io/Logging_2101/tillsynsmail/A 57946-2023 tillsynsbegäran mail.docx", "A 57946-2023")</f>
        <v/>
      </c>
    </row>
    <row r="486" ht="15" customHeight="1">
      <c r="A486" t="inlineStr">
        <is>
          <t>A 21029-2024</t>
        </is>
      </c>
      <c r="B486" s="1" t="n">
        <v>45439.6528125</v>
      </c>
      <c r="C486" s="1" t="n">
        <v>45911</v>
      </c>
      <c r="D486" t="inlineStr">
        <is>
          <t>GÄVLEBORGS LÄN</t>
        </is>
      </c>
      <c r="E486" t="inlineStr">
        <is>
          <t>HOFORS</t>
        </is>
      </c>
      <c r="F486" t="inlineStr">
        <is>
          <t>Sveaskog</t>
        </is>
      </c>
      <c r="G486" t="n">
        <v>3.9</v>
      </c>
      <c r="H486" t="n">
        <v>0</v>
      </c>
      <c r="I486" t="n">
        <v>0</v>
      </c>
      <c r="J486" t="n">
        <v>1</v>
      </c>
      <c r="K486" t="n">
        <v>0</v>
      </c>
      <c r="L486" t="n">
        <v>0</v>
      </c>
      <c r="M486" t="n">
        <v>0</v>
      </c>
      <c r="N486" t="n">
        <v>0</v>
      </c>
      <c r="O486" t="n">
        <v>1</v>
      </c>
      <c r="P486" t="n">
        <v>0</v>
      </c>
      <c r="Q486" t="n">
        <v>1</v>
      </c>
      <c r="R486" s="2" t="inlineStr">
        <is>
          <t>Mörk kolflarnlav</t>
        </is>
      </c>
      <c r="S486">
        <f>HYPERLINK("https://klasma.github.io/Logging_2104/artfynd/A 21029-2024 artfynd.xlsx", "A 21029-2024")</f>
        <v/>
      </c>
      <c r="T486">
        <f>HYPERLINK("https://klasma.github.io/Logging_2104/kartor/A 21029-2024 karta.png", "A 21029-2024")</f>
        <v/>
      </c>
      <c r="U486">
        <f>HYPERLINK("https://klasma.github.io/Logging_2104/knärot/A 21029-2024 karta knärot.png", "A 21029-2024")</f>
        <v/>
      </c>
      <c r="V486">
        <f>HYPERLINK("https://klasma.github.io/Logging_2104/klagomål/A 21029-2024 FSC-klagomål.docx", "A 21029-2024")</f>
        <v/>
      </c>
      <c r="W486">
        <f>HYPERLINK("https://klasma.github.io/Logging_2104/klagomålsmail/A 21029-2024 FSC-klagomål mail.docx", "A 21029-2024")</f>
        <v/>
      </c>
      <c r="X486">
        <f>HYPERLINK("https://klasma.github.io/Logging_2104/tillsyn/A 21029-2024 tillsynsbegäran.docx", "A 21029-2024")</f>
        <v/>
      </c>
      <c r="Y486">
        <f>HYPERLINK("https://klasma.github.io/Logging_2104/tillsynsmail/A 21029-2024 tillsynsbegäran mail.docx", "A 21029-2024")</f>
        <v/>
      </c>
    </row>
    <row r="487" ht="15" customHeight="1">
      <c r="A487" t="inlineStr">
        <is>
          <t>A 58168-2020</t>
        </is>
      </c>
      <c r="B487" s="1" t="n">
        <v>44144</v>
      </c>
      <c r="C487" s="1" t="n">
        <v>45911</v>
      </c>
      <c r="D487" t="inlineStr">
        <is>
          <t>GÄVLEBORGS LÄN</t>
        </is>
      </c>
      <c r="E487" t="inlineStr">
        <is>
          <t>GÄVLE</t>
        </is>
      </c>
      <c r="F487" t="inlineStr">
        <is>
          <t>Bergvik skog öst AB</t>
        </is>
      </c>
      <c r="G487" t="n">
        <v>3.7</v>
      </c>
      <c r="H487" t="n">
        <v>1</v>
      </c>
      <c r="I487" t="n">
        <v>0</v>
      </c>
      <c r="J487" t="n">
        <v>0</v>
      </c>
      <c r="K487" t="n">
        <v>1</v>
      </c>
      <c r="L487" t="n">
        <v>0</v>
      </c>
      <c r="M487" t="n">
        <v>0</v>
      </c>
      <c r="N487" t="n">
        <v>0</v>
      </c>
      <c r="O487" t="n">
        <v>1</v>
      </c>
      <c r="P487" t="n">
        <v>1</v>
      </c>
      <c r="Q487" t="n">
        <v>1</v>
      </c>
      <c r="R487" s="2" t="inlineStr">
        <is>
          <t>Knärot</t>
        </is>
      </c>
      <c r="S487">
        <f>HYPERLINK("https://klasma.github.io/Logging_2180/artfynd/A 58168-2020 artfynd.xlsx", "A 58168-2020")</f>
        <v/>
      </c>
      <c r="T487">
        <f>HYPERLINK("https://klasma.github.io/Logging_2180/kartor/A 58168-2020 karta.png", "A 58168-2020")</f>
        <v/>
      </c>
      <c r="U487">
        <f>HYPERLINK("https://klasma.github.io/Logging_2180/knärot/A 58168-2020 karta knärot.png", "A 58168-2020")</f>
        <v/>
      </c>
      <c r="V487">
        <f>HYPERLINK("https://klasma.github.io/Logging_2180/klagomål/A 58168-2020 FSC-klagomål.docx", "A 58168-2020")</f>
        <v/>
      </c>
      <c r="W487">
        <f>HYPERLINK("https://klasma.github.io/Logging_2180/klagomålsmail/A 58168-2020 FSC-klagomål mail.docx", "A 58168-2020")</f>
        <v/>
      </c>
      <c r="X487">
        <f>HYPERLINK("https://klasma.github.io/Logging_2180/tillsyn/A 58168-2020 tillsynsbegäran.docx", "A 58168-2020")</f>
        <v/>
      </c>
      <c r="Y487">
        <f>HYPERLINK("https://klasma.github.io/Logging_2180/tillsynsmail/A 58168-2020 tillsynsbegäran mail.docx", "A 58168-2020")</f>
        <v/>
      </c>
    </row>
    <row r="488" ht="15" customHeight="1">
      <c r="A488" t="inlineStr">
        <is>
          <t>A 31066-2024</t>
        </is>
      </c>
      <c r="B488" s="1" t="n">
        <v>45502.42929398148</v>
      </c>
      <c r="C488" s="1" t="n">
        <v>45911</v>
      </c>
      <c r="D488" t="inlineStr">
        <is>
          <t>GÄVLEBORGS LÄN</t>
        </is>
      </c>
      <c r="E488" t="inlineStr">
        <is>
          <t>NORDANSTIG</t>
        </is>
      </c>
      <c r="F488" t="inlineStr">
        <is>
          <t>Holmen skog AB</t>
        </is>
      </c>
      <c r="G488" t="n">
        <v>4.7</v>
      </c>
      <c r="H488" t="n">
        <v>0</v>
      </c>
      <c r="I488" t="n">
        <v>0</v>
      </c>
      <c r="J488" t="n">
        <v>1</v>
      </c>
      <c r="K488" t="n">
        <v>0</v>
      </c>
      <c r="L488" t="n">
        <v>0</v>
      </c>
      <c r="M488" t="n">
        <v>0</v>
      </c>
      <c r="N488" t="n">
        <v>0</v>
      </c>
      <c r="O488" t="n">
        <v>1</v>
      </c>
      <c r="P488" t="n">
        <v>0</v>
      </c>
      <c r="Q488" t="n">
        <v>1</v>
      </c>
      <c r="R488" s="2" t="inlineStr">
        <is>
          <t>Lunglav</t>
        </is>
      </c>
      <c r="S488">
        <f>HYPERLINK("https://klasma.github.io/Logging_2132/artfynd/A 31066-2024 artfynd.xlsx", "A 31066-2024")</f>
        <v/>
      </c>
      <c r="T488">
        <f>HYPERLINK("https://klasma.github.io/Logging_2132/kartor/A 31066-2024 karta.png", "A 31066-2024")</f>
        <v/>
      </c>
      <c r="V488">
        <f>HYPERLINK("https://klasma.github.io/Logging_2132/klagomål/A 31066-2024 FSC-klagomål.docx", "A 31066-2024")</f>
        <v/>
      </c>
      <c r="W488">
        <f>HYPERLINK("https://klasma.github.io/Logging_2132/klagomålsmail/A 31066-2024 FSC-klagomål mail.docx", "A 31066-2024")</f>
        <v/>
      </c>
      <c r="X488">
        <f>HYPERLINK("https://klasma.github.io/Logging_2132/tillsyn/A 31066-2024 tillsynsbegäran.docx", "A 31066-2024")</f>
        <v/>
      </c>
      <c r="Y488">
        <f>HYPERLINK("https://klasma.github.io/Logging_2132/tillsynsmail/A 31066-2024 tillsynsbegäran mail.docx", "A 31066-2024")</f>
        <v/>
      </c>
    </row>
    <row r="489" ht="15" customHeight="1">
      <c r="A489" t="inlineStr">
        <is>
          <t>A 31068-2024</t>
        </is>
      </c>
      <c r="B489" s="1" t="n">
        <v>45502.43518518518</v>
      </c>
      <c r="C489" s="1" t="n">
        <v>45911</v>
      </c>
      <c r="D489" t="inlineStr">
        <is>
          <t>GÄVLEBORGS LÄN</t>
        </is>
      </c>
      <c r="E489" t="inlineStr">
        <is>
          <t>NORDANSTIG</t>
        </is>
      </c>
      <c r="F489" t="inlineStr">
        <is>
          <t>Holmen skog AB</t>
        </is>
      </c>
      <c r="G489" t="n">
        <v>4.6</v>
      </c>
      <c r="H489" t="n">
        <v>0</v>
      </c>
      <c r="I489" t="n">
        <v>0</v>
      </c>
      <c r="J489" t="n">
        <v>1</v>
      </c>
      <c r="K489" t="n">
        <v>0</v>
      </c>
      <c r="L489" t="n">
        <v>0</v>
      </c>
      <c r="M489" t="n">
        <v>0</v>
      </c>
      <c r="N489" t="n">
        <v>0</v>
      </c>
      <c r="O489" t="n">
        <v>1</v>
      </c>
      <c r="P489" t="n">
        <v>0</v>
      </c>
      <c r="Q489" t="n">
        <v>1</v>
      </c>
      <c r="R489" s="2" t="inlineStr">
        <is>
          <t>Granticka</t>
        </is>
      </c>
      <c r="S489">
        <f>HYPERLINK("https://klasma.github.io/Logging_2132/artfynd/A 31068-2024 artfynd.xlsx", "A 31068-2024")</f>
        <v/>
      </c>
      <c r="T489">
        <f>HYPERLINK("https://klasma.github.io/Logging_2132/kartor/A 31068-2024 karta.png", "A 31068-2024")</f>
        <v/>
      </c>
      <c r="V489">
        <f>HYPERLINK("https://klasma.github.io/Logging_2132/klagomål/A 31068-2024 FSC-klagomål.docx", "A 31068-2024")</f>
        <v/>
      </c>
      <c r="W489">
        <f>HYPERLINK("https://klasma.github.io/Logging_2132/klagomålsmail/A 31068-2024 FSC-klagomål mail.docx", "A 31068-2024")</f>
        <v/>
      </c>
      <c r="X489">
        <f>HYPERLINK("https://klasma.github.io/Logging_2132/tillsyn/A 31068-2024 tillsynsbegäran.docx", "A 31068-2024")</f>
        <v/>
      </c>
      <c r="Y489">
        <f>HYPERLINK("https://klasma.github.io/Logging_2132/tillsynsmail/A 31068-2024 tillsynsbegäran mail.docx", "A 31068-2024")</f>
        <v/>
      </c>
    </row>
    <row r="490" ht="15" customHeight="1">
      <c r="A490" t="inlineStr">
        <is>
          <t>A 41663-2025</t>
        </is>
      </c>
      <c r="B490" s="1" t="n">
        <v>45902.35131944445</v>
      </c>
      <c r="C490" s="1" t="n">
        <v>45911</v>
      </c>
      <c r="D490" t="inlineStr">
        <is>
          <t>GÄVLEBORGS LÄN</t>
        </is>
      </c>
      <c r="E490" t="inlineStr">
        <is>
          <t>BOLLNÄS</t>
        </is>
      </c>
      <c r="G490" t="n">
        <v>5</v>
      </c>
      <c r="H490" t="n">
        <v>0</v>
      </c>
      <c r="I490" t="n">
        <v>0</v>
      </c>
      <c r="J490" t="n">
        <v>1</v>
      </c>
      <c r="K490" t="n">
        <v>0</v>
      </c>
      <c r="L490" t="n">
        <v>0</v>
      </c>
      <c r="M490" t="n">
        <v>0</v>
      </c>
      <c r="N490" t="n">
        <v>0</v>
      </c>
      <c r="O490" t="n">
        <v>1</v>
      </c>
      <c r="P490" t="n">
        <v>0</v>
      </c>
      <c r="Q490" t="n">
        <v>1</v>
      </c>
      <c r="R490" s="2" t="inlineStr">
        <is>
          <t>Lunglav</t>
        </is>
      </c>
      <c r="S490">
        <f>HYPERLINK("https://klasma.github.io/Logging_2183/artfynd/A 41663-2025 artfynd.xlsx", "A 41663-2025")</f>
        <v/>
      </c>
      <c r="T490">
        <f>HYPERLINK("https://klasma.github.io/Logging_2183/kartor/A 41663-2025 karta.png", "A 41663-2025")</f>
        <v/>
      </c>
      <c r="V490">
        <f>HYPERLINK("https://klasma.github.io/Logging_2183/klagomål/A 41663-2025 FSC-klagomål.docx", "A 41663-2025")</f>
        <v/>
      </c>
      <c r="W490">
        <f>HYPERLINK("https://klasma.github.io/Logging_2183/klagomålsmail/A 41663-2025 FSC-klagomål mail.docx", "A 41663-2025")</f>
        <v/>
      </c>
      <c r="X490">
        <f>HYPERLINK("https://klasma.github.io/Logging_2183/tillsyn/A 41663-2025 tillsynsbegäran.docx", "A 41663-2025")</f>
        <v/>
      </c>
      <c r="Y490">
        <f>HYPERLINK("https://klasma.github.io/Logging_2183/tillsynsmail/A 41663-2025 tillsynsbegäran mail.docx", "A 41663-2025")</f>
        <v/>
      </c>
    </row>
    <row r="491" ht="15" customHeight="1">
      <c r="A491" t="inlineStr">
        <is>
          <t>A 7543-2024</t>
        </is>
      </c>
      <c r="B491" s="1" t="n">
        <v>45348</v>
      </c>
      <c r="C491" s="1" t="n">
        <v>45911</v>
      </c>
      <c r="D491" t="inlineStr">
        <is>
          <t>GÄVLEBORGS LÄN</t>
        </is>
      </c>
      <c r="E491" t="inlineStr">
        <is>
          <t>HOFORS</t>
        </is>
      </c>
      <c r="G491" t="n">
        <v>3.2</v>
      </c>
      <c r="H491" t="n">
        <v>0</v>
      </c>
      <c r="I491" t="n">
        <v>1</v>
      </c>
      <c r="J491" t="n">
        <v>0</v>
      </c>
      <c r="K491" t="n">
        <v>0</v>
      </c>
      <c r="L491" t="n">
        <v>0</v>
      </c>
      <c r="M491" t="n">
        <v>0</v>
      </c>
      <c r="N491" t="n">
        <v>0</v>
      </c>
      <c r="O491" t="n">
        <v>0</v>
      </c>
      <c r="P491" t="n">
        <v>0</v>
      </c>
      <c r="Q491" t="n">
        <v>1</v>
      </c>
      <c r="R491" s="2" t="inlineStr">
        <is>
          <t>Svart trolldruva</t>
        </is>
      </c>
      <c r="S491">
        <f>HYPERLINK("https://klasma.github.io/Logging_2104/artfynd/A 7543-2024 artfynd.xlsx", "A 7543-2024")</f>
        <v/>
      </c>
      <c r="T491">
        <f>HYPERLINK("https://klasma.github.io/Logging_2104/kartor/A 7543-2024 karta.png", "A 7543-2024")</f>
        <v/>
      </c>
      <c r="V491">
        <f>HYPERLINK("https://klasma.github.io/Logging_2104/klagomål/A 7543-2024 FSC-klagomål.docx", "A 7543-2024")</f>
        <v/>
      </c>
      <c r="W491">
        <f>HYPERLINK("https://klasma.github.io/Logging_2104/klagomålsmail/A 7543-2024 FSC-klagomål mail.docx", "A 7543-2024")</f>
        <v/>
      </c>
      <c r="X491">
        <f>HYPERLINK("https://klasma.github.io/Logging_2104/tillsyn/A 7543-2024 tillsynsbegäran.docx", "A 7543-2024")</f>
        <v/>
      </c>
      <c r="Y491">
        <f>HYPERLINK("https://klasma.github.io/Logging_2104/tillsynsmail/A 7543-2024 tillsynsbegäran mail.docx", "A 7543-2024")</f>
        <v/>
      </c>
    </row>
    <row r="492" ht="15" customHeight="1">
      <c r="A492" t="inlineStr">
        <is>
          <t>A 35695-2025</t>
        </is>
      </c>
      <c r="B492" s="1" t="n">
        <v>45860.34467592592</v>
      </c>
      <c r="C492" s="1" t="n">
        <v>45911</v>
      </c>
      <c r="D492" t="inlineStr">
        <is>
          <t>GÄVLEBORGS LÄN</t>
        </is>
      </c>
      <c r="E492" t="inlineStr">
        <is>
          <t>HUDIKSVALL</t>
        </is>
      </c>
      <c r="G492" t="n">
        <v>8.1</v>
      </c>
      <c r="H492" t="n">
        <v>1</v>
      </c>
      <c r="I492" t="n">
        <v>0</v>
      </c>
      <c r="J492" t="n">
        <v>0</v>
      </c>
      <c r="K492" t="n">
        <v>0</v>
      </c>
      <c r="L492" t="n">
        <v>0</v>
      </c>
      <c r="M492" t="n">
        <v>0</v>
      </c>
      <c r="N492" t="n">
        <v>0</v>
      </c>
      <c r="O492" t="n">
        <v>0</v>
      </c>
      <c r="P492" t="n">
        <v>0</v>
      </c>
      <c r="Q492" t="n">
        <v>1</v>
      </c>
      <c r="R492" s="2" t="inlineStr">
        <is>
          <t>Revlummer</t>
        </is>
      </c>
      <c r="S492">
        <f>HYPERLINK("https://klasma.github.io/Logging_2184/artfynd/A 35695-2025 artfynd.xlsx", "A 35695-2025")</f>
        <v/>
      </c>
      <c r="T492">
        <f>HYPERLINK("https://klasma.github.io/Logging_2184/kartor/A 35695-2025 karta.png", "A 35695-2025")</f>
        <v/>
      </c>
      <c r="V492">
        <f>HYPERLINK("https://klasma.github.io/Logging_2184/klagomål/A 35695-2025 FSC-klagomål.docx", "A 35695-2025")</f>
        <v/>
      </c>
      <c r="W492">
        <f>HYPERLINK("https://klasma.github.io/Logging_2184/klagomålsmail/A 35695-2025 FSC-klagomål mail.docx", "A 35695-2025")</f>
        <v/>
      </c>
      <c r="X492">
        <f>HYPERLINK("https://klasma.github.io/Logging_2184/tillsyn/A 35695-2025 tillsynsbegäran.docx", "A 35695-2025")</f>
        <v/>
      </c>
      <c r="Y492">
        <f>HYPERLINK("https://klasma.github.io/Logging_2184/tillsynsmail/A 35695-2025 tillsynsbegäran mail.docx", "A 35695-2025")</f>
        <v/>
      </c>
    </row>
    <row r="493" ht="15" customHeight="1">
      <c r="A493" t="inlineStr">
        <is>
          <t>A 35741-2025</t>
        </is>
      </c>
      <c r="B493" s="1" t="n">
        <v>45860</v>
      </c>
      <c r="C493" s="1" t="n">
        <v>45911</v>
      </c>
      <c r="D493" t="inlineStr">
        <is>
          <t>GÄVLEBORGS LÄN</t>
        </is>
      </c>
      <c r="E493" t="inlineStr">
        <is>
          <t>HOFORS</t>
        </is>
      </c>
      <c r="F493" t="inlineStr">
        <is>
          <t>Sveaskog</t>
        </is>
      </c>
      <c r="G493" t="n">
        <v>3.9</v>
      </c>
      <c r="H493" t="n">
        <v>1</v>
      </c>
      <c r="I493" t="n">
        <v>0</v>
      </c>
      <c r="J493" t="n">
        <v>0</v>
      </c>
      <c r="K493" t="n">
        <v>1</v>
      </c>
      <c r="L493" t="n">
        <v>0</v>
      </c>
      <c r="M493" t="n">
        <v>0</v>
      </c>
      <c r="N493" t="n">
        <v>0</v>
      </c>
      <c r="O493" t="n">
        <v>1</v>
      </c>
      <c r="P493" t="n">
        <v>1</v>
      </c>
      <c r="Q493" t="n">
        <v>1</v>
      </c>
      <c r="R493" s="2" t="inlineStr">
        <is>
          <t>Knärot</t>
        </is>
      </c>
      <c r="S493">
        <f>HYPERLINK("https://klasma.github.io/Logging_2104/artfynd/A 35741-2025 artfynd.xlsx", "A 35741-2025")</f>
        <v/>
      </c>
      <c r="T493">
        <f>HYPERLINK("https://klasma.github.io/Logging_2104/kartor/A 35741-2025 karta.png", "A 35741-2025")</f>
        <v/>
      </c>
      <c r="U493">
        <f>HYPERLINK("https://klasma.github.io/Logging_2104/knärot/A 35741-2025 karta knärot.png", "A 35741-2025")</f>
        <v/>
      </c>
      <c r="V493">
        <f>HYPERLINK("https://klasma.github.io/Logging_2104/klagomål/A 35741-2025 FSC-klagomål.docx", "A 35741-2025")</f>
        <v/>
      </c>
      <c r="W493">
        <f>HYPERLINK("https://klasma.github.io/Logging_2104/klagomålsmail/A 35741-2025 FSC-klagomål mail.docx", "A 35741-2025")</f>
        <v/>
      </c>
      <c r="X493">
        <f>HYPERLINK("https://klasma.github.io/Logging_2104/tillsyn/A 35741-2025 tillsynsbegäran.docx", "A 35741-2025")</f>
        <v/>
      </c>
      <c r="Y493">
        <f>HYPERLINK("https://klasma.github.io/Logging_2104/tillsynsmail/A 35741-2025 tillsynsbegäran mail.docx", "A 35741-2025")</f>
        <v/>
      </c>
    </row>
    <row r="494" ht="15" customHeight="1">
      <c r="A494" t="inlineStr">
        <is>
          <t>A 35743-2025</t>
        </is>
      </c>
      <c r="B494" s="1" t="n">
        <v>45860.54238425926</v>
      </c>
      <c r="C494" s="1" t="n">
        <v>45911</v>
      </c>
      <c r="D494" t="inlineStr">
        <is>
          <t>GÄVLEBORGS LÄN</t>
        </is>
      </c>
      <c r="E494" t="inlineStr">
        <is>
          <t>HOFORS</t>
        </is>
      </c>
      <c r="F494" t="inlineStr">
        <is>
          <t>Sveaskog</t>
        </is>
      </c>
      <c r="G494" t="n">
        <v>1.4</v>
      </c>
      <c r="H494" t="n">
        <v>1</v>
      </c>
      <c r="I494" t="n">
        <v>0</v>
      </c>
      <c r="J494" t="n">
        <v>0</v>
      </c>
      <c r="K494" t="n">
        <v>0</v>
      </c>
      <c r="L494" t="n">
        <v>0</v>
      </c>
      <c r="M494" t="n">
        <v>0</v>
      </c>
      <c r="N494" t="n">
        <v>0</v>
      </c>
      <c r="O494" t="n">
        <v>0</v>
      </c>
      <c r="P494" t="n">
        <v>0</v>
      </c>
      <c r="Q494" t="n">
        <v>1</v>
      </c>
      <c r="R494" s="2" t="inlineStr">
        <is>
          <t>Mattlummer</t>
        </is>
      </c>
      <c r="S494">
        <f>HYPERLINK("https://klasma.github.io/Logging_2104/artfynd/A 35743-2025 artfynd.xlsx", "A 35743-2025")</f>
        <v/>
      </c>
      <c r="T494">
        <f>HYPERLINK("https://klasma.github.io/Logging_2104/kartor/A 35743-2025 karta.png", "A 35743-2025")</f>
        <v/>
      </c>
      <c r="V494">
        <f>HYPERLINK("https://klasma.github.io/Logging_2104/klagomål/A 35743-2025 FSC-klagomål.docx", "A 35743-2025")</f>
        <v/>
      </c>
      <c r="W494">
        <f>HYPERLINK("https://klasma.github.io/Logging_2104/klagomålsmail/A 35743-2025 FSC-klagomål mail.docx", "A 35743-2025")</f>
        <v/>
      </c>
      <c r="X494">
        <f>HYPERLINK("https://klasma.github.io/Logging_2104/tillsyn/A 35743-2025 tillsynsbegäran.docx", "A 35743-2025")</f>
        <v/>
      </c>
      <c r="Y494">
        <f>HYPERLINK("https://klasma.github.io/Logging_2104/tillsynsmail/A 35743-2025 tillsynsbegäran mail.docx", "A 35743-2025")</f>
        <v/>
      </c>
    </row>
    <row r="495" ht="15" customHeight="1">
      <c r="A495" t="inlineStr">
        <is>
          <t>A 35742-2025</t>
        </is>
      </c>
      <c r="B495" s="1" t="n">
        <v>45860.53805555555</v>
      </c>
      <c r="C495" s="1" t="n">
        <v>45911</v>
      </c>
      <c r="D495" t="inlineStr">
        <is>
          <t>GÄVLEBORGS LÄN</t>
        </is>
      </c>
      <c r="E495" t="inlineStr">
        <is>
          <t>HOFORS</t>
        </is>
      </c>
      <c r="F495" t="inlineStr">
        <is>
          <t>Sveaskog</t>
        </is>
      </c>
      <c r="G495" t="n">
        <v>6.1</v>
      </c>
      <c r="H495" t="n">
        <v>1</v>
      </c>
      <c r="I495" t="n">
        <v>0</v>
      </c>
      <c r="J495" t="n">
        <v>0</v>
      </c>
      <c r="K495" t="n">
        <v>1</v>
      </c>
      <c r="L495" t="n">
        <v>0</v>
      </c>
      <c r="M495" t="n">
        <v>0</v>
      </c>
      <c r="N495" t="n">
        <v>0</v>
      </c>
      <c r="O495" t="n">
        <v>1</v>
      </c>
      <c r="P495" t="n">
        <v>1</v>
      </c>
      <c r="Q495" t="n">
        <v>1</v>
      </c>
      <c r="R495" s="2" t="inlineStr">
        <is>
          <t>Knärot</t>
        </is>
      </c>
      <c r="S495">
        <f>HYPERLINK("https://klasma.github.io/Logging_2104/artfynd/A 35742-2025 artfynd.xlsx", "A 35742-2025")</f>
        <v/>
      </c>
      <c r="T495">
        <f>HYPERLINK("https://klasma.github.io/Logging_2104/kartor/A 35742-2025 karta.png", "A 35742-2025")</f>
        <v/>
      </c>
      <c r="U495">
        <f>HYPERLINK("https://klasma.github.io/Logging_2104/knärot/A 35742-2025 karta knärot.png", "A 35742-2025")</f>
        <v/>
      </c>
      <c r="V495">
        <f>HYPERLINK("https://klasma.github.io/Logging_2104/klagomål/A 35742-2025 FSC-klagomål.docx", "A 35742-2025")</f>
        <v/>
      </c>
      <c r="W495">
        <f>HYPERLINK("https://klasma.github.io/Logging_2104/klagomålsmail/A 35742-2025 FSC-klagomål mail.docx", "A 35742-2025")</f>
        <v/>
      </c>
      <c r="X495">
        <f>HYPERLINK("https://klasma.github.io/Logging_2104/tillsyn/A 35742-2025 tillsynsbegäran.docx", "A 35742-2025")</f>
        <v/>
      </c>
      <c r="Y495">
        <f>HYPERLINK("https://klasma.github.io/Logging_2104/tillsynsmail/A 35742-2025 tillsynsbegäran mail.docx", "A 35742-2025")</f>
        <v/>
      </c>
    </row>
    <row r="496" ht="15" customHeight="1">
      <c r="A496" t="inlineStr">
        <is>
          <t>A 41568-2025</t>
        </is>
      </c>
      <c r="B496" s="1" t="n">
        <v>45901.6075462963</v>
      </c>
      <c r="C496" s="1" t="n">
        <v>45911</v>
      </c>
      <c r="D496" t="inlineStr">
        <is>
          <t>GÄVLEBORGS LÄN</t>
        </is>
      </c>
      <c r="E496" t="inlineStr">
        <is>
          <t>HOFORS</t>
        </is>
      </c>
      <c r="F496" t="inlineStr">
        <is>
          <t>Sveaskog</t>
        </is>
      </c>
      <c r="G496" t="n">
        <v>6.8</v>
      </c>
      <c r="H496" t="n">
        <v>1</v>
      </c>
      <c r="I496" t="n">
        <v>1</v>
      </c>
      <c r="J496" t="n">
        <v>0</v>
      </c>
      <c r="K496" t="n">
        <v>0</v>
      </c>
      <c r="L496" t="n">
        <v>0</v>
      </c>
      <c r="M496" t="n">
        <v>0</v>
      </c>
      <c r="N496" t="n">
        <v>0</v>
      </c>
      <c r="O496" t="n">
        <v>0</v>
      </c>
      <c r="P496" t="n">
        <v>0</v>
      </c>
      <c r="Q496" t="n">
        <v>1</v>
      </c>
      <c r="R496" s="2" t="inlineStr">
        <is>
          <t>Plattlummer</t>
        </is>
      </c>
      <c r="S496">
        <f>HYPERLINK("https://klasma.github.io/Logging_2104/artfynd/A 41568-2025 artfynd.xlsx", "A 41568-2025")</f>
        <v/>
      </c>
      <c r="T496">
        <f>HYPERLINK("https://klasma.github.io/Logging_2104/kartor/A 41568-2025 karta.png", "A 41568-2025")</f>
        <v/>
      </c>
      <c r="V496">
        <f>HYPERLINK("https://klasma.github.io/Logging_2104/klagomål/A 41568-2025 FSC-klagomål.docx", "A 41568-2025")</f>
        <v/>
      </c>
      <c r="W496">
        <f>HYPERLINK("https://klasma.github.io/Logging_2104/klagomålsmail/A 41568-2025 FSC-klagomål mail.docx", "A 41568-2025")</f>
        <v/>
      </c>
      <c r="X496">
        <f>HYPERLINK("https://klasma.github.io/Logging_2104/tillsyn/A 41568-2025 tillsynsbegäran.docx", "A 41568-2025")</f>
        <v/>
      </c>
      <c r="Y496">
        <f>HYPERLINK("https://klasma.github.io/Logging_2104/tillsynsmail/A 41568-2025 tillsynsbegäran mail.docx", "A 41568-2025")</f>
        <v/>
      </c>
    </row>
    <row r="497" ht="15" customHeight="1">
      <c r="A497" t="inlineStr">
        <is>
          <t>A 41621-2025</t>
        </is>
      </c>
      <c r="B497" s="1" t="n">
        <v>45901.70506944445</v>
      </c>
      <c r="C497" s="1" t="n">
        <v>45911</v>
      </c>
      <c r="D497" t="inlineStr">
        <is>
          <t>GÄVLEBORGS LÄN</t>
        </is>
      </c>
      <c r="E497" t="inlineStr">
        <is>
          <t>HOFORS</t>
        </is>
      </c>
      <c r="F497" t="inlineStr">
        <is>
          <t>Sveaskog</t>
        </is>
      </c>
      <c r="G497" t="n">
        <v>2</v>
      </c>
      <c r="H497" t="n">
        <v>1</v>
      </c>
      <c r="I497" t="n">
        <v>1</v>
      </c>
      <c r="J497" t="n">
        <v>0</v>
      </c>
      <c r="K497" t="n">
        <v>0</v>
      </c>
      <c r="L497" t="n">
        <v>0</v>
      </c>
      <c r="M497" t="n">
        <v>0</v>
      </c>
      <c r="N497" t="n">
        <v>0</v>
      </c>
      <c r="O497" t="n">
        <v>0</v>
      </c>
      <c r="P497" t="n">
        <v>0</v>
      </c>
      <c r="Q497" t="n">
        <v>1</v>
      </c>
      <c r="R497" s="2" t="inlineStr">
        <is>
          <t>Plattlummer</t>
        </is>
      </c>
      <c r="S497">
        <f>HYPERLINK("https://klasma.github.io/Logging_2104/artfynd/A 41621-2025 artfynd.xlsx", "A 41621-2025")</f>
        <v/>
      </c>
      <c r="T497">
        <f>HYPERLINK("https://klasma.github.io/Logging_2104/kartor/A 41621-2025 karta.png", "A 41621-2025")</f>
        <v/>
      </c>
      <c r="V497">
        <f>HYPERLINK("https://klasma.github.io/Logging_2104/klagomål/A 41621-2025 FSC-klagomål.docx", "A 41621-2025")</f>
        <v/>
      </c>
      <c r="W497">
        <f>HYPERLINK("https://klasma.github.io/Logging_2104/klagomålsmail/A 41621-2025 FSC-klagomål mail.docx", "A 41621-2025")</f>
        <v/>
      </c>
      <c r="X497">
        <f>HYPERLINK("https://klasma.github.io/Logging_2104/tillsyn/A 41621-2025 tillsynsbegäran.docx", "A 41621-2025")</f>
        <v/>
      </c>
      <c r="Y497">
        <f>HYPERLINK("https://klasma.github.io/Logging_2104/tillsynsmail/A 41621-2025 tillsynsbegäran mail.docx", "A 41621-2025")</f>
        <v/>
      </c>
    </row>
    <row r="498" ht="15" customHeight="1">
      <c r="A498" t="inlineStr">
        <is>
          <t>A 21196-2024</t>
        </is>
      </c>
      <c r="B498" s="1" t="n">
        <v>45440</v>
      </c>
      <c r="C498" s="1" t="n">
        <v>45911</v>
      </c>
      <c r="D498" t="inlineStr">
        <is>
          <t>GÄVLEBORGS LÄN</t>
        </is>
      </c>
      <c r="E498" t="inlineStr">
        <is>
          <t>SANDVIKEN</t>
        </is>
      </c>
      <c r="F498" t="inlineStr">
        <is>
          <t>Kommuner</t>
        </is>
      </c>
      <c r="G498" t="n">
        <v>45.5</v>
      </c>
      <c r="H498" t="n">
        <v>1</v>
      </c>
      <c r="I498" t="n">
        <v>0</v>
      </c>
      <c r="J498" t="n">
        <v>0</v>
      </c>
      <c r="K498" t="n">
        <v>1</v>
      </c>
      <c r="L498" t="n">
        <v>0</v>
      </c>
      <c r="M498" t="n">
        <v>0</v>
      </c>
      <c r="N498" t="n">
        <v>0</v>
      </c>
      <c r="O498" t="n">
        <v>1</v>
      </c>
      <c r="P498" t="n">
        <v>1</v>
      </c>
      <c r="Q498" t="n">
        <v>1</v>
      </c>
      <c r="R498" s="2" t="inlineStr">
        <is>
          <t>Lappuggla</t>
        </is>
      </c>
      <c r="S498">
        <f>HYPERLINK("https://klasma.github.io/Logging_2181/artfynd/A 21196-2024 artfynd.xlsx", "A 21196-2024")</f>
        <v/>
      </c>
      <c r="T498">
        <f>HYPERLINK("https://klasma.github.io/Logging_2181/kartor/A 21196-2024 karta.png", "A 21196-2024")</f>
        <v/>
      </c>
      <c r="V498">
        <f>HYPERLINK("https://klasma.github.io/Logging_2181/klagomål/A 21196-2024 FSC-klagomål.docx", "A 21196-2024")</f>
        <v/>
      </c>
      <c r="W498">
        <f>HYPERLINK("https://klasma.github.io/Logging_2181/klagomålsmail/A 21196-2024 FSC-klagomål mail.docx", "A 21196-2024")</f>
        <v/>
      </c>
      <c r="X498">
        <f>HYPERLINK("https://klasma.github.io/Logging_2181/tillsyn/A 21196-2024 tillsynsbegäran.docx", "A 21196-2024")</f>
        <v/>
      </c>
      <c r="Y498">
        <f>HYPERLINK("https://klasma.github.io/Logging_2181/tillsynsmail/A 21196-2024 tillsynsbegäran mail.docx", "A 21196-2024")</f>
        <v/>
      </c>
      <c r="Z498">
        <f>HYPERLINK("https://klasma.github.io/Logging_2181/fåglar/A 21196-2024 prioriterade fågelarter.docx", "A 21196-2024")</f>
        <v/>
      </c>
    </row>
    <row r="499" ht="15" customHeight="1">
      <c r="A499" t="inlineStr">
        <is>
          <t>A 14392-2025</t>
        </is>
      </c>
      <c r="B499" s="1" t="n">
        <v>45741.43090277778</v>
      </c>
      <c r="C499" s="1" t="n">
        <v>45911</v>
      </c>
      <c r="D499" t="inlineStr">
        <is>
          <t>GÄVLEBORGS LÄN</t>
        </is>
      </c>
      <c r="E499" t="inlineStr">
        <is>
          <t>NORDANSTIG</t>
        </is>
      </c>
      <c r="G499" t="n">
        <v>28.6</v>
      </c>
      <c r="H499" t="n">
        <v>0</v>
      </c>
      <c r="I499" t="n">
        <v>0</v>
      </c>
      <c r="J499" t="n">
        <v>1</v>
      </c>
      <c r="K499" t="n">
        <v>0</v>
      </c>
      <c r="L499" t="n">
        <v>0</v>
      </c>
      <c r="M499" t="n">
        <v>0</v>
      </c>
      <c r="N499" t="n">
        <v>0</v>
      </c>
      <c r="O499" t="n">
        <v>1</v>
      </c>
      <c r="P499" t="n">
        <v>0</v>
      </c>
      <c r="Q499" t="n">
        <v>1</v>
      </c>
      <c r="R499" s="2" t="inlineStr">
        <is>
          <t>Violettgrå tagellav</t>
        </is>
      </c>
      <c r="S499">
        <f>HYPERLINK("https://klasma.github.io/Logging_2132/artfynd/A 14392-2025 artfynd.xlsx", "A 14392-2025")</f>
        <v/>
      </c>
      <c r="T499">
        <f>HYPERLINK("https://klasma.github.io/Logging_2132/kartor/A 14392-2025 karta.png", "A 14392-2025")</f>
        <v/>
      </c>
      <c r="V499">
        <f>HYPERLINK("https://klasma.github.io/Logging_2132/klagomål/A 14392-2025 FSC-klagomål.docx", "A 14392-2025")</f>
        <v/>
      </c>
      <c r="W499">
        <f>HYPERLINK("https://klasma.github.io/Logging_2132/klagomålsmail/A 14392-2025 FSC-klagomål mail.docx", "A 14392-2025")</f>
        <v/>
      </c>
      <c r="X499">
        <f>HYPERLINK("https://klasma.github.io/Logging_2132/tillsyn/A 14392-2025 tillsynsbegäran.docx", "A 14392-2025")</f>
        <v/>
      </c>
      <c r="Y499">
        <f>HYPERLINK("https://klasma.github.io/Logging_2132/tillsynsmail/A 14392-2025 tillsynsbegäran mail.docx", "A 14392-2025")</f>
        <v/>
      </c>
    </row>
    <row r="500" ht="15" customHeight="1">
      <c r="A500" t="inlineStr">
        <is>
          <t>A 34597-2024</t>
        </is>
      </c>
      <c r="B500" s="1" t="n">
        <v>45526</v>
      </c>
      <c r="C500" s="1" t="n">
        <v>45911</v>
      </c>
      <c r="D500" t="inlineStr">
        <is>
          <t>GÄVLEBORGS LÄN</t>
        </is>
      </c>
      <c r="E500" t="inlineStr">
        <is>
          <t>LJUSDAL</t>
        </is>
      </c>
      <c r="F500" t="inlineStr">
        <is>
          <t>Sveaskog</t>
        </is>
      </c>
      <c r="G500" t="n">
        <v>2.1</v>
      </c>
      <c r="H500" t="n">
        <v>0</v>
      </c>
      <c r="I500" t="n">
        <v>0</v>
      </c>
      <c r="J500" t="n">
        <v>1</v>
      </c>
      <c r="K500" t="n">
        <v>0</v>
      </c>
      <c r="L500" t="n">
        <v>0</v>
      </c>
      <c r="M500" t="n">
        <v>0</v>
      </c>
      <c r="N500" t="n">
        <v>0</v>
      </c>
      <c r="O500" t="n">
        <v>1</v>
      </c>
      <c r="P500" t="n">
        <v>0</v>
      </c>
      <c r="Q500" t="n">
        <v>1</v>
      </c>
      <c r="R500" s="2" t="inlineStr">
        <is>
          <t>Garnlav</t>
        </is>
      </c>
      <c r="S500">
        <f>HYPERLINK("https://klasma.github.io/Logging_2161/artfynd/A 34597-2024 artfynd.xlsx", "A 34597-2024")</f>
        <v/>
      </c>
      <c r="T500">
        <f>HYPERLINK("https://klasma.github.io/Logging_2161/kartor/A 34597-2024 karta.png", "A 34597-2024")</f>
        <v/>
      </c>
      <c r="V500">
        <f>HYPERLINK("https://klasma.github.io/Logging_2161/klagomål/A 34597-2024 FSC-klagomål.docx", "A 34597-2024")</f>
        <v/>
      </c>
      <c r="W500">
        <f>HYPERLINK("https://klasma.github.io/Logging_2161/klagomålsmail/A 34597-2024 FSC-klagomål mail.docx", "A 34597-2024")</f>
        <v/>
      </c>
      <c r="X500">
        <f>HYPERLINK("https://klasma.github.io/Logging_2161/tillsyn/A 34597-2024 tillsynsbegäran.docx", "A 34597-2024")</f>
        <v/>
      </c>
      <c r="Y500">
        <f>HYPERLINK("https://klasma.github.io/Logging_2161/tillsynsmail/A 34597-2024 tillsynsbegäran mail.docx", "A 34597-2024")</f>
        <v/>
      </c>
    </row>
    <row r="501" ht="15" customHeight="1">
      <c r="A501" t="inlineStr">
        <is>
          <t>A 15841-2023</t>
        </is>
      </c>
      <c r="B501" s="1" t="n">
        <v>45022</v>
      </c>
      <c r="C501" s="1" t="n">
        <v>45911</v>
      </c>
      <c r="D501" t="inlineStr">
        <is>
          <t>GÄVLEBORGS LÄN</t>
        </is>
      </c>
      <c r="E501" t="inlineStr">
        <is>
          <t>OCKELBO</t>
        </is>
      </c>
      <c r="F501" t="inlineStr">
        <is>
          <t>Bergvik skog väst AB</t>
        </is>
      </c>
      <c r="G501" t="n">
        <v>2.1</v>
      </c>
      <c r="H501" t="n">
        <v>1</v>
      </c>
      <c r="I501" t="n">
        <v>0</v>
      </c>
      <c r="J501" t="n">
        <v>1</v>
      </c>
      <c r="K501" t="n">
        <v>0</v>
      </c>
      <c r="L501" t="n">
        <v>0</v>
      </c>
      <c r="M501" t="n">
        <v>0</v>
      </c>
      <c r="N501" t="n">
        <v>0</v>
      </c>
      <c r="O501" t="n">
        <v>1</v>
      </c>
      <c r="P501" t="n">
        <v>0</v>
      </c>
      <c r="Q501" t="n">
        <v>1</v>
      </c>
      <c r="R501" s="2" t="inlineStr">
        <is>
          <t>Havsörn</t>
        </is>
      </c>
      <c r="S501">
        <f>HYPERLINK("https://klasma.github.io/Logging_2101/artfynd/A 15841-2023 artfynd.xlsx", "A 15841-2023")</f>
        <v/>
      </c>
      <c r="T501">
        <f>HYPERLINK("https://klasma.github.io/Logging_2101/kartor/A 15841-2023 karta.png", "A 15841-2023")</f>
        <v/>
      </c>
      <c r="V501">
        <f>HYPERLINK("https://klasma.github.io/Logging_2101/klagomål/A 15841-2023 FSC-klagomål.docx", "A 15841-2023")</f>
        <v/>
      </c>
      <c r="W501">
        <f>HYPERLINK("https://klasma.github.io/Logging_2101/klagomålsmail/A 15841-2023 FSC-klagomål mail.docx", "A 15841-2023")</f>
        <v/>
      </c>
      <c r="X501">
        <f>HYPERLINK("https://klasma.github.io/Logging_2101/tillsyn/A 15841-2023 tillsynsbegäran.docx", "A 15841-2023")</f>
        <v/>
      </c>
      <c r="Y501">
        <f>HYPERLINK("https://klasma.github.io/Logging_2101/tillsynsmail/A 15841-2023 tillsynsbegäran mail.docx", "A 15841-2023")</f>
        <v/>
      </c>
      <c r="Z501">
        <f>HYPERLINK("https://klasma.github.io/Logging_2101/fåglar/A 15841-2023 prioriterade fågelarter.docx", "A 15841-2023")</f>
        <v/>
      </c>
    </row>
    <row r="502" ht="15" customHeight="1">
      <c r="A502" t="inlineStr">
        <is>
          <t>A 34475-2024</t>
        </is>
      </c>
      <c r="B502" s="1" t="n">
        <v>45525.59913194444</v>
      </c>
      <c r="C502" s="1" t="n">
        <v>45911</v>
      </c>
      <c r="D502" t="inlineStr">
        <is>
          <t>GÄVLEBORGS LÄN</t>
        </is>
      </c>
      <c r="E502" t="inlineStr">
        <is>
          <t>BOLLNÄS</t>
        </is>
      </c>
      <c r="F502" t="inlineStr">
        <is>
          <t>Bergvik skog väst AB</t>
        </is>
      </c>
      <c r="G502" t="n">
        <v>7.8</v>
      </c>
      <c r="H502" t="n">
        <v>0</v>
      </c>
      <c r="I502" t="n">
        <v>1</v>
      </c>
      <c r="J502" t="n">
        <v>0</v>
      </c>
      <c r="K502" t="n">
        <v>0</v>
      </c>
      <c r="L502" t="n">
        <v>0</v>
      </c>
      <c r="M502" t="n">
        <v>0</v>
      </c>
      <c r="N502" t="n">
        <v>0</v>
      </c>
      <c r="O502" t="n">
        <v>0</v>
      </c>
      <c r="P502" t="n">
        <v>0</v>
      </c>
      <c r="Q502" t="n">
        <v>1</v>
      </c>
      <c r="R502" s="2" t="inlineStr">
        <is>
          <t>Kambräken</t>
        </is>
      </c>
      <c r="S502">
        <f>HYPERLINK("https://klasma.github.io/Logging_2183/artfynd/A 34475-2024 artfynd.xlsx", "A 34475-2024")</f>
        <v/>
      </c>
      <c r="T502">
        <f>HYPERLINK("https://klasma.github.io/Logging_2183/kartor/A 34475-2024 karta.png", "A 34475-2024")</f>
        <v/>
      </c>
      <c r="V502">
        <f>HYPERLINK("https://klasma.github.io/Logging_2183/klagomål/A 34475-2024 FSC-klagomål.docx", "A 34475-2024")</f>
        <v/>
      </c>
      <c r="W502">
        <f>HYPERLINK("https://klasma.github.io/Logging_2183/klagomålsmail/A 34475-2024 FSC-klagomål mail.docx", "A 34475-2024")</f>
        <v/>
      </c>
      <c r="X502">
        <f>HYPERLINK("https://klasma.github.io/Logging_2183/tillsyn/A 34475-2024 tillsynsbegäran.docx", "A 34475-2024")</f>
        <v/>
      </c>
      <c r="Y502">
        <f>HYPERLINK("https://klasma.github.io/Logging_2183/tillsynsmail/A 34475-2024 tillsynsbegäran mail.docx", "A 34475-2024")</f>
        <v/>
      </c>
    </row>
    <row r="503" ht="15" customHeight="1">
      <c r="A503" t="inlineStr">
        <is>
          <t>A 42018-2025</t>
        </is>
      </c>
      <c r="B503" s="1" t="n">
        <v>45903.58424768518</v>
      </c>
      <c r="C503" s="1" t="n">
        <v>45911</v>
      </c>
      <c r="D503" t="inlineStr">
        <is>
          <t>GÄVLEBORGS LÄN</t>
        </is>
      </c>
      <c r="E503" t="inlineStr">
        <is>
          <t>LJUSDAL</t>
        </is>
      </c>
      <c r="F503" t="inlineStr">
        <is>
          <t>Bergvik skog väst AB</t>
        </is>
      </c>
      <c r="G503" t="n">
        <v>0.7</v>
      </c>
      <c r="H503" t="n">
        <v>0</v>
      </c>
      <c r="I503" t="n">
        <v>0</v>
      </c>
      <c r="J503" t="n">
        <v>1</v>
      </c>
      <c r="K503" t="n">
        <v>0</v>
      </c>
      <c r="L503" t="n">
        <v>0</v>
      </c>
      <c r="M503" t="n">
        <v>0</v>
      </c>
      <c r="N503" t="n">
        <v>0</v>
      </c>
      <c r="O503" t="n">
        <v>1</v>
      </c>
      <c r="P503" t="n">
        <v>0</v>
      </c>
      <c r="Q503" t="n">
        <v>1</v>
      </c>
      <c r="R503" s="2" t="inlineStr">
        <is>
          <t>Skogshare</t>
        </is>
      </c>
      <c r="S503">
        <f>HYPERLINK("https://klasma.github.io/Logging_2161/artfynd/A 42018-2025 artfynd.xlsx", "A 42018-2025")</f>
        <v/>
      </c>
      <c r="T503">
        <f>HYPERLINK("https://klasma.github.io/Logging_2161/kartor/A 42018-2025 karta.png", "A 42018-2025")</f>
        <v/>
      </c>
      <c r="V503">
        <f>HYPERLINK("https://klasma.github.io/Logging_2161/klagomål/A 42018-2025 FSC-klagomål.docx", "A 42018-2025")</f>
        <v/>
      </c>
      <c r="W503">
        <f>HYPERLINK("https://klasma.github.io/Logging_2161/klagomålsmail/A 42018-2025 FSC-klagomål mail.docx", "A 42018-2025")</f>
        <v/>
      </c>
      <c r="X503">
        <f>HYPERLINK("https://klasma.github.io/Logging_2161/tillsyn/A 42018-2025 tillsynsbegäran.docx", "A 42018-2025")</f>
        <v/>
      </c>
      <c r="Y503">
        <f>HYPERLINK("https://klasma.github.io/Logging_2161/tillsynsmail/A 42018-2025 tillsynsbegäran mail.docx", "A 42018-2025")</f>
        <v/>
      </c>
    </row>
    <row r="504" ht="15" customHeight="1">
      <c r="A504" t="inlineStr">
        <is>
          <t>A 42008-2025</t>
        </is>
      </c>
      <c r="B504" s="1" t="n">
        <v>45903.56155092592</v>
      </c>
      <c r="C504" s="1" t="n">
        <v>45911</v>
      </c>
      <c r="D504" t="inlineStr">
        <is>
          <t>GÄVLEBORGS LÄN</t>
        </is>
      </c>
      <c r="E504" t="inlineStr">
        <is>
          <t>LJUSDAL</t>
        </is>
      </c>
      <c r="F504" t="inlineStr">
        <is>
          <t>Bergvik skog väst AB</t>
        </is>
      </c>
      <c r="G504" t="n">
        <v>0.8</v>
      </c>
      <c r="H504" t="n">
        <v>0</v>
      </c>
      <c r="I504" t="n">
        <v>0</v>
      </c>
      <c r="J504" t="n">
        <v>1</v>
      </c>
      <c r="K504" t="n">
        <v>0</v>
      </c>
      <c r="L504" t="n">
        <v>0</v>
      </c>
      <c r="M504" t="n">
        <v>0</v>
      </c>
      <c r="N504" t="n">
        <v>0</v>
      </c>
      <c r="O504" t="n">
        <v>1</v>
      </c>
      <c r="P504" t="n">
        <v>0</v>
      </c>
      <c r="Q504" t="n">
        <v>1</v>
      </c>
      <c r="R504" s="2" t="inlineStr">
        <is>
          <t>Lunglav</t>
        </is>
      </c>
      <c r="S504">
        <f>HYPERLINK("https://klasma.github.io/Logging_2161/artfynd/A 42008-2025 artfynd.xlsx", "A 42008-2025")</f>
        <v/>
      </c>
      <c r="T504">
        <f>HYPERLINK("https://klasma.github.io/Logging_2161/kartor/A 42008-2025 karta.png", "A 42008-2025")</f>
        <v/>
      </c>
      <c r="V504">
        <f>HYPERLINK("https://klasma.github.io/Logging_2161/klagomål/A 42008-2025 FSC-klagomål.docx", "A 42008-2025")</f>
        <v/>
      </c>
      <c r="W504">
        <f>HYPERLINK("https://klasma.github.io/Logging_2161/klagomålsmail/A 42008-2025 FSC-klagomål mail.docx", "A 42008-2025")</f>
        <v/>
      </c>
      <c r="X504">
        <f>HYPERLINK("https://klasma.github.io/Logging_2161/tillsyn/A 42008-2025 tillsynsbegäran.docx", "A 42008-2025")</f>
        <v/>
      </c>
      <c r="Y504">
        <f>HYPERLINK("https://klasma.github.io/Logging_2161/tillsynsmail/A 42008-2025 tillsynsbegäran mail.docx", "A 42008-2025")</f>
        <v/>
      </c>
    </row>
    <row r="505" ht="15" customHeight="1">
      <c r="A505" t="inlineStr">
        <is>
          <t>A 17471-2025</t>
        </is>
      </c>
      <c r="B505" s="1" t="n">
        <v>45757.47829861111</v>
      </c>
      <c r="C505" s="1" t="n">
        <v>45911</v>
      </c>
      <c r="D505" t="inlineStr">
        <is>
          <t>GÄVLEBORGS LÄN</t>
        </is>
      </c>
      <c r="E505" t="inlineStr">
        <is>
          <t>LJUSDAL</t>
        </is>
      </c>
      <c r="F505" t="inlineStr">
        <is>
          <t>Sveaskog</t>
        </is>
      </c>
      <c r="G505" t="n">
        <v>1.6</v>
      </c>
      <c r="H505" t="n">
        <v>0</v>
      </c>
      <c r="I505" t="n">
        <v>0</v>
      </c>
      <c r="J505" t="n">
        <v>1</v>
      </c>
      <c r="K505" t="n">
        <v>0</v>
      </c>
      <c r="L505" t="n">
        <v>0</v>
      </c>
      <c r="M505" t="n">
        <v>0</v>
      </c>
      <c r="N505" t="n">
        <v>0</v>
      </c>
      <c r="O505" t="n">
        <v>1</v>
      </c>
      <c r="P505" t="n">
        <v>0</v>
      </c>
      <c r="Q505" t="n">
        <v>1</v>
      </c>
      <c r="R505" s="2" t="inlineStr">
        <is>
          <t>Kolflarnlav</t>
        </is>
      </c>
      <c r="S505">
        <f>HYPERLINK("https://klasma.github.io/Logging_2161/artfynd/A 17471-2025 artfynd.xlsx", "A 17471-2025")</f>
        <v/>
      </c>
      <c r="T505">
        <f>HYPERLINK("https://klasma.github.io/Logging_2161/kartor/A 17471-2025 karta.png", "A 17471-2025")</f>
        <v/>
      </c>
      <c r="V505">
        <f>HYPERLINK("https://klasma.github.io/Logging_2161/klagomål/A 17471-2025 FSC-klagomål.docx", "A 17471-2025")</f>
        <v/>
      </c>
      <c r="W505">
        <f>HYPERLINK("https://klasma.github.io/Logging_2161/klagomålsmail/A 17471-2025 FSC-klagomål mail.docx", "A 17471-2025")</f>
        <v/>
      </c>
      <c r="X505">
        <f>HYPERLINK("https://klasma.github.io/Logging_2161/tillsyn/A 17471-2025 tillsynsbegäran.docx", "A 17471-2025")</f>
        <v/>
      </c>
      <c r="Y505">
        <f>HYPERLINK("https://klasma.github.io/Logging_2161/tillsynsmail/A 17471-2025 tillsynsbegäran mail.docx", "A 17471-2025")</f>
        <v/>
      </c>
    </row>
    <row r="506" ht="15" customHeight="1">
      <c r="A506" t="inlineStr">
        <is>
          <t>A 51227-2023</t>
        </is>
      </c>
      <c r="B506" s="1" t="n">
        <v>45219.46030092592</v>
      </c>
      <c r="C506" s="1" t="n">
        <v>45911</v>
      </c>
      <c r="D506" t="inlineStr">
        <is>
          <t>GÄVLEBORGS LÄN</t>
        </is>
      </c>
      <c r="E506" t="inlineStr">
        <is>
          <t>NORDANSTIG</t>
        </is>
      </c>
      <c r="G506" t="n">
        <v>10.2</v>
      </c>
      <c r="H506" t="n">
        <v>0</v>
      </c>
      <c r="I506" t="n">
        <v>1</v>
      </c>
      <c r="J506" t="n">
        <v>0</v>
      </c>
      <c r="K506" t="n">
        <v>0</v>
      </c>
      <c r="L506" t="n">
        <v>0</v>
      </c>
      <c r="M506" t="n">
        <v>0</v>
      </c>
      <c r="N506" t="n">
        <v>0</v>
      </c>
      <c r="O506" t="n">
        <v>0</v>
      </c>
      <c r="P506" t="n">
        <v>0</v>
      </c>
      <c r="Q506" t="n">
        <v>1</v>
      </c>
      <c r="R506" s="2" t="inlineStr">
        <is>
          <t>Vedticka</t>
        </is>
      </c>
      <c r="S506">
        <f>HYPERLINK("https://klasma.github.io/Logging_2132/artfynd/A 51227-2023 artfynd.xlsx", "A 51227-2023")</f>
        <v/>
      </c>
      <c r="T506">
        <f>HYPERLINK("https://klasma.github.io/Logging_2132/kartor/A 51227-2023 karta.png", "A 51227-2023")</f>
        <v/>
      </c>
      <c r="V506">
        <f>HYPERLINK("https://klasma.github.io/Logging_2132/klagomål/A 51227-2023 FSC-klagomål.docx", "A 51227-2023")</f>
        <v/>
      </c>
      <c r="W506">
        <f>HYPERLINK("https://klasma.github.io/Logging_2132/klagomålsmail/A 51227-2023 FSC-klagomål mail.docx", "A 51227-2023")</f>
        <v/>
      </c>
      <c r="X506">
        <f>HYPERLINK("https://klasma.github.io/Logging_2132/tillsyn/A 51227-2023 tillsynsbegäran.docx", "A 51227-2023")</f>
        <v/>
      </c>
      <c r="Y506">
        <f>HYPERLINK("https://klasma.github.io/Logging_2132/tillsynsmail/A 51227-2023 tillsynsbegäran mail.docx", "A 51227-2023")</f>
        <v/>
      </c>
    </row>
    <row r="507" ht="15" customHeight="1">
      <c r="A507" t="inlineStr">
        <is>
          <t>A 34346-2024</t>
        </is>
      </c>
      <c r="B507" s="1" t="n">
        <v>45525.34310185185</v>
      </c>
      <c r="C507" s="1" t="n">
        <v>45911</v>
      </c>
      <c r="D507" t="inlineStr">
        <is>
          <t>GÄVLEBORGS LÄN</t>
        </is>
      </c>
      <c r="E507" t="inlineStr">
        <is>
          <t>LJUSDAL</t>
        </is>
      </c>
      <c r="F507" t="inlineStr">
        <is>
          <t>Holmen skog AB</t>
        </is>
      </c>
      <c r="G507" t="n">
        <v>6.8</v>
      </c>
      <c r="H507" t="n">
        <v>1</v>
      </c>
      <c r="I507" t="n">
        <v>0</v>
      </c>
      <c r="J507" t="n">
        <v>1</v>
      </c>
      <c r="K507" t="n">
        <v>0</v>
      </c>
      <c r="L507" t="n">
        <v>0</v>
      </c>
      <c r="M507" t="n">
        <v>0</v>
      </c>
      <c r="N507" t="n">
        <v>0</v>
      </c>
      <c r="O507" t="n">
        <v>1</v>
      </c>
      <c r="P507" t="n">
        <v>0</v>
      </c>
      <c r="Q507" t="n">
        <v>1</v>
      </c>
      <c r="R507" s="2" t="inlineStr">
        <is>
          <t>Talltita</t>
        </is>
      </c>
      <c r="S507">
        <f>HYPERLINK("https://klasma.github.io/Logging_2161/artfynd/A 34346-2024 artfynd.xlsx", "A 34346-2024")</f>
        <v/>
      </c>
      <c r="T507">
        <f>HYPERLINK("https://klasma.github.io/Logging_2161/kartor/A 34346-2024 karta.png", "A 34346-2024")</f>
        <v/>
      </c>
      <c r="V507">
        <f>HYPERLINK("https://klasma.github.io/Logging_2161/klagomål/A 34346-2024 FSC-klagomål.docx", "A 34346-2024")</f>
        <v/>
      </c>
      <c r="W507">
        <f>HYPERLINK("https://klasma.github.io/Logging_2161/klagomålsmail/A 34346-2024 FSC-klagomål mail.docx", "A 34346-2024")</f>
        <v/>
      </c>
      <c r="X507">
        <f>HYPERLINK("https://klasma.github.io/Logging_2161/tillsyn/A 34346-2024 tillsynsbegäran.docx", "A 34346-2024")</f>
        <v/>
      </c>
      <c r="Y507">
        <f>HYPERLINK("https://klasma.github.io/Logging_2161/tillsynsmail/A 34346-2024 tillsynsbegäran mail.docx", "A 34346-2024")</f>
        <v/>
      </c>
      <c r="Z507">
        <f>HYPERLINK("https://klasma.github.io/Logging_2161/fåglar/A 34346-2024 prioriterade fågelarter.docx", "A 34346-2024")</f>
        <v/>
      </c>
    </row>
    <row r="508" ht="15" customHeight="1">
      <c r="A508" t="inlineStr">
        <is>
          <t>A 36391-2025</t>
        </is>
      </c>
      <c r="B508" s="1" t="n">
        <v>45868.60726851852</v>
      </c>
      <c r="C508" s="1" t="n">
        <v>45911</v>
      </c>
      <c r="D508" t="inlineStr">
        <is>
          <t>GÄVLEBORGS LÄN</t>
        </is>
      </c>
      <c r="E508" t="inlineStr">
        <is>
          <t>HUDIKSVALL</t>
        </is>
      </c>
      <c r="G508" t="n">
        <v>0.7</v>
      </c>
      <c r="H508" t="n">
        <v>0</v>
      </c>
      <c r="I508" t="n">
        <v>0</v>
      </c>
      <c r="J508" t="n">
        <v>1</v>
      </c>
      <c r="K508" t="n">
        <v>0</v>
      </c>
      <c r="L508" t="n">
        <v>0</v>
      </c>
      <c r="M508" t="n">
        <v>0</v>
      </c>
      <c r="N508" t="n">
        <v>0</v>
      </c>
      <c r="O508" t="n">
        <v>1</v>
      </c>
      <c r="P508" t="n">
        <v>0</v>
      </c>
      <c r="Q508" t="n">
        <v>1</v>
      </c>
      <c r="R508" s="2" t="inlineStr">
        <is>
          <t>Motaggsvamp</t>
        </is>
      </c>
      <c r="S508">
        <f>HYPERLINK("https://klasma.github.io/Logging_2184/artfynd/A 36391-2025 artfynd.xlsx", "A 36391-2025")</f>
        <v/>
      </c>
      <c r="T508">
        <f>HYPERLINK("https://klasma.github.io/Logging_2184/kartor/A 36391-2025 karta.png", "A 36391-2025")</f>
        <v/>
      </c>
      <c r="V508">
        <f>HYPERLINK("https://klasma.github.io/Logging_2184/klagomål/A 36391-2025 FSC-klagomål.docx", "A 36391-2025")</f>
        <v/>
      </c>
      <c r="W508">
        <f>HYPERLINK("https://klasma.github.io/Logging_2184/klagomålsmail/A 36391-2025 FSC-klagomål mail.docx", "A 36391-2025")</f>
        <v/>
      </c>
      <c r="X508">
        <f>HYPERLINK("https://klasma.github.io/Logging_2184/tillsyn/A 36391-2025 tillsynsbegäran.docx", "A 36391-2025")</f>
        <v/>
      </c>
      <c r="Y508">
        <f>HYPERLINK("https://klasma.github.io/Logging_2184/tillsynsmail/A 36391-2025 tillsynsbegäran mail.docx", "A 36391-2025")</f>
        <v/>
      </c>
    </row>
    <row r="509" ht="15" customHeight="1">
      <c r="A509" t="inlineStr">
        <is>
          <t>A 43163-2025</t>
        </is>
      </c>
      <c r="B509" s="1" t="n">
        <v>45910.36766203704</v>
      </c>
      <c r="C509" s="1" t="n">
        <v>45911</v>
      </c>
      <c r="D509" t="inlineStr">
        <is>
          <t>GÄVLEBORGS LÄN</t>
        </is>
      </c>
      <c r="E509" t="inlineStr">
        <is>
          <t>HUDIKSVALL</t>
        </is>
      </c>
      <c r="F509" t="inlineStr">
        <is>
          <t>Holmen skog AB</t>
        </is>
      </c>
      <c r="G509" t="n">
        <v>2.7</v>
      </c>
      <c r="H509" t="n">
        <v>0</v>
      </c>
      <c r="I509" t="n">
        <v>1</v>
      </c>
      <c r="J509" t="n">
        <v>0</v>
      </c>
      <c r="K509" t="n">
        <v>0</v>
      </c>
      <c r="L509" t="n">
        <v>0</v>
      </c>
      <c r="M509" t="n">
        <v>0</v>
      </c>
      <c r="N509" t="n">
        <v>0</v>
      </c>
      <c r="O509" t="n">
        <v>0</v>
      </c>
      <c r="P509" t="n">
        <v>0</v>
      </c>
      <c r="Q509" t="n">
        <v>1</v>
      </c>
      <c r="R509" s="2" t="inlineStr">
        <is>
          <t>Skogshakmossa</t>
        </is>
      </c>
      <c r="S509">
        <f>HYPERLINK("https://klasma.github.io/Logging_2184/artfynd/A 43163-2025 artfynd.xlsx", "A 43163-2025")</f>
        <v/>
      </c>
      <c r="T509">
        <f>HYPERLINK("https://klasma.github.io/Logging_2184/kartor/A 43163-2025 karta.png", "A 43163-2025")</f>
        <v/>
      </c>
      <c r="V509">
        <f>HYPERLINK("https://klasma.github.io/Logging_2184/klagomål/A 43163-2025 FSC-klagomål.docx", "A 43163-2025")</f>
        <v/>
      </c>
      <c r="W509">
        <f>HYPERLINK("https://klasma.github.io/Logging_2184/klagomålsmail/A 43163-2025 FSC-klagomål mail.docx", "A 43163-2025")</f>
        <v/>
      </c>
      <c r="X509">
        <f>HYPERLINK("https://klasma.github.io/Logging_2184/tillsyn/A 43163-2025 tillsynsbegäran.docx", "A 43163-2025")</f>
        <v/>
      </c>
      <c r="Y509">
        <f>HYPERLINK("https://klasma.github.io/Logging_2184/tillsynsmail/A 43163-2025 tillsynsbegäran mail.docx", "A 43163-2025")</f>
        <v/>
      </c>
    </row>
    <row r="510" ht="15" customHeight="1">
      <c r="A510" t="inlineStr">
        <is>
          <t>A 26463-2024</t>
        </is>
      </c>
      <c r="B510" s="1" t="n">
        <v>45469.53998842592</v>
      </c>
      <c r="C510" s="1" t="n">
        <v>45911</v>
      </c>
      <c r="D510" t="inlineStr">
        <is>
          <t>GÄVLEBORGS LÄN</t>
        </is>
      </c>
      <c r="E510" t="inlineStr">
        <is>
          <t>OCKELBO</t>
        </is>
      </c>
      <c r="F510" t="inlineStr">
        <is>
          <t>Bergvik skog väst AB</t>
        </is>
      </c>
      <c r="G510" t="n">
        <v>3.6</v>
      </c>
      <c r="H510" t="n">
        <v>1</v>
      </c>
      <c r="I510" t="n">
        <v>0</v>
      </c>
      <c r="J510" t="n">
        <v>0</v>
      </c>
      <c r="K510" t="n">
        <v>0</v>
      </c>
      <c r="L510" t="n">
        <v>0</v>
      </c>
      <c r="M510" t="n">
        <v>0</v>
      </c>
      <c r="N510" t="n">
        <v>0</v>
      </c>
      <c r="O510" t="n">
        <v>0</v>
      </c>
      <c r="P510" t="n">
        <v>0</v>
      </c>
      <c r="Q510" t="n">
        <v>1</v>
      </c>
      <c r="R510" s="2" t="inlineStr">
        <is>
          <t>Revlummer</t>
        </is>
      </c>
      <c r="S510">
        <f>HYPERLINK("https://klasma.github.io/Logging_2101/artfynd/A 26463-2024 artfynd.xlsx", "A 26463-2024")</f>
        <v/>
      </c>
      <c r="T510">
        <f>HYPERLINK("https://klasma.github.io/Logging_2101/kartor/A 26463-2024 karta.png", "A 26463-2024")</f>
        <v/>
      </c>
      <c r="V510">
        <f>HYPERLINK("https://klasma.github.io/Logging_2101/klagomål/A 26463-2024 FSC-klagomål.docx", "A 26463-2024")</f>
        <v/>
      </c>
      <c r="W510">
        <f>HYPERLINK("https://klasma.github.io/Logging_2101/klagomålsmail/A 26463-2024 FSC-klagomål mail.docx", "A 26463-2024")</f>
        <v/>
      </c>
      <c r="X510">
        <f>HYPERLINK("https://klasma.github.io/Logging_2101/tillsyn/A 26463-2024 tillsynsbegäran.docx", "A 26463-2024")</f>
        <v/>
      </c>
      <c r="Y510">
        <f>HYPERLINK("https://klasma.github.io/Logging_2101/tillsynsmail/A 26463-2024 tillsynsbegäran mail.docx", "A 26463-2024")</f>
        <v/>
      </c>
    </row>
    <row r="511" ht="15" customHeight="1">
      <c r="A511" t="inlineStr">
        <is>
          <t>A 55253-2022</t>
        </is>
      </c>
      <c r="B511" s="1" t="n">
        <v>44887</v>
      </c>
      <c r="C511" s="1" t="n">
        <v>45911</v>
      </c>
      <c r="D511" t="inlineStr">
        <is>
          <t>GÄVLEBORGS LÄN</t>
        </is>
      </c>
      <c r="E511" t="inlineStr">
        <is>
          <t>HUDIKSVALL</t>
        </is>
      </c>
      <c r="F511" t="inlineStr">
        <is>
          <t>Holmen skog AB</t>
        </is>
      </c>
      <c r="G511" t="n">
        <v>5.1</v>
      </c>
      <c r="H511" t="n">
        <v>1</v>
      </c>
      <c r="I511" t="n">
        <v>0</v>
      </c>
      <c r="J511" t="n">
        <v>0</v>
      </c>
      <c r="K511" t="n">
        <v>0</v>
      </c>
      <c r="L511" t="n">
        <v>0</v>
      </c>
      <c r="M511" t="n">
        <v>0</v>
      </c>
      <c r="N511" t="n">
        <v>0</v>
      </c>
      <c r="O511" t="n">
        <v>0</v>
      </c>
      <c r="P511" t="n">
        <v>0</v>
      </c>
      <c r="Q511" t="n">
        <v>1</v>
      </c>
      <c r="R511" s="2" t="inlineStr">
        <is>
          <t>Bivråk</t>
        </is>
      </c>
      <c r="S511">
        <f>HYPERLINK("https://klasma.github.io/Logging_2184/artfynd/A 55253-2022 artfynd.xlsx", "A 55253-2022")</f>
        <v/>
      </c>
      <c r="T511">
        <f>HYPERLINK("https://klasma.github.io/Logging_2184/kartor/A 55253-2022 karta.png", "A 55253-2022")</f>
        <v/>
      </c>
      <c r="U511">
        <f>HYPERLINK("https://klasma.github.io/Logging_2184/knärot/A 55253-2022 karta knärot.png", "A 55253-2022")</f>
        <v/>
      </c>
      <c r="V511">
        <f>HYPERLINK("https://klasma.github.io/Logging_2184/klagomål/A 55253-2022 FSC-klagomål.docx", "A 55253-2022")</f>
        <v/>
      </c>
      <c r="W511">
        <f>HYPERLINK("https://klasma.github.io/Logging_2184/klagomålsmail/A 55253-2022 FSC-klagomål mail.docx", "A 55253-2022")</f>
        <v/>
      </c>
      <c r="X511">
        <f>HYPERLINK("https://klasma.github.io/Logging_2184/tillsyn/A 55253-2022 tillsynsbegäran.docx", "A 55253-2022")</f>
        <v/>
      </c>
      <c r="Y511">
        <f>HYPERLINK("https://klasma.github.io/Logging_2184/tillsynsmail/A 55253-2022 tillsynsbegäran mail.docx", "A 55253-2022")</f>
        <v/>
      </c>
      <c r="Z511">
        <f>HYPERLINK("https://klasma.github.io/Logging_2184/fåglar/A 55253-2022 prioriterade fågelarter.docx", "A 55253-2022")</f>
        <v/>
      </c>
    </row>
    <row r="512" ht="15" customHeight="1">
      <c r="A512" t="inlineStr">
        <is>
          <t>A 5015-2023</t>
        </is>
      </c>
      <c r="B512" s="1" t="n">
        <v>44958</v>
      </c>
      <c r="C512" s="1" t="n">
        <v>45911</v>
      </c>
      <c r="D512" t="inlineStr">
        <is>
          <t>GÄVLEBORGS LÄN</t>
        </is>
      </c>
      <c r="E512" t="inlineStr">
        <is>
          <t>SANDVIKEN</t>
        </is>
      </c>
      <c r="G512" t="n">
        <v>7.8</v>
      </c>
      <c r="H512" t="n">
        <v>0</v>
      </c>
      <c r="I512" t="n">
        <v>0</v>
      </c>
      <c r="J512" t="n">
        <v>1</v>
      </c>
      <c r="K512" t="n">
        <v>0</v>
      </c>
      <c r="L512" t="n">
        <v>0</v>
      </c>
      <c r="M512" t="n">
        <v>0</v>
      </c>
      <c r="N512" t="n">
        <v>0</v>
      </c>
      <c r="O512" t="n">
        <v>1</v>
      </c>
      <c r="P512" t="n">
        <v>0</v>
      </c>
      <c r="Q512" t="n">
        <v>1</v>
      </c>
      <c r="R512" s="2" t="inlineStr">
        <is>
          <t>Slåtterfibbla</t>
        </is>
      </c>
      <c r="S512">
        <f>HYPERLINK("https://klasma.github.io/Logging_2181/artfynd/A 5015-2023 artfynd.xlsx", "A 5015-2023")</f>
        <v/>
      </c>
      <c r="T512">
        <f>HYPERLINK("https://klasma.github.io/Logging_2181/kartor/A 5015-2023 karta.png", "A 5015-2023")</f>
        <v/>
      </c>
      <c r="V512">
        <f>HYPERLINK("https://klasma.github.io/Logging_2181/klagomål/A 5015-2023 FSC-klagomål.docx", "A 5015-2023")</f>
        <v/>
      </c>
      <c r="W512">
        <f>HYPERLINK("https://klasma.github.io/Logging_2181/klagomålsmail/A 5015-2023 FSC-klagomål mail.docx", "A 5015-2023")</f>
        <v/>
      </c>
      <c r="X512">
        <f>HYPERLINK("https://klasma.github.io/Logging_2181/tillsyn/A 5015-2023 tillsynsbegäran.docx", "A 5015-2023")</f>
        <v/>
      </c>
      <c r="Y512">
        <f>HYPERLINK("https://klasma.github.io/Logging_2181/tillsynsmail/A 5015-2023 tillsynsbegäran mail.docx", "A 5015-2023")</f>
        <v/>
      </c>
    </row>
    <row r="513" ht="15" customHeight="1">
      <c r="A513" t="inlineStr">
        <is>
          <t>A 4696-2023</t>
        </is>
      </c>
      <c r="B513" s="1" t="n">
        <v>44957.47362268518</v>
      </c>
      <c r="C513" s="1" t="n">
        <v>45911</v>
      </c>
      <c r="D513" t="inlineStr">
        <is>
          <t>GÄVLEBORGS LÄN</t>
        </is>
      </c>
      <c r="E513" t="inlineStr">
        <is>
          <t>LJUSDAL</t>
        </is>
      </c>
      <c r="F513" t="inlineStr">
        <is>
          <t>Holmen skog AB</t>
        </is>
      </c>
      <c r="G513" t="n">
        <v>7.3</v>
      </c>
      <c r="H513" t="n">
        <v>0</v>
      </c>
      <c r="I513" t="n">
        <v>1</v>
      </c>
      <c r="J513" t="n">
        <v>0</v>
      </c>
      <c r="K513" t="n">
        <v>0</v>
      </c>
      <c r="L513" t="n">
        <v>0</v>
      </c>
      <c r="M513" t="n">
        <v>0</v>
      </c>
      <c r="N513" t="n">
        <v>0</v>
      </c>
      <c r="O513" t="n">
        <v>0</v>
      </c>
      <c r="P513" t="n">
        <v>0</v>
      </c>
      <c r="Q513" t="n">
        <v>1</v>
      </c>
      <c r="R513" s="2" t="inlineStr">
        <is>
          <t>Vedticka</t>
        </is>
      </c>
      <c r="S513">
        <f>HYPERLINK("https://klasma.github.io/Logging_2161/artfynd/A 4696-2023 artfynd.xlsx", "A 4696-2023")</f>
        <v/>
      </c>
      <c r="T513">
        <f>HYPERLINK("https://klasma.github.io/Logging_2161/kartor/A 4696-2023 karta.png", "A 4696-2023")</f>
        <v/>
      </c>
      <c r="V513">
        <f>HYPERLINK("https://klasma.github.io/Logging_2161/klagomål/A 4696-2023 FSC-klagomål.docx", "A 4696-2023")</f>
        <v/>
      </c>
      <c r="W513">
        <f>HYPERLINK("https://klasma.github.io/Logging_2161/klagomålsmail/A 4696-2023 FSC-klagomål mail.docx", "A 4696-2023")</f>
        <v/>
      </c>
      <c r="X513">
        <f>HYPERLINK("https://klasma.github.io/Logging_2161/tillsyn/A 4696-2023 tillsynsbegäran.docx", "A 4696-2023")</f>
        <v/>
      </c>
      <c r="Y513">
        <f>HYPERLINK("https://klasma.github.io/Logging_2161/tillsynsmail/A 4696-2023 tillsynsbegäran mail.docx", "A 4696-2023")</f>
        <v/>
      </c>
    </row>
    <row r="514" ht="15" customHeight="1">
      <c r="A514" t="inlineStr">
        <is>
          <t>A 470-2024</t>
        </is>
      </c>
      <c r="B514" s="1" t="n">
        <v>45297.70762731481</v>
      </c>
      <c r="C514" s="1" t="n">
        <v>45911</v>
      </c>
      <c r="D514" t="inlineStr">
        <is>
          <t>GÄVLEBORGS LÄN</t>
        </is>
      </c>
      <c r="E514" t="inlineStr">
        <is>
          <t>NORDANSTIG</t>
        </is>
      </c>
      <c r="F514" t="inlineStr">
        <is>
          <t>Holmen skog AB</t>
        </is>
      </c>
      <c r="G514" t="n">
        <v>4.1</v>
      </c>
      <c r="H514" t="n">
        <v>1</v>
      </c>
      <c r="I514" t="n">
        <v>0</v>
      </c>
      <c r="J514" t="n">
        <v>1</v>
      </c>
      <c r="K514" t="n">
        <v>0</v>
      </c>
      <c r="L514" t="n">
        <v>0</v>
      </c>
      <c r="M514" t="n">
        <v>0</v>
      </c>
      <c r="N514" t="n">
        <v>0</v>
      </c>
      <c r="O514" t="n">
        <v>1</v>
      </c>
      <c r="P514" t="n">
        <v>0</v>
      </c>
      <c r="Q514" t="n">
        <v>1</v>
      </c>
      <c r="R514" s="2" t="inlineStr">
        <is>
          <t>Duvhök</t>
        </is>
      </c>
      <c r="S514">
        <f>HYPERLINK("https://klasma.github.io/Logging_2132/artfynd/A 470-2024 artfynd.xlsx", "A 470-2024")</f>
        <v/>
      </c>
      <c r="T514">
        <f>HYPERLINK("https://klasma.github.io/Logging_2132/kartor/A 470-2024 karta.png", "A 470-2024")</f>
        <v/>
      </c>
      <c r="V514">
        <f>HYPERLINK("https://klasma.github.io/Logging_2132/klagomål/A 470-2024 FSC-klagomål.docx", "A 470-2024")</f>
        <v/>
      </c>
      <c r="W514">
        <f>HYPERLINK("https://klasma.github.io/Logging_2132/klagomålsmail/A 470-2024 FSC-klagomål mail.docx", "A 470-2024")</f>
        <v/>
      </c>
      <c r="X514">
        <f>HYPERLINK("https://klasma.github.io/Logging_2132/tillsyn/A 470-2024 tillsynsbegäran.docx", "A 470-2024")</f>
        <v/>
      </c>
      <c r="Y514">
        <f>HYPERLINK("https://klasma.github.io/Logging_2132/tillsynsmail/A 470-2024 tillsynsbegäran mail.docx", "A 470-2024")</f>
        <v/>
      </c>
      <c r="Z514">
        <f>HYPERLINK("https://klasma.github.io/Logging_2132/fåglar/A 470-2024 prioriterade fågelarter.docx", "A 470-2024")</f>
        <v/>
      </c>
    </row>
    <row r="515" ht="15" customHeight="1">
      <c r="A515" t="inlineStr">
        <is>
          <t>A 29578-2023</t>
        </is>
      </c>
      <c r="B515" s="1" t="n">
        <v>45106</v>
      </c>
      <c r="C515" s="1" t="n">
        <v>45911</v>
      </c>
      <c r="D515" t="inlineStr">
        <is>
          <t>GÄVLEBORGS LÄN</t>
        </is>
      </c>
      <c r="E515" t="inlineStr">
        <is>
          <t>NORDANSTIG</t>
        </is>
      </c>
      <c r="F515" t="inlineStr">
        <is>
          <t>Holmen skog AB</t>
        </is>
      </c>
      <c r="G515" t="n">
        <v>5.3</v>
      </c>
      <c r="H515" t="n">
        <v>1</v>
      </c>
      <c r="I515" t="n">
        <v>0</v>
      </c>
      <c r="J515" t="n">
        <v>0</v>
      </c>
      <c r="K515" t="n">
        <v>0</v>
      </c>
      <c r="L515" t="n">
        <v>0</v>
      </c>
      <c r="M515" t="n">
        <v>0</v>
      </c>
      <c r="N515" t="n">
        <v>0</v>
      </c>
      <c r="O515" t="n">
        <v>0</v>
      </c>
      <c r="P515" t="n">
        <v>0</v>
      </c>
      <c r="Q515" t="n">
        <v>1</v>
      </c>
      <c r="R515" s="2" t="inlineStr">
        <is>
          <t>Blåsippa</t>
        </is>
      </c>
      <c r="S515">
        <f>HYPERLINK("https://klasma.github.io/Logging_2132/artfynd/A 29578-2023 artfynd.xlsx", "A 29578-2023")</f>
        <v/>
      </c>
      <c r="T515">
        <f>HYPERLINK("https://klasma.github.io/Logging_2132/kartor/A 29578-2023 karta.png", "A 29578-2023")</f>
        <v/>
      </c>
      <c r="V515">
        <f>HYPERLINK("https://klasma.github.io/Logging_2132/klagomål/A 29578-2023 FSC-klagomål.docx", "A 29578-2023")</f>
        <v/>
      </c>
      <c r="W515">
        <f>HYPERLINK("https://klasma.github.io/Logging_2132/klagomålsmail/A 29578-2023 FSC-klagomål mail.docx", "A 29578-2023")</f>
        <v/>
      </c>
      <c r="X515">
        <f>HYPERLINK("https://klasma.github.io/Logging_2132/tillsyn/A 29578-2023 tillsynsbegäran.docx", "A 29578-2023")</f>
        <v/>
      </c>
      <c r="Y515">
        <f>HYPERLINK("https://klasma.github.io/Logging_2132/tillsynsmail/A 29578-2023 tillsynsbegäran mail.docx", "A 29578-2023")</f>
        <v/>
      </c>
    </row>
    <row r="516" ht="15" customHeight="1">
      <c r="A516" t="inlineStr">
        <is>
          <t>A 18376-2024</t>
        </is>
      </c>
      <c r="B516" s="1" t="n">
        <v>45423</v>
      </c>
      <c r="C516" s="1" t="n">
        <v>45911</v>
      </c>
      <c r="D516" t="inlineStr">
        <is>
          <t>GÄVLEBORGS LÄN</t>
        </is>
      </c>
      <c r="E516" t="inlineStr">
        <is>
          <t>GÄVLE</t>
        </is>
      </c>
      <c r="F516" t="inlineStr">
        <is>
          <t>Bergvik skog väst AB</t>
        </is>
      </c>
      <c r="G516" t="n">
        <v>2.9</v>
      </c>
      <c r="H516" t="n">
        <v>0</v>
      </c>
      <c r="I516" t="n">
        <v>0</v>
      </c>
      <c r="J516" t="n">
        <v>1</v>
      </c>
      <c r="K516" t="n">
        <v>0</v>
      </c>
      <c r="L516" t="n">
        <v>0</v>
      </c>
      <c r="M516" t="n">
        <v>0</v>
      </c>
      <c r="N516" t="n">
        <v>0</v>
      </c>
      <c r="O516" t="n">
        <v>1</v>
      </c>
      <c r="P516" t="n">
        <v>0</v>
      </c>
      <c r="Q516" t="n">
        <v>1</v>
      </c>
      <c r="R516" s="2" t="inlineStr">
        <is>
          <t>Svart taggsvamp</t>
        </is>
      </c>
      <c r="S516">
        <f>HYPERLINK("https://klasma.github.io/Logging_2180/artfynd/A 18376-2024 artfynd.xlsx", "A 18376-2024")</f>
        <v/>
      </c>
      <c r="T516">
        <f>HYPERLINK("https://klasma.github.io/Logging_2180/kartor/A 18376-2024 karta.png", "A 18376-2024")</f>
        <v/>
      </c>
      <c r="V516">
        <f>HYPERLINK("https://klasma.github.io/Logging_2180/klagomål/A 18376-2024 FSC-klagomål.docx", "A 18376-2024")</f>
        <v/>
      </c>
      <c r="W516">
        <f>HYPERLINK("https://klasma.github.io/Logging_2180/klagomålsmail/A 18376-2024 FSC-klagomål mail.docx", "A 18376-2024")</f>
        <v/>
      </c>
      <c r="X516">
        <f>HYPERLINK("https://klasma.github.io/Logging_2180/tillsyn/A 18376-2024 tillsynsbegäran.docx", "A 18376-2024")</f>
        <v/>
      </c>
      <c r="Y516">
        <f>HYPERLINK("https://klasma.github.io/Logging_2180/tillsynsmail/A 18376-2024 tillsynsbegäran mail.docx", "A 18376-2024")</f>
        <v/>
      </c>
    </row>
    <row r="517" ht="15" customHeight="1">
      <c r="A517" t="inlineStr">
        <is>
          <t>A 34235-2024</t>
        </is>
      </c>
      <c r="B517" s="1" t="n">
        <v>45524.56763888889</v>
      </c>
      <c r="C517" s="1" t="n">
        <v>45911</v>
      </c>
      <c r="D517" t="inlineStr">
        <is>
          <t>GÄVLEBORGS LÄN</t>
        </is>
      </c>
      <c r="E517" t="inlineStr">
        <is>
          <t>LJUSDAL</t>
        </is>
      </c>
      <c r="F517" t="inlineStr">
        <is>
          <t>Sveaskog</t>
        </is>
      </c>
      <c r="G517" t="n">
        <v>3.5</v>
      </c>
      <c r="H517" t="n">
        <v>1</v>
      </c>
      <c r="I517" t="n">
        <v>1</v>
      </c>
      <c r="J517" t="n">
        <v>0</v>
      </c>
      <c r="K517" t="n">
        <v>0</v>
      </c>
      <c r="L517" t="n">
        <v>0</v>
      </c>
      <c r="M517" t="n">
        <v>0</v>
      </c>
      <c r="N517" t="n">
        <v>0</v>
      </c>
      <c r="O517" t="n">
        <v>0</v>
      </c>
      <c r="P517" t="n">
        <v>0</v>
      </c>
      <c r="Q517" t="n">
        <v>1</v>
      </c>
      <c r="R517" s="2" t="inlineStr">
        <is>
          <t>Plattlummer</t>
        </is>
      </c>
      <c r="S517">
        <f>HYPERLINK("https://klasma.github.io/Logging_2161/artfynd/A 34235-2024 artfynd.xlsx", "A 34235-2024")</f>
        <v/>
      </c>
      <c r="T517">
        <f>HYPERLINK("https://klasma.github.io/Logging_2161/kartor/A 34235-2024 karta.png", "A 34235-2024")</f>
        <v/>
      </c>
      <c r="V517">
        <f>HYPERLINK("https://klasma.github.io/Logging_2161/klagomål/A 34235-2024 FSC-klagomål.docx", "A 34235-2024")</f>
        <v/>
      </c>
      <c r="W517">
        <f>HYPERLINK("https://klasma.github.io/Logging_2161/klagomålsmail/A 34235-2024 FSC-klagomål mail.docx", "A 34235-2024")</f>
        <v/>
      </c>
      <c r="X517">
        <f>HYPERLINK("https://klasma.github.io/Logging_2161/tillsyn/A 34235-2024 tillsynsbegäran.docx", "A 34235-2024")</f>
        <v/>
      </c>
      <c r="Y517">
        <f>HYPERLINK("https://klasma.github.io/Logging_2161/tillsynsmail/A 34235-2024 tillsynsbegäran mail.docx", "A 34235-2024")</f>
        <v/>
      </c>
    </row>
    <row r="518" ht="15" customHeight="1">
      <c r="A518" t="inlineStr">
        <is>
          <t>A 4839-2024</t>
        </is>
      </c>
      <c r="B518" s="1" t="n">
        <v>45329</v>
      </c>
      <c r="C518" s="1" t="n">
        <v>45911</v>
      </c>
      <c r="D518" t="inlineStr">
        <is>
          <t>GÄVLEBORGS LÄN</t>
        </is>
      </c>
      <c r="E518" t="inlineStr">
        <is>
          <t>LJUSDAL</t>
        </is>
      </c>
      <c r="G518" t="n">
        <v>2.5</v>
      </c>
      <c r="H518" t="n">
        <v>1</v>
      </c>
      <c r="I518" t="n">
        <v>0</v>
      </c>
      <c r="J518" t="n">
        <v>1</v>
      </c>
      <c r="K518" t="n">
        <v>0</v>
      </c>
      <c r="L518" t="n">
        <v>0</v>
      </c>
      <c r="M518" t="n">
        <v>0</v>
      </c>
      <c r="N518" t="n">
        <v>0</v>
      </c>
      <c r="O518" t="n">
        <v>1</v>
      </c>
      <c r="P518" t="n">
        <v>0</v>
      </c>
      <c r="Q518" t="n">
        <v>1</v>
      </c>
      <c r="R518" s="2" t="inlineStr">
        <is>
          <t>Ävjepilört</t>
        </is>
      </c>
      <c r="S518">
        <f>HYPERLINK("https://klasma.github.io/Logging_2161/artfynd/A 4839-2024 artfynd.xlsx", "A 4839-2024")</f>
        <v/>
      </c>
      <c r="T518">
        <f>HYPERLINK("https://klasma.github.io/Logging_2161/kartor/A 4839-2024 karta.png", "A 4839-2024")</f>
        <v/>
      </c>
      <c r="V518">
        <f>HYPERLINK("https://klasma.github.io/Logging_2161/klagomål/A 4839-2024 FSC-klagomål.docx", "A 4839-2024")</f>
        <v/>
      </c>
      <c r="W518">
        <f>HYPERLINK("https://klasma.github.io/Logging_2161/klagomålsmail/A 4839-2024 FSC-klagomål mail.docx", "A 4839-2024")</f>
        <v/>
      </c>
      <c r="X518">
        <f>HYPERLINK("https://klasma.github.io/Logging_2161/tillsyn/A 4839-2024 tillsynsbegäran.docx", "A 4839-2024")</f>
        <v/>
      </c>
      <c r="Y518">
        <f>HYPERLINK("https://klasma.github.io/Logging_2161/tillsynsmail/A 4839-2024 tillsynsbegäran mail.docx", "A 4839-2024")</f>
        <v/>
      </c>
    </row>
    <row r="519" ht="15" customHeight="1">
      <c r="A519" t="inlineStr">
        <is>
          <t>A 55216-2022</t>
        </is>
      </c>
      <c r="B519" s="1" t="n">
        <v>44886</v>
      </c>
      <c r="C519" s="1" t="n">
        <v>45911</v>
      </c>
      <c r="D519" t="inlineStr">
        <is>
          <t>GÄVLEBORGS LÄN</t>
        </is>
      </c>
      <c r="E519" t="inlineStr">
        <is>
          <t>LJUSDAL</t>
        </is>
      </c>
      <c r="F519" t="inlineStr">
        <is>
          <t>SCA</t>
        </is>
      </c>
      <c r="G519" t="n">
        <v>10.1</v>
      </c>
      <c r="H519" t="n">
        <v>1</v>
      </c>
      <c r="I519" t="n">
        <v>0</v>
      </c>
      <c r="J519" t="n">
        <v>0</v>
      </c>
      <c r="K519" t="n">
        <v>0</v>
      </c>
      <c r="L519" t="n">
        <v>0</v>
      </c>
      <c r="M519" t="n">
        <v>0</v>
      </c>
      <c r="N519" t="n">
        <v>0</v>
      </c>
      <c r="O519" t="n">
        <v>0</v>
      </c>
      <c r="P519" t="n">
        <v>0</v>
      </c>
      <c r="Q519" t="n">
        <v>1</v>
      </c>
      <c r="R519" s="2" t="inlineStr">
        <is>
          <t>Kungsfågel</t>
        </is>
      </c>
      <c r="S519">
        <f>HYPERLINK("https://klasma.github.io/Logging_2161/artfynd/A 55216-2022 artfynd.xlsx", "A 55216-2022")</f>
        <v/>
      </c>
      <c r="T519">
        <f>HYPERLINK("https://klasma.github.io/Logging_2161/kartor/A 55216-2022 karta.png", "A 55216-2022")</f>
        <v/>
      </c>
      <c r="V519">
        <f>HYPERLINK("https://klasma.github.io/Logging_2161/klagomål/A 55216-2022 FSC-klagomål.docx", "A 55216-2022")</f>
        <v/>
      </c>
      <c r="W519">
        <f>HYPERLINK("https://klasma.github.io/Logging_2161/klagomålsmail/A 55216-2022 FSC-klagomål mail.docx", "A 55216-2022")</f>
        <v/>
      </c>
      <c r="X519">
        <f>HYPERLINK("https://klasma.github.io/Logging_2161/tillsyn/A 55216-2022 tillsynsbegäran.docx", "A 55216-2022")</f>
        <v/>
      </c>
      <c r="Y519">
        <f>HYPERLINK("https://klasma.github.io/Logging_2161/tillsynsmail/A 55216-2022 tillsynsbegäran mail.docx", "A 55216-2022")</f>
        <v/>
      </c>
      <c r="Z519">
        <f>HYPERLINK("https://klasma.github.io/Logging_2161/fåglar/A 55216-2022 prioriterade fågelarter.docx", "A 55216-2022")</f>
        <v/>
      </c>
    </row>
    <row r="520" ht="15" customHeight="1">
      <c r="A520" t="inlineStr">
        <is>
          <t>A 34974-2024</t>
        </is>
      </c>
      <c r="B520" s="1" t="n">
        <v>45527.54129629629</v>
      </c>
      <c r="C520" s="1" t="n">
        <v>45911</v>
      </c>
      <c r="D520" t="inlineStr">
        <is>
          <t>GÄVLEBORGS LÄN</t>
        </is>
      </c>
      <c r="E520" t="inlineStr">
        <is>
          <t>LJUSDAL</t>
        </is>
      </c>
      <c r="F520" t="inlineStr">
        <is>
          <t>Sveaskog</t>
        </is>
      </c>
      <c r="G520" t="n">
        <v>4.6</v>
      </c>
      <c r="H520" t="n">
        <v>0</v>
      </c>
      <c r="I520" t="n">
        <v>0</v>
      </c>
      <c r="J520" t="n">
        <v>1</v>
      </c>
      <c r="K520" t="n">
        <v>0</v>
      </c>
      <c r="L520" t="n">
        <v>0</v>
      </c>
      <c r="M520" t="n">
        <v>0</v>
      </c>
      <c r="N520" t="n">
        <v>0</v>
      </c>
      <c r="O520" t="n">
        <v>1</v>
      </c>
      <c r="P520" t="n">
        <v>0</v>
      </c>
      <c r="Q520" t="n">
        <v>1</v>
      </c>
      <c r="R520" s="2" t="inlineStr">
        <is>
          <t>Kolflarnlav</t>
        </is>
      </c>
      <c r="S520">
        <f>HYPERLINK("https://klasma.github.io/Logging_2161/artfynd/A 34974-2024 artfynd.xlsx", "A 34974-2024")</f>
        <v/>
      </c>
      <c r="T520">
        <f>HYPERLINK("https://klasma.github.io/Logging_2161/kartor/A 34974-2024 karta.png", "A 34974-2024")</f>
        <v/>
      </c>
      <c r="V520">
        <f>HYPERLINK("https://klasma.github.io/Logging_2161/klagomål/A 34974-2024 FSC-klagomål.docx", "A 34974-2024")</f>
        <v/>
      </c>
      <c r="W520">
        <f>HYPERLINK("https://klasma.github.io/Logging_2161/klagomålsmail/A 34974-2024 FSC-klagomål mail.docx", "A 34974-2024")</f>
        <v/>
      </c>
      <c r="X520">
        <f>HYPERLINK("https://klasma.github.io/Logging_2161/tillsyn/A 34974-2024 tillsynsbegäran.docx", "A 34974-2024")</f>
        <v/>
      </c>
      <c r="Y520">
        <f>HYPERLINK("https://klasma.github.io/Logging_2161/tillsynsmail/A 34974-2024 tillsynsbegäran mail.docx", "A 34974-2024")</f>
        <v/>
      </c>
    </row>
    <row r="521" ht="15" customHeight="1">
      <c r="A521" t="inlineStr">
        <is>
          <t>A 32499-2023</t>
        </is>
      </c>
      <c r="B521" s="1" t="n">
        <v>45121.30815972222</v>
      </c>
      <c r="C521" s="1" t="n">
        <v>45911</v>
      </c>
      <c r="D521" t="inlineStr">
        <is>
          <t>GÄVLEBORGS LÄN</t>
        </is>
      </c>
      <c r="E521" t="inlineStr">
        <is>
          <t>LJUSDAL</t>
        </is>
      </c>
      <c r="F521" t="inlineStr">
        <is>
          <t>Sveaskog</t>
        </is>
      </c>
      <c r="G521" t="n">
        <v>2.6</v>
      </c>
      <c r="H521" t="n">
        <v>1</v>
      </c>
      <c r="I521" t="n">
        <v>0</v>
      </c>
      <c r="J521" t="n">
        <v>0</v>
      </c>
      <c r="K521" t="n">
        <v>1</v>
      </c>
      <c r="L521" t="n">
        <v>0</v>
      </c>
      <c r="M521" t="n">
        <v>0</v>
      </c>
      <c r="N521" t="n">
        <v>0</v>
      </c>
      <c r="O521" t="n">
        <v>1</v>
      </c>
      <c r="P521" t="n">
        <v>1</v>
      </c>
      <c r="Q521" t="n">
        <v>1</v>
      </c>
      <c r="R521" s="2" t="inlineStr">
        <is>
          <t>Knärot</t>
        </is>
      </c>
      <c r="S521">
        <f>HYPERLINK("https://klasma.github.io/Logging_2161/artfynd/A 32499-2023 artfynd.xlsx", "A 32499-2023")</f>
        <v/>
      </c>
      <c r="T521">
        <f>HYPERLINK("https://klasma.github.io/Logging_2161/kartor/A 32499-2023 karta.png", "A 32499-2023")</f>
        <v/>
      </c>
      <c r="U521">
        <f>HYPERLINK("https://klasma.github.io/Logging_2161/knärot/A 32499-2023 karta knärot.png", "A 32499-2023")</f>
        <v/>
      </c>
      <c r="V521">
        <f>HYPERLINK("https://klasma.github.io/Logging_2161/klagomål/A 32499-2023 FSC-klagomål.docx", "A 32499-2023")</f>
        <v/>
      </c>
      <c r="W521">
        <f>HYPERLINK("https://klasma.github.io/Logging_2161/klagomålsmail/A 32499-2023 FSC-klagomål mail.docx", "A 32499-2023")</f>
        <v/>
      </c>
      <c r="X521">
        <f>HYPERLINK("https://klasma.github.io/Logging_2161/tillsyn/A 32499-2023 tillsynsbegäran.docx", "A 32499-2023")</f>
        <v/>
      </c>
      <c r="Y521">
        <f>HYPERLINK("https://klasma.github.io/Logging_2161/tillsynsmail/A 32499-2023 tillsynsbegäran mail.docx", "A 32499-2023")</f>
        <v/>
      </c>
    </row>
    <row r="522" ht="15" customHeight="1">
      <c r="A522" t="inlineStr">
        <is>
          <t>A 57441-2024</t>
        </is>
      </c>
      <c r="B522" s="1" t="n">
        <v>45629.87905092593</v>
      </c>
      <c r="C522" s="1" t="n">
        <v>45911</v>
      </c>
      <c r="D522" t="inlineStr">
        <is>
          <t>GÄVLEBORGS LÄN</t>
        </is>
      </c>
      <c r="E522" t="inlineStr">
        <is>
          <t>SÖDERHAMN</t>
        </is>
      </c>
      <c r="G522" t="n">
        <v>0.6</v>
      </c>
      <c r="H522" t="n">
        <v>0</v>
      </c>
      <c r="I522" t="n">
        <v>0</v>
      </c>
      <c r="J522" t="n">
        <v>1</v>
      </c>
      <c r="K522" t="n">
        <v>0</v>
      </c>
      <c r="L522" t="n">
        <v>0</v>
      </c>
      <c r="M522" t="n">
        <v>0</v>
      </c>
      <c r="N522" t="n">
        <v>0</v>
      </c>
      <c r="O522" t="n">
        <v>1</v>
      </c>
      <c r="P522" t="n">
        <v>0</v>
      </c>
      <c r="Q522" t="n">
        <v>1</v>
      </c>
      <c r="R522" s="2" t="inlineStr">
        <is>
          <t>Ullticka</t>
        </is>
      </c>
      <c r="S522">
        <f>HYPERLINK("https://klasma.github.io/Logging_2182/artfynd/A 57441-2024 artfynd.xlsx", "A 57441-2024")</f>
        <v/>
      </c>
      <c r="T522">
        <f>HYPERLINK("https://klasma.github.io/Logging_2182/kartor/A 57441-2024 karta.png", "A 57441-2024")</f>
        <v/>
      </c>
      <c r="V522">
        <f>HYPERLINK("https://klasma.github.io/Logging_2182/klagomål/A 57441-2024 FSC-klagomål.docx", "A 57441-2024")</f>
        <v/>
      </c>
      <c r="W522">
        <f>HYPERLINK("https://klasma.github.io/Logging_2182/klagomålsmail/A 57441-2024 FSC-klagomål mail.docx", "A 57441-2024")</f>
        <v/>
      </c>
      <c r="X522">
        <f>HYPERLINK("https://klasma.github.io/Logging_2182/tillsyn/A 57441-2024 tillsynsbegäran.docx", "A 57441-2024")</f>
        <v/>
      </c>
      <c r="Y522">
        <f>HYPERLINK("https://klasma.github.io/Logging_2182/tillsynsmail/A 57441-2024 tillsynsbegäran mail.docx", "A 57441-2024")</f>
        <v/>
      </c>
    </row>
    <row r="523" ht="15" customHeight="1">
      <c r="A523" t="inlineStr">
        <is>
          <t>A 35373-2024</t>
        </is>
      </c>
      <c r="B523" s="1" t="n">
        <v>45531</v>
      </c>
      <c r="C523" s="1" t="n">
        <v>45911</v>
      </c>
      <c r="D523" t="inlineStr">
        <is>
          <t>GÄVLEBORGS LÄN</t>
        </is>
      </c>
      <c r="E523" t="inlineStr">
        <is>
          <t>OVANÅKER</t>
        </is>
      </c>
      <c r="F523" t="inlineStr">
        <is>
          <t>Sveaskog</t>
        </is>
      </c>
      <c r="G523" t="n">
        <v>2.3</v>
      </c>
      <c r="H523" t="n">
        <v>0</v>
      </c>
      <c r="I523" t="n">
        <v>0</v>
      </c>
      <c r="J523" t="n">
        <v>1</v>
      </c>
      <c r="K523" t="n">
        <v>0</v>
      </c>
      <c r="L523" t="n">
        <v>0</v>
      </c>
      <c r="M523" t="n">
        <v>0</v>
      </c>
      <c r="N523" t="n">
        <v>0</v>
      </c>
      <c r="O523" t="n">
        <v>1</v>
      </c>
      <c r="P523" t="n">
        <v>0</v>
      </c>
      <c r="Q523" t="n">
        <v>1</v>
      </c>
      <c r="R523" s="2" t="inlineStr">
        <is>
          <t>Vedtrappmossa</t>
        </is>
      </c>
      <c r="S523">
        <f>HYPERLINK("https://klasma.github.io/Logging_2121/artfynd/A 35373-2024 artfynd.xlsx", "A 35373-2024")</f>
        <v/>
      </c>
      <c r="T523">
        <f>HYPERLINK("https://klasma.github.io/Logging_2121/kartor/A 35373-2024 karta.png", "A 35373-2024")</f>
        <v/>
      </c>
      <c r="V523">
        <f>HYPERLINK("https://klasma.github.io/Logging_2121/klagomål/A 35373-2024 FSC-klagomål.docx", "A 35373-2024")</f>
        <v/>
      </c>
      <c r="W523">
        <f>HYPERLINK("https://klasma.github.io/Logging_2121/klagomålsmail/A 35373-2024 FSC-klagomål mail.docx", "A 35373-2024")</f>
        <v/>
      </c>
      <c r="X523">
        <f>HYPERLINK("https://klasma.github.io/Logging_2121/tillsyn/A 35373-2024 tillsynsbegäran.docx", "A 35373-2024")</f>
        <v/>
      </c>
      <c r="Y523">
        <f>HYPERLINK("https://klasma.github.io/Logging_2121/tillsynsmail/A 35373-2024 tillsynsbegäran mail.docx", "A 35373-2024")</f>
        <v/>
      </c>
    </row>
    <row r="524" ht="15" customHeight="1">
      <c r="A524" t="inlineStr">
        <is>
          <t>A 20656-2024</t>
        </is>
      </c>
      <c r="B524" s="1" t="n">
        <v>45436</v>
      </c>
      <c r="C524" s="1" t="n">
        <v>45911</v>
      </c>
      <c r="D524" t="inlineStr">
        <is>
          <t>GÄVLEBORGS LÄN</t>
        </is>
      </c>
      <c r="E524" t="inlineStr">
        <is>
          <t>LJUSDAL</t>
        </is>
      </c>
      <c r="F524" t="inlineStr">
        <is>
          <t>Sveaskog</t>
        </is>
      </c>
      <c r="G524" t="n">
        <v>2.7</v>
      </c>
      <c r="H524" t="n">
        <v>0</v>
      </c>
      <c r="I524" t="n">
        <v>0</v>
      </c>
      <c r="J524" t="n">
        <v>1</v>
      </c>
      <c r="K524" t="n">
        <v>0</v>
      </c>
      <c r="L524" t="n">
        <v>0</v>
      </c>
      <c r="M524" t="n">
        <v>0</v>
      </c>
      <c r="N524" t="n">
        <v>0</v>
      </c>
      <c r="O524" t="n">
        <v>1</v>
      </c>
      <c r="P524" t="n">
        <v>0</v>
      </c>
      <c r="Q524" t="n">
        <v>1</v>
      </c>
      <c r="R524" s="2" t="inlineStr">
        <is>
          <t>Tallticka</t>
        </is>
      </c>
      <c r="S524">
        <f>HYPERLINK("https://klasma.github.io/Logging_2161/artfynd/A 20656-2024 artfynd.xlsx", "A 20656-2024")</f>
        <v/>
      </c>
      <c r="T524">
        <f>HYPERLINK("https://klasma.github.io/Logging_2161/kartor/A 20656-2024 karta.png", "A 20656-2024")</f>
        <v/>
      </c>
      <c r="V524">
        <f>HYPERLINK("https://klasma.github.io/Logging_2161/klagomål/A 20656-2024 FSC-klagomål.docx", "A 20656-2024")</f>
        <v/>
      </c>
      <c r="W524">
        <f>HYPERLINK("https://klasma.github.io/Logging_2161/klagomålsmail/A 20656-2024 FSC-klagomål mail.docx", "A 20656-2024")</f>
        <v/>
      </c>
      <c r="X524">
        <f>HYPERLINK("https://klasma.github.io/Logging_2161/tillsyn/A 20656-2024 tillsynsbegäran.docx", "A 20656-2024")</f>
        <v/>
      </c>
      <c r="Y524">
        <f>HYPERLINK("https://klasma.github.io/Logging_2161/tillsynsmail/A 20656-2024 tillsynsbegäran mail.docx", "A 20656-2024")</f>
        <v/>
      </c>
    </row>
    <row r="525" ht="15" customHeight="1">
      <c r="A525" t="inlineStr">
        <is>
          <t>A 25145-2024</t>
        </is>
      </c>
      <c r="B525" s="1" t="n">
        <v>45462.49670138889</v>
      </c>
      <c r="C525" s="1" t="n">
        <v>45911</v>
      </c>
      <c r="D525" t="inlineStr">
        <is>
          <t>GÄVLEBORGS LÄN</t>
        </is>
      </c>
      <c r="E525" t="inlineStr">
        <is>
          <t>HUDIKSVALL</t>
        </is>
      </c>
      <c r="F525" t="inlineStr">
        <is>
          <t>Sveaskog</t>
        </is>
      </c>
      <c r="G525" t="n">
        <v>2.3</v>
      </c>
      <c r="H525" t="n">
        <v>1</v>
      </c>
      <c r="I525" t="n">
        <v>0</v>
      </c>
      <c r="J525" t="n">
        <v>0</v>
      </c>
      <c r="K525" t="n">
        <v>0</v>
      </c>
      <c r="L525" t="n">
        <v>0</v>
      </c>
      <c r="M525" t="n">
        <v>0</v>
      </c>
      <c r="N525" t="n">
        <v>0</v>
      </c>
      <c r="O525" t="n">
        <v>0</v>
      </c>
      <c r="P525" t="n">
        <v>0</v>
      </c>
      <c r="Q525" t="n">
        <v>1</v>
      </c>
      <c r="R525" s="2" t="inlineStr">
        <is>
          <t>Skogsödla</t>
        </is>
      </c>
      <c r="S525">
        <f>HYPERLINK("https://klasma.github.io/Logging_2184/artfynd/A 25145-2024 artfynd.xlsx", "A 25145-2024")</f>
        <v/>
      </c>
      <c r="T525">
        <f>HYPERLINK("https://klasma.github.io/Logging_2184/kartor/A 25145-2024 karta.png", "A 25145-2024")</f>
        <v/>
      </c>
      <c r="V525">
        <f>HYPERLINK("https://klasma.github.io/Logging_2184/klagomål/A 25145-2024 FSC-klagomål.docx", "A 25145-2024")</f>
        <v/>
      </c>
      <c r="W525">
        <f>HYPERLINK("https://klasma.github.io/Logging_2184/klagomålsmail/A 25145-2024 FSC-klagomål mail.docx", "A 25145-2024")</f>
        <v/>
      </c>
      <c r="X525">
        <f>HYPERLINK("https://klasma.github.io/Logging_2184/tillsyn/A 25145-2024 tillsynsbegäran.docx", "A 25145-2024")</f>
        <v/>
      </c>
      <c r="Y525">
        <f>HYPERLINK("https://klasma.github.io/Logging_2184/tillsynsmail/A 25145-2024 tillsynsbegäran mail.docx", "A 25145-2024")</f>
        <v/>
      </c>
    </row>
    <row r="526" ht="15" customHeight="1">
      <c r="A526" t="inlineStr">
        <is>
          <t>A 55326-2024</t>
        </is>
      </c>
      <c r="B526" s="1" t="n">
        <v>45621.67460648148</v>
      </c>
      <c r="C526" s="1" t="n">
        <v>45911</v>
      </c>
      <c r="D526" t="inlineStr">
        <is>
          <t>GÄVLEBORGS LÄN</t>
        </is>
      </c>
      <c r="E526" t="inlineStr">
        <is>
          <t>LJUSDAL</t>
        </is>
      </c>
      <c r="G526" t="n">
        <v>11.1</v>
      </c>
      <c r="H526" t="n">
        <v>0</v>
      </c>
      <c r="I526" t="n">
        <v>0</v>
      </c>
      <c r="J526" t="n">
        <v>1</v>
      </c>
      <c r="K526" t="n">
        <v>0</v>
      </c>
      <c r="L526" t="n">
        <v>0</v>
      </c>
      <c r="M526" t="n">
        <v>0</v>
      </c>
      <c r="N526" t="n">
        <v>0</v>
      </c>
      <c r="O526" t="n">
        <v>1</v>
      </c>
      <c r="P526" t="n">
        <v>0</v>
      </c>
      <c r="Q526" t="n">
        <v>1</v>
      </c>
      <c r="R526" s="2" t="inlineStr">
        <is>
          <t>Vedskivlav</t>
        </is>
      </c>
      <c r="S526">
        <f>HYPERLINK("https://klasma.github.io/Logging_2161/artfynd/A 55326-2024 artfynd.xlsx", "A 55326-2024")</f>
        <v/>
      </c>
      <c r="T526">
        <f>HYPERLINK("https://klasma.github.io/Logging_2161/kartor/A 55326-2024 karta.png", "A 55326-2024")</f>
        <v/>
      </c>
      <c r="U526">
        <f>HYPERLINK("https://klasma.github.io/Logging_2161/knärot/A 55326-2024 karta knärot.png", "A 55326-2024")</f>
        <v/>
      </c>
      <c r="V526">
        <f>HYPERLINK("https://klasma.github.io/Logging_2161/klagomål/A 55326-2024 FSC-klagomål.docx", "A 55326-2024")</f>
        <v/>
      </c>
      <c r="W526">
        <f>HYPERLINK("https://klasma.github.io/Logging_2161/klagomålsmail/A 55326-2024 FSC-klagomål mail.docx", "A 55326-2024")</f>
        <v/>
      </c>
      <c r="X526">
        <f>HYPERLINK("https://klasma.github.io/Logging_2161/tillsyn/A 55326-2024 tillsynsbegäran.docx", "A 55326-2024")</f>
        <v/>
      </c>
      <c r="Y526">
        <f>HYPERLINK("https://klasma.github.io/Logging_2161/tillsynsmail/A 55326-2024 tillsynsbegäran mail.docx", "A 55326-2024")</f>
        <v/>
      </c>
    </row>
    <row r="527" ht="15" customHeight="1">
      <c r="A527" t="inlineStr">
        <is>
          <t>A 29873-2021</t>
        </is>
      </c>
      <c r="B527" s="1" t="n">
        <v>44362.68620370371</v>
      </c>
      <c r="C527" s="1" t="n">
        <v>45911</v>
      </c>
      <c r="D527" t="inlineStr">
        <is>
          <t>GÄVLEBORGS LÄN</t>
        </is>
      </c>
      <c r="E527" t="inlineStr">
        <is>
          <t>OVANÅKER</t>
        </is>
      </c>
      <c r="F527" t="inlineStr">
        <is>
          <t>Sveaskog</t>
        </is>
      </c>
      <c r="G527" t="n">
        <v>9.199999999999999</v>
      </c>
      <c r="H527" t="n">
        <v>0</v>
      </c>
      <c r="I527" t="n">
        <v>0</v>
      </c>
      <c r="J527" t="n">
        <v>1</v>
      </c>
      <c r="K527" t="n">
        <v>0</v>
      </c>
      <c r="L527" t="n">
        <v>0</v>
      </c>
      <c r="M527" t="n">
        <v>0</v>
      </c>
      <c r="N527" t="n">
        <v>0</v>
      </c>
      <c r="O527" t="n">
        <v>1</v>
      </c>
      <c r="P527" t="n">
        <v>0</v>
      </c>
      <c r="Q527" t="n">
        <v>1</v>
      </c>
      <c r="R527" s="2" t="inlineStr">
        <is>
          <t>Lunglav</t>
        </is>
      </c>
      <c r="S527">
        <f>HYPERLINK("https://klasma.github.io/Logging_2121/artfynd/A 29873-2021 artfynd.xlsx", "A 29873-2021")</f>
        <v/>
      </c>
      <c r="T527">
        <f>HYPERLINK("https://klasma.github.io/Logging_2121/kartor/A 29873-2021 karta.png", "A 29873-2021")</f>
        <v/>
      </c>
      <c r="V527">
        <f>HYPERLINK("https://klasma.github.io/Logging_2121/klagomål/A 29873-2021 FSC-klagomål.docx", "A 29873-2021")</f>
        <v/>
      </c>
      <c r="W527">
        <f>HYPERLINK("https://klasma.github.io/Logging_2121/klagomålsmail/A 29873-2021 FSC-klagomål mail.docx", "A 29873-2021")</f>
        <v/>
      </c>
      <c r="X527">
        <f>HYPERLINK("https://klasma.github.io/Logging_2121/tillsyn/A 29873-2021 tillsynsbegäran.docx", "A 29873-2021")</f>
        <v/>
      </c>
      <c r="Y527">
        <f>HYPERLINK("https://klasma.github.io/Logging_2121/tillsynsmail/A 29873-2021 tillsynsbegäran mail.docx", "A 29873-2021")</f>
        <v/>
      </c>
    </row>
    <row r="528" ht="15" customHeight="1">
      <c r="A528" t="inlineStr">
        <is>
          <t>A 9436-2025</t>
        </is>
      </c>
      <c r="B528" s="1" t="n">
        <v>45715.41275462963</v>
      </c>
      <c r="C528" s="1" t="n">
        <v>45911</v>
      </c>
      <c r="D528" t="inlineStr">
        <is>
          <t>GÄVLEBORGS LÄN</t>
        </is>
      </c>
      <c r="E528" t="inlineStr">
        <is>
          <t>GÄVLE</t>
        </is>
      </c>
      <c r="G528" t="n">
        <v>8.199999999999999</v>
      </c>
      <c r="H528" t="n">
        <v>0</v>
      </c>
      <c r="I528" t="n">
        <v>1</v>
      </c>
      <c r="J528" t="n">
        <v>0</v>
      </c>
      <c r="K528" t="n">
        <v>0</v>
      </c>
      <c r="L528" t="n">
        <v>0</v>
      </c>
      <c r="M528" t="n">
        <v>0</v>
      </c>
      <c r="N528" t="n">
        <v>0</v>
      </c>
      <c r="O528" t="n">
        <v>0</v>
      </c>
      <c r="P528" t="n">
        <v>0</v>
      </c>
      <c r="Q528" t="n">
        <v>1</v>
      </c>
      <c r="R528" s="2" t="inlineStr">
        <is>
          <t>Vågbandad barkbock</t>
        </is>
      </c>
      <c r="S528">
        <f>HYPERLINK("https://klasma.github.io/Logging_2180/artfynd/A 9436-2025 artfynd.xlsx", "A 9436-2025")</f>
        <v/>
      </c>
      <c r="T528">
        <f>HYPERLINK("https://klasma.github.io/Logging_2180/kartor/A 9436-2025 karta.png", "A 9436-2025")</f>
        <v/>
      </c>
      <c r="V528">
        <f>HYPERLINK("https://klasma.github.io/Logging_2180/klagomål/A 9436-2025 FSC-klagomål.docx", "A 9436-2025")</f>
        <v/>
      </c>
      <c r="W528">
        <f>HYPERLINK("https://klasma.github.io/Logging_2180/klagomålsmail/A 9436-2025 FSC-klagomål mail.docx", "A 9436-2025")</f>
        <v/>
      </c>
      <c r="X528">
        <f>HYPERLINK("https://klasma.github.io/Logging_2180/tillsyn/A 9436-2025 tillsynsbegäran.docx", "A 9436-2025")</f>
        <v/>
      </c>
      <c r="Y528">
        <f>HYPERLINK("https://klasma.github.io/Logging_2180/tillsynsmail/A 9436-2025 tillsynsbegäran mail.docx", "A 9436-2025")</f>
        <v/>
      </c>
    </row>
    <row r="529" ht="15" customHeight="1">
      <c r="A529" t="inlineStr">
        <is>
          <t>A 35623-2024</t>
        </is>
      </c>
      <c r="B529" s="1" t="n">
        <v>45531.73449074074</v>
      </c>
      <c r="C529" s="1" t="n">
        <v>45911</v>
      </c>
      <c r="D529" t="inlineStr">
        <is>
          <t>GÄVLEBORGS LÄN</t>
        </is>
      </c>
      <c r="E529" t="inlineStr">
        <is>
          <t>SANDVIKEN</t>
        </is>
      </c>
      <c r="F529" t="inlineStr">
        <is>
          <t>Sveaskog</t>
        </is>
      </c>
      <c r="G529" t="n">
        <v>13.1</v>
      </c>
      <c r="H529" t="n">
        <v>1</v>
      </c>
      <c r="I529" t="n">
        <v>0</v>
      </c>
      <c r="J529" t="n">
        <v>1</v>
      </c>
      <c r="K529" t="n">
        <v>0</v>
      </c>
      <c r="L529" t="n">
        <v>0</v>
      </c>
      <c r="M529" t="n">
        <v>0</v>
      </c>
      <c r="N529" t="n">
        <v>0</v>
      </c>
      <c r="O529" t="n">
        <v>1</v>
      </c>
      <c r="P529" t="n">
        <v>0</v>
      </c>
      <c r="Q529" t="n">
        <v>1</v>
      </c>
      <c r="R529" s="2" t="inlineStr">
        <is>
          <t>Nordfladdermus</t>
        </is>
      </c>
      <c r="S529">
        <f>HYPERLINK("https://klasma.github.io/Logging_2181/artfynd/A 35623-2024 artfynd.xlsx", "A 35623-2024")</f>
        <v/>
      </c>
      <c r="T529">
        <f>HYPERLINK("https://klasma.github.io/Logging_2181/kartor/A 35623-2024 karta.png", "A 35623-2024")</f>
        <v/>
      </c>
      <c r="V529">
        <f>HYPERLINK("https://klasma.github.io/Logging_2181/klagomål/A 35623-2024 FSC-klagomål.docx", "A 35623-2024")</f>
        <v/>
      </c>
      <c r="W529">
        <f>HYPERLINK("https://klasma.github.io/Logging_2181/klagomålsmail/A 35623-2024 FSC-klagomål mail.docx", "A 35623-2024")</f>
        <v/>
      </c>
      <c r="X529">
        <f>HYPERLINK("https://klasma.github.io/Logging_2181/tillsyn/A 35623-2024 tillsynsbegäran.docx", "A 35623-2024")</f>
        <v/>
      </c>
      <c r="Y529">
        <f>HYPERLINK("https://klasma.github.io/Logging_2181/tillsynsmail/A 35623-2024 tillsynsbegäran mail.docx", "A 35623-2024")</f>
        <v/>
      </c>
    </row>
    <row r="530" ht="15" customHeight="1">
      <c r="A530" t="inlineStr">
        <is>
          <t>A 40943-2023</t>
        </is>
      </c>
      <c r="B530" s="1" t="n">
        <v>45173</v>
      </c>
      <c r="C530" s="1" t="n">
        <v>45911</v>
      </c>
      <c r="D530" t="inlineStr">
        <is>
          <t>GÄVLEBORGS LÄN</t>
        </is>
      </c>
      <c r="E530" t="inlineStr">
        <is>
          <t>LJUSDAL</t>
        </is>
      </c>
      <c r="G530" t="n">
        <v>5.8</v>
      </c>
      <c r="H530" t="n">
        <v>0</v>
      </c>
      <c r="I530" t="n">
        <v>0</v>
      </c>
      <c r="J530" t="n">
        <v>1</v>
      </c>
      <c r="K530" t="n">
        <v>0</v>
      </c>
      <c r="L530" t="n">
        <v>0</v>
      </c>
      <c r="M530" t="n">
        <v>0</v>
      </c>
      <c r="N530" t="n">
        <v>0</v>
      </c>
      <c r="O530" t="n">
        <v>1</v>
      </c>
      <c r="P530" t="n">
        <v>0</v>
      </c>
      <c r="Q530" t="n">
        <v>1</v>
      </c>
      <c r="R530" s="2" t="inlineStr">
        <is>
          <t>Mörk kolflarnlav</t>
        </is>
      </c>
      <c r="S530">
        <f>HYPERLINK("https://klasma.github.io/Logging_2161/artfynd/A 40943-2023 artfynd.xlsx", "A 40943-2023")</f>
        <v/>
      </c>
      <c r="T530">
        <f>HYPERLINK("https://klasma.github.io/Logging_2161/kartor/A 40943-2023 karta.png", "A 40943-2023")</f>
        <v/>
      </c>
      <c r="V530">
        <f>HYPERLINK("https://klasma.github.io/Logging_2161/klagomål/A 40943-2023 FSC-klagomål.docx", "A 40943-2023")</f>
        <v/>
      </c>
      <c r="W530">
        <f>HYPERLINK("https://klasma.github.io/Logging_2161/klagomålsmail/A 40943-2023 FSC-klagomål mail.docx", "A 40943-2023")</f>
        <v/>
      </c>
      <c r="X530">
        <f>HYPERLINK("https://klasma.github.io/Logging_2161/tillsyn/A 40943-2023 tillsynsbegäran.docx", "A 40943-2023")</f>
        <v/>
      </c>
      <c r="Y530">
        <f>HYPERLINK("https://klasma.github.io/Logging_2161/tillsynsmail/A 40943-2023 tillsynsbegäran mail.docx", "A 40943-2023")</f>
        <v/>
      </c>
    </row>
    <row r="531" ht="15" customHeight="1">
      <c r="A531" t="inlineStr">
        <is>
          <t>A 26526-2023</t>
        </is>
      </c>
      <c r="B531" s="1" t="n">
        <v>45092.56519675926</v>
      </c>
      <c r="C531" s="1" t="n">
        <v>45911</v>
      </c>
      <c r="D531" t="inlineStr">
        <is>
          <t>GÄVLEBORGS LÄN</t>
        </is>
      </c>
      <c r="E531" t="inlineStr">
        <is>
          <t>LJUSDAL</t>
        </is>
      </c>
      <c r="F531" t="inlineStr">
        <is>
          <t>Sveaskog</t>
        </is>
      </c>
      <c r="G531" t="n">
        <v>3.6</v>
      </c>
      <c r="H531" t="n">
        <v>0</v>
      </c>
      <c r="I531" t="n">
        <v>0</v>
      </c>
      <c r="J531" t="n">
        <v>1</v>
      </c>
      <c r="K531" t="n">
        <v>0</v>
      </c>
      <c r="L531" t="n">
        <v>0</v>
      </c>
      <c r="M531" t="n">
        <v>0</v>
      </c>
      <c r="N531" t="n">
        <v>0</v>
      </c>
      <c r="O531" t="n">
        <v>1</v>
      </c>
      <c r="P531" t="n">
        <v>0</v>
      </c>
      <c r="Q531" t="n">
        <v>1</v>
      </c>
      <c r="R531" s="2" t="inlineStr">
        <is>
          <t>Kolflarnlav</t>
        </is>
      </c>
      <c r="S531">
        <f>HYPERLINK("https://klasma.github.io/Logging_2161/artfynd/A 26526-2023 artfynd.xlsx", "A 26526-2023")</f>
        <v/>
      </c>
      <c r="T531">
        <f>HYPERLINK("https://klasma.github.io/Logging_2161/kartor/A 26526-2023 karta.png", "A 26526-2023")</f>
        <v/>
      </c>
      <c r="V531">
        <f>HYPERLINK("https://klasma.github.io/Logging_2161/klagomål/A 26526-2023 FSC-klagomål.docx", "A 26526-2023")</f>
        <v/>
      </c>
      <c r="W531">
        <f>HYPERLINK("https://klasma.github.io/Logging_2161/klagomålsmail/A 26526-2023 FSC-klagomål mail.docx", "A 26526-2023")</f>
        <v/>
      </c>
      <c r="X531">
        <f>HYPERLINK("https://klasma.github.io/Logging_2161/tillsyn/A 26526-2023 tillsynsbegäran.docx", "A 26526-2023")</f>
        <v/>
      </c>
      <c r="Y531">
        <f>HYPERLINK("https://klasma.github.io/Logging_2161/tillsynsmail/A 26526-2023 tillsynsbegäran mail.docx", "A 26526-2023")</f>
        <v/>
      </c>
    </row>
    <row r="532" ht="15" customHeight="1">
      <c r="A532" t="inlineStr">
        <is>
          <t>A 5370-2025</t>
        </is>
      </c>
      <c r="B532" s="1" t="n">
        <v>45692</v>
      </c>
      <c r="C532" s="1" t="n">
        <v>45911</v>
      </c>
      <c r="D532" t="inlineStr">
        <is>
          <t>GÄVLEBORGS LÄN</t>
        </is>
      </c>
      <c r="E532" t="inlineStr">
        <is>
          <t>BOLLNÄS</t>
        </is>
      </c>
      <c r="G532" t="n">
        <v>2.5</v>
      </c>
      <c r="H532" t="n">
        <v>0</v>
      </c>
      <c r="I532" t="n">
        <v>0</v>
      </c>
      <c r="J532" t="n">
        <v>1</v>
      </c>
      <c r="K532" t="n">
        <v>0</v>
      </c>
      <c r="L532" t="n">
        <v>0</v>
      </c>
      <c r="M532" t="n">
        <v>0</v>
      </c>
      <c r="N532" t="n">
        <v>0</v>
      </c>
      <c r="O532" t="n">
        <v>1</v>
      </c>
      <c r="P532" t="n">
        <v>0</v>
      </c>
      <c r="Q532" t="n">
        <v>1</v>
      </c>
      <c r="R532" s="2" t="inlineStr">
        <is>
          <t>Ullticka</t>
        </is>
      </c>
      <c r="S532">
        <f>HYPERLINK("https://klasma.github.io/Logging_2183/artfynd/A 5370-2025 artfynd.xlsx", "A 5370-2025")</f>
        <v/>
      </c>
      <c r="T532">
        <f>HYPERLINK("https://klasma.github.io/Logging_2183/kartor/A 5370-2025 karta.png", "A 5370-2025")</f>
        <v/>
      </c>
      <c r="V532">
        <f>HYPERLINK("https://klasma.github.io/Logging_2183/klagomål/A 5370-2025 FSC-klagomål.docx", "A 5370-2025")</f>
        <v/>
      </c>
      <c r="W532">
        <f>HYPERLINK("https://klasma.github.io/Logging_2183/klagomålsmail/A 5370-2025 FSC-klagomål mail.docx", "A 5370-2025")</f>
        <v/>
      </c>
      <c r="X532">
        <f>HYPERLINK("https://klasma.github.io/Logging_2183/tillsyn/A 5370-2025 tillsynsbegäran.docx", "A 5370-2025")</f>
        <v/>
      </c>
      <c r="Y532">
        <f>HYPERLINK("https://klasma.github.io/Logging_2183/tillsynsmail/A 5370-2025 tillsynsbegäran mail.docx", "A 5370-2025")</f>
        <v/>
      </c>
    </row>
    <row r="533" ht="15" customHeight="1">
      <c r="A533" t="inlineStr">
        <is>
          <t>A 41494-2024</t>
        </is>
      </c>
      <c r="B533" s="1" t="n">
        <v>45560.45381944445</v>
      </c>
      <c r="C533" s="1" t="n">
        <v>45911</v>
      </c>
      <c r="D533" t="inlineStr">
        <is>
          <t>GÄVLEBORGS LÄN</t>
        </is>
      </c>
      <c r="E533" t="inlineStr">
        <is>
          <t>HUDIKSVALL</t>
        </is>
      </c>
      <c r="F533" t="inlineStr">
        <is>
          <t>Holmen skog AB</t>
        </is>
      </c>
      <c r="G533" t="n">
        <v>20.9</v>
      </c>
      <c r="H533" t="n">
        <v>0</v>
      </c>
      <c r="I533" t="n">
        <v>0</v>
      </c>
      <c r="J533" t="n">
        <v>1</v>
      </c>
      <c r="K533" t="n">
        <v>0</v>
      </c>
      <c r="L533" t="n">
        <v>0</v>
      </c>
      <c r="M533" t="n">
        <v>0</v>
      </c>
      <c r="N533" t="n">
        <v>0</v>
      </c>
      <c r="O533" t="n">
        <v>1</v>
      </c>
      <c r="P533" t="n">
        <v>0</v>
      </c>
      <c r="Q533" t="n">
        <v>1</v>
      </c>
      <c r="R533" s="2" t="inlineStr">
        <is>
          <t>Lunglav</t>
        </is>
      </c>
      <c r="S533">
        <f>HYPERLINK("https://klasma.github.io/Logging_2184/artfynd/A 41494-2024 artfynd.xlsx", "A 41494-2024")</f>
        <v/>
      </c>
      <c r="T533">
        <f>HYPERLINK("https://klasma.github.io/Logging_2184/kartor/A 41494-2024 karta.png", "A 41494-2024")</f>
        <v/>
      </c>
      <c r="V533">
        <f>HYPERLINK("https://klasma.github.io/Logging_2184/klagomål/A 41494-2024 FSC-klagomål.docx", "A 41494-2024")</f>
        <v/>
      </c>
      <c r="W533">
        <f>HYPERLINK("https://klasma.github.io/Logging_2184/klagomålsmail/A 41494-2024 FSC-klagomål mail.docx", "A 41494-2024")</f>
        <v/>
      </c>
      <c r="X533">
        <f>HYPERLINK("https://klasma.github.io/Logging_2184/tillsyn/A 41494-2024 tillsynsbegäran.docx", "A 41494-2024")</f>
        <v/>
      </c>
      <c r="Y533">
        <f>HYPERLINK("https://klasma.github.io/Logging_2184/tillsynsmail/A 41494-2024 tillsynsbegäran mail.docx", "A 41494-2024")</f>
        <v/>
      </c>
    </row>
    <row r="534" ht="15" customHeight="1">
      <c r="A534" t="inlineStr">
        <is>
          <t>A 19427-2025</t>
        </is>
      </c>
      <c r="B534" s="1" t="n">
        <v>45769.79703703704</v>
      </c>
      <c r="C534" s="1" t="n">
        <v>45911</v>
      </c>
      <c r="D534" t="inlineStr">
        <is>
          <t>GÄVLEBORGS LÄN</t>
        </is>
      </c>
      <c r="E534" t="inlineStr">
        <is>
          <t>HUDIKSVALL</t>
        </is>
      </c>
      <c r="F534" t="inlineStr">
        <is>
          <t>Holmen skog AB</t>
        </is>
      </c>
      <c r="G534" t="n">
        <v>3.1</v>
      </c>
      <c r="H534" t="n">
        <v>0</v>
      </c>
      <c r="I534" t="n">
        <v>0</v>
      </c>
      <c r="J534" t="n">
        <v>1</v>
      </c>
      <c r="K534" t="n">
        <v>0</v>
      </c>
      <c r="L534" t="n">
        <v>0</v>
      </c>
      <c r="M534" t="n">
        <v>0</v>
      </c>
      <c r="N534" t="n">
        <v>0</v>
      </c>
      <c r="O534" t="n">
        <v>1</v>
      </c>
      <c r="P534" t="n">
        <v>0</v>
      </c>
      <c r="Q534" t="n">
        <v>1</v>
      </c>
      <c r="R534" s="2" t="inlineStr">
        <is>
          <t>Garnlav</t>
        </is>
      </c>
      <c r="S534">
        <f>HYPERLINK("https://klasma.github.io/Logging_2184/artfynd/A 19427-2025 artfynd.xlsx", "A 19427-2025")</f>
        <v/>
      </c>
      <c r="T534">
        <f>HYPERLINK("https://klasma.github.io/Logging_2184/kartor/A 19427-2025 karta.png", "A 19427-2025")</f>
        <v/>
      </c>
      <c r="V534">
        <f>HYPERLINK("https://klasma.github.io/Logging_2184/klagomål/A 19427-2025 FSC-klagomål.docx", "A 19427-2025")</f>
        <v/>
      </c>
      <c r="W534">
        <f>HYPERLINK("https://klasma.github.io/Logging_2184/klagomålsmail/A 19427-2025 FSC-klagomål mail.docx", "A 19427-2025")</f>
        <v/>
      </c>
      <c r="X534">
        <f>HYPERLINK("https://klasma.github.io/Logging_2184/tillsyn/A 19427-2025 tillsynsbegäran.docx", "A 19427-2025")</f>
        <v/>
      </c>
      <c r="Y534">
        <f>HYPERLINK("https://klasma.github.io/Logging_2184/tillsynsmail/A 19427-2025 tillsynsbegäran mail.docx", "A 19427-2025")</f>
        <v/>
      </c>
    </row>
    <row r="535" ht="15" customHeight="1">
      <c r="A535" t="inlineStr">
        <is>
          <t>A 43682-2024</t>
        </is>
      </c>
      <c r="B535" s="1" t="n">
        <v>45569</v>
      </c>
      <c r="C535" s="1" t="n">
        <v>45911</v>
      </c>
      <c r="D535" t="inlineStr">
        <is>
          <t>GÄVLEBORGS LÄN</t>
        </is>
      </c>
      <c r="E535" t="inlineStr">
        <is>
          <t>SÖDERHAMN</t>
        </is>
      </c>
      <c r="G535" t="n">
        <v>3.8</v>
      </c>
      <c r="H535" t="n">
        <v>0</v>
      </c>
      <c r="I535" t="n">
        <v>0</v>
      </c>
      <c r="J535" t="n">
        <v>1</v>
      </c>
      <c r="K535" t="n">
        <v>0</v>
      </c>
      <c r="L535" t="n">
        <v>0</v>
      </c>
      <c r="M535" t="n">
        <v>0</v>
      </c>
      <c r="N535" t="n">
        <v>0</v>
      </c>
      <c r="O535" t="n">
        <v>1</v>
      </c>
      <c r="P535" t="n">
        <v>0</v>
      </c>
      <c r="Q535" t="n">
        <v>1</v>
      </c>
      <c r="R535" s="2" t="inlineStr">
        <is>
          <t>Garnlav</t>
        </is>
      </c>
      <c r="S535">
        <f>HYPERLINK("https://klasma.github.io/Logging_2182/artfynd/A 43682-2024 artfynd.xlsx", "A 43682-2024")</f>
        <v/>
      </c>
      <c r="T535">
        <f>HYPERLINK("https://klasma.github.io/Logging_2182/kartor/A 43682-2024 karta.png", "A 43682-2024")</f>
        <v/>
      </c>
      <c r="V535">
        <f>HYPERLINK("https://klasma.github.io/Logging_2182/klagomål/A 43682-2024 FSC-klagomål.docx", "A 43682-2024")</f>
        <v/>
      </c>
      <c r="W535">
        <f>HYPERLINK("https://klasma.github.io/Logging_2182/klagomålsmail/A 43682-2024 FSC-klagomål mail.docx", "A 43682-2024")</f>
        <v/>
      </c>
      <c r="X535">
        <f>HYPERLINK("https://klasma.github.io/Logging_2182/tillsyn/A 43682-2024 tillsynsbegäran.docx", "A 43682-2024")</f>
        <v/>
      </c>
      <c r="Y535">
        <f>HYPERLINK("https://klasma.github.io/Logging_2182/tillsynsmail/A 43682-2024 tillsynsbegäran mail.docx", "A 43682-2024")</f>
        <v/>
      </c>
    </row>
    <row r="536" ht="15" customHeight="1">
      <c r="A536" t="inlineStr">
        <is>
          <t>A 25114-2023</t>
        </is>
      </c>
      <c r="B536" s="1" t="n">
        <v>45086</v>
      </c>
      <c r="C536" s="1" t="n">
        <v>45911</v>
      </c>
      <c r="D536" t="inlineStr">
        <is>
          <t>GÄVLEBORGS LÄN</t>
        </is>
      </c>
      <c r="E536" t="inlineStr">
        <is>
          <t>LJUSDAL</t>
        </is>
      </c>
      <c r="G536" t="n">
        <v>0.9</v>
      </c>
      <c r="H536" t="n">
        <v>0</v>
      </c>
      <c r="I536" t="n">
        <v>1</v>
      </c>
      <c r="J536" t="n">
        <v>0</v>
      </c>
      <c r="K536" t="n">
        <v>0</v>
      </c>
      <c r="L536" t="n">
        <v>0</v>
      </c>
      <c r="M536" t="n">
        <v>0</v>
      </c>
      <c r="N536" t="n">
        <v>0</v>
      </c>
      <c r="O536" t="n">
        <v>0</v>
      </c>
      <c r="P536" t="n">
        <v>0</v>
      </c>
      <c r="Q536" t="n">
        <v>1</v>
      </c>
      <c r="R536" s="2" t="inlineStr">
        <is>
          <t>Vedticka</t>
        </is>
      </c>
      <c r="S536">
        <f>HYPERLINK("https://klasma.github.io/Logging_2161/artfynd/A 25114-2023 artfynd.xlsx", "A 25114-2023")</f>
        <v/>
      </c>
      <c r="T536">
        <f>HYPERLINK("https://klasma.github.io/Logging_2161/kartor/A 25114-2023 karta.png", "A 25114-2023")</f>
        <v/>
      </c>
      <c r="U536">
        <f>HYPERLINK("https://klasma.github.io/Logging_2161/knärot/A 25114-2023 karta knärot.png", "A 25114-2023")</f>
        <v/>
      </c>
      <c r="V536">
        <f>HYPERLINK("https://klasma.github.io/Logging_2161/klagomål/A 25114-2023 FSC-klagomål.docx", "A 25114-2023")</f>
        <v/>
      </c>
      <c r="W536">
        <f>HYPERLINK("https://klasma.github.io/Logging_2161/klagomålsmail/A 25114-2023 FSC-klagomål mail.docx", "A 25114-2023")</f>
        <v/>
      </c>
      <c r="X536">
        <f>HYPERLINK("https://klasma.github.io/Logging_2161/tillsyn/A 25114-2023 tillsynsbegäran.docx", "A 25114-2023")</f>
        <v/>
      </c>
      <c r="Y536">
        <f>HYPERLINK("https://klasma.github.io/Logging_2161/tillsynsmail/A 25114-2023 tillsynsbegäran mail.docx", "A 25114-2023")</f>
        <v/>
      </c>
    </row>
    <row r="537" ht="15" customHeight="1">
      <c r="A537" t="inlineStr">
        <is>
          <t>A 3525-2025</t>
        </is>
      </c>
      <c r="B537" s="1" t="n">
        <v>45680.61361111111</v>
      </c>
      <c r="C537" s="1" t="n">
        <v>45911</v>
      </c>
      <c r="D537" t="inlineStr">
        <is>
          <t>GÄVLEBORGS LÄN</t>
        </is>
      </c>
      <c r="E537" t="inlineStr">
        <is>
          <t>OCKELBO</t>
        </is>
      </c>
      <c r="G537" t="n">
        <v>6.9</v>
      </c>
      <c r="H537" t="n">
        <v>0</v>
      </c>
      <c r="I537" t="n">
        <v>0</v>
      </c>
      <c r="J537" t="n">
        <v>1</v>
      </c>
      <c r="K537" t="n">
        <v>0</v>
      </c>
      <c r="L537" t="n">
        <v>0</v>
      </c>
      <c r="M537" t="n">
        <v>0</v>
      </c>
      <c r="N537" t="n">
        <v>0</v>
      </c>
      <c r="O537" t="n">
        <v>1</v>
      </c>
      <c r="P537" t="n">
        <v>0</v>
      </c>
      <c r="Q537" t="n">
        <v>1</v>
      </c>
      <c r="R537" s="2" t="inlineStr">
        <is>
          <t>Rovspindling</t>
        </is>
      </c>
      <c r="S537">
        <f>HYPERLINK("https://klasma.github.io/Logging_2101/artfynd/A 3525-2025 artfynd.xlsx", "A 3525-2025")</f>
        <v/>
      </c>
      <c r="T537">
        <f>HYPERLINK("https://klasma.github.io/Logging_2101/kartor/A 3525-2025 karta.png", "A 3525-2025")</f>
        <v/>
      </c>
      <c r="V537">
        <f>HYPERLINK("https://klasma.github.io/Logging_2101/klagomål/A 3525-2025 FSC-klagomål.docx", "A 3525-2025")</f>
        <v/>
      </c>
      <c r="W537">
        <f>HYPERLINK("https://klasma.github.io/Logging_2101/klagomålsmail/A 3525-2025 FSC-klagomål mail.docx", "A 3525-2025")</f>
        <v/>
      </c>
      <c r="X537">
        <f>HYPERLINK("https://klasma.github.io/Logging_2101/tillsyn/A 3525-2025 tillsynsbegäran.docx", "A 3525-2025")</f>
        <v/>
      </c>
      <c r="Y537">
        <f>HYPERLINK("https://klasma.github.io/Logging_2101/tillsynsmail/A 3525-2025 tillsynsbegäran mail.docx", "A 3525-2025")</f>
        <v/>
      </c>
    </row>
    <row r="538" ht="15" customHeight="1">
      <c r="A538" t="inlineStr">
        <is>
          <t>A 53015-2024</t>
        </is>
      </c>
      <c r="B538" s="1" t="n">
        <v>45611.40582175926</v>
      </c>
      <c r="C538" s="1" t="n">
        <v>45911</v>
      </c>
      <c r="D538" t="inlineStr">
        <is>
          <t>GÄVLEBORGS LÄN</t>
        </is>
      </c>
      <c r="E538" t="inlineStr">
        <is>
          <t>HUDIKSVALL</t>
        </is>
      </c>
      <c r="G538" t="n">
        <v>21</v>
      </c>
      <c r="H538" t="n">
        <v>0</v>
      </c>
      <c r="I538" t="n">
        <v>1</v>
      </c>
      <c r="J538" t="n">
        <v>0</v>
      </c>
      <c r="K538" t="n">
        <v>0</v>
      </c>
      <c r="L538" t="n">
        <v>0</v>
      </c>
      <c r="M538" t="n">
        <v>0</v>
      </c>
      <c r="N538" t="n">
        <v>0</v>
      </c>
      <c r="O538" t="n">
        <v>0</v>
      </c>
      <c r="P538" t="n">
        <v>0</v>
      </c>
      <c r="Q538" t="n">
        <v>1</v>
      </c>
      <c r="R538" s="2" t="inlineStr">
        <is>
          <t>Stuplav</t>
        </is>
      </c>
      <c r="S538">
        <f>HYPERLINK("https://klasma.github.io/Logging_2184/artfynd/A 53015-2024 artfynd.xlsx", "A 53015-2024")</f>
        <v/>
      </c>
      <c r="T538">
        <f>HYPERLINK("https://klasma.github.io/Logging_2184/kartor/A 53015-2024 karta.png", "A 53015-2024")</f>
        <v/>
      </c>
      <c r="V538">
        <f>HYPERLINK("https://klasma.github.io/Logging_2184/klagomål/A 53015-2024 FSC-klagomål.docx", "A 53015-2024")</f>
        <v/>
      </c>
      <c r="W538">
        <f>HYPERLINK("https://klasma.github.io/Logging_2184/klagomålsmail/A 53015-2024 FSC-klagomål mail.docx", "A 53015-2024")</f>
        <v/>
      </c>
      <c r="X538">
        <f>HYPERLINK("https://klasma.github.io/Logging_2184/tillsyn/A 53015-2024 tillsynsbegäran.docx", "A 53015-2024")</f>
        <v/>
      </c>
      <c r="Y538">
        <f>HYPERLINK("https://klasma.github.io/Logging_2184/tillsynsmail/A 53015-2024 tillsynsbegäran mail.docx", "A 53015-2024")</f>
        <v/>
      </c>
    </row>
    <row r="539" ht="15" customHeight="1">
      <c r="A539" t="inlineStr">
        <is>
          <t>A 19602-2025</t>
        </is>
      </c>
      <c r="B539" s="1" t="n">
        <v>45770.58766203704</v>
      </c>
      <c r="C539" s="1" t="n">
        <v>45911</v>
      </c>
      <c r="D539" t="inlineStr">
        <is>
          <t>GÄVLEBORGS LÄN</t>
        </is>
      </c>
      <c r="E539" t="inlineStr">
        <is>
          <t>HUDIKSVALL</t>
        </is>
      </c>
      <c r="F539" t="inlineStr">
        <is>
          <t>Holmen skog AB</t>
        </is>
      </c>
      <c r="G539" t="n">
        <v>50.8</v>
      </c>
      <c r="H539" t="n">
        <v>1</v>
      </c>
      <c r="I539" t="n">
        <v>0</v>
      </c>
      <c r="J539" t="n">
        <v>0</v>
      </c>
      <c r="K539" t="n">
        <v>0</v>
      </c>
      <c r="L539" t="n">
        <v>0</v>
      </c>
      <c r="M539" t="n">
        <v>0</v>
      </c>
      <c r="N539" t="n">
        <v>0</v>
      </c>
      <c r="O539" t="n">
        <v>0</v>
      </c>
      <c r="P539" t="n">
        <v>0</v>
      </c>
      <c r="Q539" t="n">
        <v>1</v>
      </c>
      <c r="R539" s="2" t="inlineStr">
        <is>
          <t>Mattlummer</t>
        </is>
      </c>
      <c r="S539">
        <f>HYPERLINK("https://klasma.github.io/Logging_2184/artfynd/A 19602-2025 artfynd.xlsx", "A 19602-2025")</f>
        <v/>
      </c>
      <c r="T539">
        <f>HYPERLINK("https://klasma.github.io/Logging_2184/kartor/A 19602-2025 karta.png", "A 19602-2025")</f>
        <v/>
      </c>
      <c r="V539">
        <f>HYPERLINK("https://klasma.github.io/Logging_2184/klagomål/A 19602-2025 FSC-klagomål.docx", "A 19602-2025")</f>
        <v/>
      </c>
      <c r="W539">
        <f>HYPERLINK("https://klasma.github.io/Logging_2184/klagomålsmail/A 19602-2025 FSC-klagomål mail.docx", "A 19602-2025")</f>
        <v/>
      </c>
      <c r="X539">
        <f>HYPERLINK("https://klasma.github.io/Logging_2184/tillsyn/A 19602-2025 tillsynsbegäran.docx", "A 19602-2025")</f>
        <v/>
      </c>
      <c r="Y539">
        <f>HYPERLINK("https://klasma.github.io/Logging_2184/tillsynsmail/A 19602-2025 tillsynsbegäran mail.docx", "A 19602-2025")</f>
        <v/>
      </c>
    </row>
    <row r="540" ht="15" customHeight="1">
      <c r="A540" t="inlineStr">
        <is>
          <t>A 11483-2025</t>
        </is>
      </c>
      <c r="B540" s="1" t="n">
        <v>45726.69310185185</v>
      </c>
      <c r="C540" s="1" t="n">
        <v>45911</v>
      </c>
      <c r="D540" t="inlineStr">
        <is>
          <t>GÄVLEBORGS LÄN</t>
        </is>
      </c>
      <c r="E540" t="inlineStr">
        <is>
          <t>SANDVIKEN</t>
        </is>
      </c>
      <c r="F540" t="inlineStr">
        <is>
          <t>Bergvik skog öst AB</t>
        </is>
      </c>
      <c r="G540" t="n">
        <v>12.5</v>
      </c>
      <c r="H540" t="n">
        <v>0</v>
      </c>
      <c r="I540" t="n">
        <v>1</v>
      </c>
      <c r="J540" t="n">
        <v>0</v>
      </c>
      <c r="K540" t="n">
        <v>0</v>
      </c>
      <c r="L540" t="n">
        <v>0</v>
      </c>
      <c r="M540" t="n">
        <v>0</v>
      </c>
      <c r="N540" t="n">
        <v>0</v>
      </c>
      <c r="O540" t="n">
        <v>0</v>
      </c>
      <c r="P540" t="n">
        <v>0</v>
      </c>
      <c r="Q540" t="n">
        <v>1</v>
      </c>
      <c r="R540" s="2" t="inlineStr">
        <is>
          <t>Spädstarr</t>
        </is>
      </c>
      <c r="S540">
        <f>HYPERLINK("https://klasma.github.io/Logging_2181/artfynd/A 11483-2025 artfynd.xlsx", "A 11483-2025")</f>
        <v/>
      </c>
      <c r="T540">
        <f>HYPERLINK("https://klasma.github.io/Logging_2181/kartor/A 11483-2025 karta.png", "A 11483-2025")</f>
        <v/>
      </c>
      <c r="V540">
        <f>HYPERLINK("https://klasma.github.io/Logging_2181/klagomål/A 11483-2025 FSC-klagomål.docx", "A 11483-2025")</f>
        <v/>
      </c>
      <c r="W540">
        <f>HYPERLINK("https://klasma.github.io/Logging_2181/klagomålsmail/A 11483-2025 FSC-klagomål mail.docx", "A 11483-2025")</f>
        <v/>
      </c>
      <c r="X540">
        <f>HYPERLINK("https://klasma.github.io/Logging_2181/tillsyn/A 11483-2025 tillsynsbegäran.docx", "A 11483-2025")</f>
        <v/>
      </c>
      <c r="Y540">
        <f>HYPERLINK("https://klasma.github.io/Logging_2181/tillsynsmail/A 11483-2025 tillsynsbegäran mail.docx", "A 11483-2025")</f>
        <v/>
      </c>
    </row>
    <row r="541" ht="15" customHeight="1">
      <c r="A541" t="inlineStr">
        <is>
          <t>A 18967-2025</t>
        </is>
      </c>
      <c r="B541" s="1" t="n">
        <v>45764.53628472222</v>
      </c>
      <c r="C541" s="1" t="n">
        <v>45911</v>
      </c>
      <c r="D541" t="inlineStr">
        <is>
          <t>GÄVLEBORGS LÄN</t>
        </is>
      </c>
      <c r="E541" t="inlineStr">
        <is>
          <t>LJUSDAL</t>
        </is>
      </c>
      <c r="F541" t="inlineStr">
        <is>
          <t>Sveaskog</t>
        </is>
      </c>
      <c r="G541" t="n">
        <v>6.8</v>
      </c>
      <c r="H541" t="n">
        <v>0</v>
      </c>
      <c r="I541" t="n">
        <v>0</v>
      </c>
      <c r="J541" t="n">
        <v>1</v>
      </c>
      <c r="K541" t="n">
        <v>0</v>
      </c>
      <c r="L541" t="n">
        <v>0</v>
      </c>
      <c r="M541" t="n">
        <v>0</v>
      </c>
      <c r="N541" t="n">
        <v>0</v>
      </c>
      <c r="O541" t="n">
        <v>1</v>
      </c>
      <c r="P541" t="n">
        <v>0</v>
      </c>
      <c r="Q541" t="n">
        <v>1</v>
      </c>
      <c r="R541" s="2" t="inlineStr">
        <is>
          <t>Lunglav</t>
        </is>
      </c>
      <c r="S541">
        <f>HYPERLINK("https://klasma.github.io/Logging_2161/artfynd/A 18967-2025 artfynd.xlsx", "A 18967-2025")</f>
        <v/>
      </c>
      <c r="T541">
        <f>HYPERLINK("https://klasma.github.io/Logging_2161/kartor/A 18967-2025 karta.png", "A 18967-2025")</f>
        <v/>
      </c>
      <c r="V541">
        <f>HYPERLINK("https://klasma.github.io/Logging_2161/klagomål/A 18967-2025 FSC-klagomål.docx", "A 18967-2025")</f>
        <v/>
      </c>
      <c r="W541">
        <f>HYPERLINK("https://klasma.github.io/Logging_2161/klagomålsmail/A 18967-2025 FSC-klagomål mail.docx", "A 18967-2025")</f>
        <v/>
      </c>
      <c r="X541">
        <f>HYPERLINK("https://klasma.github.io/Logging_2161/tillsyn/A 18967-2025 tillsynsbegäran.docx", "A 18967-2025")</f>
        <v/>
      </c>
      <c r="Y541">
        <f>HYPERLINK("https://klasma.github.io/Logging_2161/tillsynsmail/A 18967-2025 tillsynsbegäran mail.docx", "A 18967-2025")</f>
        <v/>
      </c>
    </row>
    <row r="542" ht="15" customHeight="1">
      <c r="A542" t="inlineStr">
        <is>
          <t>A 21282-2025</t>
        </is>
      </c>
      <c r="B542" s="1" t="n">
        <v>45779.6665162037</v>
      </c>
      <c r="C542" s="1" t="n">
        <v>45911</v>
      </c>
      <c r="D542" t="inlineStr">
        <is>
          <t>GÄVLEBORGS LÄN</t>
        </is>
      </c>
      <c r="E542" t="inlineStr">
        <is>
          <t>LJUSDAL</t>
        </is>
      </c>
      <c r="F542" t="inlineStr">
        <is>
          <t>Sveaskog</t>
        </is>
      </c>
      <c r="G542" t="n">
        <v>9.6</v>
      </c>
      <c r="H542" t="n">
        <v>0</v>
      </c>
      <c r="I542" t="n">
        <v>0</v>
      </c>
      <c r="J542" t="n">
        <v>1</v>
      </c>
      <c r="K542" t="n">
        <v>0</v>
      </c>
      <c r="L542" t="n">
        <v>0</v>
      </c>
      <c r="M542" t="n">
        <v>0</v>
      </c>
      <c r="N542" t="n">
        <v>0</v>
      </c>
      <c r="O542" t="n">
        <v>1</v>
      </c>
      <c r="P542" t="n">
        <v>0</v>
      </c>
      <c r="Q542" t="n">
        <v>1</v>
      </c>
      <c r="R542" s="2" t="inlineStr">
        <is>
          <t>Lunglav</t>
        </is>
      </c>
      <c r="S542">
        <f>HYPERLINK("https://klasma.github.io/Logging_2161/artfynd/A 21282-2025 artfynd.xlsx", "A 21282-2025")</f>
        <v/>
      </c>
      <c r="T542">
        <f>HYPERLINK("https://klasma.github.io/Logging_2161/kartor/A 21282-2025 karta.png", "A 21282-2025")</f>
        <v/>
      </c>
      <c r="V542">
        <f>HYPERLINK("https://klasma.github.io/Logging_2161/klagomål/A 21282-2025 FSC-klagomål.docx", "A 21282-2025")</f>
        <v/>
      </c>
      <c r="W542">
        <f>HYPERLINK("https://klasma.github.io/Logging_2161/klagomålsmail/A 21282-2025 FSC-klagomål mail.docx", "A 21282-2025")</f>
        <v/>
      </c>
      <c r="X542">
        <f>HYPERLINK("https://klasma.github.io/Logging_2161/tillsyn/A 21282-2025 tillsynsbegäran.docx", "A 21282-2025")</f>
        <v/>
      </c>
      <c r="Y542">
        <f>HYPERLINK("https://klasma.github.io/Logging_2161/tillsynsmail/A 21282-2025 tillsynsbegäran mail.docx", "A 21282-2025")</f>
        <v/>
      </c>
    </row>
    <row r="543" ht="15" customHeight="1">
      <c r="A543" t="inlineStr">
        <is>
          <t>A 32266-2021</t>
        </is>
      </c>
      <c r="B543" s="1" t="n">
        <v>44371</v>
      </c>
      <c r="C543" s="1" t="n">
        <v>45911</v>
      </c>
      <c r="D543" t="inlineStr">
        <is>
          <t>GÄVLEBORGS LÄN</t>
        </is>
      </c>
      <c r="E543" t="inlineStr">
        <is>
          <t>OCKELBO</t>
        </is>
      </c>
      <c r="F543" t="inlineStr">
        <is>
          <t>Bergvik skog väst AB</t>
        </is>
      </c>
      <c r="G543" t="n">
        <v>2.6</v>
      </c>
      <c r="H543" t="n">
        <v>0</v>
      </c>
      <c r="I543" t="n">
        <v>0</v>
      </c>
      <c r="J543" t="n">
        <v>0</v>
      </c>
      <c r="K543" t="n">
        <v>0</v>
      </c>
      <c r="L543" t="n">
        <v>0</v>
      </c>
      <c r="M543" t="n">
        <v>0</v>
      </c>
      <c r="N543" t="n">
        <v>0</v>
      </c>
      <c r="O543" t="n">
        <v>0</v>
      </c>
      <c r="P543" t="n">
        <v>0</v>
      </c>
      <c r="Q543" t="n">
        <v>0</v>
      </c>
      <c r="R543" s="2" t="inlineStr"/>
    </row>
    <row r="544" ht="15" customHeight="1">
      <c r="A544" t="inlineStr">
        <is>
          <t>A 19995-2021</t>
        </is>
      </c>
      <c r="B544" s="1" t="n">
        <v>44313</v>
      </c>
      <c r="C544" s="1" t="n">
        <v>45911</v>
      </c>
      <c r="D544" t="inlineStr">
        <is>
          <t>GÄVLEBORGS LÄN</t>
        </is>
      </c>
      <c r="E544" t="inlineStr">
        <is>
          <t>HUDIKSVALL</t>
        </is>
      </c>
      <c r="G544" t="n">
        <v>5.7</v>
      </c>
      <c r="H544" t="n">
        <v>0</v>
      </c>
      <c r="I544" t="n">
        <v>0</v>
      </c>
      <c r="J544" t="n">
        <v>0</v>
      </c>
      <c r="K544" t="n">
        <v>0</v>
      </c>
      <c r="L544" t="n">
        <v>0</v>
      </c>
      <c r="M544" t="n">
        <v>0</v>
      </c>
      <c r="N544" t="n">
        <v>0</v>
      </c>
      <c r="O544" t="n">
        <v>0</v>
      </c>
      <c r="P544" t="n">
        <v>0</v>
      </c>
      <c r="Q544" t="n">
        <v>0</v>
      </c>
      <c r="R544" s="2" t="inlineStr"/>
    </row>
    <row r="545" ht="15" customHeight="1">
      <c r="A545" t="inlineStr">
        <is>
          <t>A 59690-2020</t>
        </is>
      </c>
      <c r="B545" s="1" t="n">
        <v>44151</v>
      </c>
      <c r="C545" s="1" t="n">
        <v>45911</v>
      </c>
      <c r="D545" t="inlineStr">
        <is>
          <t>GÄVLEBORGS LÄN</t>
        </is>
      </c>
      <c r="E545" t="inlineStr">
        <is>
          <t>BOLLNÄS</t>
        </is>
      </c>
      <c r="G545" t="n">
        <v>4</v>
      </c>
      <c r="H545" t="n">
        <v>0</v>
      </c>
      <c r="I545" t="n">
        <v>0</v>
      </c>
      <c r="J545" t="n">
        <v>0</v>
      </c>
      <c r="K545" t="n">
        <v>0</v>
      </c>
      <c r="L545" t="n">
        <v>0</v>
      </c>
      <c r="M545" t="n">
        <v>0</v>
      </c>
      <c r="N545" t="n">
        <v>0</v>
      </c>
      <c r="O545" t="n">
        <v>0</v>
      </c>
      <c r="P545" t="n">
        <v>0</v>
      </c>
      <c r="Q545" t="n">
        <v>0</v>
      </c>
      <c r="R545" s="2" t="inlineStr"/>
    </row>
    <row r="546" ht="15" customHeight="1">
      <c r="A546" t="inlineStr">
        <is>
          <t>A 30629-2022</t>
        </is>
      </c>
      <c r="B546" s="1" t="n">
        <v>44763.44366898148</v>
      </c>
      <c r="C546" s="1" t="n">
        <v>45911</v>
      </c>
      <c r="D546" t="inlineStr">
        <is>
          <t>GÄVLEBORGS LÄN</t>
        </is>
      </c>
      <c r="E546" t="inlineStr">
        <is>
          <t>LJUSDAL</t>
        </is>
      </c>
      <c r="F546" t="inlineStr">
        <is>
          <t>Sveaskog</t>
        </is>
      </c>
      <c r="G546" t="n">
        <v>1.2</v>
      </c>
      <c r="H546" t="n">
        <v>0</v>
      </c>
      <c r="I546" t="n">
        <v>0</v>
      </c>
      <c r="J546" t="n">
        <v>0</v>
      </c>
      <c r="K546" t="n">
        <v>0</v>
      </c>
      <c r="L546" t="n">
        <v>0</v>
      </c>
      <c r="M546" t="n">
        <v>0</v>
      </c>
      <c r="N546" t="n">
        <v>0</v>
      </c>
      <c r="O546" t="n">
        <v>0</v>
      </c>
      <c r="P546" t="n">
        <v>0</v>
      </c>
      <c r="Q546" t="n">
        <v>0</v>
      </c>
      <c r="R546" s="2" t="inlineStr"/>
    </row>
    <row r="547" ht="15" customHeight="1">
      <c r="A547" t="inlineStr">
        <is>
          <t>A 24470-2022</t>
        </is>
      </c>
      <c r="B547" s="1" t="n">
        <v>44726.64341435185</v>
      </c>
      <c r="C547" s="1" t="n">
        <v>45911</v>
      </c>
      <c r="D547" t="inlineStr">
        <is>
          <t>GÄVLEBORGS LÄN</t>
        </is>
      </c>
      <c r="E547" t="inlineStr">
        <is>
          <t>HUDIKSVALL</t>
        </is>
      </c>
      <c r="G547" t="n">
        <v>1.3</v>
      </c>
      <c r="H547" t="n">
        <v>0</v>
      </c>
      <c r="I547" t="n">
        <v>0</v>
      </c>
      <c r="J547" t="n">
        <v>0</v>
      </c>
      <c r="K547" t="n">
        <v>0</v>
      </c>
      <c r="L547" t="n">
        <v>0</v>
      </c>
      <c r="M547" t="n">
        <v>0</v>
      </c>
      <c r="N547" t="n">
        <v>0</v>
      </c>
      <c r="O547" t="n">
        <v>0</v>
      </c>
      <c r="P547" t="n">
        <v>0</v>
      </c>
      <c r="Q547" t="n">
        <v>0</v>
      </c>
      <c r="R547" s="2" t="inlineStr"/>
    </row>
    <row r="548" ht="15" customHeight="1">
      <c r="A548" t="inlineStr">
        <is>
          <t>A 51205-2022</t>
        </is>
      </c>
      <c r="B548" s="1" t="n">
        <v>44868.61302083333</v>
      </c>
      <c r="C548" s="1" t="n">
        <v>45911</v>
      </c>
      <c r="D548" t="inlineStr">
        <is>
          <t>GÄVLEBORGS LÄN</t>
        </is>
      </c>
      <c r="E548" t="inlineStr">
        <is>
          <t>HOFORS</t>
        </is>
      </c>
      <c r="F548" t="inlineStr">
        <is>
          <t>Sveaskog</t>
        </is>
      </c>
      <c r="G548" t="n">
        <v>10</v>
      </c>
      <c r="H548" t="n">
        <v>0</v>
      </c>
      <c r="I548" t="n">
        <v>0</v>
      </c>
      <c r="J548" t="n">
        <v>0</v>
      </c>
      <c r="K548" t="n">
        <v>0</v>
      </c>
      <c r="L548" t="n">
        <v>0</v>
      </c>
      <c r="M548" t="n">
        <v>0</v>
      </c>
      <c r="N548" t="n">
        <v>0</v>
      </c>
      <c r="O548" t="n">
        <v>0</v>
      </c>
      <c r="P548" t="n">
        <v>0</v>
      </c>
      <c r="Q548" t="n">
        <v>0</v>
      </c>
      <c r="R548" s="2" t="inlineStr"/>
    </row>
    <row r="549" ht="15" customHeight="1">
      <c r="A549" t="inlineStr">
        <is>
          <t>A 51237-2022</t>
        </is>
      </c>
      <c r="B549" s="1" t="n">
        <v>44868.65212962963</v>
      </c>
      <c r="C549" s="1" t="n">
        <v>45911</v>
      </c>
      <c r="D549" t="inlineStr">
        <is>
          <t>GÄVLEBORGS LÄN</t>
        </is>
      </c>
      <c r="E549" t="inlineStr">
        <is>
          <t>OVANÅKER</t>
        </is>
      </c>
      <c r="G549" t="n">
        <v>6.5</v>
      </c>
      <c r="H549" t="n">
        <v>0</v>
      </c>
      <c r="I549" t="n">
        <v>0</v>
      </c>
      <c r="J549" t="n">
        <v>0</v>
      </c>
      <c r="K549" t="n">
        <v>0</v>
      </c>
      <c r="L549" t="n">
        <v>0</v>
      </c>
      <c r="M549" t="n">
        <v>0</v>
      </c>
      <c r="N549" t="n">
        <v>0</v>
      </c>
      <c r="O549" t="n">
        <v>0</v>
      </c>
      <c r="P549" t="n">
        <v>0</v>
      </c>
      <c r="Q549" t="n">
        <v>0</v>
      </c>
      <c r="R549" s="2" t="inlineStr"/>
    </row>
    <row r="550" ht="15" customHeight="1">
      <c r="A550" t="inlineStr">
        <is>
          <t>A 51162-2022</t>
        </is>
      </c>
      <c r="B550" s="1" t="n">
        <v>44868</v>
      </c>
      <c r="C550" s="1" t="n">
        <v>45911</v>
      </c>
      <c r="D550" t="inlineStr">
        <is>
          <t>GÄVLEBORGS LÄN</t>
        </is>
      </c>
      <c r="E550" t="inlineStr">
        <is>
          <t>SANDVIKEN</t>
        </is>
      </c>
      <c r="G550" t="n">
        <v>0.8</v>
      </c>
      <c r="H550" t="n">
        <v>0</v>
      </c>
      <c r="I550" t="n">
        <v>0</v>
      </c>
      <c r="J550" t="n">
        <v>0</v>
      </c>
      <c r="K550" t="n">
        <v>0</v>
      </c>
      <c r="L550" t="n">
        <v>0</v>
      </c>
      <c r="M550" t="n">
        <v>0</v>
      </c>
      <c r="N550" t="n">
        <v>0</v>
      </c>
      <c r="O550" t="n">
        <v>0</v>
      </c>
      <c r="P550" t="n">
        <v>0</v>
      </c>
      <c r="Q550" t="n">
        <v>0</v>
      </c>
      <c r="R550" s="2" t="inlineStr"/>
    </row>
    <row r="551" ht="15" customHeight="1">
      <c r="A551" t="inlineStr">
        <is>
          <t>A 25394-2022</t>
        </is>
      </c>
      <c r="B551" s="1" t="n">
        <v>44732.4194212963</v>
      </c>
      <c r="C551" s="1" t="n">
        <v>45911</v>
      </c>
      <c r="D551" t="inlineStr">
        <is>
          <t>GÄVLEBORGS LÄN</t>
        </is>
      </c>
      <c r="E551" t="inlineStr">
        <is>
          <t>OVANÅKER</t>
        </is>
      </c>
      <c r="G551" t="n">
        <v>0.3</v>
      </c>
      <c r="H551" t="n">
        <v>0</v>
      </c>
      <c r="I551" t="n">
        <v>0</v>
      </c>
      <c r="J551" t="n">
        <v>0</v>
      </c>
      <c r="K551" t="n">
        <v>0</v>
      </c>
      <c r="L551" t="n">
        <v>0</v>
      </c>
      <c r="M551" t="n">
        <v>0</v>
      </c>
      <c r="N551" t="n">
        <v>0</v>
      </c>
      <c r="O551" t="n">
        <v>0</v>
      </c>
      <c r="P551" t="n">
        <v>0</v>
      </c>
      <c r="Q551" t="n">
        <v>0</v>
      </c>
      <c r="R551" s="2" t="inlineStr"/>
    </row>
    <row r="552" ht="15" customHeight="1">
      <c r="A552" t="inlineStr">
        <is>
          <t>A 53069-2022</t>
        </is>
      </c>
      <c r="B552" s="1" t="n">
        <v>44876.37364583334</v>
      </c>
      <c r="C552" s="1" t="n">
        <v>45911</v>
      </c>
      <c r="D552" t="inlineStr">
        <is>
          <t>GÄVLEBORGS LÄN</t>
        </is>
      </c>
      <c r="E552" t="inlineStr">
        <is>
          <t>BOLLNÄS</t>
        </is>
      </c>
      <c r="F552" t="inlineStr">
        <is>
          <t>Bergvik skog väst AB</t>
        </is>
      </c>
      <c r="G552" t="n">
        <v>0.7</v>
      </c>
      <c r="H552" t="n">
        <v>0</v>
      </c>
      <c r="I552" t="n">
        <v>0</v>
      </c>
      <c r="J552" t="n">
        <v>0</v>
      </c>
      <c r="K552" t="n">
        <v>0</v>
      </c>
      <c r="L552" t="n">
        <v>0</v>
      </c>
      <c r="M552" t="n">
        <v>0</v>
      </c>
      <c r="N552" t="n">
        <v>0</v>
      </c>
      <c r="O552" t="n">
        <v>0</v>
      </c>
      <c r="P552" t="n">
        <v>0</v>
      </c>
      <c r="Q552" t="n">
        <v>0</v>
      </c>
      <c r="R552" s="2" t="inlineStr"/>
    </row>
    <row r="553" ht="15" customHeight="1">
      <c r="A553" t="inlineStr">
        <is>
          <t>A 43803-2022</t>
        </is>
      </c>
      <c r="B553" s="1" t="n">
        <v>44838</v>
      </c>
      <c r="C553" s="1" t="n">
        <v>45911</v>
      </c>
      <c r="D553" t="inlineStr">
        <is>
          <t>GÄVLEBORGS LÄN</t>
        </is>
      </c>
      <c r="E553" t="inlineStr">
        <is>
          <t>HUDIKSVALL</t>
        </is>
      </c>
      <c r="F553" t="inlineStr">
        <is>
          <t>Holmen skog AB</t>
        </is>
      </c>
      <c r="G553" t="n">
        <v>1.5</v>
      </c>
      <c r="H553" t="n">
        <v>0</v>
      </c>
      <c r="I553" t="n">
        <v>0</v>
      </c>
      <c r="J553" t="n">
        <v>0</v>
      </c>
      <c r="K553" t="n">
        <v>0</v>
      </c>
      <c r="L553" t="n">
        <v>0</v>
      </c>
      <c r="M553" t="n">
        <v>0</v>
      </c>
      <c r="N553" t="n">
        <v>0</v>
      </c>
      <c r="O553" t="n">
        <v>0</v>
      </c>
      <c r="P553" t="n">
        <v>0</v>
      </c>
      <c r="Q553" t="n">
        <v>0</v>
      </c>
      <c r="R553" s="2" t="inlineStr"/>
    </row>
    <row r="554" ht="15" customHeight="1">
      <c r="A554" t="inlineStr">
        <is>
          <t>A 7420-2021</t>
        </is>
      </c>
      <c r="B554" s="1" t="n">
        <v>44239</v>
      </c>
      <c r="C554" s="1" t="n">
        <v>45911</v>
      </c>
      <c r="D554" t="inlineStr">
        <is>
          <t>GÄVLEBORGS LÄN</t>
        </is>
      </c>
      <c r="E554" t="inlineStr">
        <is>
          <t>OCKELBO</t>
        </is>
      </c>
      <c r="F554" t="inlineStr">
        <is>
          <t>Bergvik skog väst AB</t>
        </is>
      </c>
      <c r="G554" t="n">
        <v>3.5</v>
      </c>
      <c r="H554" t="n">
        <v>0</v>
      </c>
      <c r="I554" t="n">
        <v>0</v>
      </c>
      <c r="J554" t="n">
        <v>0</v>
      </c>
      <c r="K554" t="n">
        <v>0</v>
      </c>
      <c r="L554" t="n">
        <v>0</v>
      </c>
      <c r="M554" t="n">
        <v>0</v>
      </c>
      <c r="N554" t="n">
        <v>0</v>
      </c>
      <c r="O554" t="n">
        <v>0</v>
      </c>
      <c r="P554" t="n">
        <v>0</v>
      </c>
      <c r="Q554" t="n">
        <v>0</v>
      </c>
      <c r="R554" s="2" t="inlineStr"/>
    </row>
    <row r="555" ht="15" customHeight="1">
      <c r="A555" t="inlineStr">
        <is>
          <t>A 31205-2022</t>
        </is>
      </c>
      <c r="B555" s="1" t="n">
        <v>44770</v>
      </c>
      <c r="C555" s="1" t="n">
        <v>45911</v>
      </c>
      <c r="D555" t="inlineStr">
        <is>
          <t>GÄVLEBORGS LÄN</t>
        </is>
      </c>
      <c r="E555" t="inlineStr">
        <is>
          <t>HOFORS</t>
        </is>
      </c>
      <c r="F555" t="inlineStr">
        <is>
          <t>Sveaskog</t>
        </is>
      </c>
      <c r="G555" t="n">
        <v>3.1</v>
      </c>
      <c r="H555" t="n">
        <v>0</v>
      </c>
      <c r="I555" t="n">
        <v>0</v>
      </c>
      <c r="J555" t="n">
        <v>0</v>
      </c>
      <c r="K555" t="n">
        <v>0</v>
      </c>
      <c r="L555" t="n">
        <v>0</v>
      </c>
      <c r="M555" t="n">
        <v>0</v>
      </c>
      <c r="N555" t="n">
        <v>0</v>
      </c>
      <c r="O555" t="n">
        <v>0</v>
      </c>
      <c r="P555" t="n">
        <v>0</v>
      </c>
      <c r="Q555" t="n">
        <v>0</v>
      </c>
      <c r="R555" s="2" t="inlineStr"/>
    </row>
    <row r="556" ht="15" customHeight="1">
      <c r="A556" t="inlineStr">
        <is>
          <t>A 5533-2021</t>
        </is>
      </c>
      <c r="B556" s="1" t="n">
        <v>44230</v>
      </c>
      <c r="C556" s="1" t="n">
        <v>45911</v>
      </c>
      <c r="D556" t="inlineStr">
        <is>
          <t>GÄVLEBORGS LÄN</t>
        </is>
      </c>
      <c r="E556" t="inlineStr">
        <is>
          <t>SANDVIKEN</t>
        </is>
      </c>
      <c r="G556" t="n">
        <v>0.7</v>
      </c>
      <c r="H556" t="n">
        <v>0</v>
      </c>
      <c r="I556" t="n">
        <v>0</v>
      </c>
      <c r="J556" t="n">
        <v>0</v>
      </c>
      <c r="K556" t="n">
        <v>0</v>
      </c>
      <c r="L556" t="n">
        <v>0</v>
      </c>
      <c r="M556" t="n">
        <v>0</v>
      </c>
      <c r="N556" t="n">
        <v>0</v>
      </c>
      <c r="O556" t="n">
        <v>0</v>
      </c>
      <c r="P556" t="n">
        <v>0</v>
      </c>
      <c r="Q556" t="n">
        <v>0</v>
      </c>
      <c r="R556" s="2" t="inlineStr"/>
    </row>
    <row r="557" ht="15" customHeight="1">
      <c r="A557" t="inlineStr">
        <is>
          <t>A 50474-2020</t>
        </is>
      </c>
      <c r="B557" s="1" t="n">
        <v>44110.57923611111</v>
      </c>
      <c r="C557" s="1" t="n">
        <v>45911</v>
      </c>
      <c r="D557" t="inlineStr">
        <is>
          <t>GÄVLEBORGS LÄN</t>
        </is>
      </c>
      <c r="E557" t="inlineStr">
        <is>
          <t>LJUSDAL</t>
        </is>
      </c>
      <c r="F557" t="inlineStr">
        <is>
          <t>Kommuner</t>
        </is>
      </c>
      <c r="G557" t="n">
        <v>1.4</v>
      </c>
      <c r="H557" t="n">
        <v>0</v>
      </c>
      <c r="I557" t="n">
        <v>0</v>
      </c>
      <c r="J557" t="n">
        <v>0</v>
      </c>
      <c r="K557" t="n">
        <v>0</v>
      </c>
      <c r="L557" t="n">
        <v>0</v>
      </c>
      <c r="M557" t="n">
        <v>0</v>
      </c>
      <c r="N557" t="n">
        <v>0</v>
      </c>
      <c r="O557" t="n">
        <v>0</v>
      </c>
      <c r="P557" t="n">
        <v>0</v>
      </c>
      <c r="Q557" t="n">
        <v>0</v>
      </c>
      <c r="R557" s="2" t="inlineStr"/>
    </row>
    <row r="558" ht="15" customHeight="1">
      <c r="A558" t="inlineStr">
        <is>
          <t>A 47899-2020</t>
        </is>
      </c>
      <c r="B558" s="1" t="n">
        <v>44099</v>
      </c>
      <c r="C558" s="1" t="n">
        <v>45911</v>
      </c>
      <c r="D558" t="inlineStr">
        <is>
          <t>GÄVLEBORGS LÄN</t>
        </is>
      </c>
      <c r="E558" t="inlineStr">
        <is>
          <t>LJUSDAL</t>
        </is>
      </c>
      <c r="F558" t="inlineStr">
        <is>
          <t>Sveaskog</t>
        </is>
      </c>
      <c r="G558" t="n">
        <v>5.2</v>
      </c>
      <c r="H558" t="n">
        <v>0</v>
      </c>
      <c r="I558" t="n">
        <v>0</v>
      </c>
      <c r="J558" t="n">
        <v>0</v>
      </c>
      <c r="K558" t="n">
        <v>0</v>
      </c>
      <c r="L558" t="n">
        <v>0</v>
      </c>
      <c r="M558" t="n">
        <v>0</v>
      </c>
      <c r="N558" t="n">
        <v>0</v>
      </c>
      <c r="O558" t="n">
        <v>0</v>
      </c>
      <c r="P558" t="n">
        <v>0</v>
      </c>
      <c r="Q558" t="n">
        <v>0</v>
      </c>
      <c r="R558" s="2" t="inlineStr"/>
    </row>
    <row r="559" ht="15" customHeight="1">
      <c r="A559" t="inlineStr">
        <is>
          <t>A 58322-2020</t>
        </is>
      </c>
      <c r="B559" s="1" t="n">
        <v>44145</v>
      </c>
      <c r="C559" s="1" t="n">
        <v>45911</v>
      </c>
      <c r="D559" t="inlineStr">
        <is>
          <t>GÄVLEBORGS LÄN</t>
        </is>
      </c>
      <c r="E559" t="inlineStr">
        <is>
          <t>HOFORS</t>
        </is>
      </c>
      <c r="G559" t="n">
        <v>0.5</v>
      </c>
      <c r="H559" t="n">
        <v>0</v>
      </c>
      <c r="I559" t="n">
        <v>0</v>
      </c>
      <c r="J559" t="n">
        <v>0</v>
      </c>
      <c r="K559" t="n">
        <v>0</v>
      </c>
      <c r="L559" t="n">
        <v>0</v>
      </c>
      <c r="M559" t="n">
        <v>0</v>
      </c>
      <c r="N559" t="n">
        <v>0</v>
      </c>
      <c r="O559" t="n">
        <v>0</v>
      </c>
      <c r="P559" t="n">
        <v>0</v>
      </c>
      <c r="Q559" t="n">
        <v>0</v>
      </c>
      <c r="R559" s="2" t="inlineStr"/>
    </row>
    <row r="560" ht="15" customHeight="1">
      <c r="A560" t="inlineStr">
        <is>
          <t>A 58377-2020</t>
        </is>
      </c>
      <c r="B560" s="1" t="n">
        <v>44144</v>
      </c>
      <c r="C560" s="1" t="n">
        <v>45911</v>
      </c>
      <c r="D560" t="inlineStr">
        <is>
          <t>GÄVLEBORGS LÄN</t>
        </is>
      </c>
      <c r="E560" t="inlineStr">
        <is>
          <t>HUDIKSVALL</t>
        </is>
      </c>
      <c r="G560" t="n">
        <v>3.2</v>
      </c>
      <c r="H560" t="n">
        <v>0</v>
      </c>
      <c r="I560" t="n">
        <v>0</v>
      </c>
      <c r="J560" t="n">
        <v>0</v>
      </c>
      <c r="K560" t="n">
        <v>0</v>
      </c>
      <c r="L560" t="n">
        <v>0</v>
      </c>
      <c r="M560" t="n">
        <v>0</v>
      </c>
      <c r="N560" t="n">
        <v>0</v>
      </c>
      <c r="O560" t="n">
        <v>0</v>
      </c>
      <c r="P560" t="n">
        <v>0</v>
      </c>
      <c r="Q560" t="n">
        <v>0</v>
      </c>
      <c r="R560" s="2" t="inlineStr"/>
    </row>
    <row r="561" ht="15" customHeight="1">
      <c r="A561" t="inlineStr">
        <is>
          <t>A 11308-2021</t>
        </is>
      </c>
      <c r="B561" s="1" t="n">
        <v>44263</v>
      </c>
      <c r="C561" s="1" t="n">
        <v>45911</v>
      </c>
      <c r="D561" t="inlineStr">
        <is>
          <t>GÄVLEBORGS LÄN</t>
        </is>
      </c>
      <c r="E561" t="inlineStr">
        <is>
          <t>NORDANSTIG</t>
        </is>
      </c>
      <c r="G561" t="n">
        <v>15.6</v>
      </c>
      <c r="H561" t="n">
        <v>0</v>
      </c>
      <c r="I561" t="n">
        <v>0</v>
      </c>
      <c r="J561" t="n">
        <v>0</v>
      </c>
      <c r="K561" t="n">
        <v>0</v>
      </c>
      <c r="L561" t="n">
        <v>0</v>
      </c>
      <c r="M561" t="n">
        <v>0</v>
      </c>
      <c r="N561" t="n">
        <v>0</v>
      </c>
      <c r="O561" t="n">
        <v>0</v>
      </c>
      <c r="P561" t="n">
        <v>0</v>
      </c>
      <c r="Q561" t="n">
        <v>0</v>
      </c>
      <c r="R561" s="2" t="inlineStr"/>
    </row>
    <row r="562" ht="15" customHeight="1">
      <c r="A562" t="inlineStr">
        <is>
          <t>A 52448-2020</t>
        </is>
      </c>
      <c r="B562" s="1" t="n">
        <v>44113</v>
      </c>
      <c r="C562" s="1" t="n">
        <v>45911</v>
      </c>
      <c r="D562" t="inlineStr">
        <is>
          <t>GÄVLEBORGS LÄN</t>
        </is>
      </c>
      <c r="E562" t="inlineStr">
        <is>
          <t>OVANÅKER</t>
        </is>
      </c>
      <c r="G562" t="n">
        <v>2</v>
      </c>
      <c r="H562" t="n">
        <v>0</v>
      </c>
      <c r="I562" t="n">
        <v>0</v>
      </c>
      <c r="J562" t="n">
        <v>0</v>
      </c>
      <c r="K562" t="n">
        <v>0</v>
      </c>
      <c r="L562" t="n">
        <v>0</v>
      </c>
      <c r="M562" t="n">
        <v>0</v>
      </c>
      <c r="N562" t="n">
        <v>0</v>
      </c>
      <c r="O562" t="n">
        <v>0</v>
      </c>
      <c r="P562" t="n">
        <v>0</v>
      </c>
      <c r="Q562" t="n">
        <v>0</v>
      </c>
      <c r="R562" s="2" t="inlineStr"/>
    </row>
    <row r="563" ht="15" customHeight="1">
      <c r="A563" t="inlineStr">
        <is>
          <t>A 53049-2022</t>
        </is>
      </c>
      <c r="B563" s="1" t="n">
        <v>44876</v>
      </c>
      <c r="C563" s="1" t="n">
        <v>45911</v>
      </c>
      <c r="D563" t="inlineStr">
        <is>
          <t>GÄVLEBORGS LÄN</t>
        </is>
      </c>
      <c r="E563" t="inlineStr">
        <is>
          <t>GÄVLE</t>
        </is>
      </c>
      <c r="F563" t="inlineStr">
        <is>
          <t>Kommuner</t>
        </is>
      </c>
      <c r="G563" t="n">
        <v>1.2</v>
      </c>
      <c r="H563" t="n">
        <v>0</v>
      </c>
      <c r="I563" t="n">
        <v>0</v>
      </c>
      <c r="J563" t="n">
        <v>0</v>
      </c>
      <c r="K563" t="n">
        <v>0</v>
      </c>
      <c r="L563" t="n">
        <v>0</v>
      </c>
      <c r="M563" t="n">
        <v>0</v>
      </c>
      <c r="N563" t="n">
        <v>0</v>
      </c>
      <c r="O563" t="n">
        <v>0</v>
      </c>
      <c r="P563" t="n">
        <v>0</v>
      </c>
      <c r="Q563" t="n">
        <v>0</v>
      </c>
      <c r="R563" s="2" t="inlineStr"/>
    </row>
    <row r="564" ht="15" customHeight="1">
      <c r="A564" t="inlineStr">
        <is>
          <t>A 52427-2020</t>
        </is>
      </c>
      <c r="B564" s="1" t="n">
        <v>44118</v>
      </c>
      <c r="C564" s="1" t="n">
        <v>45911</v>
      </c>
      <c r="D564" t="inlineStr">
        <is>
          <t>GÄVLEBORGS LÄN</t>
        </is>
      </c>
      <c r="E564" t="inlineStr">
        <is>
          <t>SÖDERHAMN</t>
        </is>
      </c>
      <c r="G564" t="n">
        <v>3.2</v>
      </c>
      <c r="H564" t="n">
        <v>0</v>
      </c>
      <c r="I564" t="n">
        <v>0</v>
      </c>
      <c r="J564" t="n">
        <v>0</v>
      </c>
      <c r="K564" t="n">
        <v>0</v>
      </c>
      <c r="L564" t="n">
        <v>0</v>
      </c>
      <c r="M564" t="n">
        <v>0</v>
      </c>
      <c r="N564" t="n">
        <v>0</v>
      </c>
      <c r="O564" t="n">
        <v>0</v>
      </c>
      <c r="P564" t="n">
        <v>0</v>
      </c>
      <c r="Q564" t="n">
        <v>0</v>
      </c>
      <c r="R564" s="2" t="inlineStr"/>
    </row>
    <row r="565" ht="15" customHeight="1">
      <c r="A565" t="inlineStr">
        <is>
          <t>A 61313-2020</t>
        </is>
      </c>
      <c r="B565" s="1" t="n">
        <v>44155</v>
      </c>
      <c r="C565" s="1" t="n">
        <v>45911</v>
      </c>
      <c r="D565" t="inlineStr">
        <is>
          <t>GÄVLEBORGS LÄN</t>
        </is>
      </c>
      <c r="E565" t="inlineStr">
        <is>
          <t>SÖDERHAMN</t>
        </is>
      </c>
      <c r="G565" t="n">
        <v>2</v>
      </c>
      <c r="H565" t="n">
        <v>0</v>
      </c>
      <c r="I565" t="n">
        <v>0</v>
      </c>
      <c r="J565" t="n">
        <v>0</v>
      </c>
      <c r="K565" t="n">
        <v>0</v>
      </c>
      <c r="L565" t="n">
        <v>0</v>
      </c>
      <c r="M565" t="n">
        <v>0</v>
      </c>
      <c r="N565" t="n">
        <v>0</v>
      </c>
      <c r="O565" t="n">
        <v>0</v>
      </c>
      <c r="P565" t="n">
        <v>0</v>
      </c>
      <c r="Q565" t="n">
        <v>0</v>
      </c>
      <c r="R565" s="2" t="inlineStr"/>
    </row>
    <row r="566" ht="15" customHeight="1">
      <c r="A566" t="inlineStr">
        <is>
          <t>A 49465-2020</t>
        </is>
      </c>
      <c r="B566" s="1" t="n">
        <v>44105</v>
      </c>
      <c r="C566" s="1" t="n">
        <v>45911</v>
      </c>
      <c r="D566" t="inlineStr">
        <is>
          <t>GÄVLEBORGS LÄN</t>
        </is>
      </c>
      <c r="E566" t="inlineStr">
        <is>
          <t>BOLLNÄS</t>
        </is>
      </c>
      <c r="G566" t="n">
        <v>4.9</v>
      </c>
      <c r="H566" t="n">
        <v>0</v>
      </c>
      <c r="I566" t="n">
        <v>0</v>
      </c>
      <c r="J566" t="n">
        <v>0</v>
      </c>
      <c r="K566" t="n">
        <v>0</v>
      </c>
      <c r="L566" t="n">
        <v>0</v>
      </c>
      <c r="M566" t="n">
        <v>0</v>
      </c>
      <c r="N566" t="n">
        <v>0</v>
      </c>
      <c r="O566" t="n">
        <v>0</v>
      </c>
      <c r="P566" t="n">
        <v>0</v>
      </c>
      <c r="Q566" t="n">
        <v>0</v>
      </c>
      <c r="R566" s="2" t="inlineStr"/>
    </row>
    <row r="567" ht="15" customHeight="1">
      <c r="A567" t="inlineStr">
        <is>
          <t>A 52842-2022</t>
        </is>
      </c>
      <c r="B567" s="1" t="n">
        <v>44875</v>
      </c>
      <c r="C567" s="1" t="n">
        <v>45911</v>
      </c>
      <c r="D567" t="inlineStr">
        <is>
          <t>GÄVLEBORGS LÄN</t>
        </is>
      </c>
      <c r="E567" t="inlineStr">
        <is>
          <t>LJUSDAL</t>
        </is>
      </c>
      <c r="G567" t="n">
        <v>0.6</v>
      </c>
      <c r="H567" t="n">
        <v>0</v>
      </c>
      <c r="I567" t="n">
        <v>0</v>
      </c>
      <c r="J567" t="n">
        <v>0</v>
      </c>
      <c r="K567" t="n">
        <v>0</v>
      </c>
      <c r="L567" t="n">
        <v>0</v>
      </c>
      <c r="M567" t="n">
        <v>0</v>
      </c>
      <c r="N567" t="n">
        <v>0</v>
      </c>
      <c r="O567" t="n">
        <v>0</v>
      </c>
      <c r="P567" t="n">
        <v>0</v>
      </c>
      <c r="Q567" t="n">
        <v>0</v>
      </c>
      <c r="R567" s="2" t="inlineStr"/>
    </row>
    <row r="568" ht="15" customHeight="1">
      <c r="A568" t="inlineStr">
        <is>
          <t>A 51838-2022</t>
        </is>
      </c>
      <c r="B568" s="1" t="n">
        <v>44872</v>
      </c>
      <c r="C568" s="1" t="n">
        <v>45911</v>
      </c>
      <c r="D568" t="inlineStr">
        <is>
          <t>GÄVLEBORGS LÄN</t>
        </is>
      </c>
      <c r="E568" t="inlineStr">
        <is>
          <t>LJUSDAL</t>
        </is>
      </c>
      <c r="F568" t="inlineStr">
        <is>
          <t>Bergvik skog väst AB</t>
        </is>
      </c>
      <c r="G568" t="n">
        <v>3.7</v>
      </c>
      <c r="H568" t="n">
        <v>0</v>
      </c>
      <c r="I568" t="n">
        <v>0</v>
      </c>
      <c r="J568" t="n">
        <v>0</v>
      </c>
      <c r="K568" t="n">
        <v>0</v>
      </c>
      <c r="L568" t="n">
        <v>0</v>
      </c>
      <c r="M568" t="n">
        <v>0</v>
      </c>
      <c r="N568" t="n">
        <v>0</v>
      </c>
      <c r="O568" t="n">
        <v>0</v>
      </c>
      <c r="P568" t="n">
        <v>0</v>
      </c>
      <c r="Q568" t="n">
        <v>0</v>
      </c>
      <c r="R568" s="2" t="inlineStr"/>
    </row>
    <row r="569" ht="15" customHeight="1">
      <c r="A569" t="inlineStr">
        <is>
          <t>A 17117-2021</t>
        </is>
      </c>
      <c r="B569" s="1" t="n">
        <v>44298.37015046296</v>
      </c>
      <c r="C569" s="1" t="n">
        <v>45911</v>
      </c>
      <c r="D569" t="inlineStr">
        <is>
          <t>GÄVLEBORGS LÄN</t>
        </is>
      </c>
      <c r="E569" t="inlineStr">
        <is>
          <t>LJUSDAL</t>
        </is>
      </c>
      <c r="G569" t="n">
        <v>1</v>
      </c>
      <c r="H569" t="n">
        <v>0</v>
      </c>
      <c r="I569" t="n">
        <v>0</v>
      </c>
      <c r="J569" t="n">
        <v>0</v>
      </c>
      <c r="K569" t="n">
        <v>0</v>
      </c>
      <c r="L569" t="n">
        <v>0</v>
      </c>
      <c r="M569" t="n">
        <v>0</v>
      </c>
      <c r="N569" t="n">
        <v>0</v>
      </c>
      <c r="O569" t="n">
        <v>0</v>
      </c>
      <c r="P569" t="n">
        <v>0</v>
      </c>
      <c r="Q569" t="n">
        <v>0</v>
      </c>
      <c r="R569" s="2" t="inlineStr"/>
    </row>
    <row r="570" ht="15" customHeight="1">
      <c r="A570" t="inlineStr">
        <is>
          <t>A 65011-2020</t>
        </is>
      </c>
      <c r="B570" s="1" t="n">
        <v>44172</v>
      </c>
      <c r="C570" s="1" t="n">
        <v>45911</v>
      </c>
      <c r="D570" t="inlineStr">
        <is>
          <t>GÄVLEBORGS LÄN</t>
        </is>
      </c>
      <c r="E570" t="inlineStr">
        <is>
          <t>BOLLNÄS</t>
        </is>
      </c>
      <c r="G570" t="n">
        <v>0.7</v>
      </c>
      <c r="H570" t="n">
        <v>0</v>
      </c>
      <c r="I570" t="n">
        <v>0</v>
      </c>
      <c r="J570" t="n">
        <v>0</v>
      </c>
      <c r="K570" t="n">
        <v>0</v>
      </c>
      <c r="L570" t="n">
        <v>0</v>
      </c>
      <c r="M570" t="n">
        <v>0</v>
      </c>
      <c r="N570" t="n">
        <v>0</v>
      </c>
      <c r="O570" t="n">
        <v>0</v>
      </c>
      <c r="P570" t="n">
        <v>0</v>
      </c>
      <c r="Q570" t="n">
        <v>0</v>
      </c>
      <c r="R570" s="2" t="inlineStr"/>
    </row>
    <row r="571" ht="15" customHeight="1">
      <c r="A571" t="inlineStr">
        <is>
          <t>A 16913-2021</t>
        </is>
      </c>
      <c r="B571" s="1" t="n">
        <v>44295</v>
      </c>
      <c r="C571" s="1" t="n">
        <v>45911</v>
      </c>
      <c r="D571" t="inlineStr">
        <is>
          <t>GÄVLEBORGS LÄN</t>
        </is>
      </c>
      <c r="E571" t="inlineStr">
        <is>
          <t>HUDIKSVALL</t>
        </is>
      </c>
      <c r="G571" t="n">
        <v>0.4</v>
      </c>
      <c r="H571" t="n">
        <v>0</v>
      </c>
      <c r="I571" t="n">
        <v>0</v>
      </c>
      <c r="J571" t="n">
        <v>0</v>
      </c>
      <c r="K571" t="n">
        <v>0</v>
      </c>
      <c r="L571" t="n">
        <v>0</v>
      </c>
      <c r="M571" t="n">
        <v>0</v>
      </c>
      <c r="N571" t="n">
        <v>0</v>
      </c>
      <c r="O571" t="n">
        <v>0</v>
      </c>
      <c r="P571" t="n">
        <v>0</v>
      </c>
      <c r="Q571" t="n">
        <v>0</v>
      </c>
      <c r="R571" s="2" t="inlineStr"/>
    </row>
    <row r="572" ht="15" customHeight="1">
      <c r="A572" t="inlineStr">
        <is>
          <t>A 58189-2020</t>
        </is>
      </c>
      <c r="B572" s="1" t="n">
        <v>44144</v>
      </c>
      <c r="C572" s="1" t="n">
        <v>45911</v>
      </c>
      <c r="D572" t="inlineStr">
        <is>
          <t>GÄVLEBORGS LÄN</t>
        </is>
      </c>
      <c r="E572" t="inlineStr">
        <is>
          <t>GÄVLE</t>
        </is>
      </c>
      <c r="G572" t="n">
        <v>5</v>
      </c>
      <c r="H572" t="n">
        <v>0</v>
      </c>
      <c r="I572" t="n">
        <v>0</v>
      </c>
      <c r="J572" t="n">
        <v>0</v>
      </c>
      <c r="K572" t="n">
        <v>0</v>
      </c>
      <c r="L572" t="n">
        <v>0</v>
      </c>
      <c r="M572" t="n">
        <v>0</v>
      </c>
      <c r="N572" t="n">
        <v>0</v>
      </c>
      <c r="O572" t="n">
        <v>0</v>
      </c>
      <c r="P572" t="n">
        <v>0</v>
      </c>
      <c r="Q572" t="n">
        <v>0</v>
      </c>
      <c r="R572" s="2" t="inlineStr"/>
    </row>
    <row r="573" ht="15" customHeight="1">
      <c r="A573" t="inlineStr">
        <is>
          <t>A 11188-2021</t>
        </is>
      </c>
      <c r="B573" s="1" t="n">
        <v>44263</v>
      </c>
      <c r="C573" s="1" t="n">
        <v>45911</v>
      </c>
      <c r="D573" t="inlineStr">
        <is>
          <t>GÄVLEBORGS LÄN</t>
        </is>
      </c>
      <c r="E573" t="inlineStr">
        <is>
          <t>GÄVLE</t>
        </is>
      </c>
      <c r="G573" t="n">
        <v>0.6</v>
      </c>
      <c r="H573" t="n">
        <v>0</v>
      </c>
      <c r="I573" t="n">
        <v>0</v>
      </c>
      <c r="J573" t="n">
        <v>0</v>
      </c>
      <c r="K573" t="n">
        <v>0</v>
      </c>
      <c r="L573" t="n">
        <v>0</v>
      </c>
      <c r="M573" t="n">
        <v>0</v>
      </c>
      <c r="N573" t="n">
        <v>0</v>
      </c>
      <c r="O573" t="n">
        <v>0</v>
      </c>
      <c r="P573" t="n">
        <v>0</v>
      </c>
      <c r="Q573" t="n">
        <v>0</v>
      </c>
      <c r="R573" s="2" t="inlineStr"/>
    </row>
    <row r="574" ht="15" customHeight="1">
      <c r="A574" t="inlineStr">
        <is>
          <t>A 14261-2021</t>
        </is>
      </c>
      <c r="B574" s="1" t="n">
        <v>44278</v>
      </c>
      <c r="C574" s="1" t="n">
        <v>45911</v>
      </c>
      <c r="D574" t="inlineStr">
        <is>
          <t>GÄVLEBORGS LÄN</t>
        </is>
      </c>
      <c r="E574" t="inlineStr">
        <is>
          <t>OVANÅKER</t>
        </is>
      </c>
      <c r="G574" t="n">
        <v>0.9</v>
      </c>
      <c r="H574" t="n">
        <v>0</v>
      </c>
      <c r="I574" t="n">
        <v>0</v>
      </c>
      <c r="J574" t="n">
        <v>0</v>
      </c>
      <c r="K574" t="n">
        <v>0</v>
      </c>
      <c r="L574" t="n">
        <v>0</v>
      </c>
      <c r="M574" t="n">
        <v>0</v>
      </c>
      <c r="N574" t="n">
        <v>0</v>
      </c>
      <c r="O574" t="n">
        <v>0</v>
      </c>
      <c r="P574" t="n">
        <v>0</v>
      </c>
      <c r="Q574" t="n">
        <v>0</v>
      </c>
      <c r="R574" s="2" t="inlineStr"/>
    </row>
    <row r="575" ht="15" customHeight="1">
      <c r="A575" t="inlineStr">
        <is>
          <t>A 51598-2020</t>
        </is>
      </c>
      <c r="B575" s="1" t="n">
        <v>44113</v>
      </c>
      <c r="C575" s="1" t="n">
        <v>45911</v>
      </c>
      <c r="D575" t="inlineStr">
        <is>
          <t>GÄVLEBORGS LÄN</t>
        </is>
      </c>
      <c r="E575" t="inlineStr">
        <is>
          <t>OCKELBO</t>
        </is>
      </c>
      <c r="G575" t="n">
        <v>2.2</v>
      </c>
      <c r="H575" t="n">
        <v>0</v>
      </c>
      <c r="I575" t="n">
        <v>0</v>
      </c>
      <c r="J575" t="n">
        <v>0</v>
      </c>
      <c r="K575" t="n">
        <v>0</v>
      </c>
      <c r="L575" t="n">
        <v>0</v>
      </c>
      <c r="M575" t="n">
        <v>0</v>
      </c>
      <c r="N575" t="n">
        <v>0</v>
      </c>
      <c r="O575" t="n">
        <v>0</v>
      </c>
      <c r="P575" t="n">
        <v>0</v>
      </c>
      <c r="Q575" t="n">
        <v>0</v>
      </c>
      <c r="R575" s="2" t="inlineStr"/>
    </row>
    <row r="576" ht="15" customHeight="1">
      <c r="A576" t="inlineStr">
        <is>
          <t>A 25335-2021</t>
        </is>
      </c>
      <c r="B576" s="1" t="n">
        <v>44342</v>
      </c>
      <c r="C576" s="1" t="n">
        <v>45911</v>
      </c>
      <c r="D576" t="inlineStr">
        <is>
          <t>GÄVLEBORGS LÄN</t>
        </is>
      </c>
      <c r="E576" t="inlineStr">
        <is>
          <t>GÄVLE</t>
        </is>
      </c>
      <c r="F576" t="inlineStr">
        <is>
          <t>Kyrkan</t>
        </is>
      </c>
      <c r="G576" t="n">
        <v>1.4</v>
      </c>
      <c r="H576" t="n">
        <v>0</v>
      </c>
      <c r="I576" t="n">
        <v>0</v>
      </c>
      <c r="J576" t="n">
        <v>0</v>
      </c>
      <c r="K576" t="n">
        <v>0</v>
      </c>
      <c r="L576" t="n">
        <v>0</v>
      </c>
      <c r="M576" t="n">
        <v>0</v>
      </c>
      <c r="N576" t="n">
        <v>0</v>
      </c>
      <c r="O576" t="n">
        <v>0</v>
      </c>
      <c r="P576" t="n">
        <v>0</v>
      </c>
      <c r="Q576" t="n">
        <v>0</v>
      </c>
      <c r="R576" s="2" t="inlineStr"/>
    </row>
    <row r="577" ht="15" customHeight="1">
      <c r="A577" t="inlineStr">
        <is>
          <t>A 19178-2021</t>
        </is>
      </c>
      <c r="B577" s="1" t="n">
        <v>44308</v>
      </c>
      <c r="C577" s="1" t="n">
        <v>45911</v>
      </c>
      <c r="D577" t="inlineStr">
        <is>
          <t>GÄVLEBORGS LÄN</t>
        </is>
      </c>
      <c r="E577" t="inlineStr">
        <is>
          <t>GÄVLE</t>
        </is>
      </c>
      <c r="G577" t="n">
        <v>0.9</v>
      </c>
      <c r="H577" t="n">
        <v>0</v>
      </c>
      <c r="I577" t="n">
        <v>0</v>
      </c>
      <c r="J577" t="n">
        <v>0</v>
      </c>
      <c r="K577" t="n">
        <v>0</v>
      </c>
      <c r="L577" t="n">
        <v>0</v>
      </c>
      <c r="M577" t="n">
        <v>0</v>
      </c>
      <c r="N577" t="n">
        <v>0</v>
      </c>
      <c r="O577" t="n">
        <v>0</v>
      </c>
      <c r="P577" t="n">
        <v>0</v>
      </c>
      <c r="Q577" t="n">
        <v>0</v>
      </c>
      <c r="R577" s="2" t="inlineStr"/>
    </row>
    <row r="578" ht="15" customHeight="1">
      <c r="A578" t="inlineStr">
        <is>
          <t>A 20017-2021</t>
        </is>
      </c>
      <c r="B578" s="1" t="n">
        <v>44314.2571875</v>
      </c>
      <c r="C578" s="1" t="n">
        <v>45911</v>
      </c>
      <c r="D578" t="inlineStr">
        <is>
          <t>GÄVLEBORGS LÄN</t>
        </is>
      </c>
      <c r="E578" t="inlineStr">
        <is>
          <t>BOLLNÄS</t>
        </is>
      </c>
      <c r="G578" t="n">
        <v>6.8</v>
      </c>
      <c r="H578" t="n">
        <v>0</v>
      </c>
      <c r="I578" t="n">
        <v>0</v>
      </c>
      <c r="J578" t="n">
        <v>0</v>
      </c>
      <c r="K578" t="n">
        <v>0</v>
      </c>
      <c r="L578" t="n">
        <v>0</v>
      </c>
      <c r="M578" t="n">
        <v>0</v>
      </c>
      <c r="N578" t="n">
        <v>0</v>
      </c>
      <c r="O578" t="n">
        <v>0</v>
      </c>
      <c r="P578" t="n">
        <v>0</v>
      </c>
      <c r="Q578" t="n">
        <v>0</v>
      </c>
      <c r="R578" s="2" t="inlineStr"/>
    </row>
    <row r="579" ht="15" customHeight="1">
      <c r="A579" t="inlineStr">
        <is>
          <t>A 20018-2021</t>
        </is>
      </c>
      <c r="B579" s="1" t="n">
        <v>44314.26172453703</v>
      </c>
      <c r="C579" s="1" t="n">
        <v>45911</v>
      </c>
      <c r="D579" t="inlineStr">
        <is>
          <t>GÄVLEBORGS LÄN</t>
        </is>
      </c>
      <c r="E579" t="inlineStr">
        <is>
          <t>BOLLNÄS</t>
        </is>
      </c>
      <c r="G579" t="n">
        <v>4.9</v>
      </c>
      <c r="H579" t="n">
        <v>0</v>
      </c>
      <c r="I579" t="n">
        <v>0</v>
      </c>
      <c r="J579" t="n">
        <v>0</v>
      </c>
      <c r="K579" t="n">
        <v>0</v>
      </c>
      <c r="L579" t="n">
        <v>0</v>
      </c>
      <c r="M579" t="n">
        <v>0</v>
      </c>
      <c r="N579" t="n">
        <v>0</v>
      </c>
      <c r="O579" t="n">
        <v>0</v>
      </c>
      <c r="P579" t="n">
        <v>0</v>
      </c>
      <c r="Q579" t="n">
        <v>0</v>
      </c>
      <c r="R579" s="2" t="inlineStr"/>
    </row>
    <row r="580" ht="15" customHeight="1">
      <c r="A580" t="inlineStr">
        <is>
          <t>A 20021-2021</t>
        </is>
      </c>
      <c r="B580" s="1" t="n">
        <v>44314.26922453703</v>
      </c>
      <c r="C580" s="1" t="n">
        <v>45911</v>
      </c>
      <c r="D580" t="inlineStr">
        <is>
          <t>GÄVLEBORGS LÄN</t>
        </is>
      </c>
      <c r="E580" t="inlineStr">
        <is>
          <t>BOLLNÄS</t>
        </is>
      </c>
      <c r="G580" t="n">
        <v>0.4</v>
      </c>
      <c r="H580" t="n">
        <v>0</v>
      </c>
      <c r="I580" t="n">
        <v>0</v>
      </c>
      <c r="J580" t="n">
        <v>0</v>
      </c>
      <c r="K580" t="n">
        <v>0</v>
      </c>
      <c r="L580" t="n">
        <v>0</v>
      </c>
      <c r="M580" t="n">
        <v>0</v>
      </c>
      <c r="N580" t="n">
        <v>0</v>
      </c>
      <c r="O580" t="n">
        <v>0</v>
      </c>
      <c r="P580" t="n">
        <v>0</v>
      </c>
      <c r="Q580" t="n">
        <v>0</v>
      </c>
      <c r="R580" s="2" t="inlineStr"/>
    </row>
    <row r="581" ht="15" customHeight="1">
      <c r="A581" t="inlineStr">
        <is>
          <t>A 5035-2021</t>
        </is>
      </c>
      <c r="B581" s="1" t="n">
        <v>44228</v>
      </c>
      <c r="C581" s="1" t="n">
        <v>45911</v>
      </c>
      <c r="D581" t="inlineStr">
        <is>
          <t>GÄVLEBORGS LÄN</t>
        </is>
      </c>
      <c r="E581" t="inlineStr">
        <is>
          <t>SÖDERHAMN</t>
        </is>
      </c>
      <c r="G581" t="n">
        <v>0.9</v>
      </c>
      <c r="H581" t="n">
        <v>0</v>
      </c>
      <c r="I581" t="n">
        <v>0</v>
      </c>
      <c r="J581" t="n">
        <v>0</v>
      </c>
      <c r="K581" t="n">
        <v>0</v>
      </c>
      <c r="L581" t="n">
        <v>0</v>
      </c>
      <c r="M581" t="n">
        <v>0</v>
      </c>
      <c r="N581" t="n">
        <v>0</v>
      </c>
      <c r="O581" t="n">
        <v>0</v>
      </c>
      <c r="P581" t="n">
        <v>0</v>
      </c>
      <c r="Q581" t="n">
        <v>0</v>
      </c>
      <c r="R581" s="2" t="inlineStr"/>
    </row>
    <row r="582" ht="15" customHeight="1">
      <c r="A582" t="inlineStr">
        <is>
          <t>A 67069-2020</t>
        </is>
      </c>
      <c r="B582" s="1" t="n">
        <v>44180</v>
      </c>
      <c r="C582" s="1" t="n">
        <v>45911</v>
      </c>
      <c r="D582" t="inlineStr">
        <is>
          <t>GÄVLEBORGS LÄN</t>
        </is>
      </c>
      <c r="E582" t="inlineStr">
        <is>
          <t>BOLLNÄS</t>
        </is>
      </c>
      <c r="G582" t="n">
        <v>2.3</v>
      </c>
      <c r="H582" t="n">
        <v>0</v>
      </c>
      <c r="I582" t="n">
        <v>0</v>
      </c>
      <c r="J582" t="n">
        <v>0</v>
      </c>
      <c r="K582" t="n">
        <v>0</v>
      </c>
      <c r="L582" t="n">
        <v>0</v>
      </c>
      <c r="M582" t="n">
        <v>0</v>
      </c>
      <c r="N582" t="n">
        <v>0</v>
      </c>
      <c r="O582" t="n">
        <v>0</v>
      </c>
      <c r="P582" t="n">
        <v>0</v>
      </c>
      <c r="Q582" t="n">
        <v>0</v>
      </c>
      <c r="R582" s="2" t="inlineStr"/>
    </row>
    <row r="583" ht="15" customHeight="1">
      <c r="A583" t="inlineStr">
        <is>
          <t>A 48997-2020</t>
        </is>
      </c>
      <c r="B583" s="1" t="n">
        <v>44104</v>
      </c>
      <c r="C583" s="1" t="n">
        <v>45911</v>
      </c>
      <c r="D583" t="inlineStr">
        <is>
          <t>GÄVLEBORGS LÄN</t>
        </is>
      </c>
      <c r="E583" t="inlineStr">
        <is>
          <t>HUDIKSVALL</t>
        </is>
      </c>
      <c r="G583" t="n">
        <v>2.1</v>
      </c>
      <c r="H583" t="n">
        <v>0</v>
      </c>
      <c r="I583" t="n">
        <v>0</v>
      </c>
      <c r="J583" t="n">
        <v>0</v>
      </c>
      <c r="K583" t="n">
        <v>0</v>
      </c>
      <c r="L583" t="n">
        <v>0</v>
      </c>
      <c r="M583" t="n">
        <v>0</v>
      </c>
      <c r="N583" t="n">
        <v>0</v>
      </c>
      <c r="O583" t="n">
        <v>0</v>
      </c>
      <c r="P583" t="n">
        <v>0</v>
      </c>
      <c r="Q583" t="n">
        <v>0</v>
      </c>
      <c r="R583" s="2" t="inlineStr"/>
    </row>
    <row r="584" ht="15" customHeight="1">
      <c r="A584" t="inlineStr">
        <is>
          <t>A 51306-2020</t>
        </is>
      </c>
      <c r="B584" s="1" t="n">
        <v>44112</v>
      </c>
      <c r="C584" s="1" t="n">
        <v>45911</v>
      </c>
      <c r="D584" t="inlineStr">
        <is>
          <t>GÄVLEBORGS LÄN</t>
        </is>
      </c>
      <c r="E584" t="inlineStr">
        <is>
          <t>LJUSDAL</t>
        </is>
      </c>
      <c r="F584" t="inlineStr">
        <is>
          <t>Kommuner</t>
        </is>
      </c>
      <c r="G584" t="n">
        <v>3.7</v>
      </c>
      <c r="H584" t="n">
        <v>0</v>
      </c>
      <c r="I584" t="n">
        <v>0</v>
      </c>
      <c r="J584" t="n">
        <v>0</v>
      </c>
      <c r="K584" t="n">
        <v>0</v>
      </c>
      <c r="L584" t="n">
        <v>0</v>
      </c>
      <c r="M584" t="n">
        <v>0</v>
      </c>
      <c r="N584" t="n">
        <v>0</v>
      </c>
      <c r="O584" t="n">
        <v>0</v>
      </c>
      <c r="P584" t="n">
        <v>0</v>
      </c>
      <c r="Q584" t="n">
        <v>0</v>
      </c>
      <c r="R584" s="2" t="inlineStr"/>
    </row>
    <row r="585" ht="15" customHeight="1">
      <c r="A585" t="inlineStr">
        <is>
          <t>A 45317-2020</t>
        </is>
      </c>
      <c r="B585" s="1" t="n">
        <v>44089</v>
      </c>
      <c r="C585" s="1" t="n">
        <v>45911</v>
      </c>
      <c r="D585" t="inlineStr">
        <is>
          <t>GÄVLEBORGS LÄN</t>
        </is>
      </c>
      <c r="E585" t="inlineStr">
        <is>
          <t>BOLLNÄS</t>
        </is>
      </c>
      <c r="G585" t="n">
        <v>3.9</v>
      </c>
      <c r="H585" t="n">
        <v>0</v>
      </c>
      <c r="I585" t="n">
        <v>0</v>
      </c>
      <c r="J585" t="n">
        <v>0</v>
      </c>
      <c r="K585" t="n">
        <v>0</v>
      </c>
      <c r="L585" t="n">
        <v>0</v>
      </c>
      <c r="M585" t="n">
        <v>0</v>
      </c>
      <c r="N585" t="n">
        <v>0</v>
      </c>
      <c r="O585" t="n">
        <v>0</v>
      </c>
      <c r="P585" t="n">
        <v>0</v>
      </c>
      <c r="Q585" t="n">
        <v>0</v>
      </c>
      <c r="R585" s="2" t="inlineStr"/>
    </row>
    <row r="586" ht="15" customHeight="1">
      <c r="A586" t="inlineStr">
        <is>
          <t>A 32883-2021</t>
        </is>
      </c>
      <c r="B586" s="1" t="n">
        <v>44375.72134259259</v>
      </c>
      <c r="C586" s="1" t="n">
        <v>45911</v>
      </c>
      <c r="D586" t="inlineStr">
        <is>
          <t>GÄVLEBORGS LÄN</t>
        </is>
      </c>
      <c r="E586" t="inlineStr">
        <is>
          <t>HUDIKSVALL</t>
        </is>
      </c>
      <c r="F586" t="inlineStr">
        <is>
          <t>Holmen skog AB</t>
        </is>
      </c>
      <c r="G586" t="n">
        <v>0.8</v>
      </c>
      <c r="H586" t="n">
        <v>0</v>
      </c>
      <c r="I586" t="n">
        <v>0</v>
      </c>
      <c r="J586" t="n">
        <v>0</v>
      </c>
      <c r="K586" t="n">
        <v>0</v>
      </c>
      <c r="L586" t="n">
        <v>0</v>
      </c>
      <c r="M586" t="n">
        <v>0</v>
      </c>
      <c r="N586" t="n">
        <v>0</v>
      </c>
      <c r="O586" t="n">
        <v>0</v>
      </c>
      <c r="P586" t="n">
        <v>0</v>
      </c>
      <c r="Q586" t="n">
        <v>0</v>
      </c>
      <c r="R586" s="2" t="inlineStr"/>
    </row>
    <row r="587" ht="15" customHeight="1">
      <c r="A587" t="inlineStr">
        <is>
          <t>A 62426-2020</t>
        </is>
      </c>
      <c r="B587" s="1" t="n">
        <v>44160</v>
      </c>
      <c r="C587" s="1" t="n">
        <v>45911</v>
      </c>
      <c r="D587" t="inlineStr">
        <is>
          <t>GÄVLEBORGS LÄN</t>
        </is>
      </c>
      <c r="E587" t="inlineStr">
        <is>
          <t>LJUSDAL</t>
        </is>
      </c>
      <c r="F587" t="inlineStr">
        <is>
          <t>Holmen skog AB</t>
        </is>
      </c>
      <c r="G587" t="n">
        <v>14.7</v>
      </c>
      <c r="H587" t="n">
        <v>0</v>
      </c>
      <c r="I587" t="n">
        <v>0</v>
      </c>
      <c r="J587" t="n">
        <v>0</v>
      </c>
      <c r="K587" t="n">
        <v>0</v>
      </c>
      <c r="L587" t="n">
        <v>0</v>
      </c>
      <c r="M587" t="n">
        <v>0</v>
      </c>
      <c r="N587" t="n">
        <v>0</v>
      </c>
      <c r="O587" t="n">
        <v>0</v>
      </c>
      <c r="P587" t="n">
        <v>0</v>
      </c>
      <c r="Q587" t="n">
        <v>0</v>
      </c>
      <c r="R587" s="2" t="inlineStr"/>
    </row>
    <row r="588" ht="15" customHeight="1">
      <c r="A588" t="inlineStr">
        <is>
          <t>A 64152-2021</t>
        </is>
      </c>
      <c r="B588" s="1" t="n">
        <v>44510.54027777778</v>
      </c>
      <c r="C588" s="1" t="n">
        <v>45911</v>
      </c>
      <c r="D588" t="inlineStr">
        <is>
          <t>GÄVLEBORGS LÄN</t>
        </is>
      </c>
      <c r="E588" t="inlineStr">
        <is>
          <t>SÖDERHAMN</t>
        </is>
      </c>
      <c r="F588" t="inlineStr">
        <is>
          <t>Bergvik skog väst AB</t>
        </is>
      </c>
      <c r="G588" t="n">
        <v>2.6</v>
      </c>
      <c r="H588" t="n">
        <v>0</v>
      </c>
      <c r="I588" t="n">
        <v>0</v>
      </c>
      <c r="J588" t="n">
        <v>0</v>
      </c>
      <c r="K588" t="n">
        <v>0</v>
      </c>
      <c r="L588" t="n">
        <v>0</v>
      </c>
      <c r="M588" t="n">
        <v>0</v>
      </c>
      <c r="N588" t="n">
        <v>0</v>
      </c>
      <c r="O588" t="n">
        <v>0</v>
      </c>
      <c r="P588" t="n">
        <v>0</v>
      </c>
      <c r="Q588" t="n">
        <v>0</v>
      </c>
      <c r="R588" s="2" t="inlineStr"/>
    </row>
    <row r="589" ht="15" customHeight="1">
      <c r="A589" t="inlineStr">
        <is>
          <t>A 12723-2021</t>
        </is>
      </c>
      <c r="B589" s="1" t="n">
        <v>44270</v>
      </c>
      <c r="C589" s="1" t="n">
        <v>45911</v>
      </c>
      <c r="D589" t="inlineStr">
        <is>
          <t>GÄVLEBORGS LÄN</t>
        </is>
      </c>
      <c r="E589" t="inlineStr">
        <is>
          <t>BOLLNÄS</t>
        </is>
      </c>
      <c r="G589" t="n">
        <v>2.3</v>
      </c>
      <c r="H589" t="n">
        <v>0</v>
      </c>
      <c r="I589" t="n">
        <v>0</v>
      </c>
      <c r="J589" t="n">
        <v>0</v>
      </c>
      <c r="K589" t="n">
        <v>0</v>
      </c>
      <c r="L589" t="n">
        <v>0</v>
      </c>
      <c r="M589" t="n">
        <v>0</v>
      </c>
      <c r="N589" t="n">
        <v>0</v>
      </c>
      <c r="O589" t="n">
        <v>0</v>
      </c>
      <c r="P589" t="n">
        <v>0</v>
      </c>
      <c r="Q589" t="n">
        <v>0</v>
      </c>
      <c r="R589" s="2" t="inlineStr"/>
    </row>
    <row r="590" ht="15" customHeight="1">
      <c r="A590" t="inlineStr">
        <is>
          <t>A 56626-2020</t>
        </is>
      </c>
      <c r="B590" s="1" t="n">
        <v>44137</v>
      </c>
      <c r="C590" s="1" t="n">
        <v>45911</v>
      </c>
      <c r="D590" t="inlineStr">
        <is>
          <t>GÄVLEBORGS LÄN</t>
        </is>
      </c>
      <c r="E590" t="inlineStr">
        <is>
          <t>OVANÅKER</t>
        </is>
      </c>
      <c r="G590" t="n">
        <v>11.4</v>
      </c>
      <c r="H590" t="n">
        <v>0</v>
      </c>
      <c r="I590" t="n">
        <v>0</v>
      </c>
      <c r="J590" t="n">
        <v>0</v>
      </c>
      <c r="K590" t="n">
        <v>0</v>
      </c>
      <c r="L590" t="n">
        <v>0</v>
      </c>
      <c r="M590" t="n">
        <v>0</v>
      </c>
      <c r="N590" t="n">
        <v>0</v>
      </c>
      <c r="O590" t="n">
        <v>0</v>
      </c>
      <c r="P590" t="n">
        <v>0</v>
      </c>
      <c r="Q590" t="n">
        <v>0</v>
      </c>
      <c r="R590" s="2" t="inlineStr"/>
    </row>
    <row r="591" ht="15" customHeight="1">
      <c r="A591" t="inlineStr">
        <is>
          <t>A 65531-2020</t>
        </is>
      </c>
      <c r="B591" s="1" t="n">
        <v>44173.64872685185</v>
      </c>
      <c r="C591" s="1" t="n">
        <v>45911</v>
      </c>
      <c r="D591" t="inlineStr">
        <is>
          <t>GÄVLEBORGS LÄN</t>
        </is>
      </c>
      <c r="E591" t="inlineStr">
        <is>
          <t>HUDIKSVALL</t>
        </is>
      </c>
      <c r="G591" t="n">
        <v>0.7</v>
      </c>
      <c r="H591" t="n">
        <v>0</v>
      </c>
      <c r="I591" t="n">
        <v>0</v>
      </c>
      <c r="J591" t="n">
        <v>0</v>
      </c>
      <c r="K591" t="n">
        <v>0</v>
      </c>
      <c r="L591" t="n">
        <v>0</v>
      </c>
      <c r="M591" t="n">
        <v>0</v>
      </c>
      <c r="N591" t="n">
        <v>0</v>
      </c>
      <c r="O591" t="n">
        <v>0</v>
      </c>
      <c r="P591" t="n">
        <v>0</v>
      </c>
      <c r="Q591" t="n">
        <v>0</v>
      </c>
      <c r="R591" s="2" t="inlineStr"/>
    </row>
    <row r="592" ht="15" customHeight="1">
      <c r="A592" t="inlineStr">
        <is>
          <t>A 58352-2020</t>
        </is>
      </c>
      <c r="B592" s="1" t="n">
        <v>44145</v>
      </c>
      <c r="C592" s="1" t="n">
        <v>45911</v>
      </c>
      <c r="D592" t="inlineStr">
        <is>
          <t>GÄVLEBORGS LÄN</t>
        </is>
      </c>
      <c r="E592" t="inlineStr">
        <is>
          <t>OVANÅKER</t>
        </is>
      </c>
      <c r="G592" t="n">
        <v>0.8</v>
      </c>
      <c r="H592" t="n">
        <v>0</v>
      </c>
      <c r="I592" t="n">
        <v>0</v>
      </c>
      <c r="J592" t="n">
        <v>0</v>
      </c>
      <c r="K592" t="n">
        <v>0</v>
      </c>
      <c r="L592" t="n">
        <v>0</v>
      </c>
      <c r="M592" t="n">
        <v>0</v>
      </c>
      <c r="N592" t="n">
        <v>0</v>
      </c>
      <c r="O592" t="n">
        <v>0</v>
      </c>
      <c r="P592" t="n">
        <v>0</v>
      </c>
      <c r="Q592" t="n">
        <v>0</v>
      </c>
      <c r="R592" s="2" t="inlineStr"/>
    </row>
    <row r="593" ht="15" customHeight="1">
      <c r="A593" t="inlineStr">
        <is>
          <t>A 4040-2021</t>
        </is>
      </c>
      <c r="B593" s="1" t="n">
        <v>44218</v>
      </c>
      <c r="C593" s="1" t="n">
        <v>45911</v>
      </c>
      <c r="D593" t="inlineStr">
        <is>
          <t>GÄVLEBORGS LÄN</t>
        </is>
      </c>
      <c r="E593" t="inlineStr">
        <is>
          <t>SÖDERHAMN</t>
        </is>
      </c>
      <c r="G593" t="n">
        <v>2.2</v>
      </c>
      <c r="H593" t="n">
        <v>0</v>
      </c>
      <c r="I593" t="n">
        <v>0</v>
      </c>
      <c r="J593" t="n">
        <v>0</v>
      </c>
      <c r="K593" t="n">
        <v>0</v>
      </c>
      <c r="L593" t="n">
        <v>0</v>
      </c>
      <c r="M593" t="n">
        <v>0</v>
      </c>
      <c r="N593" t="n">
        <v>0</v>
      </c>
      <c r="O593" t="n">
        <v>0</v>
      </c>
      <c r="P593" t="n">
        <v>0</v>
      </c>
      <c r="Q593" t="n">
        <v>0</v>
      </c>
      <c r="R593" s="2" t="inlineStr"/>
    </row>
    <row r="594" ht="15" customHeight="1">
      <c r="A594" t="inlineStr">
        <is>
          <t>A 20906-2021</t>
        </is>
      </c>
      <c r="B594" s="1" t="n">
        <v>44319.43662037037</v>
      </c>
      <c r="C594" s="1" t="n">
        <v>45911</v>
      </c>
      <c r="D594" t="inlineStr">
        <is>
          <t>GÄVLEBORGS LÄN</t>
        </is>
      </c>
      <c r="E594" t="inlineStr">
        <is>
          <t>BOLLNÄS</t>
        </is>
      </c>
      <c r="G594" t="n">
        <v>0.6</v>
      </c>
      <c r="H594" t="n">
        <v>0</v>
      </c>
      <c r="I594" t="n">
        <v>0</v>
      </c>
      <c r="J594" t="n">
        <v>0</v>
      </c>
      <c r="K594" t="n">
        <v>0</v>
      </c>
      <c r="L594" t="n">
        <v>0</v>
      </c>
      <c r="M594" t="n">
        <v>0</v>
      </c>
      <c r="N594" t="n">
        <v>0</v>
      </c>
      <c r="O594" t="n">
        <v>0</v>
      </c>
      <c r="P594" t="n">
        <v>0</v>
      </c>
      <c r="Q594" t="n">
        <v>0</v>
      </c>
      <c r="R594" s="2" t="inlineStr"/>
    </row>
    <row r="595" ht="15" customHeight="1">
      <c r="A595" t="inlineStr">
        <is>
          <t>A 541-2022</t>
        </is>
      </c>
      <c r="B595" s="1" t="n">
        <v>44566.62109953703</v>
      </c>
      <c r="C595" s="1" t="n">
        <v>45911</v>
      </c>
      <c r="D595" t="inlineStr">
        <is>
          <t>GÄVLEBORGS LÄN</t>
        </is>
      </c>
      <c r="E595" t="inlineStr">
        <is>
          <t>BOLLNÄS</t>
        </is>
      </c>
      <c r="G595" t="n">
        <v>1.3</v>
      </c>
      <c r="H595" t="n">
        <v>0</v>
      </c>
      <c r="I595" t="n">
        <v>0</v>
      </c>
      <c r="J595" t="n">
        <v>0</v>
      </c>
      <c r="K595" t="n">
        <v>0</v>
      </c>
      <c r="L595" t="n">
        <v>0</v>
      </c>
      <c r="M595" t="n">
        <v>0</v>
      </c>
      <c r="N595" t="n">
        <v>0</v>
      </c>
      <c r="O595" t="n">
        <v>0</v>
      </c>
      <c r="P595" t="n">
        <v>0</v>
      </c>
      <c r="Q595" t="n">
        <v>0</v>
      </c>
      <c r="R595" s="2" t="inlineStr"/>
    </row>
    <row r="596" ht="15" customHeight="1">
      <c r="A596" t="inlineStr">
        <is>
          <t>A 27078-2021</t>
        </is>
      </c>
      <c r="B596" s="1" t="n">
        <v>44350.47921296296</v>
      </c>
      <c r="C596" s="1" t="n">
        <v>45911</v>
      </c>
      <c r="D596" t="inlineStr">
        <is>
          <t>GÄVLEBORGS LÄN</t>
        </is>
      </c>
      <c r="E596" t="inlineStr">
        <is>
          <t>OVANÅKER</t>
        </is>
      </c>
      <c r="G596" t="n">
        <v>1.2</v>
      </c>
      <c r="H596" t="n">
        <v>0</v>
      </c>
      <c r="I596" t="n">
        <v>0</v>
      </c>
      <c r="J596" t="n">
        <v>0</v>
      </c>
      <c r="K596" t="n">
        <v>0</v>
      </c>
      <c r="L596" t="n">
        <v>0</v>
      </c>
      <c r="M596" t="n">
        <v>0</v>
      </c>
      <c r="N596" t="n">
        <v>0</v>
      </c>
      <c r="O596" t="n">
        <v>0</v>
      </c>
      <c r="P596" t="n">
        <v>0</v>
      </c>
      <c r="Q596" t="n">
        <v>0</v>
      </c>
      <c r="R596" s="2" t="inlineStr"/>
    </row>
    <row r="597" ht="15" customHeight="1">
      <c r="A597" t="inlineStr">
        <is>
          <t>A 63086-2021</t>
        </is>
      </c>
      <c r="B597" s="1" t="n">
        <v>44505.57928240741</v>
      </c>
      <c r="C597" s="1" t="n">
        <v>45911</v>
      </c>
      <c r="D597" t="inlineStr">
        <is>
          <t>GÄVLEBORGS LÄN</t>
        </is>
      </c>
      <c r="E597" t="inlineStr">
        <is>
          <t>SANDVIKEN</t>
        </is>
      </c>
      <c r="G597" t="n">
        <v>1.9</v>
      </c>
      <c r="H597" t="n">
        <v>0</v>
      </c>
      <c r="I597" t="n">
        <v>0</v>
      </c>
      <c r="J597" t="n">
        <v>0</v>
      </c>
      <c r="K597" t="n">
        <v>0</v>
      </c>
      <c r="L597" t="n">
        <v>0</v>
      </c>
      <c r="M597" t="n">
        <v>0</v>
      </c>
      <c r="N597" t="n">
        <v>0</v>
      </c>
      <c r="O597" t="n">
        <v>0</v>
      </c>
      <c r="P597" t="n">
        <v>0</v>
      </c>
      <c r="Q597" t="n">
        <v>0</v>
      </c>
      <c r="R597" s="2" t="inlineStr"/>
    </row>
    <row r="598" ht="15" customHeight="1">
      <c r="A598" t="inlineStr">
        <is>
          <t>A 39820-2021</t>
        </is>
      </c>
      <c r="B598" s="1" t="n">
        <v>44417.60410879629</v>
      </c>
      <c r="C598" s="1" t="n">
        <v>45911</v>
      </c>
      <c r="D598" t="inlineStr">
        <is>
          <t>GÄVLEBORGS LÄN</t>
        </is>
      </c>
      <c r="E598" t="inlineStr">
        <is>
          <t>LJUSDAL</t>
        </is>
      </c>
      <c r="G598" t="n">
        <v>1.5</v>
      </c>
      <c r="H598" t="n">
        <v>0</v>
      </c>
      <c r="I598" t="n">
        <v>0</v>
      </c>
      <c r="J598" t="n">
        <v>0</v>
      </c>
      <c r="K598" t="n">
        <v>0</v>
      </c>
      <c r="L598" t="n">
        <v>0</v>
      </c>
      <c r="M598" t="n">
        <v>0</v>
      </c>
      <c r="N598" t="n">
        <v>0</v>
      </c>
      <c r="O598" t="n">
        <v>0</v>
      </c>
      <c r="P598" t="n">
        <v>0</v>
      </c>
      <c r="Q598" t="n">
        <v>0</v>
      </c>
      <c r="R598" s="2" t="inlineStr"/>
    </row>
    <row r="599" ht="15" customHeight="1">
      <c r="A599" t="inlineStr">
        <is>
          <t>A 5810-2022</t>
        </is>
      </c>
      <c r="B599" s="1" t="n">
        <v>44596.57570601852</v>
      </c>
      <c r="C599" s="1" t="n">
        <v>45911</v>
      </c>
      <c r="D599" t="inlineStr">
        <is>
          <t>GÄVLEBORGS LÄN</t>
        </is>
      </c>
      <c r="E599" t="inlineStr">
        <is>
          <t>BOLLNÄS</t>
        </is>
      </c>
      <c r="G599" t="n">
        <v>1.1</v>
      </c>
      <c r="H599" t="n">
        <v>0</v>
      </c>
      <c r="I599" t="n">
        <v>0</v>
      </c>
      <c r="J599" t="n">
        <v>0</v>
      </c>
      <c r="K599" t="n">
        <v>0</v>
      </c>
      <c r="L599" t="n">
        <v>0</v>
      </c>
      <c r="M599" t="n">
        <v>0</v>
      </c>
      <c r="N599" t="n">
        <v>0</v>
      </c>
      <c r="O599" t="n">
        <v>0</v>
      </c>
      <c r="P599" t="n">
        <v>0</v>
      </c>
      <c r="Q599" t="n">
        <v>0</v>
      </c>
      <c r="R599" s="2" t="inlineStr"/>
    </row>
    <row r="600" ht="15" customHeight="1">
      <c r="A600" t="inlineStr">
        <is>
          <t>A 7548-2022</t>
        </is>
      </c>
      <c r="B600" s="1" t="n">
        <v>44607</v>
      </c>
      <c r="C600" s="1" t="n">
        <v>45911</v>
      </c>
      <c r="D600" t="inlineStr">
        <is>
          <t>GÄVLEBORGS LÄN</t>
        </is>
      </c>
      <c r="E600" t="inlineStr">
        <is>
          <t>HUDIKSVALL</t>
        </is>
      </c>
      <c r="G600" t="n">
        <v>1.2</v>
      </c>
      <c r="H600" t="n">
        <v>0</v>
      </c>
      <c r="I600" t="n">
        <v>0</v>
      </c>
      <c r="J600" t="n">
        <v>0</v>
      </c>
      <c r="K600" t="n">
        <v>0</v>
      </c>
      <c r="L600" t="n">
        <v>0</v>
      </c>
      <c r="M600" t="n">
        <v>0</v>
      </c>
      <c r="N600" t="n">
        <v>0</v>
      </c>
      <c r="O600" t="n">
        <v>0</v>
      </c>
      <c r="P600" t="n">
        <v>0</v>
      </c>
      <c r="Q600" t="n">
        <v>0</v>
      </c>
      <c r="R600" s="2" t="inlineStr"/>
    </row>
    <row r="601" ht="15" customHeight="1">
      <c r="A601" t="inlineStr">
        <is>
          <t>A 3109-2021</t>
        </is>
      </c>
      <c r="B601" s="1" t="n">
        <v>44217</v>
      </c>
      <c r="C601" s="1" t="n">
        <v>45911</v>
      </c>
      <c r="D601" t="inlineStr">
        <is>
          <t>GÄVLEBORGS LÄN</t>
        </is>
      </c>
      <c r="E601" t="inlineStr">
        <is>
          <t>BOLLNÄS</t>
        </is>
      </c>
      <c r="F601" t="inlineStr">
        <is>
          <t>Kommuner</t>
        </is>
      </c>
      <c r="G601" t="n">
        <v>1.5</v>
      </c>
      <c r="H601" t="n">
        <v>0</v>
      </c>
      <c r="I601" t="n">
        <v>0</v>
      </c>
      <c r="J601" t="n">
        <v>0</v>
      </c>
      <c r="K601" t="n">
        <v>0</v>
      </c>
      <c r="L601" t="n">
        <v>0</v>
      </c>
      <c r="M601" t="n">
        <v>0</v>
      </c>
      <c r="N601" t="n">
        <v>0</v>
      </c>
      <c r="O601" t="n">
        <v>0</v>
      </c>
      <c r="P601" t="n">
        <v>0</v>
      </c>
      <c r="Q601" t="n">
        <v>0</v>
      </c>
      <c r="R601" s="2" t="inlineStr"/>
    </row>
    <row r="602" ht="15" customHeight="1">
      <c r="A602" t="inlineStr">
        <is>
          <t>A 62495-2020</t>
        </is>
      </c>
      <c r="B602" s="1" t="n">
        <v>44160</v>
      </c>
      <c r="C602" s="1" t="n">
        <v>45911</v>
      </c>
      <c r="D602" t="inlineStr">
        <is>
          <t>GÄVLEBORGS LÄN</t>
        </is>
      </c>
      <c r="E602" t="inlineStr">
        <is>
          <t>GÄVLE</t>
        </is>
      </c>
      <c r="G602" t="n">
        <v>2</v>
      </c>
      <c r="H602" t="n">
        <v>0</v>
      </c>
      <c r="I602" t="n">
        <v>0</v>
      </c>
      <c r="J602" t="n">
        <v>0</v>
      </c>
      <c r="K602" t="n">
        <v>0</v>
      </c>
      <c r="L602" t="n">
        <v>0</v>
      </c>
      <c r="M602" t="n">
        <v>0</v>
      </c>
      <c r="N602" t="n">
        <v>0</v>
      </c>
      <c r="O602" t="n">
        <v>0</v>
      </c>
      <c r="P602" t="n">
        <v>0</v>
      </c>
      <c r="Q602" t="n">
        <v>0</v>
      </c>
      <c r="R602" s="2" t="inlineStr"/>
    </row>
    <row r="603" ht="15" customHeight="1">
      <c r="A603" t="inlineStr">
        <is>
          <t>A 66342-2020</t>
        </is>
      </c>
      <c r="B603" s="1" t="n">
        <v>44176</v>
      </c>
      <c r="C603" s="1" t="n">
        <v>45911</v>
      </c>
      <c r="D603" t="inlineStr">
        <is>
          <t>GÄVLEBORGS LÄN</t>
        </is>
      </c>
      <c r="E603" t="inlineStr">
        <is>
          <t>BOLLNÄS</t>
        </is>
      </c>
      <c r="G603" t="n">
        <v>0.5</v>
      </c>
      <c r="H603" t="n">
        <v>0</v>
      </c>
      <c r="I603" t="n">
        <v>0</v>
      </c>
      <c r="J603" t="n">
        <v>0</v>
      </c>
      <c r="K603" t="n">
        <v>0</v>
      </c>
      <c r="L603" t="n">
        <v>0</v>
      </c>
      <c r="M603" t="n">
        <v>0</v>
      </c>
      <c r="N603" t="n">
        <v>0</v>
      </c>
      <c r="O603" t="n">
        <v>0</v>
      </c>
      <c r="P603" t="n">
        <v>0</v>
      </c>
      <c r="Q603" t="n">
        <v>0</v>
      </c>
      <c r="R603" s="2" t="inlineStr"/>
    </row>
    <row r="604" ht="15" customHeight="1">
      <c r="A604" t="inlineStr">
        <is>
          <t>A 63149-2021</t>
        </is>
      </c>
      <c r="B604" s="1" t="n">
        <v>44505.92024305555</v>
      </c>
      <c r="C604" s="1" t="n">
        <v>45911</v>
      </c>
      <c r="D604" t="inlineStr">
        <is>
          <t>GÄVLEBORGS LÄN</t>
        </is>
      </c>
      <c r="E604" t="inlineStr">
        <is>
          <t>LJUSDAL</t>
        </is>
      </c>
      <c r="G604" t="n">
        <v>0.9</v>
      </c>
      <c r="H604" t="n">
        <v>0</v>
      </c>
      <c r="I604" t="n">
        <v>0</v>
      </c>
      <c r="J604" t="n">
        <v>0</v>
      </c>
      <c r="K604" t="n">
        <v>0</v>
      </c>
      <c r="L604" t="n">
        <v>0</v>
      </c>
      <c r="M604" t="n">
        <v>0</v>
      </c>
      <c r="N604" t="n">
        <v>0</v>
      </c>
      <c r="O604" t="n">
        <v>0</v>
      </c>
      <c r="P604" t="n">
        <v>0</v>
      </c>
      <c r="Q604" t="n">
        <v>0</v>
      </c>
      <c r="R604" s="2" t="inlineStr"/>
    </row>
    <row r="605" ht="15" customHeight="1">
      <c r="A605" t="inlineStr">
        <is>
          <t>A 60953-2020</t>
        </is>
      </c>
      <c r="B605" s="1" t="n">
        <v>44154</v>
      </c>
      <c r="C605" s="1" t="n">
        <v>45911</v>
      </c>
      <c r="D605" t="inlineStr">
        <is>
          <t>GÄVLEBORGS LÄN</t>
        </is>
      </c>
      <c r="E605" t="inlineStr">
        <is>
          <t>GÄVLE</t>
        </is>
      </c>
      <c r="G605" t="n">
        <v>1.6</v>
      </c>
      <c r="H605" t="n">
        <v>0</v>
      </c>
      <c r="I605" t="n">
        <v>0</v>
      </c>
      <c r="J605" t="n">
        <v>0</v>
      </c>
      <c r="K605" t="n">
        <v>0</v>
      </c>
      <c r="L605" t="n">
        <v>0</v>
      </c>
      <c r="M605" t="n">
        <v>0</v>
      </c>
      <c r="N605" t="n">
        <v>0</v>
      </c>
      <c r="O605" t="n">
        <v>0</v>
      </c>
      <c r="P605" t="n">
        <v>0</v>
      </c>
      <c r="Q605" t="n">
        <v>0</v>
      </c>
      <c r="R605" s="2" t="inlineStr"/>
    </row>
    <row r="606" ht="15" customHeight="1">
      <c r="A606" t="inlineStr">
        <is>
          <t>A 59267-2021</t>
        </is>
      </c>
      <c r="B606" s="1" t="n">
        <v>44490</v>
      </c>
      <c r="C606" s="1" t="n">
        <v>45911</v>
      </c>
      <c r="D606" t="inlineStr">
        <is>
          <t>GÄVLEBORGS LÄN</t>
        </is>
      </c>
      <c r="E606" t="inlineStr">
        <is>
          <t>NORDANSTIG</t>
        </is>
      </c>
      <c r="G606" t="n">
        <v>10.3</v>
      </c>
      <c r="H606" t="n">
        <v>0</v>
      </c>
      <c r="I606" t="n">
        <v>0</v>
      </c>
      <c r="J606" t="n">
        <v>0</v>
      </c>
      <c r="K606" t="n">
        <v>0</v>
      </c>
      <c r="L606" t="n">
        <v>0</v>
      </c>
      <c r="M606" t="n">
        <v>0</v>
      </c>
      <c r="N606" t="n">
        <v>0</v>
      </c>
      <c r="O606" t="n">
        <v>0</v>
      </c>
      <c r="P606" t="n">
        <v>0</v>
      </c>
      <c r="Q606" t="n">
        <v>0</v>
      </c>
      <c r="R606" s="2" t="inlineStr"/>
    </row>
    <row r="607" ht="15" customHeight="1">
      <c r="A607" t="inlineStr">
        <is>
          <t>A 41960-2022</t>
        </is>
      </c>
      <c r="B607" s="1" t="n">
        <v>44830.40199074074</v>
      </c>
      <c r="C607" s="1" t="n">
        <v>45911</v>
      </c>
      <c r="D607" t="inlineStr">
        <is>
          <t>GÄVLEBORGS LÄN</t>
        </is>
      </c>
      <c r="E607" t="inlineStr">
        <is>
          <t>BOLLNÄS</t>
        </is>
      </c>
      <c r="G607" t="n">
        <v>0.5</v>
      </c>
      <c r="H607" t="n">
        <v>0</v>
      </c>
      <c r="I607" t="n">
        <v>0</v>
      </c>
      <c r="J607" t="n">
        <v>0</v>
      </c>
      <c r="K607" t="n">
        <v>0</v>
      </c>
      <c r="L607" t="n">
        <v>0</v>
      </c>
      <c r="M607" t="n">
        <v>0</v>
      </c>
      <c r="N607" t="n">
        <v>0</v>
      </c>
      <c r="O607" t="n">
        <v>0</v>
      </c>
      <c r="P607" t="n">
        <v>0</v>
      </c>
      <c r="Q607" t="n">
        <v>0</v>
      </c>
      <c r="R607" s="2" t="inlineStr"/>
    </row>
    <row r="608" ht="15" customHeight="1">
      <c r="A608" t="inlineStr">
        <is>
          <t>A 65038-2020</t>
        </is>
      </c>
      <c r="B608" s="1" t="n">
        <v>44172</v>
      </c>
      <c r="C608" s="1" t="n">
        <v>45911</v>
      </c>
      <c r="D608" t="inlineStr">
        <is>
          <t>GÄVLEBORGS LÄN</t>
        </is>
      </c>
      <c r="E608" t="inlineStr">
        <is>
          <t>HUDIKSVALL</t>
        </is>
      </c>
      <c r="G608" t="n">
        <v>0.8</v>
      </c>
      <c r="H608" t="n">
        <v>0</v>
      </c>
      <c r="I608" t="n">
        <v>0</v>
      </c>
      <c r="J608" t="n">
        <v>0</v>
      </c>
      <c r="K608" t="n">
        <v>0</v>
      </c>
      <c r="L608" t="n">
        <v>0</v>
      </c>
      <c r="M608" t="n">
        <v>0</v>
      </c>
      <c r="N608" t="n">
        <v>0</v>
      </c>
      <c r="O608" t="n">
        <v>0</v>
      </c>
      <c r="P608" t="n">
        <v>0</v>
      </c>
      <c r="Q608" t="n">
        <v>0</v>
      </c>
      <c r="R608" s="2" t="inlineStr"/>
    </row>
    <row r="609" ht="15" customHeight="1">
      <c r="A609" t="inlineStr">
        <is>
          <t>A 29486-2021</t>
        </is>
      </c>
      <c r="B609" s="1" t="n">
        <v>44361</v>
      </c>
      <c r="C609" s="1" t="n">
        <v>45911</v>
      </c>
      <c r="D609" t="inlineStr">
        <is>
          <t>GÄVLEBORGS LÄN</t>
        </is>
      </c>
      <c r="E609" t="inlineStr">
        <is>
          <t>HUDIKSVALL</t>
        </is>
      </c>
      <c r="F609" t="inlineStr">
        <is>
          <t>Holmen skog AB</t>
        </is>
      </c>
      <c r="G609" t="n">
        <v>2.1</v>
      </c>
      <c r="H609" t="n">
        <v>0</v>
      </c>
      <c r="I609" t="n">
        <v>0</v>
      </c>
      <c r="J609" t="n">
        <v>0</v>
      </c>
      <c r="K609" t="n">
        <v>0</v>
      </c>
      <c r="L609" t="n">
        <v>0</v>
      </c>
      <c r="M609" t="n">
        <v>0</v>
      </c>
      <c r="N609" t="n">
        <v>0</v>
      </c>
      <c r="O609" t="n">
        <v>0</v>
      </c>
      <c r="P609" t="n">
        <v>0</v>
      </c>
      <c r="Q609" t="n">
        <v>0</v>
      </c>
      <c r="R609" s="2" t="inlineStr"/>
    </row>
    <row r="610" ht="15" customHeight="1">
      <c r="A610" t="inlineStr">
        <is>
          <t>A 522-2022</t>
        </is>
      </c>
      <c r="B610" s="1" t="n">
        <v>44566.5825</v>
      </c>
      <c r="C610" s="1" t="n">
        <v>45911</v>
      </c>
      <c r="D610" t="inlineStr">
        <is>
          <t>GÄVLEBORGS LÄN</t>
        </is>
      </c>
      <c r="E610" t="inlineStr">
        <is>
          <t>BOLLNÄS</t>
        </is>
      </c>
      <c r="G610" t="n">
        <v>1.8</v>
      </c>
      <c r="H610" t="n">
        <v>0</v>
      </c>
      <c r="I610" t="n">
        <v>0</v>
      </c>
      <c r="J610" t="n">
        <v>0</v>
      </c>
      <c r="K610" t="n">
        <v>0</v>
      </c>
      <c r="L610" t="n">
        <v>0</v>
      </c>
      <c r="M610" t="n">
        <v>0</v>
      </c>
      <c r="N610" t="n">
        <v>0</v>
      </c>
      <c r="O610" t="n">
        <v>0</v>
      </c>
      <c r="P610" t="n">
        <v>0</v>
      </c>
      <c r="Q610" t="n">
        <v>0</v>
      </c>
      <c r="R610" s="2" t="inlineStr"/>
    </row>
    <row r="611" ht="15" customHeight="1">
      <c r="A611" t="inlineStr">
        <is>
          <t>A 28757-2022</t>
        </is>
      </c>
      <c r="B611" s="1" t="n">
        <v>44749.32502314815</v>
      </c>
      <c r="C611" s="1" t="n">
        <v>45911</v>
      </c>
      <c r="D611" t="inlineStr">
        <is>
          <t>GÄVLEBORGS LÄN</t>
        </is>
      </c>
      <c r="E611" t="inlineStr">
        <is>
          <t>GÄVLE</t>
        </is>
      </c>
      <c r="G611" t="n">
        <v>8.6</v>
      </c>
      <c r="H611" t="n">
        <v>0</v>
      </c>
      <c r="I611" t="n">
        <v>0</v>
      </c>
      <c r="J611" t="n">
        <v>0</v>
      </c>
      <c r="K611" t="n">
        <v>0</v>
      </c>
      <c r="L611" t="n">
        <v>0</v>
      </c>
      <c r="M611" t="n">
        <v>0</v>
      </c>
      <c r="N611" t="n">
        <v>0</v>
      </c>
      <c r="O611" t="n">
        <v>0</v>
      </c>
      <c r="P611" t="n">
        <v>0</v>
      </c>
      <c r="Q611" t="n">
        <v>0</v>
      </c>
      <c r="R611" s="2" t="inlineStr"/>
    </row>
    <row r="612" ht="15" customHeight="1">
      <c r="A612" t="inlineStr">
        <is>
          <t>A 33049-2022</t>
        </is>
      </c>
      <c r="B612" s="1" t="n">
        <v>44785.39850694445</v>
      </c>
      <c r="C612" s="1" t="n">
        <v>45911</v>
      </c>
      <c r="D612" t="inlineStr">
        <is>
          <t>GÄVLEBORGS LÄN</t>
        </is>
      </c>
      <c r="E612" t="inlineStr">
        <is>
          <t>BOLLNÄS</t>
        </is>
      </c>
      <c r="F612" t="inlineStr">
        <is>
          <t>Kyrkan</t>
        </is>
      </c>
      <c r="G612" t="n">
        <v>0.5</v>
      </c>
      <c r="H612" t="n">
        <v>0</v>
      </c>
      <c r="I612" t="n">
        <v>0</v>
      </c>
      <c r="J612" t="n">
        <v>0</v>
      </c>
      <c r="K612" t="n">
        <v>0</v>
      </c>
      <c r="L612" t="n">
        <v>0</v>
      </c>
      <c r="M612" t="n">
        <v>0</v>
      </c>
      <c r="N612" t="n">
        <v>0</v>
      </c>
      <c r="O612" t="n">
        <v>0</v>
      </c>
      <c r="P612" t="n">
        <v>0</v>
      </c>
      <c r="Q612" t="n">
        <v>0</v>
      </c>
      <c r="R612" s="2" t="inlineStr"/>
    </row>
    <row r="613" ht="15" customHeight="1">
      <c r="A613" t="inlineStr">
        <is>
          <t>A 34116-2022</t>
        </is>
      </c>
      <c r="B613" s="1" t="n">
        <v>44791.49346064815</v>
      </c>
      <c r="C613" s="1" t="n">
        <v>45911</v>
      </c>
      <c r="D613" t="inlineStr">
        <is>
          <t>GÄVLEBORGS LÄN</t>
        </is>
      </c>
      <c r="E613" t="inlineStr">
        <is>
          <t>HUDIKSVALL</t>
        </is>
      </c>
      <c r="F613" t="inlineStr">
        <is>
          <t>Holmen skog AB</t>
        </is>
      </c>
      <c r="G613" t="n">
        <v>1.7</v>
      </c>
      <c r="H613" t="n">
        <v>0</v>
      </c>
      <c r="I613" t="n">
        <v>0</v>
      </c>
      <c r="J613" t="n">
        <v>0</v>
      </c>
      <c r="K613" t="n">
        <v>0</v>
      </c>
      <c r="L613" t="n">
        <v>0</v>
      </c>
      <c r="M613" t="n">
        <v>0</v>
      </c>
      <c r="N613" t="n">
        <v>0</v>
      </c>
      <c r="O613" t="n">
        <v>0</v>
      </c>
      <c r="P613" t="n">
        <v>0</v>
      </c>
      <c r="Q613" t="n">
        <v>0</v>
      </c>
      <c r="R613" s="2" t="inlineStr"/>
    </row>
    <row r="614" ht="15" customHeight="1">
      <c r="A614" t="inlineStr">
        <is>
          <t>A 43341-2021</t>
        </is>
      </c>
      <c r="B614" s="1" t="n">
        <v>44432.48314814815</v>
      </c>
      <c r="C614" s="1" t="n">
        <v>45911</v>
      </c>
      <c r="D614" t="inlineStr">
        <is>
          <t>GÄVLEBORGS LÄN</t>
        </is>
      </c>
      <c r="E614" t="inlineStr">
        <is>
          <t>BOLLNÄS</t>
        </is>
      </c>
      <c r="G614" t="n">
        <v>0.5</v>
      </c>
      <c r="H614" t="n">
        <v>0</v>
      </c>
      <c r="I614" t="n">
        <v>0</v>
      </c>
      <c r="J614" t="n">
        <v>0</v>
      </c>
      <c r="K614" t="n">
        <v>0</v>
      </c>
      <c r="L614" t="n">
        <v>0</v>
      </c>
      <c r="M614" t="n">
        <v>0</v>
      </c>
      <c r="N614" t="n">
        <v>0</v>
      </c>
      <c r="O614" t="n">
        <v>0</v>
      </c>
      <c r="P614" t="n">
        <v>0</v>
      </c>
      <c r="Q614" t="n">
        <v>0</v>
      </c>
      <c r="R614" s="2" t="inlineStr"/>
    </row>
    <row r="615" ht="15" customHeight="1">
      <c r="A615" t="inlineStr">
        <is>
          <t>A 66494-2021</t>
        </is>
      </c>
      <c r="B615" s="1" t="n">
        <v>44519.0362962963</v>
      </c>
      <c r="C615" s="1" t="n">
        <v>45911</v>
      </c>
      <c r="D615" t="inlineStr">
        <is>
          <t>GÄVLEBORGS LÄN</t>
        </is>
      </c>
      <c r="E615" t="inlineStr">
        <is>
          <t>GÄVLE</t>
        </is>
      </c>
      <c r="G615" t="n">
        <v>1.3</v>
      </c>
      <c r="H615" t="n">
        <v>0</v>
      </c>
      <c r="I615" t="n">
        <v>0</v>
      </c>
      <c r="J615" t="n">
        <v>0</v>
      </c>
      <c r="K615" t="n">
        <v>0</v>
      </c>
      <c r="L615" t="n">
        <v>0</v>
      </c>
      <c r="M615" t="n">
        <v>0</v>
      </c>
      <c r="N615" t="n">
        <v>0</v>
      </c>
      <c r="O615" t="n">
        <v>0</v>
      </c>
      <c r="P615" t="n">
        <v>0</v>
      </c>
      <c r="Q615" t="n">
        <v>0</v>
      </c>
      <c r="R615" s="2" t="inlineStr"/>
    </row>
    <row r="616" ht="15" customHeight="1">
      <c r="A616" t="inlineStr">
        <is>
          <t>A 41161-2022</t>
        </is>
      </c>
      <c r="B616" s="1" t="n">
        <v>44825</v>
      </c>
      <c r="C616" s="1" t="n">
        <v>45911</v>
      </c>
      <c r="D616" t="inlineStr">
        <is>
          <t>GÄVLEBORGS LÄN</t>
        </is>
      </c>
      <c r="E616" t="inlineStr">
        <is>
          <t>NORDANSTIG</t>
        </is>
      </c>
      <c r="G616" t="n">
        <v>4.8</v>
      </c>
      <c r="H616" t="n">
        <v>0</v>
      </c>
      <c r="I616" t="n">
        <v>0</v>
      </c>
      <c r="J616" t="n">
        <v>0</v>
      </c>
      <c r="K616" t="n">
        <v>0</v>
      </c>
      <c r="L616" t="n">
        <v>0</v>
      </c>
      <c r="M616" t="n">
        <v>0</v>
      </c>
      <c r="N616" t="n">
        <v>0</v>
      </c>
      <c r="O616" t="n">
        <v>0</v>
      </c>
      <c r="P616" t="n">
        <v>0</v>
      </c>
      <c r="Q616" t="n">
        <v>0</v>
      </c>
      <c r="R616" s="2" t="inlineStr"/>
    </row>
    <row r="617" ht="15" customHeight="1">
      <c r="A617" t="inlineStr">
        <is>
          <t>A 31531-2022</t>
        </is>
      </c>
      <c r="B617" s="1" t="n">
        <v>44775</v>
      </c>
      <c r="C617" s="1" t="n">
        <v>45911</v>
      </c>
      <c r="D617" t="inlineStr">
        <is>
          <t>GÄVLEBORGS LÄN</t>
        </is>
      </c>
      <c r="E617" t="inlineStr">
        <is>
          <t>GÄVLE</t>
        </is>
      </c>
      <c r="G617" t="n">
        <v>1.6</v>
      </c>
      <c r="H617" t="n">
        <v>0</v>
      </c>
      <c r="I617" t="n">
        <v>0</v>
      </c>
      <c r="J617" t="n">
        <v>0</v>
      </c>
      <c r="K617" t="n">
        <v>0</v>
      </c>
      <c r="L617" t="n">
        <v>0</v>
      </c>
      <c r="M617" t="n">
        <v>0</v>
      </c>
      <c r="N617" t="n">
        <v>0</v>
      </c>
      <c r="O617" t="n">
        <v>0</v>
      </c>
      <c r="P617" t="n">
        <v>0</v>
      </c>
      <c r="Q617" t="n">
        <v>0</v>
      </c>
      <c r="R617" s="2" t="inlineStr"/>
    </row>
    <row r="618" ht="15" customHeight="1">
      <c r="A618" t="inlineStr">
        <is>
          <t>A 1588-2022</t>
        </is>
      </c>
      <c r="B618" s="1" t="n">
        <v>44573.66903935185</v>
      </c>
      <c r="C618" s="1" t="n">
        <v>45911</v>
      </c>
      <c r="D618" t="inlineStr">
        <is>
          <t>GÄVLEBORGS LÄN</t>
        </is>
      </c>
      <c r="E618" t="inlineStr">
        <is>
          <t>OVANÅKER</t>
        </is>
      </c>
      <c r="G618" t="n">
        <v>0.4</v>
      </c>
      <c r="H618" t="n">
        <v>0</v>
      </c>
      <c r="I618" t="n">
        <v>0</v>
      </c>
      <c r="J618" t="n">
        <v>0</v>
      </c>
      <c r="K618" t="n">
        <v>0</v>
      </c>
      <c r="L618" t="n">
        <v>0</v>
      </c>
      <c r="M618" t="n">
        <v>0</v>
      </c>
      <c r="N618" t="n">
        <v>0</v>
      </c>
      <c r="O618" t="n">
        <v>0</v>
      </c>
      <c r="P618" t="n">
        <v>0</v>
      </c>
      <c r="Q618" t="n">
        <v>0</v>
      </c>
      <c r="R618" s="2" t="inlineStr"/>
    </row>
    <row r="619" ht="15" customHeight="1">
      <c r="A619" t="inlineStr">
        <is>
          <t>A 1594-2022</t>
        </is>
      </c>
      <c r="B619" s="1" t="n">
        <v>44573.68275462963</v>
      </c>
      <c r="C619" s="1" t="n">
        <v>45911</v>
      </c>
      <c r="D619" t="inlineStr">
        <is>
          <t>GÄVLEBORGS LÄN</t>
        </is>
      </c>
      <c r="E619" t="inlineStr">
        <is>
          <t>OVANÅKER</t>
        </is>
      </c>
      <c r="G619" t="n">
        <v>0.4</v>
      </c>
      <c r="H619" t="n">
        <v>0</v>
      </c>
      <c r="I619" t="n">
        <v>0</v>
      </c>
      <c r="J619" t="n">
        <v>0</v>
      </c>
      <c r="K619" t="n">
        <v>0</v>
      </c>
      <c r="L619" t="n">
        <v>0</v>
      </c>
      <c r="M619" t="n">
        <v>0</v>
      </c>
      <c r="N619" t="n">
        <v>0</v>
      </c>
      <c r="O619" t="n">
        <v>0</v>
      </c>
      <c r="P619" t="n">
        <v>0</v>
      </c>
      <c r="Q619" t="n">
        <v>0</v>
      </c>
      <c r="R619" s="2" t="inlineStr"/>
    </row>
    <row r="620" ht="15" customHeight="1">
      <c r="A620" t="inlineStr">
        <is>
          <t>A 50277-2022</t>
        </is>
      </c>
      <c r="B620" s="1" t="n">
        <v>44865.77954861111</v>
      </c>
      <c r="C620" s="1" t="n">
        <v>45911</v>
      </c>
      <c r="D620" t="inlineStr">
        <is>
          <t>GÄVLEBORGS LÄN</t>
        </is>
      </c>
      <c r="E620" t="inlineStr">
        <is>
          <t>SANDVIKEN</t>
        </is>
      </c>
      <c r="G620" t="n">
        <v>0.7</v>
      </c>
      <c r="H620" t="n">
        <v>0</v>
      </c>
      <c r="I620" t="n">
        <v>0</v>
      </c>
      <c r="J620" t="n">
        <v>0</v>
      </c>
      <c r="K620" t="n">
        <v>0</v>
      </c>
      <c r="L620" t="n">
        <v>0</v>
      </c>
      <c r="M620" t="n">
        <v>0</v>
      </c>
      <c r="N620" t="n">
        <v>0</v>
      </c>
      <c r="O620" t="n">
        <v>0</v>
      </c>
      <c r="P620" t="n">
        <v>0</v>
      </c>
      <c r="Q620" t="n">
        <v>0</v>
      </c>
      <c r="R620" s="2" t="inlineStr"/>
    </row>
    <row r="621" ht="15" customHeight="1">
      <c r="A621" t="inlineStr">
        <is>
          <t>A 55150-2022</t>
        </is>
      </c>
      <c r="B621" s="1" t="n">
        <v>44886.67766203704</v>
      </c>
      <c r="C621" s="1" t="n">
        <v>45911</v>
      </c>
      <c r="D621" t="inlineStr">
        <is>
          <t>GÄVLEBORGS LÄN</t>
        </is>
      </c>
      <c r="E621" t="inlineStr">
        <is>
          <t>SANDVIKEN</t>
        </is>
      </c>
      <c r="F621" t="inlineStr">
        <is>
          <t>Sveaskog</t>
        </is>
      </c>
      <c r="G621" t="n">
        <v>5</v>
      </c>
      <c r="H621" t="n">
        <v>0</v>
      </c>
      <c r="I621" t="n">
        <v>0</v>
      </c>
      <c r="J621" t="n">
        <v>0</v>
      </c>
      <c r="K621" t="n">
        <v>0</v>
      </c>
      <c r="L621" t="n">
        <v>0</v>
      </c>
      <c r="M621" t="n">
        <v>0</v>
      </c>
      <c r="N621" t="n">
        <v>0</v>
      </c>
      <c r="O621" t="n">
        <v>0</v>
      </c>
      <c r="P621" t="n">
        <v>0</v>
      </c>
      <c r="Q621" t="n">
        <v>0</v>
      </c>
      <c r="R621" s="2" t="inlineStr"/>
    </row>
    <row r="622" ht="15" customHeight="1">
      <c r="A622" t="inlineStr">
        <is>
          <t>A 55189-2022</t>
        </is>
      </c>
      <c r="B622" s="1" t="n">
        <v>44886.91054398148</v>
      </c>
      <c r="C622" s="1" t="n">
        <v>45911</v>
      </c>
      <c r="D622" t="inlineStr">
        <is>
          <t>GÄVLEBORGS LÄN</t>
        </is>
      </c>
      <c r="E622" t="inlineStr">
        <is>
          <t>GÄVLE</t>
        </is>
      </c>
      <c r="G622" t="n">
        <v>0.5</v>
      </c>
      <c r="H622" t="n">
        <v>0</v>
      </c>
      <c r="I622" t="n">
        <v>0</v>
      </c>
      <c r="J622" t="n">
        <v>0</v>
      </c>
      <c r="K622" t="n">
        <v>0</v>
      </c>
      <c r="L622" t="n">
        <v>0</v>
      </c>
      <c r="M622" t="n">
        <v>0</v>
      </c>
      <c r="N622" t="n">
        <v>0</v>
      </c>
      <c r="O622" t="n">
        <v>0</v>
      </c>
      <c r="P622" t="n">
        <v>0</v>
      </c>
      <c r="Q622" t="n">
        <v>0</v>
      </c>
      <c r="R622" s="2" t="inlineStr"/>
    </row>
    <row r="623" ht="15" customHeight="1">
      <c r="A623" t="inlineStr">
        <is>
          <t>A 41861-2022</t>
        </is>
      </c>
      <c r="B623" s="1" t="n">
        <v>44829.71965277778</v>
      </c>
      <c r="C623" s="1" t="n">
        <v>45911</v>
      </c>
      <c r="D623" t="inlineStr">
        <is>
          <t>GÄVLEBORGS LÄN</t>
        </is>
      </c>
      <c r="E623" t="inlineStr">
        <is>
          <t>SANDVIKEN</t>
        </is>
      </c>
      <c r="F623" t="inlineStr">
        <is>
          <t>Sveaskog</t>
        </is>
      </c>
      <c r="G623" t="n">
        <v>18.2</v>
      </c>
      <c r="H623" t="n">
        <v>0</v>
      </c>
      <c r="I623" t="n">
        <v>0</v>
      </c>
      <c r="J623" t="n">
        <v>0</v>
      </c>
      <c r="K623" t="n">
        <v>0</v>
      </c>
      <c r="L623" t="n">
        <v>0</v>
      </c>
      <c r="M623" t="n">
        <v>0</v>
      </c>
      <c r="N623" t="n">
        <v>0</v>
      </c>
      <c r="O623" t="n">
        <v>0</v>
      </c>
      <c r="P623" t="n">
        <v>0</v>
      </c>
      <c r="Q623" t="n">
        <v>0</v>
      </c>
      <c r="R623" s="2" t="inlineStr"/>
    </row>
    <row r="624" ht="15" customHeight="1">
      <c r="A624" t="inlineStr">
        <is>
          <t>A 21873-2022</t>
        </is>
      </c>
      <c r="B624" s="1" t="n">
        <v>44711.40037037037</v>
      </c>
      <c r="C624" s="1" t="n">
        <v>45911</v>
      </c>
      <c r="D624" t="inlineStr">
        <is>
          <t>GÄVLEBORGS LÄN</t>
        </is>
      </c>
      <c r="E624" t="inlineStr">
        <is>
          <t>NORDANSTIG</t>
        </is>
      </c>
      <c r="G624" t="n">
        <v>1.1</v>
      </c>
      <c r="H624" t="n">
        <v>0</v>
      </c>
      <c r="I624" t="n">
        <v>0</v>
      </c>
      <c r="J624" t="n">
        <v>0</v>
      </c>
      <c r="K624" t="n">
        <v>0</v>
      </c>
      <c r="L624" t="n">
        <v>0</v>
      </c>
      <c r="M624" t="n">
        <v>0</v>
      </c>
      <c r="N624" t="n">
        <v>0</v>
      </c>
      <c r="O624" t="n">
        <v>0</v>
      </c>
      <c r="P624" t="n">
        <v>0</v>
      </c>
      <c r="Q624" t="n">
        <v>0</v>
      </c>
      <c r="R624" s="2" t="inlineStr"/>
    </row>
    <row r="625" ht="15" customHeight="1">
      <c r="A625" t="inlineStr">
        <is>
          <t>A 30857-2022</t>
        </is>
      </c>
      <c r="B625" s="1" t="n">
        <v>44767</v>
      </c>
      <c r="C625" s="1" t="n">
        <v>45911</v>
      </c>
      <c r="D625" t="inlineStr">
        <is>
          <t>GÄVLEBORGS LÄN</t>
        </is>
      </c>
      <c r="E625" t="inlineStr">
        <is>
          <t>NORDANSTIG</t>
        </is>
      </c>
      <c r="G625" t="n">
        <v>0.4</v>
      </c>
      <c r="H625" t="n">
        <v>0</v>
      </c>
      <c r="I625" t="n">
        <v>0</v>
      </c>
      <c r="J625" t="n">
        <v>0</v>
      </c>
      <c r="K625" t="n">
        <v>0</v>
      </c>
      <c r="L625" t="n">
        <v>0</v>
      </c>
      <c r="M625" t="n">
        <v>0</v>
      </c>
      <c r="N625" t="n">
        <v>0</v>
      </c>
      <c r="O625" t="n">
        <v>0</v>
      </c>
      <c r="P625" t="n">
        <v>0</v>
      </c>
      <c r="Q625" t="n">
        <v>0</v>
      </c>
      <c r="R625" s="2" t="inlineStr"/>
    </row>
    <row r="626" ht="15" customHeight="1">
      <c r="A626" t="inlineStr">
        <is>
          <t>A 30869-2022</t>
        </is>
      </c>
      <c r="B626" s="1" t="n">
        <v>44767.51855324074</v>
      </c>
      <c r="C626" s="1" t="n">
        <v>45911</v>
      </c>
      <c r="D626" t="inlineStr">
        <is>
          <t>GÄVLEBORGS LÄN</t>
        </is>
      </c>
      <c r="E626" t="inlineStr">
        <is>
          <t>LJUSDAL</t>
        </is>
      </c>
      <c r="F626" t="inlineStr">
        <is>
          <t>Holmen skog AB</t>
        </is>
      </c>
      <c r="G626" t="n">
        <v>1.1</v>
      </c>
      <c r="H626" t="n">
        <v>0</v>
      </c>
      <c r="I626" t="n">
        <v>0</v>
      </c>
      <c r="J626" t="n">
        <v>0</v>
      </c>
      <c r="K626" t="n">
        <v>0</v>
      </c>
      <c r="L626" t="n">
        <v>0</v>
      </c>
      <c r="M626" t="n">
        <v>0</v>
      </c>
      <c r="N626" t="n">
        <v>0</v>
      </c>
      <c r="O626" t="n">
        <v>0</v>
      </c>
      <c r="P626" t="n">
        <v>0</v>
      </c>
      <c r="Q626" t="n">
        <v>0</v>
      </c>
      <c r="R626" s="2" t="inlineStr"/>
    </row>
    <row r="627" ht="15" customHeight="1">
      <c r="A627" t="inlineStr">
        <is>
          <t>A 32750-2022</t>
        </is>
      </c>
      <c r="B627" s="1" t="n">
        <v>44783.76981481481</v>
      </c>
      <c r="C627" s="1" t="n">
        <v>45911</v>
      </c>
      <c r="D627" t="inlineStr">
        <is>
          <t>GÄVLEBORGS LÄN</t>
        </is>
      </c>
      <c r="E627" t="inlineStr">
        <is>
          <t>SÖDERHAMN</t>
        </is>
      </c>
      <c r="G627" t="n">
        <v>1.2</v>
      </c>
      <c r="H627" t="n">
        <v>0</v>
      </c>
      <c r="I627" t="n">
        <v>0</v>
      </c>
      <c r="J627" t="n">
        <v>0</v>
      </c>
      <c r="K627" t="n">
        <v>0</v>
      </c>
      <c r="L627" t="n">
        <v>0</v>
      </c>
      <c r="M627" t="n">
        <v>0</v>
      </c>
      <c r="N627" t="n">
        <v>0</v>
      </c>
      <c r="O627" t="n">
        <v>0</v>
      </c>
      <c r="P627" t="n">
        <v>0</v>
      </c>
      <c r="Q627" t="n">
        <v>0</v>
      </c>
      <c r="R627" s="2" t="inlineStr"/>
    </row>
    <row r="628" ht="15" customHeight="1">
      <c r="A628" t="inlineStr">
        <is>
          <t>A 31432-2022</t>
        </is>
      </c>
      <c r="B628" s="1" t="n">
        <v>44774.92493055556</v>
      </c>
      <c r="C628" s="1" t="n">
        <v>45911</v>
      </c>
      <c r="D628" t="inlineStr">
        <is>
          <t>GÄVLEBORGS LÄN</t>
        </is>
      </c>
      <c r="E628" t="inlineStr">
        <is>
          <t>NORDANSTIG</t>
        </is>
      </c>
      <c r="G628" t="n">
        <v>0.6</v>
      </c>
      <c r="H628" t="n">
        <v>0</v>
      </c>
      <c r="I628" t="n">
        <v>0</v>
      </c>
      <c r="J628" t="n">
        <v>0</v>
      </c>
      <c r="K628" t="n">
        <v>0</v>
      </c>
      <c r="L628" t="n">
        <v>0</v>
      </c>
      <c r="M628" t="n">
        <v>0</v>
      </c>
      <c r="N628" t="n">
        <v>0</v>
      </c>
      <c r="O628" t="n">
        <v>0</v>
      </c>
      <c r="P628" t="n">
        <v>0</v>
      </c>
      <c r="Q628" t="n">
        <v>0</v>
      </c>
      <c r="R628" s="2" t="inlineStr"/>
    </row>
    <row r="629" ht="15" customHeight="1">
      <c r="A629" t="inlineStr">
        <is>
          <t>A 53079-2022</t>
        </is>
      </c>
      <c r="B629" s="1" t="n">
        <v>44876</v>
      </c>
      <c r="C629" s="1" t="n">
        <v>45911</v>
      </c>
      <c r="D629" t="inlineStr">
        <is>
          <t>GÄVLEBORGS LÄN</t>
        </is>
      </c>
      <c r="E629" t="inlineStr">
        <is>
          <t>NORDANSTIG</t>
        </is>
      </c>
      <c r="F629" t="inlineStr">
        <is>
          <t>Holmen skog AB</t>
        </is>
      </c>
      <c r="G629" t="n">
        <v>7.2</v>
      </c>
      <c r="H629" t="n">
        <v>0</v>
      </c>
      <c r="I629" t="n">
        <v>0</v>
      </c>
      <c r="J629" t="n">
        <v>0</v>
      </c>
      <c r="K629" t="n">
        <v>0</v>
      </c>
      <c r="L629" t="n">
        <v>0</v>
      </c>
      <c r="M629" t="n">
        <v>0</v>
      </c>
      <c r="N629" t="n">
        <v>0</v>
      </c>
      <c r="O629" t="n">
        <v>0</v>
      </c>
      <c r="P629" t="n">
        <v>0</v>
      </c>
      <c r="Q629" t="n">
        <v>0</v>
      </c>
      <c r="R629" s="2" t="inlineStr"/>
    </row>
    <row r="630" ht="15" customHeight="1">
      <c r="A630" t="inlineStr">
        <is>
          <t>A 34722-2022</t>
        </is>
      </c>
      <c r="B630" s="1" t="n">
        <v>44795.59144675926</v>
      </c>
      <c r="C630" s="1" t="n">
        <v>45911</v>
      </c>
      <c r="D630" t="inlineStr">
        <is>
          <t>GÄVLEBORGS LÄN</t>
        </is>
      </c>
      <c r="E630" t="inlineStr">
        <is>
          <t>OCKELBO</t>
        </is>
      </c>
      <c r="G630" t="n">
        <v>0.3</v>
      </c>
      <c r="H630" t="n">
        <v>0</v>
      </c>
      <c r="I630" t="n">
        <v>0</v>
      </c>
      <c r="J630" t="n">
        <v>0</v>
      </c>
      <c r="K630" t="n">
        <v>0</v>
      </c>
      <c r="L630" t="n">
        <v>0</v>
      </c>
      <c r="M630" t="n">
        <v>0</v>
      </c>
      <c r="N630" t="n">
        <v>0</v>
      </c>
      <c r="O630" t="n">
        <v>0</v>
      </c>
      <c r="P630" t="n">
        <v>0</v>
      </c>
      <c r="Q630" t="n">
        <v>0</v>
      </c>
      <c r="R630" s="2" t="inlineStr"/>
    </row>
    <row r="631" ht="15" customHeight="1">
      <c r="A631" t="inlineStr">
        <is>
          <t>A 36236-2022</t>
        </is>
      </c>
      <c r="B631" s="1" t="n">
        <v>44803</v>
      </c>
      <c r="C631" s="1" t="n">
        <v>45911</v>
      </c>
      <c r="D631" t="inlineStr">
        <is>
          <t>GÄVLEBORGS LÄN</t>
        </is>
      </c>
      <c r="E631" t="inlineStr">
        <is>
          <t>HUDIKSVALL</t>
        </is>
      </c>
      <c r="G631" t="n">
        <v>0.6</v>
      </c>
      <c r="H631" t="n">
        <v>0</v>
      </c>
      <c r="I631" t="n">
        <v>0</v>
      </c>
      <c r="J631" t="n">
        <v>0</v>
      </c>
      <c r="K631" t="n">
        <v>0</v>
      </c>
      <c r="L631" t="n">
        <v>0</v>
      </c>
      <c r="M631" t="n">
        <v>0</v>
      </c>
      <c r="N631" t="n">
        <v>0</v>
      </c>
      <c r="O631" t="n">
        <v>0</v>
      </c>
      <c r="P631" t="n">
        <v>0</v>
      </c>
      <c r="Q631" t="n">
        <v>0</v>
      </c>
      <c r="R631" s="2" t="inlineStr"/>
    </row>
    <row r="632" ht="15" customHeight="1">
      <c r="A632" t="inlineStr">
        <is>
          <t>A 31419-2022</t>
        </is>
      </c>
      <c r="B632" s="1" t="n">
        <v>44774.70063657407</v>
      </c>
      <c r="C632" s="1" t="n">
        <v>45911</v>
      </c>
      <c r="D632" t="inlineStr">
        <is>
          <t>GÄVLEBORGS LÄN</t>
        </is>
      </c>
      <c r="E632" t="inlineStr">
        <is>
          <t>SANDVIKEN</t>
        </is>
      </c>
      <c r="F632" t="inlineStr">
        <is>
          <t>Sveaskog</t>
        </is>
      </c>
      <c r="G632" t="n">
        <v>0.4</v>
      </c>
      <c r="H632" t="n">
        <v>0</v>
      </c>
      <c r="I632" t="n">
        <v>0</v>
      </c>
      <c r="J632" t="n">
        <v>0</v>
      </c>
      <c r="K632" t="n">
        <v>0</v>
      </c>
      <c r="L632" t="n">
        <v>0</v>
      </c>
      <c r="M632" t="n">
        <v>0</v>
      </c>
      <c r="N632" t="n">
        <v>0</v>
      </c>
      <c r="O632" t="n">
        <v>0</v>
      </c>
      <c r="P632" t="n">
        <v>0</v>
      </c>
      <c r="Q632" t="n">
        <v>0</v>
      </c>
      <c r="R632" s="2" t="inlineStr"/>
    </row>
    <row r="633" ht="15" customHeight="1">
      <c r="A633" t="inlineStr">
        <is>
          <t>A 4866-2021</t>
        </is>
      </c>
      <c r="B633" s="1" t="n">
        <v>44225</v>
      </c>
      <c r="C633" s="1" t="n">
        <v>45911</v>
      </c>
      <c r="D633" t="inlineStr">
        <is>
          <t>GÄVLEBORGS LÄN</t>
        </is>
      </c>
      <c r="E633" t="inlineStr">
        <is>
          <t>HUDIKSVALL</t>
        </is>
      </c>
      <c r="G633" t="n">
        <v>3</v>
      </c>
      <c r="H633" t="n">
        <v>0</v>
      </c>
      <c r="I633" t="n">
        <v>0</v>
      </c>
      <c r="J633" t="n">
        <v>0</v>
      </c>
      <c r="K633" t="n">
        <v>0</v>
      </c>
      <c r="L633" t="n">
        <v>0</v>
      </c>
      <c r="M633" t="n">
        <v>0</v>
      </c>
      <c r="N633" t="n">
        <v>0</v>
      </c>
      <c r="O633" t="n">
        <v>0</v>
      </c>
      <c r="P633" t="n">
        <v>0</v>
      </c>
      <c r="Q633" t="n">
        <v>0</v>
      </c>
      <c r="R633" s="2" t="inlineStr"/>
    </row>
    <row r="634" ht="15" customHeight="1">
      <c r="A634" t="inlineStr">
        <is>
          <t>A 69432-2020</t>
        </is>
      </c>
      <c r="B634" s="1" t="n">
        <v>44194</v>
      </c>
      <c r="C634" s="1" t="n">
        <v>45911</v>
      </c>
      <c r="D634" t="inlineStr">
        <is>
          <t>GÄVLEBORGS LÄN</t>
        </is>
      </c>
      <c r="E634" t="inlineStr">
        <is>
          <t>BOLLNÄS</t>
        </is>
      </c>
      <c r="G634" t="n">
        <v>2.5</v>
      </c>
      <c r="H634" t="n">
        <v>0</v>
      </c>
      <c r="I634" t="n">
        <v>0</v>
      </c>
      <c r="J634" t="n">
        <v>0</v>
      </c>
      <c r="K634" t="n">
        <v>0</v>
      </c>
      <c r="L634" t="n">
        <v>0</v>
      </c>
      <c r="M634" t="n">
        <v>0</v>
      </c>
      <c r="N634" t="n">
        <v>0</v>
      </c>
      <c r="O634" t="n">
        <v>0</v>
      </c>
      <c r="P634" t="n">
        <v>0</v>
      </c>
      <c r="Q634" t="n">
        <v>0</v>
      </c>
      <c r="R634" s="2" t="inlineStr"/>
    </row>
    <row r="635" ht="15" customHeight="1">
      <c r="A635" t="inlineStr">
        <is>
          <t>A 48201-2022</t>
        </is>
      </c>
      <c r="B635" s="1" t="n">
        <v>44858.42059027778</v>
      </c>
      <c r="C635" s="1" t="n">
        <v>45911</v>
      </c>
      <c r="D635" t="inlineStr">
        <is>
          <t>GÄVLEBORGS LÄN</t>
        </is>
      </c>
      <c r="E635" t="inlineStr">
        <is>
          <t>OCKELBO</t>
        </is>
      </c>
      <c r="F635" t="inlineStr">
        <is>
          <t>Bergvik skog väst AB</t>
        </is>
      </c>
      <c r="G635" t="n">
        <v>2.4</v>
      </c>
      <c r="H635" t="n">
        <v>0</v>
      </c>
      <c r="I635" t="n">
        <v>0</v>
      </c>
      <c r="J635" t="n">
        <v>0</v>
      </c>
      <c r="K635" t="n">
        <v>0</v>
      </c>
      <c r="L635" t="n">
        <v>0</v>
      </c>
      <c r="M635" t="n">
        <v>0</v>
      </c>
      <c r="N635" t="n">
        <v>0</v>
      </c>
      <c r="O635" t="n">
        <v>0</v>
      </c>
      <c r="P635" t="n">
        <v>0</v>
      </c>
      <c r="Q635" t="n">
        <v>0</v>
      </c>
      <c r="R635" s="2" t="inlineStr"/>
    </row>
    <row r="636" ht="15" customHeight="1">
      <c r="A636" t="inlineStr">
        <is>
          <t>A 51062-2020</t>
        </is>
      </c>
      <c r="B636" s="1" t="n">
        <v>44112</v>
      </c>
      <c r="C636" s="1" t="n">
        <v>45911</v>
      </c>
      <c r="D636" t="inlineStr">
        <is>
          <t>GÄVLEBORGS LÄN</t>
        </is>
      </c>
      <c r="E636" t="inlineStr">
        <is>
          <t>NORDANSTIG</t>
        </is>
      </c>
      <c r="G636" t="n">
        <v>1.8</v>
      </c>
      <c r="H636" t="n">
        <v>0</v>
      </c>
      <c r="I636" t="n">
        <v>0</v>
      </c>
      <c r="J636" t="n">
        <v>0</v>
      </c>
      <c r="K636" t="n">
        <v>0</v>
      </c>
      <c r="L636" t="n">
        <v>0</v>
      </c>
      <c r="M636" t="n">
        <v>0</v>
      </c>
      <c r="N636" t="n">
        <v>0</v>
      </c>
      <c r="O636" t="n">
        <v>0</v>
      </c>
      <c r="P636" t="n">
        <v>0</v>
      </c>
      <c r="Q636" t="n">
        <v>0</v>
      </c>
      <c r="R636" s="2" t="inlineStr"/>
    </row>
    <row r="637" ht="15" customHeight="1">
      <c r="A637" t="inlineStr">
        <is>
          <t>A 580-2021</t>
        </is>
      </c>
      <c r="B637" s="1" t="n">
        <v>44201</v>
      </c>
      <c r="C637" s="1" t="n">
        <v>45911</v>
      </c>
      <c r="D637" t="inlineStr">
        <is>
          <t>GÄVLEBORGS LÄN</t>
        </is>
      </c>
      <c r="E637" t="inlineStr">
        <is>
          <t>SÖDERHAMN</t>
        </is>
      </c>
      <c r="G637" t="n">
        <v>2.7</v>
      </c>
      <c r="H637" t="n">
        <v>0</v>
      </c>
      <c r="I637" t="n">
        <v>0</v>
      </c>
      <c r="J637" t="n">
        <v>0</v>
      </c>
      <c r="K637" t="n">
        <v>0</v>
      </c>
      <c r="L637" t="n">
        <v>0</v>
      </c>
      <c r="M637" t="n">
        <v>0</v>
      </c>
      <c r="N637" t="n">
        <v>0</v>
      </c>
      <c r="O637" t="n">
        <v>0</v>
      </c>
      <c r="P637" t="n">
        <v>0</v>
      </c>
      <c r="Q637" t="n">
        <v>0</v>
      </c>
      <c r="R637" s="2" t="inlineStr"/>
    </row>
    <row r="638" ht="15" customHeight="1">
      <c r="A638" t="inlineStr">
        <is>
          <t>A 629-2021</t>
        </is>
      </c>
      <c r="B638" s="1" t="n">
        <v>44203</v>
      </c>
      <c r="C638" s="1" t="n">
        <v>45911</v>
      </c>
      <c r="D638" t="inlineStr">
        <is>
          <t>GÄVLEBORGS LÄN</t>
        </is>
      </c>
      <c r="E638" t="inlineStr">
        <is>
          <t>BOLLNÄS</t>
        </is>
      </c>
      <c r="F638" t="inlineStr">
        <is>
          <t>Bergvik skog väst AB</t>
        </is>
      </c>
      <c r="G638" t="n">
        <v>1.7</v>
      </c>
      <c r="H638" t="n">
        <v>0</v>
      </c>
      <c r="I638" t="n">
        <v>0</v>
      </c>
      <c r="J638" t="n">
        <v>0</v>
      </c>
      <c r="K638" t="n">
        <v>0</v>
      </c>
      <c r="L638" t="n">
        <v>0</v>
      </c>
      <c r="M638" t="n">
        <v>0</v>
      </c>
      <c r="N638" t="n">
        <v>0</v>
      </c>
      <c r="O638" t="n">
        <v>0</v>
      </c>
      <c r="P638" t="n">
        <v>0</v>
      </c>
      <c r="Q638" t="n">
        <v>0</v>
      </c>
      <c r="R638" s="2" t="inlineStr"/>
    </row>
    <row r="639" ht="15" customHeight="1">
      <c r="A639" t="inlineStr">
        <is>
          <t>A 18786-2021</t>
        </is>
      </c>
      <c r="B639" s="1" t="n">
        <v>44307</v>
      </c>
      <c r="C639" s="1" t="n">
        <v>45911</v>
      </c>
      <c r="D639" t="inlineStr">
        <is>
          <t>GÄVLEBORGS LÄN</t>
        </is>
      </c>
      <c r="E639" t="inlineStr">
        <is>
          <t>LJUSDAL</t>
        </is>
      </c>
      <c r="G639" t="n">
        <v>4.9</v>
      </c>
      <c r="H639" t="n">
        <v>0</v>
      </c>
      <c r="I639" t="n">
        <v>0</v>
      </c>
      <c r="J639" t="n">
        <v>0</v>
      </c>
      <c r="K639" t="n">
        <v>0</v>
      </c>
      <c r="L639" t="n">
        <v>0</v>
      </c>
      <c r="M639" t="n">
        <v>0</v>
      </c>
      <c r="N639" t="n">
        <v>0</v>
      </c>
      <c r="O639" t="n">
        <v>0</v>
      </c>
      <c r="P639" t="n">
        <v>0</v>
      </c>
      <c r="Q639" t="n">
        <v>0</v>
      </c>
      <c r="R639" s="2" t="inlineStr"/>
    </row>
    <row r="640" ht="15" customHeight="1">
      <c r="A640" t="inlineStr">
        <is>
          <t>A 69569-2020</t>
        </is>
      </c>
      <c r="B640" s="1" t="n">
        <v>44194</v>
      </c>
      <c r="C640" s="1" t="n">
        <v>45911</v>
      </c>
      <c r="D640" t="inlineStr">
        <is>
          <t>GÄVLEBORGS LÄN</t>
        </is>
      </c>
      <c r="E640" t="inlineStr">
        <is>
          <t>LJUSDAL</t>
        </is>
      </c>
      <c r="G640" t="n">
        <v>1.7</v>
      </c>
      <c r="H640" t="n">
        <v>0</v>
      </c>
      <c r="I640" t="n">
        <v>0</v>
      </c>
      <c r="J640" t="n">
        <v>0</v>
      </c>
      <c r="K640" t="n">
        <v>0</v>
      </c>
      <c r="L640" t="n">
        <v>0</v>
      </c>
      <c r="M640" t="n">
        <v>0</v>
      </c>
      <c r="N640" t="n">
        <v>0</v>
      </c>
      <c r="O640" t="n">
        <v>0</v>
      </c>
      <c r="P640" t="n">
        <v>0</v>
      </c>
      <c r="Q640" t="n">
        <v>0</v>
      </c>
      <c r="R640" s="2" t="inlineStr"/>
    </row>
    <row r="641" ht="15" customHeight="1">
      <c r="A641" t="inlineStr">
        <is>
          <t>A 1850-2021</t>
        </is>
      </c>
      <c r="B641" s="1" t="n">
        <v>44210</v>
      </c>
      <c r="C641" s="1" t="n">
        <v>45911</v>
      </c>
      <c r="D641" t="inlineStr">
        <is>
          <t>GÄVLEBORGS LÄN</t>
        </is>
      </c>
      <c r="E641" t="inlineStr">
        <is>
          <t>BOLLNÄS</t>
        </is>
      </c>
      <c r="F641" t="inlineStr">
        <is>
          <t>Bergvik skog väst AB</t>
        </is>
      </c>
      <c r="G641" t="n">
        <v>0.5</v>
      </c>
      <c r="H641" t="n">
        <v>0</v>
      </c>
      <c r="I641" t="n">
        <v>0</v>
      </c>
      <c r="J641" t="n">
        <v>0</v>
      </c>
      <c r="K641" t="n">
        <v>0</v>
      </c>
      <c r="L641" t="n">
        <v>0</v>
      </c>
      <c r="M641" t="n">
        <v>0</v>
      </c>
      <c r="N641" t="n">
        <v>0</v>
      </c>
      <c r="O641" t="n">
        <v>0</v>
      </c>
      <c r="P641" t="n">
        <v>0</v>
      </c>
      <c r="Q641" t="n">
        <v>0</v>
      </c>
      <c r="R641" s="2" t="inlineStr"/>
    </row>
    <row r="642" ht="15" customHeight="1">
      <c r="A642" t="inlineStr">
        <is>
          <t>A 63370-2020</t>
        </is>
      </c>
      <c r="B642" s="1" t="n">
        <v>44165.4840625</v>
      </c>
      <c r="C642" s="1" t="n">
        <v>45911</v>
      </c>
      <c r="D642" t="inlineStr">
        <is>
          <t>GÄVLEBORGS LÄN</t>
        </is>
      </c>
      <c r="E642" t="inlineStr">
        <is>
          <t>OCKELBO</t>
        </is>
      </c>
      <c r="G642" t="n">
        <v>3.8</v>
      </c>
      <c r="H642" t="n">
        <v>0</v>
      </c>
      <c r="I642" t="n">
        <v>0</v>
      </c>
      <c r="J642" t="n">
        <v>0</v>
      </c>
      <c r="K642" t="n">
        <v>0</v>
      </c>
      <c r="L642" t="n">
        <v>0</v>
      </c>
      <c r="M642" t="n">
        <v>0</v>
      </c>
      <c r="N642" t="n">
        <v>0</v>
      </c>
      <c r="O642" t="n">
        <v>0</v>
      </c>
      <c r="P642" t="n">
        <v>0</v>
      </c>
      <c r="Q642" t="n">
        <v>0</v>
      </c>
      <c r="R642" s="2" t="inlineStr"/>
    </row>
    <row r="643" ht="15" customHeight="1">
      <c r="A643" t="inlineStr">
        <is>
          <t>A 50876-2021</t>
        </is>
      </c>
      <c r="B643" s="1" t="n">
        <v>44460</v>
      </c>
      <c r="C643" s="1" t="n">
        <v>45911</v>
      </c>
      <c r="D643" t="inlineStr">
        <is>
          <t>GÄVLEBORGS LÄN</t>
        </is>
      </c>
      <c r="E643" t="inlineStr">
        <is>
          <t>SANDVIKEN</t>
        </is>
      </c>
      <c r="F643" t="inlineStr">
        <is>
          <t>Sveaskog</t>
        </is>
      </c>
      <c r="G643" t="n">
        <v>0.6</v>
      </c>
      <c r="H643" t="n">
        <v>0</v>
      </c>
      <c r="I643" t="n">
        <v>0</v>
      </c>
      <c r="J643" t="n">
        <v>0</v>
      </c>
      <c r="K643" t="n">
        <v>0</v>
      </c>
      <c r="L643" t="n">
        <v>0</v>
      </c>
      <c r="M643" t="n">
        <v>0</v>
      </c>
      <c r="N643" t="n">
        <v>0</v>
      </c>
      <c r="O643" t="n">
        <v>0</v>
      </c>
      <c r="P643" t="n">
        <v>0</v>
      </c>
      <c r="Q643" t="n">
        <v>0</v>
      </c>
      <c r="R643" s="2" t="inlineStr"/>
    </row>
    <row r="644" ht="15" customHeight="1">
      <c r="A644" t="inlineStr">
        <is>
          <t>A 55269-2020</t>
        </is>
      </c>
      <c r="B644" s="1" t="n">
        <v>44130</v>
      </c>
      <c r="C644" s="1" t="n">
        <v>45911</v>
      </c>
      <c r="D644" t="inlineStr">
        <is>
          <t>GÄVLEBORGS LÄN</t>
        </is>
      </c>
      <c r="E644" t="inlineStr">
        <is>
          <t>SÖDERHAMN</t>
        </is>
      </c>
      <c r="G644" t="n">
        <v>1.2</v>
      </c>
      <c r="H644" t="n">
        <v>0</v>
      </c>
      <c r="I644" t="n">
        <v>0</v>
      </c>
      <c r="J644" t="n">
        <v>0</v>
      </c>
      <c r="K644" t="n">
        <v>0</v>
      </c>
      <c r="L644" t="n">
        <v>0</v>
      </c>
      <c r="M644" t="n">
        <v>0</v>
      </c>
      <c r="N644" t="n">
        <v>0</v>
      </c>
      <c r="O644" t="n">
        <v>0</v>
      </c>
      <c r="P644" t="n">
        <v>0</v>
      </c>
      <c r="Q644" t="n">
        <v>0</v>
      </c>
      <c r="R644" s="2" t="inlineStr"/>
    </row>
    <row r="645" ht="15" customHeight="1">
      <c r="A645" t="inlineStr">
        <is>
          <t>A 16307-2021</t>
        </is>
      </c>
      <c r="B645" s="1" t="n">
        <v>44292.69246527777</v>
      </c>
      <c r="C645" s="1" t="n">
        <v>45911</v>
      </c>
      <c r="D645" t="inlineStr">
        <is>
          <t>GÄVLEBORGS LÄN</t>
        </is>
      </c>
      <c r="E645" t="inlineStr">
        <is>
          <t>SÖDERHAMN</t>
        </is>
      </c>
      <c r="G645" t="n">
        <v>1.2</v>
      </c>
      <c r="H645" t="n">
        <v>0</v>
      </c>
      <c r="I645" t="n">
        <v>0</v>
      </c>
      <c r="J645" t="n">
        <v>0</v>
      </c>
      <c r="K645" t="n">
        <v>0</v>
      </c>
      <c r="L645" t="n">
        <v>0</v>
      </c>
      <c r="M645" t="n">
        <v>0</v>
      </c>
      <c r="N645" t="n">
        <v>0</v>
      </c>
      <c r="O645" t="n">
        <v>0</v>
      </c>
      <c r="P645" t="n">
        <v>0</v>
      </c>
      <c r="Q645" t="n">
        <v>0</v>
      </c>
      <c r="R645" s="2" t="inlineStr"/>
    </row>
    <row r="646" ht="15" customHeight="1">
      <c r="A646" t="inlineStr">
        <is>
          <t>A 64068-2021</t>
        </is>
      </c>
      <c r="B646" s="1" t="n">
        <v>44510.39528935185</v>
      </c>
      <c r="C646" s="1" t="n">
        <v>45911</v>
      </c>
      <c r="D646" t="inlineStr">
        <is>
          <t>GÄVLEBORGS LÄN</t>
        </is>
      </c>
      <c r="E646" t="inlineStr">
        <is>
          <t>SANDVIKEN</t>
        </is>
      </c>
      <c r="G646" t="n">
        <v>4.8</v>
      </c>
      <c r="H646" t="n">
        <v>0</v>
      </c>
      <c r="I646" t="n">
        <v>0</v>
      </c>
      <c r="J646" t="n">
        <v>0</v>
      </c>
      <c r="K646" t="n">
        <v>0</v>
      </c>
      <c r="L646" t="n">
        <v>0</v>
      </c>
      <c r="M646" t="n">
        <v>0</v>
      </c>
      <c r="N646" t="n">
        <v>0</v>
      </c>
      <c r="O646" t="n">
        <v>0</v>
      </c>
      <c r="P646" t="n">
        <v>0</v>
      </c>
      <c r="Q646" t="n">
        <v>0</v>
      </c>
      <c r="R646" s="2" t="inlineStr"/>
    </row>
    <row r="647" ht="15" customHeight="1">
      <c r="A647" t="inlineStr">
        <is>
          <t>A 55600-2020</t>
        </is>
      </c>
      <c r="B647" s="1" t="n">
        <v>44131</v>
      </c>
      <c r="C647" s="1" t="n">
        <v>45911</v>
      </c>
      <c r="D647" t="inlineStr">
        <is>
          <t>GÄVLEBORGS LÄN</t>
        </is>
      </c>
      <c r="E647" t="inlineStr">
        <is>
          <t>OVANÅKER</t>
        </is>
      </c>
      <c r="G647" t="n">
        <v>0.9</v>
      </c>
      <c r="H647" t="n">
        <v>0</v>
      </c>
      <c r="I647" t="n">
        <v>0</v>
      </c>
      <c r="J647" t="n">
        <v>0</v>
      </c>
      <c r="K647" t="n">
        <v>0</v>
      </c>
      <c r="L647" t="n">
        <v>0</v>
      </c>
      <c r="M647" t="n">
        <v>0</v>
      </c>
      <c r="N647" t="n">
        <v>0</v>
      </c>
      <c r="O647" t="n">
        <v>0</v>
      </c>
      <c r="P647" t="n">
        <v>0</v>
      </c>
      <c r="Q647" t="n">
        <v>0</v>
      </c>
      <c r="R647" s="2" t="inlineStr"/>
    </row>
    <row r="648" ht="15" customHeight="1">
      <c r="A648" t="inlineStr">
        <is>
          <t>A 55604-2020</t>
        </is>
      </c>
      <c r="B648" s="1" t="n">
        <v>44131</v>
      </c>
      <c r="C648" s="1" t="n">
        <v>45911</v>
      </c>
      <c r="D648" t="inlineStr">
        <is>
          <t>GÄVLEBORGS LÄN</t>
        </is>
      </c>
      <c r="E648" t="inlineStr">
        <is>
          <t>OVANÅKER</t>
        </is>
      </c>
      <c r="G648" t="n">
        <v>1</v>
      </c>
      <c r="H648" t="n">
        <v>0</v>
      </c>
      <c r="I648" t="n">
        <v>0</v>
      </c>
      <c r="J648" t="n">
        <v>0</v>
      </c>
      <c r="K648" t="n">
        <v>0</v>
      </c>
      <c r="L648" t="n">
        <v>0</v>
      </c>
      <c r="M648" t="n">
        <v>0</v>
      </c>
      <c r="N648" t="n">
        <v>0</v>
      </c>
      <c r="O648" t="n">
        <v>0</v>
      </c>
      <c r="P648" t="n">
        <v>0</v>
      </c>
      <c r="Q648" t="n">
        <v>0</v>
      </c>
      <c r="R648" s="2" t="inlineStr"/>
    </row>
    <row r="649" ht="15" customHeight="1">
      <c r="A649" t="inlineStr">
        <is>
          <t>A 15280-2021</t>
        </is>
      </c>
      <c r="B649" s="1" t="n">
        <v>44284.57682870371</v>
      </c>
      <c r="C649" s="1" t="n">
        <v>45911</v>
      </c>
      <c r="D649" t="inlineStr">
        <is>
          <t>GÄVLEBORGS LÄN</t>
        </is>
      </c>
      <c r="E649" t="inlineStr">
        <is>
          <t>GÄVLE</t>
        </is>
      </c>
      <c r="F649" t="inlineStr">
        <is>
          <t>Bergvik skog öst AB</t>
        </is>
      </c>
      <c r="G649" t="n">
        <v>1.9</v>
      </c>
      <c r="H649" t="n">
        <v>0</v>
      </c>
      <c r="I649" t="n">
        <v>0</v>
      </c>
      <c r="J649" t="n">
        <v>0</v>
      </c>
      <c r="K649" t="n">
        <v>0</v>
      </c>
      <c r="L649" t="n">
        <v>0</v>
      </c>
      <c r="M649" t="n">
        <v>0</v>
      </c>
      <c r="N649" t="n">
        <v>0</v>
      </c>
      <c r="O649" t="n">
        <v>0</v>
      </c>
      <c r="P649" t="n">
        <v>0</v>
      </c>
      <c r="Q649" t="n">
        <v>0</v>
      </c>
      <c r="R649" s="2" t="inlineStr"/>
    </row>
    <row r="650" ht="15" customHeight="1">
      <c r="A650" t="inlineStr">
        <is>
          <t>A 69675-2020</t>
        </is>
      </c>
      <c r="B650" s="1" t="n">
        <v>44196</v>
      </c>
      <c r="C650" s="1" t="n">
        <v>45911</v>
      </c>
      <c r="D650" t="inlineStr">
        <is>
          <t>GÄVLEBORGS LÄN</t>
        </is>
      </c>
      <c r="E650" t="inlineStr">
        <is>
          <t>GÄVLE</t>
        </is>
      </c>
      <c r="F650" t="inlineStr">
        <is>
          <t>Bergvik skog öst AB</t>
        </is>
      </c>
      <c r="G650" t="n">
        <v>0.7</v>
      </c>
      <c r="H650" t="n">
        <v>0</v>
      </c>
      <c r="I650" t="n">
        <v>0</v>
      </c>
      <c r="J650" t="n">
        <v>0</v>
      </c>
      <c r="K650" t="n">
        <v>0</v>
      </c>
      <c r="L650" t="n">
        <v>0</v>
      </c>
      <c r="M650" t="n">
        <v>0</v>
      </c>
      <c r="N650" t="n">
        <v>0</v>
      </c>
      <c r="O650" t="n">
        <v>0</v>
      </c>
      <c r="P650" t="n">
        <v>0</v>
      </c>
      <c r="Q650" t="n">
        <v>0</v>
      </c>
      <c r="R650" s="2" t="inlineStr"/>
    </row>
    <row r="651" ht="15" customHeight="1">
      <c r="A651" t="inlineStr">
        <is>
          <t>A 63084-2021</t>
        </is>
      </c>
      <c r="B651" s="1" t="n">
        <v>44505.57767361111</v>
      </c>
      <c r="C651" s="1" t="n">
        <v>45911</v>
      </c>
      <c r="D651" t="inlineStr">
        <is>
          <t>GÄVLEBORGS LÄN</t>
        </is>
      </c>
      <c r="E651" t="inlineStr">
        <is>
          <t>SANDVIKEN</t>
        </is>
      </c>
      <c r="G651" t="n">
        <v>2.5</v>
      </c>
      <c r="H651" t="n">
        <v>0</v>
      </c>
      <c r="I651" t="n">
        <v>0</v>
      </c>
      <c r="J651" t="n">
        <v>0</v>
      </c>
      <c r="K651" t="n">
        <v>0</v>
      </c>
      <c r="L651" t="n">
        <v>0</v>
      </c>
      <c r="M651" t="n">
        <v>0</v>
      </c>
      <c r="N651" t="n">
        <v>0</v>
      </c>
      <c r="O651" t="n">
        <v>0</v>
      </c>
      <c r="P651" t="n">
        <v>0</v>
      </c>
      <c r="Q651" t="n">
        <v>0</v>
      </c>
      <c r="R651" s="2" t="inlineStr"/>
    </row>
    <row r="652" ht="15" customHeight="1">
      <c r="A652" t="inlineStr">
        <is>
          <t>A 13030-2021</t>
        </is>
      </c>
      <c r="B652" s="1" t="n">
        <v>44271</v>
      </c>
      <c r="C652" s="1" t="n">
        <v>45911</v>
      </c>
      <c r="D652" t="inlineStr">
        <is>
          <t>GÄVLEBORGS LÄN</t>
        </is>
      </c>
      <c r="E652" t="inlineStr">
        <is>
          <t>GÄVLE</t>
        </is>
      </c>
      <c r="F652" t="inlineStr">
        <is>
          <t>Bergvik skog öst AB</t>
        </is>
      </c>
      <c r="G652" t="n">
        <v>0.9</v>
      </c>
      <c r="H652" t="n">
        <v>0</v>
      </c>
      <c r="I652" t="n">
        <v>0</v>
      </c>
      <c r="J652" t="n">
        <v>0</v>
      </c>
      <c r="K652" t="n">
        <v>0</v>
      </c>
      <c r="L652" t="n">
        <v>0</v>
      </c>
      <c r="M652" t="n">
        <v>0</v>
      </c>
      <c r="N652" t="n">
        <v>0</v>
      </c>
      <c r="O652" t="n">
        <v>0</v>
      </c>
      <c r="P652" t="n">
        <v>0</v>
      </c>
      <c r="Q652" t="n">
        <v>0</v>
      </c>
      <c r="R652" s="2" t="inlineStr"/>
    </row>
    <row r="653" ht="15" customHeight="1">
      <c r="A653" t="inlineStr">
        <is>
          <t>A 3418-2021</t>
        </is>
      </c>
      <c r="B653" s="1" t="n">
        <v>44218</v>
      </c>
      <c r="C653" s="1" t="n">
        <v>45911</v>
      </c>
      <c r="D653" t="inlineStr">
        <is>
          <t>GÄVLEBORGS LÄN</t>
        </is>
      </c>
      <c r="E653" t="inlineStr">
        <is>
          <t>SÖDERHAMN</t>
        </is>
      </c>
      <c r="G653" t="n">
        <v>8.300000000000001</v>
      </c>
      <c r="H653" t="n">
        <v>0</v>
      </c>
      <c r="I653" t="n">
        <v>0</v>
      </c>
      <c r="J653" t="n">
        <v>0</v>
      </c>
      <c r="K653" t="n">
        <v>0</v>
      </c>
      <c r="L653" t="n">
        <v>0</v>
      </c>
      <c r="M653" t="n">
        <v>0</v>
      </c>
      <c r="N653" t="n">
        <v>0</v>
      </c>
      <c r="O653" t="n">
        <v>0</v>
      </c>
      <c r="P653" t="n">
        <v>0</v>
      </c>
      <c r="Q653" t="n">
        <v>0</v>
      </c>
      <c r="R653" s="2" t="inlineStr"/>
    </row>
    <row r="654" ht="15" customHeight="1">
      <c r="A654" t="inlineStr">
        <is>
          <t>A 56991-2020</t>
        </is>
      </c>
      <c r="B654" s="1" t="n">
        <v>44138</v>
      </c>
      <c r="C654" s="1" t="n">
        <v>45911</v>
      </c>
      <c r="D654" t="inlineStr">
        <is>
          <t>GÄVLEBORGS LÄN</t>
        </is>
      </c>
      <c r="E654" t="inlineStr">
        <is>
          <t>NORDANSTIG</t>
        </is>
      </c>
      <c r="G654" t="n">
        <v>1.6</v>
      </c>
      <c r="H654" t="n">
        <v>0</v>
      </c>
      <c r="I654" t="n">
        <v>0</v>
      </c>
      <c r="J654" t="n">
        <v>0</v>
      </c>
      <c r="K654" t="n">
        <v>0</v>
      </c>
      <c r="L654" t="n">
        <v>0</v>
      </c>
      <c r="M654" t="n">
        <v>0</v>
      </c>
      <c r="N654" t="n">
        <v>0</v>
      </c>
      <c r="O654" t="n">
        <v>0</v>
      </c>
      <c r="P654" t="n">
        <v>0</v>
      </c>
      <c r="Q654" t="n">
        <v>0</v>
      </c>
      <c r="R654" s="2" t="inlineStr"/>
    </row>
    <row r="655" ht="15" customHeight="1">
      <c r="A655" t="inlineStr">
        <is>
          <t>A 63423-2021</t>
        </is>
      </c>
      <c r="B655" s="1" t="n">
        <v>44508.56807870371</v>
      </c>
      <c r="C655" s="1" t="n">
        <v>45911</v>
      </c>
      <c r="D655" t="inlineStr">
        <is>
          <t>GÄVLEBORGS LÄN</t>
        </is>
      </c>
      <c r="E655" t="inlineStr">
        <is>
          <t>SÖDERHAMN</t>
        </is>
      </c>
      <c r="G655" t="n">
        <v>1.7</v>
      </c>
      <c r="H655" t="n">
        <v>0</v>
      </c>
      <c r="I655" t="n">
        <v>0</v>
      </c>
      <c r="J655" t="n">
        <v>0</v>
      </c>
      <c r="K655" t="n">
        <v>0</v>
      </c>
      <c r="L655" t="n">
        <v>0</v>
      </c>
      <c r="M655" t="n">
        <v>0</v>
      </c>
      <c r="N655" t="n">
        <v>0</v>
      </c>
      <c r="O655" t="n">
        <v>0</v>
      </c>
      <c r="P655" t="n">
        <v>0</v>
      </c>
      <c r="Q655" t="n">
        <v>0</v>
      </c>
      <c r="R655" s="2" t="inlineStr"/>
    </row>
    <row r="656" ht="15" customHeight="1">
      <c r="A656" t="inlineStr">
        <is>
          <t>A 65025-2020</t>
        </is>
      </c>
      <c r="B656" s="1" t="n">
        <v>44172.48135416667</v>
      </c>
      <c r="C656" s="1" t="n">
        <v>45911</v>
      </c>
      <c r="D656" t="inlineStr">
        <is>
          <t>GÄVLEBORGS LÄN</t>
        </is>
      </c>
      <c r="E656" t="inlineStr">
        <is>
          <t>SANDVIKEN</t>
        </is>
      </c>
      <c r="G656" t="n">
        <v>1.4</v>
      </c>
      <c r="H656" t="n">
        <v>0</v>
      </c>
      <c r="I656" t="n">
        <v>0</v>
      </c>
      <c r="J656" t="n">
        <v>0</v>
      </c>
      <c r="K656" t="n">
        <v>0</v>
      </c>
      <c r="L656" t="n">
        <v>0</v>
      </c>
      <c r="M656" t="n">
        <v>0</v>
      </c>
      <c r="N656" t="n">
        <v>0</v>
      </c>
      <c r="O656" t="n">
        <v>0</v>
      </c>
      <c r="P656" t="n">
        <v>0</v>
      </c>
      <c r="Q656" t="n">
        <v>0</v>
      </c>
      <c r="R656" s="2" t="inlineStr"/>
    </row>
    <row r="657" ht="15" customHeight="1">
      <c r="A657" t="inlineStr">
        <is>
          <t>A 22585-2021</t>
        </is>
      </c>
      <c r="B657" s="1" t="n">
        <v>44327.39894675926</v>
      </c>
      <c r="C657" s="1" t="n">
        <v>45911</v>
      </c>
      <c r="D657" t="inlineStr">
        <is>
          <t>GÄVLEBORGS LÄN</t>
        </is>
      </c>
      <c r="E657" t="inlineStr">
        <is>
          <t>OCKELBO</t>
        </is>
      </c>
      <c r="G657" t="n">
        <v>0.8</v>
      </c>
      <c r="H657" t="n">
        <v>0</v>
      </c>
      <c r="I657" t="n">
        <v>0</v>
      </c>
      <c r="J657" t="n">
        <v>0</v>
      </c>
      <c r="K657" t="n">
        <v>0</v>
      </c>
      <c r="L657" t="n">
        <v>0</v>
      </c>
      <c r="M657" t="n">
        <v>0</v>
      </c>
      <c r="N657" t="n">
        <v>0</v>
      </c>
      <c r="O657" t="n">
        <v>0</v>
      </c>
      <c r="P657" t="n">
        <v>0</v>
      </c>
      <c r="Q657" t="n">
        <v>0</v>
      </c>
      <c r="R657" s="2" t="inlineStr"/>
    </row>
    <row r="658" ht="15" customHeight="1">
      <c r="A658" t="inlineStr">
        <is>
          <t>A 65031-2020</t>
        </is>
      </c>
      <c r="B658" s="1" t="n">
        <v>44172</v>
      </c>
      <c r="C658" s="1" t="n">
        <v>45911</v>
      </c>
      <c r="D658" t="inlineStr">
        <is>
          <t>GÄVLEBORGS LÄN</t>
        </is>
      </c>
      <c r="E658" t="inlineStr">
        <is>
          <t>SÖDERHAMN</t>
        </is>
      </c>
      <c r="G658" t="n">
        <v>1.1</v>
      </c>
      <c r="H658" t="n">
        <v>0</v>
      </c>
      <c r="I658" t="n">
        <v>0</v>
      </c>
      <c r="J658" t="n">
        <v>0</v>
      </c>
      <c r="K658" t="n">
        <v>0</v>
      </c>
      <c r="L658" t="n">
        <v>0</v>
      </c>
      <c r="M658" t="n">
        <v>0</v>
      </c>
      <c r="N658" t="n">
        <v>0</v>
      </c>
      <c r="O658" t="n">
        <v>0</v>
      </c>
      <c r="P658" t="n">
        <v>0</v>
      </c>
      <c r="Q658" t="n">
        <v>0</v>
      </c>
      <c r="R658" s="2" t="inlineStr"/>
    </row>
    <row r="659" ht="15" customHeight="1">
      <c r="A659" t="inlineStr">
        <is>
          <t>A 15738-2021</t>
        </is>
      </c>
      <c r="B659" s="1" t="n">
        <v>44286.49304398148</v>
      </c>
      <c r="C659" s="1" t="n">
        <v>45911</v>
      </c>
      <c r="D659" t="inlineStr">
        <is>
          <t>GÄVLEBORGS LÄN</t>
        </is>
      </c>
      <c r="E659" t="inlineStr">
        <is>
          <t>GÄVLE</t>
        </is>
      </c>
      <c r="G659" t="n">
        <v>2.8</v>
      </c>
      <c r="H659" t="n">
        <v>0</v>
      </c>
      <c r="I659" t="n">
        <v>0</v>
      </c>
      <c r="J659" t="n">
        <v>0</v>
      </c>
      <c r="K659" t="n">
        <v>0</v>
      </c>
      <c r="L659" t="n">
        <v>0</v>
      </c>
      <c r="M659" t="n">
        <v>0</v>
      </c>
      <c r="N659" t="n">
        <v>0</v>
      </c>
      <c r="O659" t="n">
        <v>0</v>
      </c>
      <c r="P659" t="n">
        <v>0</v>
      </c>
      <c r="Q659" t="n">
        <v>0</v>
      </c>
      <c r="R659" s="2" t="inlineStr"/>
    </row>
    <row r="660" ht="15" customHeight="1">
      <c r="A660" t="inlineStr">
        <is>
          <t>A 4047-2021</t>
        </is>
      </c>
      <c r="B660" s="1" t="n">
        <v>44218</v>
      </c>
      <c r="C660" s="1" t="n">
        <v>45911</v>
      </c>
      <c r="D660" t="inlineStr">
        <is>
          <t>GÄVLEBORGS LÄN</t>
        </is>
      </c>
      <c r="E660" t="inlineStr">
        <is>
          <t>SÖDERHAMN</t>
        </is>
      </c>
      <c r="G660" t="n">
        <v>1.2</v>
      </c>
      <c r="H660" t="n">
        <v>0</v>
      </c>
      <c r="I660" t="n">
        <v>0</v>
      </c>
      <c r="J660" t="n">
        <v>0</v>
      </c>
      <c r="K660" t="n">
        <v>0</v>
      </c>
      <c r="L660" t="n">
        <v>0</v>
      </c>
      <c r="M660" t="n">
        <v>0</v>
      </c>
      <c r="N660" t="n">
        <v>0</v>
      </c>
      <c r="O660" t="n">
        <v>0</v>
      </c>
      <c r="P660" t="n">
        <v>0</v>
      </c>
      <c r="Q660" t="n">
        <v>0</v>
      </c>
      <c r="R660" s="2" t="inlineStr"/>
    </row>
    <row r="661" ht="15" customHeight="1">
      <c r="A661" t="inlineStr">
        <is>
          <t>A 67064-2020</t>
        </is>
      </c>
      <c r="B661" s="1" t="n">
        <v>44180</v>
      </c>
      <c r="C661" s="1" t="n">
        <v>45911</v>
      </c>
      <c r="D661" t="inlineStr">
        <is>
          <t>GÄVLEBORGS LÄN</t>
        </is>
      </c>
      <c r="E661" t="inlineStr">
        <is>
          <t>BOLLNÄS</t>
        </is>
      </c>
      <c r="G661" t="n">
        <v>3.2</v>
      </c>
      <c r="H661" t="n">
        <v>0</v>
      </c>
      <c r="I661" t="n">
        <v>0</v>
      </c>
      <c r="J661" t="n">
        <v>0</v>
      </c>
      <c r="K661" t="n">
        <v>0</v>
      </c>
      <c r="L661" t="n">
        <v>0</v>
      </c>
      <c r="M661" t="n">
        <v>0</v>
      </c>
      <c r="N661" t="n">
        <v>0</v>
      </c>
      <c r="O661" t="n">
        <v>0</v>
      </c>
      <c r="P661" t="n">
        <v>0</v>
      </c>
      <c r="Q661" t="n">
        <v>0</v>
      </c>
      <c r="R661" s="2" t="inlineStr"/>
    </row>
    <row r="662" ht="15" customHeight="1">
      <c r="A662" t="inlineStr">
        <is>
          <t>A 546-2021</t>
        </is>
      </c>
      <c r="B662" s="1" t="n">
        <v>44203</v>
      </c>
      <c r="C662" s="1" t="n">
        <v>45911</v>
      </c>
      <c r="D662" t="inlineStr">
        <is>
          <t>GÄVLEBORGS LÄN</t>
        </is>
      </c>
      <c r="E662" t="inlineStr">
        <is>
          <t>BOLLNÄS</t>
        </is>
      </c>
      <c r="F662" t="inlineStr">
        <is>
          <t>Bergvik skog väst AB</t>
        </is>
      </c>
      <c r="G662" t="n">
        <v>0.6</v>
      </c>
      <c r="H662" t="n">
        <v>0</v>
      </c>
      <c r="I662" t="n">
        <v>0</v>
      </c>
      <c r="J662" t="n">
        <v>0</v>
      </c>
      <c r="K662" t="n">
        <v>0</v>
      </c>
      <c r="L662" t="n">
        <v>0</v>
      </c>
      <c r="M662" t="n">
        <v>0</v>
      </c>
      <c r="N662" t="n">
        <v>0</v>
      </c>
      <c r="O662" t="n">
        <v>0</v>
      </c>
      <c r="P662" t="n">
        <v>0</v>
      </c>
      <c r="Q662" t="n">
        <v>0</v>
      </c>
      <c r="R662" s="2" t="inlineStr"/>
    </row>
    <row r="663" ht="15" customHeight="1">
      <c r="A663" t="inlineStr">
        <is>
          <t>A 55147-2020</t>
        </is>
      </c>
      <c r="B663" s="1" t="n">
        <v>44130</v>
      </c>
      <c r="C663" s="1" t="n">
        <v>45911</v>
      </c>
      <c r="D663" t="inlineStr">
        <is>
          <t>GÄVLEBORGS LÄN</t>
        </is>
      </c>
      <c r="E663" t="inlineStr">
        <is>
          <t>NORDANSTIG</t>
        </is>
      </c>
      <c r="G663" t="n">
        <v>0.2</v>
      </c>
      <c r="H663" t="n">
        <v>0</v>
      </c>
      <c r="I663" t="n">
        <v>0</v>
      </c>
      <c r="J663" t="n">
        <v>0</v>
      </c>
      <c r="K663" t="n">
        <v>0</v>
      </c>
      <c r="L663" t="n">
        <v>0</v>
      </c>
      <c r="M663" t="n">
        <v>0</v>
      </c>
      <c r="N663" t="n">
        <v>0</v>
      </c>
      <c r="O663" t="n">
        <v>0</v>
      </c>
      <c r="P663" t="n">
        <v>0</v>
      </c>
      <c r="Q663" t="n">
        <v>0</v>
      </c>
      <c r="R663" s="2" t="inlineStr"/>
    </row>
    <row r="664" ht="15" customHeight="1">
      <c r="A664" t="inlineStr">
        <is>
          <t>A 20108-2021</t>
        </is>
      </c>
      <c r="B664" s="1" t="n">
        <v>44314.45354166667</v>
      </c>
      <c r="C664" s="1" t="n">
        <v>45911</v>
      </c>
      <c r="D664" t="inlineStr">
        <is>
          <t>GÄVLEBORGS LÄN</t>
        </is>
      </c>
      <c r="E664" t="inlineStr">
        <is>
          <t>OVANÅKER</t>
        </is>
      </c>
      <c r="F664" t="inlineStr">
        <is>
          <t>Sveaskog</t>
        </is>
      </c>
      <c r="G664" t="n">
        <v>0.9</v>
      </c>
      <c r="H664" t="n">
        <v>0</v>
      </c>
      <c r="I664" t="n">
        <v>0</v>
      </c>
      <c r="J664" t="n">
        <v>0</v>
      </c>
      <c r="K664" t="n">
        <v>0</v>
      </c>
      <c r="L664" t="n">
        <v>0</v>
      </c>
      <c r="M664" t="n">
        <v>0</v>
      </c>
      <c r="N664" t="n">
        <v>0</v>
      </c>
      <c r="O664" t="n">
        <v>0</v>
      </c>
      <c r="P664" t="n">
        <v>0</v>
      </c>
      <c r="Q664" t="n">
        <v>0</v>
      </c>
      <c r="R664" s="2" t="inlineStr"/>
    </row>
    <row r="665" ht="15" customHeight="1">
      <c r="A665" t="inlineStr">
        <is>
          <t>A 64088-2020</t>
        </is>
      </c>
      <c r="B665" s="1" t="n">
        <v>44167</v>
      </c>
      <c r="C665" s="1" t="n">
        <v>45911</v>
      </c>
      <c r="D665" t="inlineStr">
        <is>
          <t>GÄVLEBORGS LÄN</t>
        </is>
      </c>
      <c r="E665" t="inlineStr">
        <is>
          <t>OVANÅKER</t>
        </is>
      </c>
      <c r="G665" t="n">
        <v>1.2</v>
      </c>
      <c r="H665" t="n">
        <v>0</v>
      </c>
      <c r="I665" t="n">
        <v>0</v>
      </c>
      <c r="J665" t="n">
        <v>0</v>
      </c>
      <c r="K665" t="n">
        <v>0</v>
      </c>
      <c r="L665" t="n">
        <v>0</v>
      </c>
      <c r="M665" t="n">
        <v>0</v>
      </c>
      <c r="N665" t="n">
        <v>0</v>
      </c>
      <c r="O665" t="n">
        <v>0</v>
      </c>
      <c r="P665" t="n">
        <v>0</v>
      </c>
      <c r="Q665" t="n">
        <v>0</v>
      </c>
      <c r="R665" s="2" t="inlineStr"/>
    </row>
    <row r="666" ht="15" customHeight="1">
      <c r="A666" t="inlineStr">
        <is>
          <t>A 54675-2020</t>
        </is>
      </c>
      <c r="B666" s="1" t="n">
        <v>44127</v>
      </c>
      <c r="C666" s="1" t="n">
        <v>45911</v>
      </c>
      <c r="D666" t="inlineStr">
        <is>
          <t>GÄVLEBORGS LÄN</t>
        </is>
      </c>
      <c r="E666" t="inlineStr">
        <is>
          <t>BOLLNÄS</t>
        </is>
      </c>
      <c r="G666" t="n">
        <v>1.2</v>
      </c>
      <c r="H666" t="n">
        <v>0</v>
      </c>
      <c r="I666" t="n">
        <v>0</v>
      </c>
      <c r="J666" t="n">
        <v>0</v>
      </c>
      <c r="K666" t="n">
        <v>0</v>
      </c>
      <c r="L666" t="n">
        <v>0</v>
      </c>
      <c r="M666" t="n">
        <v>0</v>
      </c>
      <c r="N666" t="n">
        <v>0</v>
      </c>
      <c r="O666" t="n">
        <v>0</v>
      </c>
      <c r="P666" t="n">
        <v>0</v>
      </c>
      <c r="Q666" t="n">
        <v>0</v>
      </c>
      <c r="R666" s="2" t="inlineStr"/>
    </row>
    <row r="667" ht="15" customHeight="1">
      <c r="A667" t="inlineStr">
        <is>
          <t>A 17215-2021</t>
        </is>
      </c>
      <c r="B667" s="1" t="n">
        <v>44298.48946759259</v>
      </c>
      <c r="C667" s="1" t="n">
        <v>45911</v>
      </c>
      <c r="D667" t="inlineStr">
        <is>
          <t>GÄVLEBORGS LÄN</t>
        </is>
      </c>
      <c r="E667" t="inlineStr">
        <is>
          <t>OVANÅKER</t>
        </is>
      </c>
      <c r="G667" t="n">
        <v>0.9</v>
      </c>
      <c r="H667" t="n">
        <v>0</v>
      </c>
      <c r="I667" t="n">
        <v>0</v>
      </c>
      <c r="J667" t="n">
        <v>0</v>
      </c>
      <c r="K667" t="n">
        <v>0</v>
      </c>
      <c r="L667" t="n">
        <v>0</v>
      </c>
      <c r="M667" t="n">
        <v>0</v>
      </c>
      <c r="N667" t="n">
        <v>0</v>
      </c>
      <c r="O667" t="n">
        <v>0</v>
      </c>
      <c r="P667" t="n">
        <v>0</v>
      </c>
      <c r="Q667" t="n">
        <v>0</v>
      </c>
      <c r="R667" s="2" t="inlineStr"/>
    </row>
    <row r="668" ht="15" customHeight="1">
      <c r="A668" t="inlineStr">
        <is>
          <t>A 22580-2021</t>
        </is>
      </c>
      <c r="B668" s="1" t="n">
        <v>44327.39097222222</v>
      </c>
      <c r="C668" s="1" t="n">
        <v>45911</v>
      </c>
      <c r="D668" t="inlineStr">
        <is>
          <t>GÄVLEBORGS LÄN</t>
        </is>
      </c>
      <c r="E668" t="inlineStr">
        <is>
          <t>OCKELBO</t>
        </is>
      </c>
      <c r="G668" t="n">
        <v>1.9</v>
      </c>
      <c r="H668" t="n">
        <v>0</v>
      </c>
      <c r="I668" t="n">
        <v>0</v>
      </c>
      <c r="J668" t="n">
        <v>0</v>
      </c>
      <c r="K668" t="n">
        <v>0</v>
      </c>
      <c r="L668" t="n">
        <v>0</v>
      </c>
      <c r="M668" t="n">
        <v>0</v>
      </c>
      <c r="N668" t="n">
        <v>0</v>
      </c>
      <c r="O668" t="n">
        <v>0</v>
      </c>
      <c r="P668" t="n">
        <v>0</v>
      </c>
      <c r="Q668" t="n">
        <v>0</v>
      </c>
      <c r="R668" s="2" t="inlineStr"/>
    </row>
    <row r="669" ht="15" customHeight="1">
      <c r="A669" t="inlineStr">
        <is>
          <t>A 24230-2021</t>
        </is>
      </c>
      <c r="B669" s="1" t="n">
        <v>44336</v>
      </c>
      <c r="C669" s="1" t="n">
        <v>45911</v>
      </c>
      <c r="D669" t="inlineStr">
        <is>
          <t>GÄVLEBORGS LÄN</t>
        </is>
      </c>
      <c r="E669" t="inlineStr">
        <is>
          <t>BOLLNÄS</t>
        </is>
      </c>
      <c r="G669" t="n">
        <v>0.2</v>
      </c>
      <c r="H669" t="n">
        <v>0</v>
      </c>
      <c r="I669" t="n">
        <v>0</v>
      </c>
      <c r="J669" t="n">
        <v>0</v>
      </c>
      <c r="K669" t="n">
        <v>0</v>
      </c>
      <c r="L669" t="n">
        <v>0</v>
      </c>
      <c r="M669" t="n">
        <v>0</v>
      </c>
      <c r="N669" t="n">
        <v>0</v>
      </c>
      <c r="O669" t="n">
        <v>0</v>
      </c>
      <c r="P669" t="n">
        <v>0</v>
      </c>
      <c r="Q669" t="n">
        <v>0</v>
      </c>
      <c r="R669" s="2" t="inlineStr"/>
    </row>
    <row r="670" ht="15" customHeight="1">
      <c r="A670" t="inlineStr">
        <is>
          <t>A 61729-2021</t>
        </is>
      </c>
      <c r="B670" s="1" t="n">
        <v>44501.61454861111</v>
      </c>
      <c r="C670" s="1" t="n">
        <v>45911</v>
      </c>
      <c r="D670" t="inlineStr">
        <is>
          <t>GÄVLEBORGS LÄN</t>
        </is>
      </c>
      <c r="E670" t="inlineStr">
        <is>
          <t>SANDVIKEN</t>
        </is>
      </c>
      <c r="G670" t="n">
        <v>3.7</v>
      </c>
      <c r="H670" t="n">
        <v>0</v>
      </c>
      <c r="I670" t="n">
        <v>0</v>
      </c>
      <c r="J670" t="n">
        <v>0</v>
      </c>
      <c r="K670" t="n">
        <v>0</v>
      </c>
      <c r="L670" t="n">
        <v>0</v>
      </c>
      <c r="M670" t="n">
        <v>0</v>
      </c>
      <c r="N670" t="n">
        <v>0</v>
      </c>
      <c r="O670" t="n">
        <v>0</v>
      </c>
      <c r="P670" t="n">
        <v>0</v>
      </c>
      <c r="Q670" t="n">
        <v>0</v>
      </c>
      <c r="R670" s="2" t="inlineStr"/>
    </row>
    <row r="671" ht="15" customHeight="1">
      <c r="A671" t="inlineStr">
        <is>
          <t>A 66121-2021</t>
        </is>
      </c>
      <c r="B671" s="1" t="n">
        <v>44517.75414351852</v>
      </c>
      <c r="C671" s="1" t="n">
        <v>45911</v>
      </c>
      <c r="D671" t="inlineStr">
        <is>
          <t>GÄVLEBORGS LÄN</t>
        </is>
      </c>
      <c r="E671" t="inlineStr">
        <is>
          <t>BOLLNÄS</t>
        </is>
      </c>
      <c r="G671" t="n">
        <v>0.2</v>
      </c>
      <c r="H671" t="n">
        <v>0</v>
      </c>
      <c r="I671" t="n">
        <v>0</v>
      </c>
      <c r="J671" t="n">
        <v>0</v>
      </c>
      <c r="K671" t="n">
        <v>0</v>
      </c>
      <c r="L671" t="n">
        <v>0</v>
      </c>
      <c r="M671" t="n">
        <v>0</v>
      </c>
      <c r="N671" t="n">
        <v>0</v>
      </c>
      <c r="O671" t="n">
        <v>0</v>
      </c>
      <c r="P671" t="n">
        <v>0</v>
      </c>
      <c r="Q671" t="n">
        <v>0</v>
      </c>
      <c r="R671" s="2" t="inlineStr"/>
    </row>
    <row r="672" ht="15" customHeight="1">
      <c r="A672" t="inlineStr">
        <is>
          <t>A 66125-2021</t>
        </is>
      </c>
      <c r="B672" s="1" t="n">
        <v>44517</v>
      </c>
      <c r="C672" s="1" t="n">
        <v>45911</v>
      </c>
      <c r="D672" t="inlineStr">
        <is>
          <t>GÄVLEBORGS LÄN</t>
        </is>
      </c>
      <c r="E672" t="inlineStr">
        <is>
          <t>BOLLNÄS</t>
        </is>
      </c>
      <c r="G672" t="n">
        <v>0.5</v>
      </c>
      <c r="H672" t="n">
        <v>0</v>
      </c>
      <c r="I672" t="n">
        <v>0</v>
      </c>
      <c r="J672" t="n">
        <v>0</v>
      </c>
      <c r="K672" t="n">
        <v>0</v>
      </c>
      <c r="L672" t="n">
        <v>0</v>
      </c>
      <c r="M672" t="n">
        <v>0</v>
      </c>
      <c r="N672" t="n">
        <v>0</v>
      </c>
      <c r="O672" t="n">
        <v>0</v>
      </c>
      <c r="P672" t="n">
        <v>0</v>
      </c>
      <c r="Q672" t="n">
        <v>0</v>
      </c>
      <c r="R672" s="2" t="inlineStr"/>
    </row>
    <row r="673" ht="15" customHeight="1">
      <c r="A673" t="inlineStr">
        <is>
          <t>A 62595-2021</t>
        </is>
      </c>
      <c r="B673" s="1" t="n">
        <v>44503.67311342592</v>
      </c>
      <c r="C673" s="1" t="n">
        <v>45911</v>
      </c>
      <c r="D673" t="inlineStr">
        <is>
          <t>GÄVLEBORGS LÄN</t>
        </is>
      </c>
      <c r="E673" t="inlineStr">
        <is>
          <t>OVANÅKER</t>
        </is>
      </c>
      <c r="G673" t="n">
        <v>3</v>
      </c>
      <c r="H673" t="n">
        <v>0</v>
      </c>
      <c r="I673" t="n">
        <v>0</v>
      </c>
      <c r="J673" t="n">
        <v>0</v>
      </c>
      <c r="K673" t="n">
        <v>0</v>
      </c>
      <c r="L673" t="n">
        <v>0</v>
      </c>
      <c r="M673" t="n">
        <v>0</v>
      </c>
      <c r="N673" t="n">
        <v>0</v>
      </c>
      <c r="O673" t="n">
        <v>0</v>
      </c>
      <c r="P673" t="n">
        <v>0</v>
      </c>
      <c r="Q673" t="n">
        <v>0</v>
      </c>
      <c r="R673" s="2" t="inlineStr"/>
    </row>
    <row r="674" ht="15" customHeight="1">
      <c r="A674" t="inlineStr">
        <is>
          <t>A 25056-2021</t>
        </is>
      </c>
      <c r="B674" s="1" t="n">
        <v>44341.60780092593</v>
      </c>
      <c r="C674" s="1" t="n">
        <v>45911</v>
      </c>
      <c r="D674" t="inlineStr">
        <is>
          <t>GÄVLEBORGS LÄN</t>
        </is>
      </c>
      <c r="E674" t="inlineStr">
        <is>
          <t>SANDVIKEN</t>
        </is>
      </c>
      <c r="G674" t="n">
        <v>3</v>
      </c>
      <c r="H674" t="n">
        <v>0</v>
      </c>
      <c r="I674" t="n">
        <v>0</v>
      </c>
      <c r="J674" t="n">
        <v>0</v>
      </c>
      <c r="K674" t="n">
        <v>0</v>
      </c>
      <c r="L674" t="n">
        <v>0</v>
      </c>
      <c r="M674" t="n">
        <v>0</v>
      </c>
      <c r="N674" t="n">
        <v>0</v>
      </c>
      <c r="O674" t="n">
        <v>0</v>
      </c>
      <c r="P674" t="n">
        <v>0</v>
      </c>
      <c r="Q674" t="n">
        <v>0</v>
      </c>
      <c r="R674" s="2" t="inlineStr"/>
    </row>
    <row r="675" ht="15" customHeight="1">
      <c r="A675" t="inlineStr">
        <is>
          <t>A 72815-2021</t>
        </is>
      </c>
      <c r="B675" s="1" t="n">
        <v>44547.40262731481</v>
      </c>
      <c r="C675" s="1" t="n">
        <v>45911</v>
      </c>
      <c r="D675" t="inlineStr">
        <is>
          <t>GÄVLEBORGS LÄN</t>
        </is>
      </c>
      <c r="E675" t="inlineStr">
        <is>
          <t>NORDANSTIG</t>
        </is>
      </c>
      <c r="G675" t="n">
        <v>0.3</v>
      </c>
      <c r="H675" t="n">
        <v>0</v>
      </c>
      <c r="I675" t="n">
        <v>0</v>
      </c>
      <c r="J675" t="n">
        <v>0</v>
      </c>
      <c r="K675" t="n">
        <v>0</v>
      </c>
      <c r="L675" t="n">
        <v>0</v>
      </c>
      <c r="M675" t="n">
        <v>0</v>
      </c>
      <c r="N675" t="n">
        <v>0</v>
      </c>
      <c r="O675" t="n">
        <v>0</v>
      </c>
      <c r="P675" t="n">
        <v>0</v>
      </c>
      <c r="Q675" t="n">
        <v>0</v>
      </c>
      <c r="R675" s="2" t="inlineStr"/>
    </row>
    <row r="676" ht="15" customHeight="1">
      <c r="A676" t="inlineStr">
        <is>
          <t>A 58523-2021</t>
        </is>
      </c>
      <c r="B676" s="1" t="n">
        <v>44488.65658564815</v>
      </c>
      <c r="C676" s="1" t="n">
        <v>45911</v>
      </c>
      <c r="D676" t="inlineStr">
        <is>
          <t>GÄVLEBORGS LÄN</t>
        </is>
      </c>
      <c r="E676" t="inlineStr">
        <is>
          <t>BOLLNÄS</t>
        </is>
      </c>
      <c r="G676" t="n">
        <v>2.4</v>
      </c>
      <c r="H676" t="n">
        <v>0</v>
      </c>
      <c r="I676" t="n">
        <v>0</v>
      </c>
      <c r="J676" t="n">
        <v>0</v>
      </c>
      <c r="K676" t="n">
        <v>0</v>
      </c>
      <c r="L676" t="n">
        <v>0</v>
      </c>
      <c r="M676" t="n">
        <v>0</v>
      </c>
      <c r="N676" t="n">
        <v>0</v>
      </c>
      <c r="O676" t="n">
        <v>0</v>
      </c>
      <c r="P676" t="n">
        <v>0</v>
      </c>
      <c r="Q676" t="n">
        <v>0</v>
      </c>
      <c r="R676" s="2" t="inlineStr"/>
    </row>
    <row r="677" ht="15" customHeight="1">
      <c r="A677" t="inlineStr">
        <is>
          <t>A 68734-2020</t>
        </is>
      </c>
      <c r="B677" s="1" t="n">
        <v>44187</v>
      </c>
      <c r="C677" s="1" t="n">
        <v>45911</v>
      </c>
      <c r="D677" t="inlineStr">
        <is>
          <t>GÄVLEBORGS LÄN</t>
        </is>
      </c>
      <c r="E677" t="inlineStr">
        <is>
          <t>BOLLNÄS</t>
        </is>
      </c>
      <c r="G677" t="n">
        <v>1.1</v>
      </c>
      <c r="H677" t="n">
        <v>0</v>
      </c>
      <c r="I677" t="n">
        <v>0</v>
      </c>
      <c r="J677" t="n">
        <v>0</v>
      </c>
      <c r="K677" t="n">
        <v>0</v>
      </c>
      <c r="L677" t="n">
        <v>0</v>
      </c>
      <c r="M677" t="n">
        <v>0</v>
      </c>
      <c r="N677" t="n">
        <v>0</v>
      </c>
      <c r="O677" t="n">
        <v>0</v>
      </c>
      <c r="P677" t="n">
        <v>0</v>
      </c>
      <c r="Q677" t="n">
        <v>0</v>
      </c>
      <c r="R677" s="2" t="inlineStr"/>
    </row>
    <row r="678" ht="15" customHeight="1">
      <c r="A678" t="inlineStr">
        <is>
          <t>A 33767-2021</t>
        </is>
      </c>
      <c r="B678" s="1" t="n">
        <v>44378.52729166667</v>
      </c>
      <c r="C678" s="1" t="n">
        <v>45911</v>
      </c>
      <c r="D678" t="inlineStr">
        <is>
          <t>GÄVLEBORGS LÄN</t>
        </is>
      </c>
      <c r="E678" t="inlineStr">
        <is>
          <t>LJUSDAL</t>
        </is>
      </c>
      <c r="F678" t="inlineStr">
        <is>
          <t>Kommuner</t>
        </is>
      </c>
      <c r="G678" t="n">
        <v>4.9</v>
      </c>
      <c r="H678" t="n">
        <v>0</v>
      </c>
      <c r="I678" t="n">
        <v>0</v>
      </c>
      <c r="J678" t="n">
        <v>0</v>
      </c>
      <c r="K678" t="n">
        <v>0</v>
      </c>
      <c r="L678" t="n">
        <v>0</v>
      </c>
      <c r="M678" t="n">
        <v>0</v>
      </c>
      <c r="N678" t="n">
        <v>0</v>
      </c>
      <c r="O678" t="n">
        <v>0</v>
      </c>
      <c r="P678" t="n">
        <v>0</v>
      </c>
      <c r="Q678" t="n">
        <v>0</v>
      </c>
      <c r="R678" s="2" t="inlineStr"/>
    </row>
    <row r="679" ht="15" customHeight="1">
      <c r="A679" t="inlineStr">
        <is>
          <t>A 24344-2021</t>
        </is>
      </c>
      <c r="B679" s="1" t="n">
        <v>44337.40543981481</v>
      </c>
      <c r="C679" s="1" t="n">
        <v>45911</v>
      </c>
      <c r="D679" t="inlineStr">
        <is>
          <t>GÄVLEBORGS LÄN</t>
        </is>
      </c>
      <c r="E679" t="inlineStr">
        <is>
          <t>OVANÅKER</t>
        </is>
      </c>
      <c r="G679" t="n">
        <v>3.5</v>
      </c>
      <c r="H679" t="n">
        <v>0</v>
      </c>
      <c r="I679" t="n">
        <v>0</v>
      </c>
      <c r="J679" t="n">
        <v>0</v>
      </c>
      <c r="K679" t="n">
        <v>0</v>
      </c>
      <c r="L679" t="n">
        <v>0</v>
      </c>
      <c r="M679" t="n">
        <v>0</v>
      </c>
      <c r="N679" t="n">
        <v>0</v>
      </c>
      <c r="O679" t="n">
        <v>0</v>
      </c>
      <c r="P679" t="n">
        <v>0</v>
      </c>
      <c r="Q679" t="n">
        <v>0</v>
      </c>
      <c r="R679" s="2" t="inlineStr"/>
    </row>
    <row r="680" ht="15" customHeight="1">
      <c r="A680" t="inlineStr">
        <is>
          <t>A 45985-2021</t>
        </is>
      </c>
      <c r="B680" s="1" t="n">
        <v>44441</v>
      </c>
      <c r="C680" s="1" t="n">
        <v>45911</v>
      </c>
      <c r="D680" t="inlineStr">
        <is>
          <t>GÄVLEBORGS LÄN</t>
        </is>
      </c>
      <c r="E680" t="inlineStr">
        <is>
          <t>SANDVIKEN</t>
        </is>
      </c>
      <c r="F680" t="inlineStr">
        <is>
          <t>Sveaskog</t>
        </is>
      </c>
      <c r="G680" t="n">
        <v>6.7</v>
      </c>
      <c r="H680" t="n">
        <v>0</v>
      </c>
      <c r="I680" t="n">
        <v>0</v>
      </c>
      <c r="J680" t="n">
        <v>0</v>
      </c>
      <c r="K680" t="n">
        <v>0</v>
      </c>
      <c r="L680" t="n">
        <v>0</v>
      </c>
      <c r="M680" t="n">
        <v>0</v>
      </c>
      <c r="N680" t="n">
        <v>0</v>
      </c>
      <c r="O680" t="n">
        <v>0</v>
      </c>
      <c r="P680" t="n">
        <v>0</v>
      </c>
      <c r="Q680" t="n">
        <v>0</v>
      </c>
      <c r="R680" s="2" t="inlineStr"/>
    </row>
    <row r="681" ht="15" customHeight="1">
      <c r="A681" t="inlineStr">
        <is>
          <t>A 40764-2021</t>
        </is>
      </c>
      <c r="B681" s="1" t="n">
        <v>44420.91974537037</v>
      </c>
      <c r="C681" s="1" t="n">
        <v>45911</v>
      </c>
      <c r="D681" t="inlineStr">
        <is>
          <t>GÄVLEBORGS LÄN</t>
        </is>
      </c>
      <c r="E681" t="inlineStr">
        <is>
          <t>NORDANSTIG</t>
        </is>
      </c>
      <c r="G681" t="n">
        <v>0.6</v>
      </c>
      <c r="H681" t="n">
        <v>0</v>
      </c>
      <c r="I681" t="n">
        <v>0</v>
      </c>
      <c r="J681" t="n">
        <v>0</v>
      </c>
      <c r="K681" t="n">
        <v>0</v>
      </c>
      <c r="L681" t="n">
        <v>0</v>
      </c>
      <c r="M681" t="n">
        <v>0</v>
      </c>
      <c r="N681" t="n">
        <v>0</v>
      </c>
      <c r="O681" t="n">
        <v>0</v>
      </c>
      <c r="P681" t="n">
        <v>0</v>
      </c>
      <c r="Q681" t="n">
        <v>0</v>
      </c>
      <c r="R681" s="2" t="inlineStr"/>
    </row>
    <row r="682" ht="15" customHeight="1">
      <c r="A682" t="inlineStr">
        <is>
          <t>A 55241-2021</t>
        </is>
      </c>
      <c r="B682" s="1" t="n">
        <v>44475.39550925926</v>
      </c>
      <c r="C682" s="1" t="n">
        <v>45911</v>
      </c>
      <c r="D682" t="inlineStr">
        <is>
          <t>GÄVLEBORGS LÄN</t>
        </is>
      </c>
      <c r="E682" t="inlineStr">
        <is>
          <t>OVANÅKER</t>
        </is>
      </c>
      <c r="G682" t="n">
        <v>1.6</v>
      </c>
      <c r="H682" t="n">
        <v>0</v>
      </c>
      <c r="I682" t="n">
        <v>0</v>
      </c>
      <c r="J682" t="n">
        <v>0</v>
      </c>
      <c r="K682" t="n">
        <v>0</v>
      </c>
      <c r="L682" t="n">
        <v>0</v>
      </c>
      <c r="M682" t="n">
        <v>0</v>
      </c>
      <c r="N682" t="n">
        <v>0</v>
      </c>
      <c r="O682" t="n">
        <v>0</v>
      </c>
      <c r="P682" t="n">
        <v>0</v>
      </c>
      <c r="Q682" t="n">
        <v>0</v>
      </c>
      <c r="R682" s="2" t="inlineStr"/>
    </row>
    <row r="683" ht="15" customHeight="1">
      <c r="A683" t="inlineStr">
        <is>
          <t>A 24342-2022</t>
        </is>
      </c>
      <c r="B683" s="1" t="n">
        <v>44726</v>
      </c>
      <c r="C683" s="1" t="n">
        <v>45911</v>
      </c>
      <c r="D683" t="inlineStr">
        <is>
          <t>GÄVLEBORGS LÄN</t>
        </is>
      </c>
      <c r="E683" t="inlineStr">
        <is>
          <t>LJUSDAL</t>
        </is>
      </c>
      <c r="G683" t="n">
        <v>1.7</v>
      </c>
      <c r="H683" t="n">
        <v>0</v>
      </c>
      <c r="I683" t="n">
        <v>0</v>
      </c>
      <c r="J683" t="n">
        <v>0</v>
      </c>
      <c r="K683" t="n">
        <v>0</v>
      </c>
      <c r="L683" t="n">
        <v>0</v>
      </c>
      <c r="M683" t="n">
        <v>0</v>
      </c>
      <c r="N683" t="n">
        <v>0</v>
      </c>
      <c r="O683" t="n">
        <v>0</v>
      </c>
      <c r="P683" t="n">
        <v>0</v>
      </c>
      <c r="Q683" t="n">
        <v>0</v>
      </c>
      <c r="R683" s="2" t="inlineStr"/>
    </row>
    <row r="684" ht="15" customHeight="1">
      <c r="A684" t="inlineStr">
        <is>
          <t>A 51257-2021</t>
        </is>
      </c>
      <c r="B684" s="1" t="n">
        <v>44460</v>
      </c>
      <c r="C684" s="1" t="n">
        <v>45911</v>
      </c>
      <c r="D684" t="inlineStr">
        <is>
          <t>GÄVLEBORGS LÄN</t>
        </is>
      </c>
      <c r="E684" t="inlineStr">
        <is>
          <t>OCKELBO</t>
        </is>
      </c>
      <c r="G684" t="n">
        <v>2.7</v>
      </c>
      <c r="H684" t="n">
        <v>0</v>
      </c>
      <c r="I684" t="n">
        <v>0</v>
      </c>
      <c r="J684" t="n">
        <v>0</v>
      </c>
      <c r="K684" t="n">
        <v>0</v>
      </c>
      <c r="L684" t="n">
        <v>0</v>
      </c>
      <c r="M684" t="n">
        <v>0</v>
      </c>
      <c r="N684" t="n">
        <v>0</v>
      </c>
      <c r="O684" t="n">
        <v>0</v>
      </c>
      <c r="P684" t="n">
        <v>0</v>
      </c>
      <c r="Q684" t="n">
        <v>0</v>
      </c>
      <c r="R684" s="2" t="inlineStr"/>
    </row>
    <row r="685" ht="15" customHeight="1">
      <c r="A685" t="inlineStr">
        <is>
          <t>A 23358-2022</t>
        </is>
      </c>
      <c r="B685" s="1" t="n">
        <v>44720</v>
      </c>
      <c r="C685" s="1" t="n">
        <v>45911</v>
      </c>
      <c r="D685" t="inlineStr">
        <is>
          <t>GÄVLEBORGS LÄN</t>
        </is>
      </c>
      <c r="E685" t="inlineStr">
        <is>
          <t>BOLLNÄS</t>
        </is>
      </c>
      <c r="G685" t="n">
        <v>0.7</v>
      </c>
      <c r="H685" t="n">
        <v>0</v>
      </c>
      <c r="I685" t="n">
        <v>0</v>
      </c>
      <c r="J685" t="n">
        <v>0</v>
      </c>
      <c r="K685" t="n">
        <v>0</v>
      </c>
      <c r="L685" t="n">
        <v>0</v>
      </c>
      <c r="M685" t="n">
        <v>0</v>
      </c>
      <c r="N685" t="n">
        <v>0</v>
      </c>
      <c r="O685" t="n">
        <v>0</v>
      </c>
      <c r="P685" t="n">
        <v>0</v>
      </c>
      <c r="Q685" t="n">
        <v>0</v>
      </c>
      <c r="R685" s="2" t="inlineStr"/>
    </row>
    <row r="686" ht="15" customHeight="1">
      <c r="A686" t="inlineStr">
        <is>
          <t>A 37965-2022</t>
        </is>
      </c>
      <c r="B686" s="1" t="n">
        <v>44811.50528935185</v>
      </c>
      <c r="C686" s="1" t="n">
        <v>45911</v>
      </c>
      <c r="D686" t="inlineStr">
        <is>
          <t>GÄVLEBORGS LÄN</t>
        </is>
      </c>
      <c r="E686" t="inlineStr">
        <is>
          <t>NORDANSTIG</t>
        </is>
      </c>
      <c r="G686" t="n">
        <v>1.9</v>
      </c>
      <c r="H686" t="n">
        <v>0</v>
      </c>
      <c r="I686" t="n">
        <v>0</v>
      </c>
      <c r="J686" t="n">
        <v>0</v>
      </c>
      <c r="K686" t="n">
        <v>0</v>
      </c>
      <c r="L686" t="n">
        <v>0</v>
      </c>
      <c r="M686" t="n">
        <v>0</v>
      </c>
      <c r="N686" t="n">
        <v>0</v>
      </c>
      <c r="O686" t="n">
        <v>0</v>
      </c>
      <c r="P686" t="n">
        <v>0</v>
      </c>
      <c r="Q686" t="n">
        <v>0</v>
      </c>
      <c r="R686" s="2" t="inlineStr"/>
    </row>
    <row r="687" ht="15" customHeight="1">
      <c r="A687" t="inlineStr">
        <is>
          <t>A 55408-2021</t>
        </is>
      </c>
      <c r="B687" s="1" t="n">
        <v>44475</v>
      </c>
      <c r="C687" s="1" t="n">
        <v>45911</v>
      </c>
      <c r="D687" t="inlineStr">
        <is>
          <t>GÄVLEBORGS LÄN</t>
        </is>
      </c>
      <c r="E687" t="inlineStr">
        <is>
          <t>OVANÅKER</t>
        </is>
      </c>
      <c r="G687" t="n">
        <v>0.5</v>
      </c>
      <c r="H687" t="n">
        <v>0</v>
      </c>
      <c r="I687" t="n">
        <v>0</v>
      </c>
      <c r="J687" t="n">
        <v>0</v>
      </c>
      <c r="K687" t="n">
        <v>0</v>
      </c>
      <c r="L687" t="n">
        <v>0</v>
      </c>
      <c r="M687" t="n">
        <v>0</v>
      </c>
      <c r="N687" t="n">
        <v>0</v>
      </c>
      <c r="O687" t="n">
        <v>0</v>
      </c>
      <c r="P687" t="n">
        <v>0</v>
      </c>
      <c r="Q687" t="n">
        <v>0</v>
      </c>
      <c r="R687" s="2" t="inlineStr"/>
    </row>
    <row r="688" ht="15" customHeight="1">
      <c r="A688" t="inlineStr">
        <is>
          <t>A 54013-2021</t>
        </is>
      </c>
      <c r="B688" s="1" t="n">
        <v>44470.35314814815</v>
      </c>
      <c r="C688" s="1" t="n">
        <v>45911</v>
      </c>
      <c r="D688" t="inlineStr">
        <is>
          <t>GÄVLEBORGS LÄN</t>
        </is>
      </c>
      <c r="E688" t="inlineStr">
        <is>
          <t>OVANÅKER</t>
        </is>
      </c>
      <c r="G688" t="n">
        <v>2.5</v>
      </c>
      <c r="H688" t="n">
        <v>0</v>
      </c>
      <c r="I688" t="n">
        <v>0</v>
      </c>
      <c r="J688" t="n">
        <v>0</v>
      </c>
      <c r="K688" t="n">
        <v>0</v>
      </c>
      <c r="L688" t="n">
        <v>0</v>
      </c>
      <c r="M688" t="n">
        <v>0</v>
      </c>
      <c r="N688" t="n">
        <v>0</v>
      </c>
      <c r="O688" t="n">
        <v>0</v>
      </c>
      <c r="P688" t="n">
        <v>0</v>
      </c>
      <c r="Q688" t="n">
        <v>0</v>
      </c>
      <c r="R688" s="2" t="inlineStr"/>
    </row>
    <row r="689" ht="15" customHeight="1">
      <c r="A689" t="inlineStr">
        <is>
          <t>A 24627-2021</t>
        </is>
      </c>
      <c r="B689" s="1" t="n">
        <v>44340.3621875</v>
      </c>
      <c r="C689" s="1" t="n">
        <v>45911</v>
      </c>
      <c r="D689" t="inlineStr">
        <is>
          <t>GÄVLEBORGS LÄN</t>
        </is>
      </c>
      <c r="E689" t="inlineStr">
        <is>
          <t>LJUSDAL</t>
        </is>
      </c>
      <c r="G689" t="n">
        <v>4.4</v>
      </c>
      <c r="H689" t="n">
        <v>0</v>
      </c>
      <c r="I689" t="n">
        <v>0</v>
      </c>
      <c r="J689" t="n">
        <v>0</v>
      </c>
      <c r="K689" t="n">
        <v>0</v>
      </c>
      <c r="L689" t="n">
        <v>0</v>
      </c>
      <c r="M689" t="n">
        <v>0</v>
      </c>
      <c r="N689" t="n">
        <v>0</v>
      </c>
      <c r="O689" t="n">
        <v>0</v>
      </c>
      <c r="P689" t="n">
        <v>0</v>
      </c>
      <c r="Q689" t="n">
        <v>0</v>
      </c>
      <c r="R689" s="2" t="inlineStr"/>
    </row>
    <row r="690" ht="15" customHeight="1">
      <c r="A690" t="inlineStr">
        <is>
          <t>A 42972-2022</t>
        </is>
      </c>
      <c r="B690" s="1" t="n">
        <v>44833</v>
      </c>
      <c r="C690" s="1" t="n">
        <v>45911</v>
      </c>
      <c r="D690" t="inlineStr">
        <is>
          <t>GÄVLEBORGS LÄN</t>
        </is>
      </c>
      <c r="E690" t="inlineStr">
        <is>
          <t>LJUSDAL</t>
        </is>
      </c>
      <c r="F690" t="inlineStr">
        <is>
          <t>Bergvik skog väst AB</t>
        </is>
      </c>
      <c r="G690" t="n">
        <v>3.7</v>
      </c>
      <c r="H690" t="n">
        <v>0</v>
      </c>
      <c r="I690" t="n">
        <v>0</v>
      </c>
      <c r="J690" t="n">
        <v>0</v>
      </c>
      <c r="K690" t="n">
        <v>0</v>
      </c>
      <c r="L690" t="n">
        <v>0</v>
      </c>
      <c r="M690" t="n">
        <v>0</v>
      </c>
      <c r="N690" t="n">
        <v>0</v>
      </c>
      <c r="O690" t="n">
        <v>0</v>
      </c>
      <c r="P690" t="n">
        <v>0</v>
      </c>
      <c r="Q690" t="n">
        <v>0</v>
      </c>
      <c r="R690" s="2" t="inlineStr"/>
    </row>
    <row r="691" ht="15" customHeight="1">
      <c r="A691" t="inlineStr">
        <is>
          <t>A 52438-2020</t>
        </is>
      </c>
      <c r="B691" s="1" t="n">
        <v>44118</v>
      </c>
      <c r="C691" s="1" t="n">
        <v>45911</v>
      </c>
      <c r="D691" t="inlineStr">
        <is>
          <t>GÄVLEBORGS LÄN</t>
        </is>
      </c>
      <c r="E691" t="inlineStr">
        <is>
          <t>SÖDERHAMN</t>
        </is>
      </c>
      <c r="G691" t="n">
        <v>2.5</v>
      </c>
      <c r="H691" t="n">
        <v>0</v>
      </c>
      <c r="I691" t="n">
        <v>0</v>
      </c>
      <c r="J691" t="n">
        <v>0</v>
      </c>
      <c r="K691" t="n">
        <v>0</v>
      </c>
      <c r="L691" t="n">
        <v>0</v>
      </c>
      <c r="M691" t="n">
        <v>0</v>
      </c>
      <c r="N691" t="n">
        <v>0</v>
      </c>
      <c r="O691" t="n">
        <v>0</v>
      </c>
      <c r="P691" t="n">
        <v>0</v>
      </c>
      <c r="Q691" t="n">
        <v>0</v>
      </c>
      <c r="R691" s="2" t="inlineStr"/>
    </row>
    <row r="692" ht="15" customHeight="1">
      <c r="A692" t="inlineStr">
        <is>
          <t>A 28739-2021</t>
        </is>
      </c>
      <c r="B692" s="1" t="n">
        <v>44357</v>
      </c>
      <c r="C692" s="1" t="n">
        <v>45911</v>
      </c>
      <c r="D692" t="inlineStr">
        <is>
          <t>GÄVLEBORGS LÄN</t>
        </is>
      </c>
      <c r="E692" t="inlineStr">
        <is>
          <t>SANDVIKEN</t>
        </is>
      </c>
      <c r="G692" t="n">
        <v>6.9</v>
      </c>
      <c r="H692" t="n">
        <v>0</v>
      </c>
      <c r="I692" t="n">
        <v>0</v>
      </c>
      <c r="J692" t="n">
        <v>0</v>
      </c>
      <c r="K692" t="n">
        <v>0</v>
      </c>
      <c r="L692" t="n">
        <v>0</v>
      </c>
      <c r="M692" t="n">
        <v>0</v>
      </c>
      <c r="N692" t="n">
        <v>0</v>
      </c>
      <c r="O692" t="n">
        <v>0</v>
      </c>
      <c r="P692" t="n">
        <v>0</v>
      </c>
      <c r="Q692" t="n">
        <v>0</v>
      </c>
      <c r="R692" s="2" t="inlineStr"/>
    </row>
    <row r="693" ht="15" customHeight="1">
      <c r="A693" t="inlineStr">
        <is>
          <t>A 48720-2020</t>
        </is>
      </c>
      <c r="B693" s="1" t="n">
        <v>44103.65337962963</v>
      </c>
      <c r="C693" s="1" t="n">
        <v>45911</v>
      </c>
      <c r="D693" t="inlineStr">
        <is>
          <t>GÄVLEBORGS LÄN</t>
        </is>
      </c>
      <c r="E693" t="inlineStr">
        <is>
          <t>OVANÅKER</t>
        </is>
      </c>
      <c r="G693" t="n">
        <v>0.7</v>
      </c>
      <c r="H693" t="n">
        <v>0</v>
      </c>
      <c r="I693" t="n">
        <v>0</v>
      </c>
      <c r="J693" t="n">
        <v>0</v>
      </c>
      <c r="K693" t="n">
        <v>0</v>
      </c>
      <c r="L693" t="n">
        <v>0</v>
      </c>
      <c r="M693" t="n">
        <v>0</v>
      </c>
      <c r="N693" t="n">
        <v>0</v>
      </c>
      <c r="O693" t="n">
        <v>0</v>
      </c>
      <c r="P693" t="n">
        <v>0</v>
      </c>
      <c r="Q693" t="n">
        <v>0</v>
      </c>
      <c r="R693" s="2" t="inlineStr"/>
    </row>
    <row r="694" ht="15" customHeight="1">
      <c r="A694" t="inlineStr">
        <is>
          <t>A 16312-2021</t>
        </is>
      </c>
      <c r="B694" s="1" t="n">
        <v>44292</v>
      </c>
      <c r="C694" s="1" t="n">
        <v>45911</v>
      </c>
      <c r="D694" t="inlineStr">
        <is>
          <t>GÄVLEBORGS LÄN</t>
        </is>
      </c>
      <c r="E694" t="inlineStr">
        <is>
          <t>SÖDERHAMN</t>
        </is>
      </c>
      <c r="G694" t="n">
        <v>6.4</v>
      </c>
      <c r="H694" t="n">
        <v>0</v>
      </c>
      <c r="I694" t="n">
        <v>0</v>
      </c>
      <c r="J694" t="n">
        <v>0</v>
      </c>
      <c r="K694" t="n">
        <v>0</v>
      </c>
      <c r="L694" t="n">
        <v>0</v>
      </c>
      <c r="M694" t="n">
        <v>0</v>
      </c>
      <c r="N694" t="n">
        <v>0</v>
      </c>
      <c r="O694" t="n">
        <v>0</v>
      </c>
      <c r="P694" t="n">
        <v>0</v>
      </c>
      <c r="Q694" t="n">
        <v>0</v>
      </c>
      <c r="R694" s="2" t="inlineStr"/>
    </row>
    <row r="695" ht="15" customHeight="1">
      <c r="A695" t="inlineStr">
        <is>
          <t>A 6549-2022</t>
        </is>
      </c>
      <c r="B695" s="1" t="n">
        <v>44601</v>
      </c>
      <c r="C695" s="1" t="n">
        <v>45911</v>
      </c>
      <c r="D695" t="inlineStr">
        <is>
          <t>GÄVLEBORGS LÄN</t>
        </is>
      </c>
      <c r="E695" t="inlineStr">
        <is>
          <t>BOLLNÄS</t>
        </is>
      </c>
      <c r="G695" t="n">
        <v>3</v>
      </c>
      <c r="H695" t="n">
        <v>0</v>
      </c>
      <c r="I695" t="n">
        <v>0</v>
      </c>
      <c r="J695" t="n">
        <v>0</v>
      </c>
      <c r="K695" t="n">
        <v>0</v>
      </c>
      <c r="L695" t="n">
        <v>0</v>
      </c>
      <c r="M695" t="n">
        <v>0</v>
      </c>
      <c r="N695" t="n">
        <v>0</v>
      </c>
      <c r="O695" t="n">
        <v>0</v>
      </c>
      <c r="P695" t="n">
        <v>0</v>
      </c>
      <c r="Q695" t="n">
        <v>0</v>
      </c>
      <c r="R695" s="2" t="inlineStr"/>
    </row>
    <row r="696" ht="15" customHeight="1">
      <c r="A696" t="inlineStr">
        <is>
          <t>A 50244-2020</t>
        </is>
      </c>
      <c r="B696" s="1" t="n">
        <v>44109</v>
      </c>
      <c r="C696" s="1" t="n">
        <v>45911</v>
      </c>
      <c r="D696" t="inlineStr">
        <is>
          <t>GÄVLEBORGS LÄN</t>
        </is>
      </c>
      <c r="E696" t="inlineStr">
        <is>
          <t>OVANÅKER</t>
        </is>
      </c>
      <c r="G696" t="n">
        <v>0.6</v>
      </c>
      <c r="H696" t="n">
        <v>0</v>
      </c>
      <c r="I696" t="n">
        <v>0</v>
      </c>
      <c r="J696" t="n">
        <v>0</v>
      </c>
      <c r="K696" t="n">
        <v>0</v>
      </c>
      <c r="L696" t="n">
        <v>0</v>
      </c>
      <c r="M696" t="n">
        <v>0</v>
      </c>
      <c r="N696" t="n">
        <v>0</v>
      </c>
      <c r="O696" t="n">
        <v>0</v>
      </c>
      <c r="P696" t="n">
        <v>0</v>
      </c>
      <c r="Q696" t="n">
        <v>0</v>
      </c>
      <c r="R696" s="2" t="inlineStr"/>
    </row>
    <row r="697" ht="15" customHeight="1">
      <c r="A697" t="inlineStr">
        <is>
          <t>A 18503-2022</t>
        </is>
      </c>
      <c r="B697" s="1" t="n">
        <v>44686</v>
      </c>
      <c r="C697" s="1" t="n">
        <v>45911</v>
      </c>
      <c r="D697" t="inlineStr">
        <is>
          <t>GÄVLEBORGS LÄN</t>
        </is>
      </c>
      <c r="E697" t="inlineStr">
        <is>
          <t>SÖDERHAMN</t>
        </is>
      </c>
      <c r="G697" t="n">
        <v>2</v>
      </c>
      <c r="H697" t="n">
        <v>0</v>
      </c>
      <c r="I697" t="n">
        <v>0</v>
      </c>
      <c r="J697" t="n">
        <v>0</v>
      </c>
      <c r="K697" t="n">
        <v>0</v>
      </c>
      <c r="L697" t="n">
        <v>0</v>
      </c>
      <c r="M697" t="n">
        <v>0</v>
      </c>
      <c r="N697" t="n">
        <v>0</v>
      </c>
      <c r="O697" t="n">
        <v>0</v>
      </c>
      <c r="P697" t="n">
        <v>0</v>
      </c>
      <c r="Q697" t="n">
        <v>0</v>
      </c>
      <c r="R697" s="2" t="inlineStr"/>
    </row>
    <row r="698" ht="15" customHeight="1">
      <c r="A698" t="inlineStr">
        <is>
          <t>A 24997-2022</t>
        </is>
      </c>
      <c r="B698" s="1" t="n">
        <v>44728.92792824074</v>
      </c>
      <c r="C698" s="1" t="n">
        <v>45911</v>
      </c>
      <c r="D698" t="inlineStr">
        <is>
          <t>GÄVLEBORGS LÄN</t>
        </is>
      </c>
      <c r="E698" t="inlineStr">
        <is>
          <t>NORDANSTIG</t>
        </is>
      </c>
      <c r="G698" t="n">
        <v>2.9</v>
      </c>
      <c r="H698" t="n">
        <v>0</v>
      </c>
      <c r="I698" t="n">
        <v>0</v>
      </c>
      <c r="J698" t="n">
        <v>0</v>
      </c>
      <c r="K698" t="n">
        <v>0</v>
      </c>
      <c r="L698" t="n">
        <v>0</v>
      </c>
      <c r="M698" t="n">
        <v>0</v>
      </c>
      <c r="N698" t="n">
        <v>0</v>
      </c>
      <c r="O698" t="n">
        <v>0</v>
      </c>
      <c r="P698" t="n">
        <v>0</v>
      </c>
      <c r="Q698" t="n">
        <v>0</v>
      </c>
      <c r="R698" s="2" t="inlineStr"/>
    </row>
    <row r="699" ht="15" customHeight="1">
      <c r="A699" t="inlineStr">
        <is>
          <t>A 8569-2021</t>
        </is>
      </c>
      <c r="B699" s="1" t="n">
        <v>44245</v>
      </c>
      <c r="C699" s="1" t="n">
        <v>45911</v>
      </c>
      <c r="D699" t="inlineStr">
        <is>
          <t>GÄVLEBORGS LÄN</t>
        </is>
      </c>
      <c r="E699" t="inlineStr">
        <is>
          <t>HUDIKSVALL</t>
        </is>
      </c>
      <c r="G699" t="n">
        <v>3.3</v>
      </c>
      <c r="H699" t="n">
        <v>0</v>
      </c>
      <c r="I699" t="n">
        <v>0</v>
      </c>
      <c r="J699" t="n">
        <v>0</v>
      </c>
      <c r="K699" t="n">
        <v>0</v>
      </c>
      <c r="L699" t="n">
        <v>0</v>
      </c>
      <c r="M699" t="n">
        <v>0</v>
      </c>
      <c r="N699" t="n">
        <v>0</v>
      </c>
      <c r="O699" t="n">
        <v>0</v>
      </c>
      <c r="P699" t="n">
        <v>0</v>
      </c>
      <c r="Q699" t="n">
        <v>0</v>
      </c>
      <c r="R699" s="2" t="inlineStr"/>
    </row>
    <row r="700" ht="15" customHeight="1">
      <c r="A700" t="inlineStr">
        <is>
          <t>A 55534-2021</t>
        </is>
      </c>
      <c r="B700" s="1" t="n">
        <v>44475</v>
      </c>
      <c r="C700" s="1" t="n">
        <v>45911</v>
      </c>
      <c r="D700" t="inlineStr">
        <is>
          <t>GÄVLEBORGS LÄN</t>
        </is>
      </c>
      <c r="E700" t="inlineStr">
        <is>
          <t>LJUSDAL</t>
        </is>
      </c>
      <c r="G700" t="n">
        <v>1.6</v>
      </c>
      <c r="H700" t="n">
        <v>0</v>
      </c>
      <c r="I700" t="n">
        <v>0</v>
      </c>
      <c r="J700" t="n">
        <v>0</v>
      </c>
      <c r="K700" t="n">
        <v>0</v>
      </c>
      <c r="L700" t="n">
        <v>0</v>
      </c>
      <c r="M700" t="n">
        <v>0</v>
      </c>
      <c r="N700" t="n">
        <v>0</v>
      </c>
      <c r="O700" t="n">
        <v>0</v>
      </c>
      <c r="P700" t="n">
        <v>0</v>
      </c>
      <c r="Q700" t="n">
        <v>0</v>
      </c>
      <c r="R700" s="2" t="inlineStr"/>
    </row>
    <row r="701" ht="15" customHeight="1">
      <c r="A701" t="inlineStr">
        <is>
          <t>A 34712-2022</t>
        </is>
      </c>
      <c r="B701" s="1" t="n">
        <v>44795.58167824074</v>
      </c>
      <c r="C701" s="1" t="n">
        <v>45911</v>
      </c>
      <c r="D701" t="inlineStr">
        <is>
          <t>GÄVLEBORGS LÄN</t>
        </is>
      </c>
      <c r="E701" t="inlineStr">
        <is>
          <t>OCKELBO</t>
        </is>
      </c>
      <c r="G701" t="n">
        <v>0.3</v>
      </c>
      <c r="H701" t="n">
        <v>0</v>
      </c>
      <c r="I701" t="n">
        <v>0</v>
      </c>
      <c r="J701" t="n">
        <v>0</v>
      </c>
      <c r="K701" t="n">
        <v>0</v>
      </c>
      <c r="L701" t="n">
        <v>0</v>
      </c>
      <c r="M701" t="n">
        <v>0</v>
      </c>
      <c r="N701" t="n">
        <v>0</v>
      </c>
      <c r="O701" t="n">
        <v>0</v>
      </c>
      <c r="P701" t="n">
        <v>0</v>
      </c>
      <c r="Q701" t="n">
        <v>0</v>
      </c>
      <c r="R701" s="2" t="inlineStr"/>
    </row>
    <row r="702" ht="15" customHeight="1">
      <c r="A702" t="inlineStr">
        <is>
          <t>A 40273-2021</t>
        </is>
      </c>
      <c r="B702" s="1" t="n">
        <v>44419</v>
      </c>
      <c r="C702" s="1" t="n">
        <v>45911</v>
      </c>
      <c r="D702" t="inlineStr">
        <is>
          <t>GÄVLEBORGS LÄN</t>
        </is>
      </c>
      <c r="E702" t="inlineStr">
        <is>
          <t>SÖDERHAMN</t>
        </is>
      </c>
      <c r="G702" t="n">
        <v>0.9</v>
      </c>
      <c r="H702" t="n">
        <v>0</v>
      </c>
      <c r="I702" t="n">
        <v>0</v>
      </c>
      <c r="J702" t="n">
        <v>0</v>
      </c>
      <c r="K702" t="n">
        <v>0</v>
      </c>
      <c r="L702" t="n">
        <v>0</v>
      </c>
      <c r="M702" t="n">
        <v>0</v>
      </c>
      <c r="N702" t="n">
        <v>0</v>
      </c>
      <c r="O702" t="n">
        <v>0</v>
      </c>
      <c r="P702" t="n">
        <v>0</v>
      </c>
      <c r="Q702" t="n">
        <v>0</v>
      </c>
      <c r="R702" s="2" t="inlineStr"/>
    </row>
    <row r="703" ht="15" customHeight="1">
      <c r="A703" t="inlineStr">
        <is>
          <t>A 32008-2021</t>
        </is>
      </c>
      <c r="B703" s="1" t="n">
        <v>44370.63228009259</v>
      </c>
      <c r="C703" s="1" t="n">
        <v>45911</v>
      </c>
      <c r="D703" t="inlineStr">
        <is>
          <t>GÄVLEBORGS LÄN</t>
        </is>
      </c>
      <c r="E703" t="inlineStr">
        <is>
          <t>GÄVLE</t>
        </is>
      </c>
      <c r="G703" t="n">
        <v>5.1</v>
      </c>
      <c r="H703" t="n">
        <v>0</v>
      </c>
      <c r="I703" t="n">
        <v>0</v>
      </c>
      <c r="J703" t="n">
        <v>0</v>
      </c>
      <c r="K703" t="n">
        <v>0</v>
      </c>
      <c r="L703" t="n">
        <v>0</v>
      </c>
      <c r="M703" t="n">
        <v>0</v>
      </c>
      <c r="N703" t="n">
        <v>0</v>
      </c>
      <c r="O703" t="n">
        <v>0</v>
      </c>
      <c r="P703" t="n">
        <v>0</v>
      </c>
      <c r="Q703" t="n">
        <v>0</v>
      </c>
      <c r="R703" s="2" t="inlineStr"/>
    </row>
    <row r="704" ht="15" customHeight="1">
      <c r="A704" t="inlineStr">
        <is>
          <t>A 39888-2021</t>
        </is>
      </c>
      <c r="B704" s="1" t="n">
        <v>44417.70143518518</v>
      </c>
      <c r="C704" s="1" t="n">
        <v>45911</v>
      </c>
      <c r="D704" t="inlineStr">
        <is>
          <t>GÄVLEBORGS LÄN</t>
        </is>
      </c>
      <c r="E704" t="inlineStr">
        <is>
          <t>OCKELBO</t>
        </is>
      </c>
      <c r="G704" t="n">
        <v>2</v>
      </c>
      <c r="H704" t="n">
        <v>0</v>
      </c>
      <c r="I704" t="n">
        <v>0</v>
      </c>
      <c r="J704" t="n">
        <v>0</v>
      </c>
      <c r="K704" t="n">
        <v>0</v>
      </c>
      <c r="L704" t="n">
        <v>0</v>
      </c>
      <c r="M704" t="n">
        <v>0</v>
      </c>
      <c r="N704" t="n">
        <v>0</v>
      </c>
      <c r="O704" t="n">
        <v>0</v>
      </c>
      <c r="P704" t="n">
        <v>0</v>
      </c>
      <c r="Q704" t="n">
        <v>0</v>
      </c>
      <c r="R704" s="2" t="inlineStr"/>
    </row>
    <row r="705" ht="15" customHeight="1">
      <c r="A705" t="inlineStr">
        <is>
          <t>A 20119-2021</t>
        </is>
      </c>
      <c r="B705" s="1" t="n">
        <v>44314</v>
      </c>
      <c r="C705" s="1" t="n">
        <v>45911</v>
      </c>
      <c r="D705" t="inlineStr">
        <is>
          <t>GÄVLEBORGS LÄN</t>
        </is>
      </c>
      <c r="E705" t="inlineStr">
        <is>
          <t>HOFORS</t>
        </is>
      </c>
      <c r="G705" t="n">
        <v>3.9</v>
      </c>
      <c r="H705" t="n">
        <v>0</v>
      </c>
      <c r="I705" t="n">
        <v>0</v>
      </c>
      <c r="J705" t="n">
        <v>0</v>
      </c>
      <c r="K705" t="n">
        <v>0</v>
      </c>
      <c r="L705" t="n">
        <v>0</v>
      </c>
      <c r="M705" t="n">
        <v>0</v>
      </c>
      <c r="N705" t="n">
        <v>0</v>
      </c>
      <c r="O705" t="n">
        <v>0</v>
      </c>
      <c r="P705" t="n">
        <v>0</v>
      </c>
      <c r="Q705" t="n">
        <v>0</v>
      </c>
      <c r="R705" s="2" t="inlineStr"/>
    </row>
    <row r="706" ht="15" customHeight="1">
      <c r="A706" t="inlineStr">
        <is>
          <t>A 45784-2022</t>
        </is>
      </c>
      <c r="B706" s="1" t="n">
        <v>44846</v>
      </c>
      <c r="C706" s="1" t="n">
        <v>45911</v>
      </c>
      <c r="D706" t="inlineStr">
        <is>
          <t>GÄVLEBORGS LÄN</t>
        </is>
      </c>
      <c r="E706" t="inlineStr">
        <is>
          <t>HUDIKSVALL</t>
        </is>
      </c>
      <c r="G706" t="n">
        <v>3.2</v>
      </c>
      <c r="H706" t="n">
        <v>0</v>
      </c>
      <c r="I706" t="n">
        <v>0</v>
      </c>
      <c r="J706" t="n">
        <v>0</v>
      </c>
      <c r="K706" t="n">
        <v>0</v>
      </c>
      <c r="L706" t="n">
        <v>0</v>
      </c>
      <c r="M706" t="n">
        <v>0</v>
      </c>
      <c r="N706" t="n">
        <v>0</v>
      </c>
      <c r="O706" t="n">
        <v>0</v>
      </c>
      <c r="P706" t="n">
        <v>0</v>
      </c>
      <c r="Q706" t="n">
        <v>0</v>
      </c>
      <c r="R706" s="2" t="inlineStr"/>
    </row>
    <row r="707" ht="15" customHeight="1">
      <c r="A707" t="inlineStr">
        <is>
          <t>A 12971-2021</t>
        </is>
      </c>
      <c r="B707" s="1" t="n">
        <v>44271</v>
      </c>
      <c r="C707" s="1" t="n">
        <v>45911</v>
      </c>
      <c r="D707" t="inlineStr">
        <is>
          <t>GÄVLEBORGS LÄN</t>
        </is>
      </c>
      <c r="E707" t="inlineStr">
        <is>
          <t>SANDVIKEN</t>
        </is>
      </c>
      <c r="G707" t="n">
        <v>2.2</v>
      </c>
      <c r="H707" t="n">
        <v>0</v>
      </c>
      <c r="I707" t="n">
        <v>0</v>
      </c>
      <c r="J707" t="n">
        <v>0</v>
      </c>
      <c r="K707" t="n">
        <v>0</v>
      </c>
      <c r="L707" t="n">
        <v>0</v>
      </c>
      <c r="M707" t="n">
        <v>0</v>
      </c>
      <c r="N707" t="n">
        <v>0</v>
      </c>
      <c r="O707" t="n">
        <v>0</v>
      </c>
      <c r="P707" t="n">
        <v>0</v>
      </c>
      <c r="Q707" t="n">
        <v>0</v>
      </c>
      <c r="R707" s="2" t="inlineStr"/>
    </row>
    <row r="708" ht="15" customHeight="1">
      <c r="A708" t="inlineStr">
        <is>
          <t>A 72077-2021</t>
        </is>
      </c>
      <c r="B708" s="1" t="n">
        <v>44544.51</v>
      </c>
      <c r="C708" s="1" t="n">
        <v>45911</v>
      </c>
      <c r="D708" t="inlineStr">
        <is>
          <t>GÄVLEBORGS LÄN</t>
        </is>
      </c>
      <c r="E708" t="inlineStr">
        <is>
          <t>HUDIKSVALL</t>
        </is>
      </c>
      <c r="G708" t="n">
        <v>0.5</v>
      </c>
      <c r="H708" t="n">
        <v>0</v>
      </c>
      <c r="I708" t="n">
        <v>0</v>
      </c>
      <c r="J708" t="n">
        <v>0</v>
      </c>
      <c r="K708" t="n">
        <v>0</v>
      </c>
      <c r="L708" t="n">
        <v>0</v>
      </c>
      <c r="M708" t="n">
        <v>0</v>
      </c>
      <c r="N708" t="n">
        <v>0</v>
      </c>
      <c r="O708" t="n">
        <v>0</v>
      </c>
      <c r="P708" t="n">
        <v>0</v>
      </c>
      <c r="Q708" t="n">
        <v>0</v>
      </c>
      <c r="R708" s="2" t="inlineStr"/>
    </row>
    <row r="709" ht="15" customHeight="1">
      <c r="A709" t="inlineStr">
        <is>
          <t>A 29476-2021</t>
        </is>
      </c>
      <c r="B709" s="1" t="n">
        <v>44361</v>
      </c>
      <c r="C709" s="1" t="n">
        <v>45911</v>
      </c>
      <c r="D709" t="inlineStr">
        <is>
          <t>GÄVLEBORGS LÄN</t>
        </is>
      </c>
      <c r="E709" t="inlineStr">
        <is>
          <t>HUDIKSVALL</t>
        </is>
      </c>
      <c r="F709" t="inlineStr">
        <is>
          <t>Holmen skog AB</t>
        </is>
      </c>
      <c r="G709" t="n">
        <v>1.9</v>
      </c>
      <c r="H709" t="n">
        <v>0</v>
      </c>
      <c r="I709" t="n">
        <v>0</v>
      </c>
      <c r="J709" t="n">
        <v>0</v>
      </c>
      <c r="K709" t="n">
        <v>0</v>
      </c>
      <c r="L709" t="n">
        <v>0</v>
      </c>
      <c r="M709" t="n">
        <v>0</v>
      </c>
      <c r="N709" t="n">
        <v>0</v>
      </c>
      <c r="O709" t="n">
        <v>0</v>
      </c>
      <c r="P709" t="n">
        <v>0</v>
      </c>
      <c r="Q709" t="n">
        <v>0</v>
      </c>
      <c r="R709" s="2" t="inlineStr"/>
    </row>
    <row r="710" ht="15" customHeight="1">
      <c r="A710" t="inlineStr">
        <is>
          <t>A 29828-2021</t>
        </is>
      </c>
      <c r="B710" s="1" t="n">
        <v>44362</v>
      </c>
      <c r="C710" s="1" t="n">
        <v>45911</v>
      </c>
      <c r="D710" t="inlineStr">
        <is>
          <t>GÄVLEBORGS LÄN</t>
        </is>
      </c>
      <c r="E710" t="inlineStr">
        <is>
          <t>NORDANSTIG</t>
        </is>
      </c>
      <c r="F710" t="inlineStr">
        <is>
          <t>Holmen skog AB</t>
        </is>
      </c>
      <c r="G710" t="n">
        <v>0.1</v>
      </c>
      <c r="H710" t="n">
        <v>0</v>
      </c>
      <c r="I710" t="n">
        <v>0</v>
      </c>
      <c r="J710" t="n">
        <v>0</v>
      </c>
      <c r="K710" t="n">
        <v>0</v>
      </c>
      <c r="L710" t="n">
        <v>0</v>
      </c>
      <c r="M710" t="n">
        <v>0</v>
      </c>
      <c r="N710" t="n">
        <v>0</v>
      </c>
      <c r="O710" t="n">
        <v>0</v>
      </c>
      <c r="P710" t="n">
        <v>0</v>
      </c>
      <c r="Q710" t="n">
        <v>0</v>
      </c>
      <c r="R710" s="2" t="inlineStr"/>
    </row>
    <row r="711" ht="15" customHeight="1">
      <c r="A711" t="inlineStr">
        <is>
          <t>A 9367-2022</t>
        </is>
      </c>
      <c r="B711" s="1" t="n">
        <v>44616.60581018519</v>
      </c>
      <c r="C711" s="1" t="n">
        <v>45911</v>
      </c>
      <c r="D711" t="inlineStr">
        <is>
          <t>GÄVLEBORGS LÄN</t>
        </is>
      </c>
      <c r="E711" t="inlineStr">
        <is>
          <t>BOLLNÄS</t>
        </is>
      </c>
      <c r="G711" t="n">
        <v>12.8</v>
      </c>
      <c r="H711" t="n">
        <v>0</v>
      </c>
      <c r="I711" t="n">
        <v>0</v>
      </c>
      <c r="J711" t="n">
        <v>0</v>
      </c>
      <c r="K711" t="n">
        <v>0</v>
      </c>
      <c r="L711" t="n">
        <v>0</v>
      </c>
      <c r="M711" t="n">
        <v>0</v>
      </c>
      <c r="N711" t="n">
        <v>0</v>
      </c>
      <c r="O711" t="n">
        <v>0</v>
      </c>
      <c r="P711" t="n">
        <v>0</v>
      </c>
      <c r="Q711" t="n">
        <v>0</v>
      </c>
      <c r="R711" s="2" t="inlineStr"/>
    </row>
    <row r="712" ht="15" customHeight="1">
      <c r="A712" t="inlineStr">
        <is>
          <t>A 18417-2021</t>
        </is>
      </c>
      <c r="B712" s="1" t="n">
        <v>44305</v>
      </c>
      <c r="C712" s="1" t="n">
        <v>45911</v>
      </c>
      <c r="D712" t="inlineStr">
        <is>
          <t>GÄVLEBORGS LÄN</t>
        </is>
      </c>
      <c r="E712" t="inlineStr">
        <is>
          <t>HUDIKSVALL</t>
        </is>
      </c>
      <c r="F712" t="inlineStr">
        <is>
          <t>Kommuner</t>
        </is>
      </c>
      <c r="G712" t="n">
        <v>0.9</v>
      </c>
      <c r="H712" t="n">
        <v>0</v>
      </c>
      <c r="I712" t="n">
        <v>0</v>
      </c>
      <c r="J712" t="n">
        <v>0</v>
      </c>
      <c r="K712" t="n">
        <v>0</v>
      </c>
      <c r="L712" t="n">
        <v>0</v>
      </c>
      <c r="M712" t="n">
        <v>0</v>
      </c>
      <c r="N712" t="n">
        <v>0</v>
      </c>
      <c r="O712" t="n">
        <v>0</v>
      </c>
      <c r="P712" t="n">
        <v>0</v>
      </c>
      <c r="Q712" t="n">
        <v>0</v>
      </c>
      <c r="R712" s="2" t="inlineStr"/>
    </row>
    <row r="713" ht="15" customHeight="1">
      <c r="A713" t="inlineStr">
        <is>
          <t>A 41471-2021</t>
        </is>
      </c>
      <c r="B713" s="1" t="n">
        <v>44424</v>
      </c>
      <c r="C713" s="1" t="n">
        <v>45911</v>
      </c>
      <c r="D713" t="inlineStr">
        <is>
          <t>GÄVLEBORGS LÄN</t>
        </is>
      </c>
      <c r="E713" t="inlineStr">
        <is>
          <t>BOLLNÄS</t>
        </is>
      </c>
      <c r="G713" t="n">
        <v>3.9</v>
      </c>
      <c r="H713" t="n">
        <v>0</v>
      </c>
      <c r="I713" t="n">
        <v>0</v>
      </c>
      <c r="J713" t="n">
        <v>0</v>
      </c>
      <c r="K713" t="n">
        <v>0</v>
      </c>
      <c r="L713" t="n">
        <v>0</v>
      </c>
      <c r="M713" t="n">
        <v>0</v>
      </c>
      <c r="N713" t="n">
        <v>0</v>
      </c>
      <c r="O713" t="n">
        <v>0</v>
      </c>
      <c r="P713" t="n">
        <v>0</v>
      </c>
      <c r="Q713" t="n">
        <v>0</v>
      </c>
      <c r="R713" s="2" t="inlineStr"/>
    </row>
    <row r="714" ht="15" customHeight="1">
      <c r="A714" t="inlineStr">
        <is>
          <t>A 22851-2022</t>
        </is>
      </c>
      <c r="B714" s="1" t="n">
        <v>44715.47230324074</v>
      </c>
      <c r="C714" s="1" t="n">
        <v>45911</v>
      </c>
      <c r="D714" t="inlineStr">
        <is>
          <t>GÄVLEBORGS LÄN</t>
        </is>
      </c>
      <c r="E714" t="inlineStr">
        <is>
          <t>LJUSDAL</t>
        </is>
      </c>
      <c r="F714" t="inlineStr">
        <is>
          <t>Sveaskog</t>
        </is>
      </c>
      <c r="G714" t="n">
        <v>0.8</v>
      </c>
      <c r="H714" t="n">
        <v>0</v>
      </c>
      <c r="I714" t="n">
        <v>0</v>
      </c>
      <c r="J714" t="n">
        <v>0</v>
      </c>
      <c r="K714" t="n">
        <v>0</v>
      </c>
      <c r="L714" t="n">
        <v>0</v>
      </c>
      <c r="M714" t="n">
        <v>0</v>
      </c>
      <c r="N714" t="n">
        <v>0</v>
      </c>
      <c r="O714" t="n">
        <v>0</v>
      </c>
      <c r="P714" t="n">
        <v>0</v>
      </c>
      <c r="Q714" t="n">
        <v>0</v>
      </c>
      <c r="R714" s="2" t="inlineStr"/>
    </row>
    <row r="715" ht="15" customHeight="1">
      <c r="A715" t="inlineStr">
        <is>
          <t>A 12469-2021</t>
        </is>
      </c>
      <c r="B715" s="1" t="n">
        <v>44267</v>
      </c>
      <c r="C715" s="1" t="n">
        <v>45911</v>
      </c>
      <c r="D715" t="inlineStr">
        <is>
          <t>GÄVLEBORGS LÄN</t>
        </is>
      </c>
      <c r="E715" t="inlineStr">
        <is>
          <t>SÖDERHAMN</t>
        </is>
      </c>
      <c r="G715" t="n">
        <v>4.6</v>
      </c>
      <c r="H715" t="n">
        <v>0</v>
      </c>
      <c r="I715" t="n">
        <v>0</v>
      </c>
      <c r="J715" t="n">
        <v>0</v>
      </c>
      <c r="K715" t="n">
        <v>0</v>
      </c>
      <c r="L715" t="n">
        <v>0</v>
      </c>
      <c r="M715" t="n">
        <v>0</v>
      </c>
      <c r="N715" t="n">
        <v>0</v>
      </c>
      <c r="O715" t="n">
        <v>0</v>
      </c>
      <c r="P715" t="n">
        <v>0</v>
      </c>
      <c r="Q715" t="n">
        <v>0</v>
      </c>
      <c r="R715" s="2" t="inlineStr"/>
    </row>
    <row r="716" ht="15" customHeight="1">
      <c r="A716" t="inlineStr">
        <is>
          <t>A 28148-2021</t>
        </is>
      </c>
      <c r="B716" s="1" t="n">
        <v>44355.55023148148</v>
      </c>
      <c r="C716" s="1" t="n">
        <v>45911</v>
      </c>
      <c r="D716" t="inlineStr">
        <is>
          <t>GÄVLEBORGS LÄN</t>
        </is>
      </c>
      <c r="E716" t="inlineStr">
        <is>
          <t>HUDIKSVALL</t>
        </is>
      </c>
      <c r="G716" t="n">
        <v>2.4</v>
      </c>
      <c r="H716" t="n">
        <v>0</v>
      </c>
      <c r="I716" t="n">
        <v>0</v>
      </c>
      <c r="J716" t="n">
        <v>0</v>
      </c>
      <c r="K716" t="n">
        <v>0</v>
      </c>
      <c r="L716" t="n">
        <v>0</v>
      </c>
      <c r="M716" t="n">
        <v>0</v>
      </c>
      <c r="N716" t="n">
        <v>0</v>
      </c>
      <c r="O716" t="n">
        <v>0</v>
      </c>
      <c r="P716" t="n">
        <v>0</v>
      </c>
      <c r="Q716" t="n">
        <v>0</v>
      </c>
      <c r="R716" s="2" t="inlineStr"/>
    </row>
    <row r="717" ht="15" customHeight="1">
      <c r="A717" t="inlineStr">
        <is>
          <t>A 51083-2020</t>
        </is>
      </c>
      <c r="B717" s="1" t="n">
        <v>44112.396875</v>
      </c>
      <c r="C717" s="1" t="n">
        <v>45911</v>
      </c>
      <c r="D717" t="inlineStr">
        <is>
          <t>GÄVLEBORGS LÄN</t>
        </is>
      </c>
      <c r="E717" t="inlineStr">
        <is>
          <t>OVANÅKER</t>
        </is>
      </c>
      <c r="G717" t="n">
        <v>2</v>
      </c>
      <c r="H717" t="n">
        <v>0</v>
      </c>
      <c r="I717" t="n">
        <v>0</v>
      </c>
      <c r="J717" t="n">
        <v>0</v>
      </c>
      <c r="K717" t="n">
        <v>0</v>
      </c>
      <c r="L717" t="n">
        <v>0</v>
      </c>
      <c r="M717" t="n">
        <v>0</v>
      </c>
      <c r="N717" t="n">
        <v>0</v>
      </c>
      <c r="O717" t="n">
        <v>0</v>
      </c>
      <c r="P717" t="n">
        <v>0</v>
      </c>
      <c r="Q717" t="n">
        <v>0</v>
      </c>
      <c r="R717" s="2" t="inlineStr"/>
    </row>
    <row r="718" ht="15" customHeight="1">
      <c r="A718" t="inlineStr">
        <is>
          <t>A 21552-2021</t>
        </is>
      </c>
      <c r="B718" s="1" t="n">
        <v>44321.62322916667</v>
      </c>
      <c r="C718" s="1" t="n">
        <v>45911</v>
      </c>
      <c r="D718" t="inlineStr">
        <is>
          <t>GÄVLEBORGS LÄN</t>
        </is>
      </c>
      <c r="E718" t="inlineStr">
        <is>
          <t>GÄVLE</t>
        </is>
      </c>
      <c r="G718" t="n">
        <v>1.1</v>
      </c>
      <c r="H718" t="n">
        <v>0</v>
      </c>
      <c r="I718" t="n">
        <v>0</v>
      </c>
      <c r="J718" t="n">
        <v>0</v>
      </c>
      <c r="K718" t="n">
        <v>0</v>
      </c>
      <c r="L718" t="n">
        <v>0</v>
      </c>
      <c r="M718" t="n">
        <v>0</v>
      </c>
      <c r="N718" t="n">
        <v>0</v>
      </c>
      <c r="O718" t="n">
        <v>0</v>
      </c>
      <c r="P718" t="n">
        <v>0</v>
      </c>
      <c r="Q718" t="n">
        <v>0</v>
      </c>
      <c r="R718" s="2" t="inlineStr"/>
    </row>
    <row r="719" ht="15" customHeight="1">
      <c r="A719" t="inlineStr">
        <is>
          <t>A 34260-2021</t>
        </is>
      </c>
      <c r="B719" s="1" t="n">
        <v>44379</v>
      </c>
      <c r="C719" s="1" t="n">
        <v>45911</v>
      </c>
      <c r="D719" t="inlineStr">
        <is>
          <t>GÄVLEBORGS LÄN</t>
        </is>
      </c>
      <c r="E719" t="inlineStr">
        <is>
          <t>OVANÅKER</t>
        </is>
      </c>
      <c r="F719" t="inlineStr">
        <is>
          <t>Kyrkan</t>
        </is>
      </c>
      <c r="G719" t="n">
        <v>8.300000000000001</v>
      </c>
      <c r="H719" t="n">
        <v>0</v>
      </c>
      <c r="I719" t="n">
        <v>0</v>
      </c>
      <c r="J719" t="n">
        <v>0</v>
      </c>
      <c r="K719" t="n">
        <v>0</v>
      </c>
      <c r="L719" t="n">
        <v>0</v>
      </c>
      <c r="M719" t="n">
        <v>0</v>
      </c>
      <c r="N719" t="n">
        <v>0</v>
      </c>
      <c r="O719" t="n">
        <v>0</v>
      </c>
      <c r="P719" t="n">
        <v>0</v>
      </c>
      <c r="Q719" t="n">
        <v>0</v>
      </c>
      <c r="R719" s="2" t="inlineStr"/>
    </row>
    <row r="720" ht="15" customHeight="1">
      <c r="A720" t="inlineStr">
        <is>
          <t>A 17962-2022</t>
        </is>
      </c>
      <c r="B720" s="1" t="n">
        <v>44683.67664351852</v>
      </c>
      <c r="C720" s="1" t="n">
        <v>45911</v>
      </c>
      <c r="D720" t="inlineStr">
        <is>
          <t>GÄVLEBORGS LÄN</t>
        </is>
      </c>
      <c r="E720" t="inlineStr">
        <is>
          <t>HUDIKSVALL</t>
        </is>
      </c>
      <c r="F720" t="inlineStr">
        <is>
          <t>Holmen skog AB</t>
        </is>
      </c>
      <c r="G720" t="n">
        <v>9.1</v>
      </c>
      <c r="H720" t="n">
        <v>0</v>
      </c>
      <c r="I720" t="n">
        <v>0</v>
      </c>
      <c r="J720" t="n">
        <v>0</v>
      </c>
      <c r="K720" t="n">
        <v>0</v>
      </c>
      <c r="L720" t="n">
        <v>0</v>
      </c>
      <c r="M720" t="n">
        <v>0</v>
      </c>
      <c r="N720" t="n">
        <v>0</v>
      </c>
      <c r="O720" t="n">
        <v>0</v>
      </c>
      <c r="P720" t="n">
        <v>0</v>
      </c>
      <c r="Q720" t="n">
        <v>0</v>
      </c>
      <c r="R720" s="2" t="inlineStr"/>
    </row>
    <row r="721" ht="15" customHeight="1">
      <c r="A721" t="inlineStr">
        <is>
          <t>A 11235-2022</t>
        </is>
      </c>
      <c r="B721" s="1" t="n">
        <v>44629.59020833333</v>
      </c>
      <c r="C721" s="1" t="n">
        <v>45911</v>
      </c>
      <c r="D721" t="inlineStr">
        <is>
          <t>GÄVLEBORGS LÄN</t>
        </is>
      </c>
      <c r="E721" t="inlineStr">
        <is>
          <t>GÄVLE</t>
        </is>
      </c>
      <c r="G721" t="n">
        <v>5.9</v>
      </c>
      <c r="H721" t="n">
        <v>0</v>
      </c>
      <c r="I721" t="n">
        <v>0</v>
      </c>
      <c r="J721" t="n">
        <v>0</v>
      </c>
      <c r="K721" t="n">
        <v>0</v>
      </c>
      <c r="L721" t="n">
        <v>0</v>
      </c>
      <c r="M721" t="n">
        <v>0</v>
      </c>
      <c r="N721" t="n">
        <v>0</v>
      </c>
      <c r="O721" t="n">
        <v>0</v>
      </c>
      <c r="P721" t="n">
        <v>0</v>
      </c>
      <c r="Q721" t="n">
        <v>0</v>
      </c>
      <c r="R721" s="2" t="inlineStr"/>
    </row>
    <row r="722" ht="15" customHeight="1">
      <c r="A722" t="inlineStr">
        <is>
          <t>A 14277-2021</t>
        </is>
      </c>
      <c r="B722" s="1" t="n">
        <v>44278.63457175926</v>
      </c>
      <c r="C722" s="1" t="n">
        <v>45911</v>
      </c>
      <c r="D722" t="inlineStr">
        <is>
          <t>GÄVLEBORGS LÄN</t>
        </is>
      </c>
      <c r="E722" t="inlineStr">
        <is>
          <t>SANDVIKEN</t>
        </is>
      </c>
      <c r="G722" t="n">
        <v>3.3</v>
      </c>
      <c r="H722" t="n">
        <v>0</v>
      </c>
      <c r="I722" t="n">
        <v>0</v>
      </c>
      <c r="J722" t="n">
        <v>0</v>
      </c>
      <c r="K722" t="n">
        <v>0</v>
      </c>
      <c r="L722" t="n">
        <v>0</v>
      </c>
      <c r="M722" t="n">
        <v>0</v>
      </c>
      <c r="N722" t="n">
        <v>0</v>
      </c>
      <c r="O722" t="n">
        <v>0</v>
      </c>
      <c r="P722" t="n">
        <v>0</v>
      </c>
      <c r="Q722" t="n">
        <v>0</v>
      </c>
      <c r="R722" s="2" t="inlineStr"/>
    </row>
    <row r="723" ht="15" customHeight="1">
      <c r="A723" t="inlineStr">
        <is>
          <t>A 7146-2021</t>
        </is>
      </c>
      <c r="B723" s="1" t="n">
        <v>44238</v>
      </c>
      <c r="C723" s="1" t="n">
        <v>45911</v>
      </c>
      <c r="D723" t="inlineStr">
        <is>
          <t>GÄVLEBORGS LÄN</t>
        </is>
      </c>
      <c r="E723" t="inlineStr">
        <is>
          <t>HUDIKSVALL</t>
        </is>
      </c>
      <c r="G723" t="n">
        <v>0.7</v>
      </c>
      <c r="H723" t="n">
        <v>0</v>
      </c>
      <c r="I723" t="n">
        <v>0</v>
      </c>
      <c r="J723" t="n">
        <v>0</v>
      </c>
      <c r="K723" t="n">
        <v>0</v>
      </c>
      <c r="L723" t="n">
        <v>0</v>
      </c>
      <c r="M723" t="n">
        <v>0</v>
      </c>
      <c r="N723" t="n">
        <v>0</v>
      </c>
      <c r="O723" t="n">
        <v>0</v>
      </c>
      <c r="P723" t="n">
        <v>0</v>
      </c>
      <c r="Q723" t="n">
        <v>0</v>
      </c>
      <c r="R723" s="2" t="inlineStr"/>
    </row>
    <row r="724" ht="15" customHeight="1">
      <c r="A724" t="inlineStr">
        <is>
          <t>A 49604-2021</t>
        </is>
      </c>
      <c r="B724" s="1" t="n">
        <v>44455.41347222222</v>
      </c>
      <c r="C724" s="1" t="n">
        <v>45911</v>
      </c>
      <c r="D724" t="inlineStr">
        <is>
          <t>GÄVLEBORGS LÄN</t>
        </is>
      </c>
      <c r="E724" t="inlineStr">
        <is>
          <t>HUDIKSVALL</t>
        </is>
      </c>
      <c r="F724" t="inlineStr">
        <is>
          <t>Holmen skog AB</t>
        </is>
      </c>
      <c r="G724" t="n">
        <v>2.4</v>
      </c>
      <c r="H724" t="n">
        <v>0</v>
      </c>
      <c r="I724" t="n">
        <v>0</v>
      </c>
      <c r="J724" t="n">
        <v>0</v>
      </c>
      <c r="K724" t="n">
        <v>0</v>
      </c>
      <c r="L724" t="n">
        <v>0</v>
      </c>
      <c r="M724" t="n">
        <v>0</v>
      </c>
      <c r="N724" t="n">
        <v>0</v>
      </c>
      <c r="O724" t="n">
        <v>0</v>
      </c>
      <c r="P724" t="n">
        <v>0</v>
      </c>
      <c r="Q724" t="n">
        <v>0</v>
      </c>
      <c r="R724" s="2" t="inlineStr"/>
    </row>
    <row r="725" ht="15" customHeight="1">
      <c r="A725" t="inlineStr">
        <is>
          <t>A 37709-2021</t>
        </is>
      </c>
      <c r="B725" s="1" t="n">
        <v>44400.56368055556</v>
      </c>
      <c r="C725" s="1" t="n">
        <v>45911</v>
      </c>
      <c r="D725" t="inlineStr">
        <is>
          <t>GÄVLEBORGS LÄN</t>
        </is>
      </c>
      <c r="E725" t="inlineStr">
        <is>
          <t>OCKELBO</t>
        </is>
      </c>
      <c r="G725" t="n">
        <v>2.7</v>
      </c>
      <c r="H725" t="n">
        <v>0</v>
      </c>
      <c r="I725" t="n">
        <v>0</v>
      </c>
      <c r="J725" t="n">
        <v>0</v>
      </c>
      <c r="K725" t="n">
        <v>0</v>
      </c>
      <c r="L725" t="n">
        <v>0</v>
      </c>
      <c r="M725" t="n">
        <v>0</v>
      </c>
      <c r="N725" t="n">
        <v>0</v>
      </c>
      <c r="O725" t="n">
        <v>0</v>
      </c>
      <c r="P725" t="n">
        <v>0</v>
      </c>
      <c r="Q725" t="n">
        <v>0</v>
      </c>
      <c r="R725" s="2" t="inlineStr"/>
    </row>
    <row r="726" ht="15" customHeight="1">
      <c r="A726" t="inlineStr">
        <is>
          <t>A 19241-2021</t>
        </is>
      </c>
      <c r="B726" s="1" t="n">
        <v>44309.36331018519</v>
      </c>
      <c r="C726" s="1" t="n">
        <v>45911</v>
      </c>
      <c r="D726" t="inlineStr">
        <is>
          <t>GÄVLEBORGS LÄN</t>
        </is>
      </c>
      <c r="E726" t="inlineStr">
        <is>
          <t>OCKELBO</t>
        </is>
      </c>
      <c r="F726" t="inlineStr">
        <is>
          <t>Bergvik skog väst AB</t>
        </is>
      </c>
      <c r="G726" t="n">
        <v>1.5</v>
      </c>
      <c r="H726" t="n">
        <v>0</v>
      </c>
      <c r="I726" t="n">
        <v>0</v>
      </c>
      <c r="J726" t="n">
        <v>0</v>
      </c>
      <c r="K726" t="n">
        <v>0</v>
      </c>
      <c r="L726" t="n">
        <v>0</v>
      </c>
      <c r="M726" t="n">
        <v>0</v>
      </c>
      <c r="N726" t="n">
        <v>0</v>
      </c>
      <c r="O726" t="n">
        <v>0</v>
      </c>
      <c r="P726" t="n">
        <v>0</v>
      </c>
      <c r="Q726" t="n">
        <v>0</v>
      </c>
      <c r="R726" s="2" t="inlineStr"/>
    </row>
    <row r="727" ht="15" customHeight="1">
      <c r="A727" t="inlineStr">
        <is>
          <t>A 34200-2021</t>
        </is>
      </c>
      <c r="B727" s="1" t="n">
        <v>44379</v>
      </c>
      <c r="C727" s="1" t="n">
        <v>45911</v>
      </c>
      <c r="D727" t="inlineStr">
        <is>
          <t>GÄVLEBORGS LÄN</t>
        </is>
      </c>
      <c r="E727" t="inlineStr">
        <is>
          <t>OVANÅKER</t>
        </is>
      </c>
      <c r="F727" t="inlineStr">
        <is>
          <t>Kyrkan</t>
        </is>
      </c>
      <c r="G727" t="n">
        <v>16.3</v>
      </c>
      <c r="H727" t="n">
        <v>0</v>
      </c>
      <c r="I727" t="n">
        <v>0</v>
      </c>
      <c r="J727" t="n">
        <v>0</v>
      </c>
      <c r="K727" t="n">
        <v>0</v>
      </c>
      <c r="L727" t="n">
        <v>0</v>
      </c>
      <c r="M727" t="n">
        <v>0</v>
      </c>
      <c r="N727" t="n">
        <v>0</v>
      </c>
      <c r="O727" t="n">
        <v>0</v>
      </c>
      <c r="P727" t="n">
        <v>0</v>
      </c>
      <c r="Q727" t="n">
        <v>0</v>
      </c>
      <c r="R727" s="2" t="inlineStr"/>
    </row>
    <row r="728" ht="15" customHeight="1">
      <c r="A728" t="inlineStr">
        <is>
          <t>A 45841-2021</t>
        </is>
      </c>
      <c r="B728" s="1" t="n">
        <v>44441.54539351852</v>
      </c>
      <c r="C728" s="1" t="n">
        <v>45911</v>
      </c>
      <c r="D728" t="inlineStr">
        <is>
          <t>GÄVLEBORGS LÄN</t>
        </is>
      </c>
      <c r="E728" t="inlineStr">
        <is>
          <t>BOLLNÄS</t>
        </is>
      </c>
      <c r="G728" t="n">
        <v>9.6</v>
      </c>
      <c r="H728" t="n">
        <v>0</v>
      </c>
      <c r="I728" t="n">
        <v>0</v>
      </c>
      <c r="J728" t="n">
        <v>0</v>
      </c>
      <c r="K728" t="n">
        <v>0</v>
      </c>
      <c r="L728" t="n">
        <v>0</v>
      </c>
      <c r="M728" t="n">
        <v>0</v>
      </c>
      <c r="N728" t="n">
        <v>0</v>
      </c>
      <c r="O728" t="n">
        <v>0</v>
      </c>
      <c r="P728" t="n">
        <v>0</v>
      </c>
      <c r="Q728" t="n">
        <v>0</v>
      </c>
      <c r="R728" s="2" t="inlineStr"/>
    </row>
    <row r="729" ht="15" customHeight="1">
      <c r="A729" t="inlineStr">
        <is>
          <t>A 10641-2021</t>
        </is>
      </c>
      <c r="B729" s="1" t="n">
        <v>44258.57385416667</v>
      </c>
      <c r="C729" s="1" t="n">
        <v>45911</v>
      </c>
      <c r="D729" t="inlineStr">
        <is>
          <t>GÄVLEBORGS LÄN</t>
        </is>
      </c>
      <c r="E729" t="inlineStr">
        <is>
          <t>OVANÅKER</t>
        </is>
      </c>
      <c r="G729" t="n">
        <v>1.5</v>
      </c>
      <c r="H729" t="n">
        <v>0</v>
      </c>
      <c r="I729" t="n">
        <v>0</v>
      </c>
      <c r="J729" t="n">
        <v>0</v>
      </c>
      <c r="K729" t="n">
        <v>0</v>
      </c>
      <c r="L729" t="n">
        <v>0</v>
      </c>
      <c r="M729" t="n">
        <v>0</v>
      </c>
      <c r="N729" t="n">
        <v>0</v>
      </c>
      <c r="O729" t="n">
        <v>0</v>
      </c>
      <c r="P729" t="n">
        <v>0</v>
      </c>
      <c r="Q729" t="n">
        <v>0</v>
      </c>
      <c r="R729" s="2" t="inlineStr"/>
    </row>
    <row r="730" ht="15" customHeight="1">
      <c r="A730" t="inlineStr">
        <is>
          <t>A 48731-2021</t>
        </is>
      </c>
      <c r="B730" s="1" t="n">
        <v>44452.60431712963</v>
      </c>
      <c r="C730" s="1" t="n">
        <v>45911</v>
      </c>
      <c r="D730" t="inlineStr">
        <is>
          <t>GÄVLEBORGS LÄN</t>
        </is>
      </c>
      <c r="E730" t="inlineStr">
        <is>
          <t>NORDANSTIG</t>
        </is>
      </c>
      <c r="F730" t="inlineStr">
        <is>
          <t>Holmen skog AB</t>
        </is>
      </c>
      <c r="G730" t="n">
        <v>3.8</v>
      </c>
      <c r="H730" t="n">
        <v>0</v>
      </c>
      <c r="I730" t="n">
        <v>0</v>
      </c>
      <c r="J730" t="n">
        <v>0</v>
      </c>
      <c r="K730" t="n">
        <v>0</v>
      </c>
      <c r="L730" t="n">
        <v>0</v>
      </c>
      <c r="M730" t="n">
        <v>0</v>
      </c>
      <c r="N730" t="n">
        <v>0</v>
      </c>
      <c r="O730" t="n">
        <v>0</v>
      </c>
      <c r="P730" t="n">
        <v>0</v>
      </c>
      <c r="Q730" t="n">
        <v>0</v>
      </c>
      <c r="R730" s="2" t="inlineStr"/>
    </row>
    <row r="731" ht="15" customHeight="1">
      <c r="A731" t="inlineStr">
        <is>
          <t>A 61670-2021</t>
        </is>
      </c>
      <c r="B731" s="1" t="n">
        <v>44501.56204861111</v>
      </c>
      <c r="C731" s="1" t="n">
        <v>45911</v>
      </c>
      <c r="D731" t="inlineStr">
        <is>
          <t>GÄVLEBORGS LÄN</t>
        </is>
      </c>
      <c r="E731" t="inlineStr">
        <is>
          <t>LJUSDAL</t>
        </is>
      </c>
      <c r="F731" t="inlineStr">
        <is>
          <t>Holmen skog AB</t>
        </is>
      </c>
      <c r="G731" t="n">
        <v>0.9</v>
      </c>
      <c r="H731" t="n">
        <v>0</v>
      </c>
      <c r="I731" t="n">
        <v>0</v>
      </c>
      <c r="J731" t="n">
        <v>0</v>
      </c>
      <c r="K731" t="n">
        <v>0</v>
      </c>
      <c r="L731" t="n">
        <v>0</v>
      </c>
      <c r="M731" t="n">
        <v>0</v>
      </c>
      <c r="N731" t="n">
        <v>0</v>
      </c>
      <c r="O731" t="n">
        <v>0</v>
      </c>
      <c r="P731" t="n">
        <v>0</v>
      </c>
      <c r="Q731" t="n">
        <v>0</v>
      </c>
      <c r="R731" s="2" t="inlineStr"/>
    </row>
    <row r="732" ht="15" customHeight="1">
      <c r="A732" t="inlineStr">
        <is>
          <t>A 24745-2021</t>
        </is>
      </c>
      <c r="B732" s="1" t="n">
        <v>44340.59168981481</v>
      </c>
      <c r="C732" s="1" t="n">
        <v>45911</v>
      </c>
      <c r="D732" t="inlineStr">
        <is>
          <t>GÄVLEBORGS LÄN</t>
        </is>
      </c>
      <c r="E732" t="inlineStr">
        <is>
          <t>HUDIKSVALL</t>
        </is>
      </c>
      <c r="F732" t="inlineStr">
        <is>
          <t>Holmen skog AB</t>
        </is>
      </c>
      <c r="G732" t="n">
        <v>3.8</v>
      </c>
      <c r="H732" t="n">
        <v>0</v>
      </c>
      <c r="I732" t="n">
        <v>0</v>
      </c>
      <c r="J732" t="n">
        <v>0</v>
      </c>
      <c r="K732" t="n">
        <v>0</v>
      </c>
      <c r="L732" t="n">
        <v>0</v>
      </c>
      <c r="M732" t="n">
        <v>0</v>
      </c>
      <c r="N732" t="n">
        <v>0</v>
      </c>
      <c r="O732" t="n">
        <v>0</v>
      </c>
      <c r="P732" t="n">
        <v>0</v>
      </c>
      <c r="Q732" t="n">
        <v>0</v>
      </c>
      <c r="R732" s="2" t="inlineStr"/>
    </row>
    <row r="733" ht="15" customHeight="1">
      <c r="A733" t="inlineStr">
        <is>
          <t>A 24803-2021</t>
        </is>
      </c>
      <c r="B733" s="1" t="n">
        <v>44340.65736111111</v>
      </c>
      <c r="C733" s="1" t="n">
        <v>45911</v>
      </c>
      <c r="D733" t="inlineStr">
        <is>
          <t>GÄVLEBORGS LÄN</t>
        </is>
      </c>
      <c r="E733" t="inlineStr">
        <is>
          <t>OCKELBO</t>
        </is>
      </c>
      <c r="G733" t="n">
        <v>1.5</v>
      </c>
      <c r="H733" t="n">
        <v>0</v>
      </c>
      <c r="I733" t="n">
        <v>0</v>
      </c>
      <c r="J733" t="n">
        <v>0</v>
      </c>
      <c r="K733" t="n">
        <v>0</v>
      </c>
      <c r="L733" t="n">
        <v>0</v>
      </c>
      <c r="M733" t="n">
        <v>0</v>
      </c>
      <c r="N733" t="n">
        <v>0</v>
      </c>
      <c r="O733" t="n">
        <v>0</v>
      </c>
      <c r="P733" t="n">
        <v>0</v>
      </c>
      <c r="Q733" t="n">
        <v>0</v>
      </c>
      <c r="R733" s="2" t="inlineStr"/>
    </row>
    <row r="734" ht="15" customHeight="1">
      <c r="A734" t="inlineStr">
        <is>
          <t>A 25409-2022</t>
        </is>
      </c>
      <c r="B734" s="1" t="n">
        <v>44732.4490625</v>
      </c>
      <c r="C734" s="1" t="n">
        <v>45911</v>
      </c>
      <c r="D734" t="inlineStr">
        <is>
          <t>GÄVLEBORGS LÄN</t>
        </is>
      </c>
      <c r="E734" t="inlineStr">
        <is>
          <t>OVANÅKER</t>
        </is>
      </c>
      <c r="G734" t="n">
        <v>2.8</v>
      </c>
      <c r="H734" t="n">
        <v>0</v>
      </c>
      <c r="I734" t="n">
        <v>0</v>
      </c>
      <c r="J734" t="n">
        <v>0</v>
      </c>
      <c r="K734" t="n">
        <v>0</v>
      </c>
      <c r="L734" t="n">
        <v>0</v>
      </c>
      <c r="M734" t="n">
        <v>0</v>
      </c>
      <c r="N734" t="n">
        <v>0</v>
      </c>
      <c r="O734" t="n">
        <v>0</v>
      </c>
      <c r="P734" t="n">
        <v>0</v>
      </c>
      <c r="Q734" t="n">
        <v>0</v>
      </c>
      <c r="R734" s="2" t="inlineStr"/>
    </row>
    <row r="735" ht="15" customHeight="1">
      <c r="A735" t="inlineStr">
        <is>
          <t>A 18797-2022</t>
        </is>
      </c>
      <c r="B735" s="1" t="n">
        <v>44690.3471875</v>
      </c>
      <c r="C735" s="1" t="n">
        <v>45911</v>
      </c>
      <c r="D735" t="inlineStr">
        <is>
          <t>GÄVLEBORGS LÄN</t>
        </is>
      </c>
      <c r="E735" t="inlineStr">
        <is>
          <t>HUDIKSVALL</t>
        </is>
      </c>
      <c r="F735" t="inlineStr">
        <is>
          <t>Holmen skog AB</t>
        </is>
      </c>
      <c r="G735" t="n">
        <v>13.5</v>
      </c>
      <c r="H735" t="n">
        <v>0</v>
      </c>
      <c r="I735" t="n">
        <v>0</v>
      </c>
      <c r="J735" t="n">
        <v>0</v>
      </c>
      <c r="K735" t="n">
        <v>0</v>
      </c>
      <c r="L735" t="n">
        <v>0</v>
      </c>
      <c r="M735" t="n">
        <v>0</v>
      </c>
      <c r="N735" t="n">
        <v>0</v>
      </c>
      <c r="O735" t="n">
        <v>0</v>
      </c>
      <c r="P735" t="n">
        <v>0</v>
      </c>
      <c r="Q735" t="n">
        <v>0</v>
      </c>
      <c r="R735" s="2" t="inlineStr"/>
    </row>
    <row r="736" ht="15" customHeight="1">
      <c r="A736" t="inlineStr">
        <is>
          <t>A 28760-2021</t>
        </is>
      </c>
      <c r="B736" s="1" t="n">
        <v>44357.52563657407</v>
      </c>
      <c r="C736" s="1" t="n">
        <v>45911</v>
      </c>
      <c r="D736" t="inlineStr">
        <is>
          <t>GÄVLEBORGS LÄN</t>
        </is>
      </c>
      <c r="E736" t="inlineStr">
        <is>
          <t>NORDANSTIG</t>
        </is>
      </c>
      <c r="G736" t="n">
        <v>0.5</v>
      </c>
      <c r="H736" t="n">
        <v>0</v>
      </c>
      <c r="I736" t="n">
        <v>0</v>
      </c>
      <c r="J736" t="n">
        <v>0</v>
      </c>
      <c r="K736" t="n">
        <v>0</v>
      </c>
      <c r="L736" t="n">
        <v>0</v>
      </c>
      <c r="M736" t="n">
        <v>0</v>
      </c>
      <c r="N736" t="n">
        <v>0</v>
      </c>
      <c r="O736" t="n">
        <v>0</v>
      </c>
      <c r="P736" t="n">
        <v>0</v>
      </c>
      <c r="Q736" t="n">
        <v>0</v>
      </c>
      <c r="R736" s="2" t="inlineStr"/>
    </row>
    <row r="737" ht="15" customHeight="1">
      <c r="A737" t="inlineStr">
        <is>
          <t>A 40729-2022</t>
        </is>
      </c>
      <c r="B737" s="1" t="n">
        <v>44824</v>
      </c>
      <c r="C737" s="1" t="n">
        <v>45911</v>
      </c>
      <c r="D737" t="inlineStr">
        <is>
          <t>GÄVLEBORGS LÄN</t>
        </is>
      </c>
      <c r="E737" t="inlineStr">
        <is>
          <t>LJUSDAL</t>
        </is>
      </c>
      <c r="F737" t="inlineStr">
        <is>
          <t>Holmen skog AB</t>
        </is>
      </c>
      <c r="G737" t="n">
        <v>1.5</v>
      </c>
      <c r="H737" t="n">
        <v>0</v>
      </c>
      <c r="I737" t="n">
        <v>0</v>
      </c>
      <c r="J737" t="n">
        <v>0</v>
      </c>
      <c r="K737" t="n">
        <v>0</v>
      </c>
      <c r="L737" t="n">
        <v>0</v>
      </c>
      <c r="M737" t="n">
        <v>0</v>
      </c>
      <c r="N737" t="n">
        <v>0</v>
      </c>
      <c r="O737" t="n">
        <v>0</v>
      </c>
      <c r="P737" t="n">
        <v>0</v>
      </c>
      <c r="Q737" t="n">
        <v>0</v>
      </c>
      <c r="R737" s="2" t="inlineStr"/>
    </row>
    <row r="738" ht="15" customHeight="1">
      <c r="A738" t="inlineStr">
        <is>
          <t>A 28023-2022</t>
        </is>
      </c>
      <c r="B738" s="1" t="n">
        <v>44746</v>
      </c>
      <c r="C738" s="1" t="n">
        <v>45911</v>
      </c>
      <c r="D738" t="inlineStr">
        <is>
          <t>GÄVLEBORGS LÄN</t>
        </is>
      </c>
      <c r="E738" t="inlineStr">
        <is>
          <t>HUDIKSVALL</t>
        </is>
      </c>
      <c r="G738" t="n">
        <v>2.9</v>
      </c>
      <c r="H738" t="n">
        <v>0</v>
      </c>
      <c r="I738" t="n">
        <v>0</v>
      </c>
      <c r="J738" t="n">
        <v>0</v>
      </c>
      <c r="K738" t="n">
        <v>0</v>
      </c>
      <c r="L738" t="n">
        <v>0</v>
      </c>
      <c r="M738" t="n">
        <v>0</v>
      </c>
      <c r="N738" t="n">
        <v>0</v>
      </c>
      <c r="O738" t="n">
        <v>0</v>
      </c>
      <c r="P738" t="n">
        <v>0</v>
      </c>
      <c r="Q738" t="n">
        <v>0</v>
      </c>
      <c r="R738" s="2" t="inlineStr"/>
    </row>
    <row r="739" ht="15" customHeight="1">
      <c r="A739" t="inlineStr">
        <is>
          <t>A 18516-2022</t>
        </is>
      </c>
      <c r="B739" s="1" t="n">
        <v>44686</v>
      </c>
      <c r="C739" s="1" t="n">
        <v>45911</v>
      </c>
      <c r="D739" t="inlineStr">
        <is>
          <t>GÄVLEBORGS LÄN</t>
        </is>
      </c>
      <c r="E739" t="inlineStr">
        <is>
          <t>NORDANSTIG</t>
        </is>
      </c>
      <c r="G739" t="n">
        <v>2.9</v>
      </c>
      <c r="H739" t="n">
        <v>0</v>
      </c>
      <c r="I739" t="n">
        <v>0</v>
      </c>
      <c r="J739" t="n">
        <v>0</v>
      </c>
      <c r="K739" t="n">
        <v>0</v>
      </c>
      <c r="L739" t="n">
        <v>0</v>
      </c>
      <c r="M739" t="n">
        <v>0</v>
      </c>
      <c r="N739" t="n">
        <v>0</v>
      </c>
      <c r="O739" t="n">
        <v>0</v>
      </c>
      <c r="P739" t="n">
        <v>0</v>
      </c>
      <c r="Q739" t="n">
        <v>0</v>
      </c>
      <c r="R739" s="2" t="inlineStr"/>
    </row>
    <row r="740" ht="15" customHeight="1">
      <c r="A740" t="inlineStr">
        <is>
          <t>A 29676-2022</t>
        </is>
      </c>
      <c r="B740" s="1" t="n">
        <v>44754</v>
      </c>
      <c r="C740" s="1" t="n">
        <v>45911</v>
      </c>
      <c r="D740" t="inlineStr">
        <is>
          <t>GÄVLEBORGS LÄN</t>
        </is>
      </c>
      <c r="E740" t="inlineStr">
        <is>
          <t>OVANÅKER</t>
        </is>
      </c>
      <c r="G740" t="n">
        <v>1</v>
      </c>
      <c r="H740" t="n">
        <v>0</v>
      </c>
      <c r="I740" t="n">
        <v>0</v>
      </c>
      <c r="J740" t="n">
        <v>0</v>
      </c>
      <c r="K740" t="n">
        <v>0</v>
      </c>
      <c r="L740" t="n">
        <v>0</v>
      </c>
      <c r="M740" t="n">
        <v>0</v>
      </c>
      <c r="N740" t="n">
        <v>0</v>
      </c>
      <c r="O740" t="n">
        <v>0</v>
      </c>
      <c r="P740" t="n">
        <v>0</v>
      </c>
      <c r="Q740" t="n">
        <v>0</v>
      </c>
      <c r="R740" s="2" t="inlineStr"/>
    </row>
    <row r="741" ht="15" customHeight="1">
      <c r="A741" t="inlineStr">
        <is>
          <t>A 21286-2022</t>
        </is>
      </c>
      <c r="B741" s="1" t="n">
        <v>44705.48375</v>
      </c>
      <c r="C741" s="1" t="n">
        <v>45911</v>
      </c>
      <c r="D741" t="inlineStr">
        <is>
          <t>GÄVLEBORGS LÄN</t>
        </is>
      </c>
      <c r="E741" t="inlineStr">
        <is>
          <t>NORDANSTIG</t>
        </is>
      </c>
      <c r="F741" t="inlineStr">
        <is>
          <t>Holmen skog AB</t>
        </is>
      </c>
      <c r="G741" t="n">
        <v>3.9</v>
      </c>
      <c r="H741" t="n">
        <v>0</v>
      </c>
      <c r="I741" t="n">
        <v>0</v>
      </c>
      <c r="J741" t="n">
        <v>0</v>
      </c>
      <c r="K741" t="n">
        <v>0</v>
      </c>
      <c r="L741" t="n">
        <v>0</v>
      </c>
      <c r="M741" t="n">
        <v>0</v>
      </c>
      <c r="N741" t="n">
        <v>0</v>
      </c>
      <c r="O741" t="n">
        <v>0</v>
      </c>
      <c r="P741" t="n">
        <v>0</v>
      </c>
      <c r="Q741" t="n">
        <v>0</v>
      </c>
      <c r="R741" s="2" t="inlineStr"/>
    </row>
    <row r="742" ht="15" customHeight="1">
      <c r="A742" t="inlineStr">
        <is>
          <t>A 51206-2021</t>
        </is>
      </c>
      <c r="B742" s="1" t="n">
        <v>44460</v>
      </c>
      <c r="C742" s="1" t="n">
        <v>45911</v>
      </c>
      <c r="D742" t="inlineStr">
        <is>
          <t>GÄVLEBORGS LÄN</t>
        </is>
      </c>
      <c r="E742" t="inlineStr">
        <is>
          <t>OCKELBO</t>
        </is>
      </c>
      <c r="G742" t="n">
        <v>16.8</v>
      </c>
      <c r="H742" t="n">
        <v>0</v>
      </c>
      <c r="I742" t="n">
        <v>0</v>
      </c>
      <c r="J742" t="n">
        <v>0</v>
      </c>
      <c r="K742" t="n">
        <v>0</v>
      </c>
      <c r="L742" t="n">
        <v>0</v>
      </c>
      <c r="M742" t="n">
        <v>0</v>
      </c>
      <c r="N742" t="n">
        <v>0</v>
      </c>
      <c r="O742" t="n">
        <v>0</v>
      </c>
      <c r="P742" t="n">
        <v>0</v>
      </c>
      <c r="Q742" t="n">
        <v>0</v>
      </c>
      <c r="R742" s="2" t="inlineStr"/>
    </row>
    <row r="743" ht="15" customHeight="1">
      <c r="A743" t="inlineStr">
        <is>
          <t>A 21297-2022</t>
        </is>
      </c>
      <c r="B743" s="1" t="n">
        <v>44705</v>
      </c>
      <c r="C743" s="1" t="n">
        <v>45911</v>
      </c>
      <c r="D743" t="inlineStr">
        <is>
          <t>GÄVLEBORGS LÄN</t>
        </is>
      </c>
      <c r="E743" t="inlineStr">
        <is>
          <t>SANDVIKEN</t>
        </is>
      </c>
      <c r="G743" t="n">
        <v>1.5</v>
      </c>
      <c r="H743" t="n">
        <v>0</v>
      </c>
      <c r="I743" t="n">
        <v>0</v>
      </c>
      <c r="J743" t="n">
        <v>0</v>
      </c>
      <c r="K743" t="n">
        <v>0</v>
      </c>
      <c r="L743" t="n">
        <v>0</v>
      </c>
      <c r="M743" t="n">
        <v>0</v>
      </c>
      <c r="N743" t="n">
        <v>0</v>
      </c>
      <c r="O743" t="n">
        <v>0</v>
      </c>
      <c r="P743" t="n">
        <v>0</v>
      </c>
      <c r="Q743" t="n">
        <v>0</v>
      </c>
      <c r="R743" s="2" t="inlineStr"/>
    </row>
    <row r="744" ht="15" customHeight="1">
      <c r="A744" t="inlineStr">
        <is>
          <t>A 21382-2022</t>
        </is>
      </c>
      <c r="B744" s="1" t="n">
        <v>44705</v>
      </c>
      <c r="C744" s="1" t="n">
        <v>45911</v>
      </c>
      <c r="D744" t="inlineStr">
        <is>
          <t>GÄVLEBORGS LÄN</t>
        </is>
      </c>
      <c r="E744" t="inlineStr">
        <is>
          <t>HUDIKSVALL</t>
        </is>
      </c>
      <c r="G744" t="n">
        <v>1.6</v>
      </c>
      <c r="H744" t="n">
        <v>0</v>
      </c>
      <c r="I744" t="n">
        <v>0</v>
      </c>
      <c r="J744" t="n">
        <v>0</v>
      </c>
      <c r="K744" t="n">
        <v>0</v>
      </c>
      <c r="L744" t="n">
        <v>0</v>
      </c>
      <c r="M744" t="n">
        <v>0</v>
      </c>
      <c r="N744" t="n">
        <v>0</v>
      </c>
      <c r="O744" t="n">
        <v>0</v>
      </c>
      <c r="P744" t="n">
        <v>0</v>
      </c>
      <c r="Q744" t="n">
        <v>0</v>
      </c>
      <c r="R744" s="2" t="inlineStr"/>
    </row>
    <row r="745" ht="15" customHeight="1">
      <c r="A745" t="inlineStr">
        <is>
          <t>A 3052-2022</t>
        </is>
      </c>
      <c r="B745" s="1" t="n">
        <v>44582.37412037037</v>
      </c>
      <c r="C745" s="1" t="n">
        <v>45911</v>
      </c>
      <c r="D745" t="inlineStr">
        <is>
          <t>GÄVLEBORGS LÄN</t>
        </is>
      </c>
      <c r="E745" t="inlineStr">
        <is>
          <t>HOFORS</t>
        </is>
      </c>
      <c r="G745" t="n">
        <v>0.7</v>
      </c>
      <c r="H745" t="n">
        <v>0</v>
      </c>
      <c r="I745" t="n">
        <v>0</v>
      </c>
      <c r="J745" t="n">
        <v>0</v>
      </c>
      <c r="K745" t="n">
        <v>0</v>
      </c>
      <c r="L745" t="n">
        <v>0</v>
      </c>
      <c r="M745" t="n">
        <v>0</v>
      </c>
      <c r="N745" t="n">
        <v>0</v>
      </c>
      <c r="O745" t="n">
        <v>0</v>
      </c>
      <c r="P745" t="n">
        <v>0</v>
      </c>
      <c r="Q745" t="n">
        <v>0</v>
      </c>
      <c r="R745" s="2" t="inlineStr"/>
    </row>
    <row r="746" ht="15" customHeight="1">
      <c r="A746" t="inlineStr">
        <is>
          <t>A 38480-2022</t>
        </is>
      </c>
      <c r="B746" s="1" t="n">
        <v>44813</v>
      </c>
      <c r="C746" s="1" t="n">
        <v>45911</v>
      </c>
      <c r="D746" t="inlineStr">
        <is>
          <t>GÄVLEBORGS LÄN</t>
        </is>
      </c>
      <c r="E746" t="inlineStr">
        <is>
          <t>HUDIKSVALL</t>
        </is>
      </c>
      <c r="G746" t="n">
        <v>0.8</v>
      </c>
      <c r="H746" t="n">
        <v>0</v>
      </c>
      <c r="I746" t="n">
        <v>0</v>
      </c>
      <c r="J746" t="n">
        <v>0</v>
      </c>
      <c r="K746" t="n">
        <v>0</v>
      </c>
      <c r="L746" t="n">
        <v>0</v>
      </c>
      <c r="M746" t="n">
        <v>0</v>
      </c>
      <c r="N746" t="n">
        <v>0</v>
      </c>
      <c r="O746" t="n">
        <v>0</v>
      </c>
      <c r="P746" t="n">
        <v>0</v>
      </c>
      <c r="Q746" t="n">
        <v>0</v>
      </c>
      <c r="R746" s="2" t="inlineStr"/>
    </row>
    <row r="747" ht="15" customHeight="1">
      <c r="A747" t="inlineStr">
        <is>
          <t>A 30168-2022</t>
        </is>
      </c>
      <c r="B747" s="1" t="n">
        <v>44757.56515046296</v>
      </c>
      <c r="C747" s="1" t="n">
        <v>45911</v>
      </c>
      <c r="D747" t="inlineStr">
        <is>
          <t>GÄVLEBORGS LÄN</t>
        </is>
      </c>
      <c r="E747" t="inlineStr">
        <is>
          <t>OVANÅKER</t>
        </is>
      </c>
      <c r="G747" t="n">
        <v>1.5</v>
      </c>
      <c r="H747" t="n">
        <v>0</v>
      </c>
      <c r="I747" t="n">
        <v>0</v>
      </c>
      <c r="J747" t="n">
        <v>0</v>
      </c>
      <c r="K747" t="n">
        <v>0</v>
      </c>
      <c r="L747" t="n">
        <v>0</v>
      </c>
      <c r="M747" t="n">
        <v>0</v>
      </c>
      <c r="N747" t="n">
        <v>0</v>
      </c>
      <c r="O747" t="n">
        <v>0</v>
      </c>
      <c r="P747" t="n">
        <v>0</v>
      </c>
      <c r="Q747" t="n">
        <v>0</v>
      </c>
      <c r="R747" s="2" t="inlineStr"/>
    </row>
    <row r="748" ht="15" customHeight="1">
      <c r="A748" t="inlineStr">
        <is>
          <t>A 32342-2022</t>
        </is>
      </c>
      <c r="B748" s="1" t="n">
        <v>44781.83763888889</v>
      </c>
      <c r="C748" s="1" t="n">
        <v>45911</v>
      </c>
      <c r="D748" t="inlineStr">
        <is>
          <t>GÄVLEBORGS LÄN</t>
        </is>
      </c>
      <c r="E748" t="inlineStr">
        <is>
          <t>NORDANSTIG</t>
        </is>
      </c>
      <c r="G748" t="n">
        <v>1.2</v>
      </c>
      <c r="H748" t="n">
        <v>0</v>
      </c>
      <c r="I748" t="n">
        <v>0</v>
      </c>
      <c r="J748" t="n">
        <v>0</v>
      </c>
      <c r="K748" t="n">
        <v>0</v>
      </c>
      <c r="L748" t="n">
        <v>0</v>
      </c>
      <c r="M748" t="n">
        <v>0</v>
      </c>
      <c r="N748" t="n">
        <v>0</v>
      </c>
      <c r="O748" t="n">
        <v>0</v>
      </c>
      <c r="P748" t="n">
        <v>0</v>
      </c>
      <c r="Q748" t="n">
        <v>0</v>
      </c>
      <c r="R748" s="2" t="inlineStr"/>
    </row>
    <row r="749" ht="15" customHeight="1">
      <c r="A749" t="inlineStr">
        <is>
          <t>A 54014-2022</t>
        </is>
      </c>
      <c r="B749" s="1" t="n">
        <v>44881.42024305555</v>
      </c>
      <c r="C749" s="1" t="n">
        <v>45911</v>
      </c>
      <c r="D749" t="inlineStr">
        <is>
          <t>GÄVLEBORGS LÄN</t>
        </is>
      </c>
      <c r="E749" t="inlineStr">
        <is>
          <t>HUDIKSVALL</t>
        </is>
      </c>
      <c r="G749" t="n">
        <v>0.3</v>
      </c>
      <c r="H749" t="n">
        <v>0</v>
      </c>
      <c r="I749" t="n">
        <v>0</v>
      </c>
      <c r="J749" t="n">
        <v>0</v>
      </c>
      <c r="K749" t="n">
        <v>0</v>
      </c>
      <c r="L749" t="n">
        <v>0</v>
      </c>
      <c r="M749" t="n">
        <v>0</v>
      </c>
      <c r="N749" t="n">
        <v>0</v>
      </c>
      <c r="O749" t="n">
        <v>0</v>
      </c>
      <c r="P749" t="n">
        <v>0</v>
      </c>
      <c r="Q749" t="n">
        <v>0</v>
      </c>
      <c r="R749" s="2" t="inlineStr"/>
    </row>
    <row r="750" ht="15" customHeight="1">
      <c r="A750" t="inlineStr">
        <is>
          <t>A 64730-2020</t>
        </is>
      </c>
      <c r="B750" s="1" t="n">
        <v>44169.61136574074</v>
      </c>
      <c r="C750" s="1" t="n">
        <v>45911</v>
      </c>
      <c r="D750" t="inlineStr">
        <is>
          <t>GÄVLEBORGS LÄN</t>
        </is>
      </c>
      <c r="E750" t="inlineStr">
        <is>
          <t>OVANÅKER</t>
        </is>
      </c>
      <c r="G750" t="n">
        <v>2.7</v>
      </c>
      <c r="H750" t="n">
        <v>0</v>
      </c>
      <c r="I750" t="n">
        <v>0</v>
      </c>
      <c r="J750" t="n">
        <v>0</v>
      </c>
      <c r="K750" t="n">
        <v>0</v>
      </c>
      <c r="L750" t="n">
        <v>0</v>
      </c>
      <c r="M750" t="n">
        <v>0</v>
      </c>
      <c r="N750" t="n">
        <v>0</v>
      </c>
      <c r="O750" t="n">
        <v>0</v>
      </c>
      <c r="P750" t="n">
        <v>0</v>
      </c>
      <c r="Q750" t="n">
        <v>0</v>
      </c>
      <c r="R750" s="2" t="inlineStr"/>
    </row>
    <row r="751" ht="15" customHeight="1">
      <c r="A751" t="inlineStr">
        <is>
          <t>A 56282-2021</t>
        </is>
      </c>
      <c r="B751" s="1" t="n">
        <v>44479</v>
      </c>
      <c r="C751" s="1" t="n">
        <v>45911</v>
      </c>
      <c r="D751" t="inlineStr">
        <is>
          <t>GÄVLEBORGS LÄN</t>
        </is>
      </c>
      <c r="E751" t="inlineStr">
        <is>
          <t>OCKELBO</t>
        </is>
      </c>
      <c r="G751" t="n">
        <v>0.7</v>
      </c>
      <c r="H751" t="n">
        <v>0</v>
      </c>
      <c r="I751" t="n">
        <v>0</v>
      </c>
      <c r="J751" t="n">
        <v>0</v>
      </c>
      <c r="K751" t="n">
        <v>0</v>
      </c>
      <c r="L751" t="n">
        <v>0</v>
      </c>
      <c r="M751" t="n">
        <v>0</v>
      </c>
      <c r="N751" t="n">
        <v>0</v>
      </c>
      <c r="O751" t="n">
        <v>0</v>
      </c>
      <c r="P751" t="n">
        <v>0</v>
      </c>
      <c r="Q751" t="n">
        <v>0</v>
      </c>
      <c r="R751" s="2" t="inlineStr"/>
    </row>
    <row r="752" ht="15" customHeight="1">
      <c r="A752" t="inlineStr">
        <is>
          <t>A 46198-2021</t>
        </is>
      </c>
      <c r="B752" s="1" t="n">
        <v>44442</v>
      </c>
      <c r="C752" s="1" t="n">
        <v>45911</v>
      </c>
      <c r="D752" t="inlineStr">
        <is>
          <t>GÄVLEBORGS LÄN</t>
        </is>
      </c>
      <c r="E752" t="inlineStr">
        <is>
          <t>NORDANSTIG</t>
        </is>
      </c>
      <c r="F752" t="inlineStr">
        <is>
          <t>Holmen skog AB</t>
        </is>
      </c>
      <c r="G752" t="n">
        <v>2.5</v>
      </c>
      <c r="H752" t="n">
        <v>0</v>
      </c>
      <c r="I752" t="n">
        <v>0</v>
      </c>
      <c r="J752" t="n">
        <v>0</v>
      </c>
      <c r="K752" t="n">
        <v>0</v>
      </c>
      <c r="L752" t="n">
        <v>0</v>
      </c>
      <c r="M752" t="n">
        <v>0</v>
      </c>
      <c r="N752" t="n">
        <v>0</v>
      </c>
      <c r="O752" t="n">
        <v>0</v>
      </c>
      <c r="P752" t="n">
        <v>0</v>
      </c>
      <c r="Q752" t="n">
        <v>0</v>
      </c>
      <c r="R752" s="2" t="inlineStr"/>
      <c r="U752">
        <f>HYPERLINK("https://klasma.github.io/Logging_2132/knärot/A 46198-2021 karta knärot.png", "A 46198-2021")</f>
        <v/>
      </c>
      <c r="V752">
        <f>HYPERLINK("https://klasma.github.io/Logging_2132/klagomål/A 46198-2021 FSC-klagomål.docx", "A 46198-2021")</f>
        <v/>
      </c>
      <c r="W752">
        <f>HYPERLINK("https://klasma.github.io/Logging_2132/klagomålsmail/A 46198-2021 FSC-klagomål mail.docx", "A 46198-2021")</f>
        <v/>
      </c>
      <c r="X752">
        <f>HYPERLINK("https://klasma.github.io/Logging_2132/tillsyn/A 46198-2021 tillsynsbegäran.docx", "A 46198-2021")</f>
        <v/>
      </c>
      <c r="Y752">
        <f>HYPERLINK("https://klasma.github.io/Logging_2132/tillsynsmail/A 46198-2021 tillsynsbegäran mail.docx", "A 46198-2021")</f>
        <v/>
      </c>
    </row>
    <row r="753" ht="15" customHeight="1">
      <c r="A753" t="inlineStr">
        <is>
          <t>A 45369-2021</t>
        </is>
      </c>
      <c r="B753" s="1" t="n">
        <v>44440.27561342593</v>
      </c>
      <c r="C753" s="1" t="n">
        <v>45911</v>
      </c>
      <c r="D753" t="inlineStr">
        <is>
          <t>GÄVLEBORGS LÄN</t>
        </is>
      </c>
      <c r="E753" t="inlineStr">
        <is>
          <t>LJUSDAL</t>
        </is>
      </c>
      <c r="G753" t="n">
        <v>0.6</v>
      </c>
      <c r="H753" t="n">
        <v>0</v>
      </c>
      <c r="I753" t="n">
        <v>0</v>
      </c>
      <c r="J753" t="n">
        <v>0</v>
      </c>
      <c r="K753" t="n">
        <v>0</v>
      </c>
      <c r="L753" t="n">
        <v>0</v>
      </c>
      <c r="M753" t="n">
        <v>0</v>
      </c>
      <c r="N753" t="n">
        <v>0</v>
      </c>
      <c r="O753" t="n">
        <v>0</v>
      </c>
      <c r="P753" t="n">
        <v>0</v>
      </c>
      <c r="Q753" t="n">
        <v>0</v>
      </c>
      <c r="R753" s="2" t="inlineStr"/>
    </row>
    <row r="754" ht="15" customHeight="1">
      <c r="A754" t="inlineStr">
        <is>
          <t>A 45370-2021</t>
        </is>
      </c>
      <c r="B754" s="1" t="n">
        <v>44440.27954861111</v>
      </c>
      <c r="C754" s="1" t="n">
        <v>45911</v>
      </c>
      <c r="D754" t="inlineStr">
        <is>
          <t>GÄVLEBORGS LÄN</t>
        </is>
      </c>
      <c r="E754" t="inlineStr">
        <is>
          <t>LJUSDAL</t>
        </is>
      </c>
      <c r="G754" t="n">
        <v>0.8</v>
      </c>
      <c r="H754" t="n">
        <v>0</v>
      </c>
      <c r="I754" t="n">
        <v>0</v>
      </c>
      <c r="J754" t="n">
        <v>0</v>
      </c>
      <c r="K754" t="n">
        <v>0</v>
      </c>
      <c r="L754" t="n">
        <v>0</v>
      </c>
      <c r="M754" t="n">
        <v>0</v>
      </c>
      <c r="N754" t="n">
        <v>0</v>
      </c>
      <c r="O754" t="n">
        <v>0</v>
      </c>
      <c r="P754" t="n">
        <v>0</v>
      </c>
      <c r="Q754" t="n">
        <v>0</v>
      </c>
      <c r="R754" s="2" t="inlineStr"/>
    </row>
    <row r="755" ht="15" customHeight="1">
      <c r="A755" t="inlineStr">
        <is>
          <t>A 22354-2021</t>
        </is>
      </c>
      <c r="B755" s="1" t="n">
        <v>44326.55663194445</v>
      </c>
      <c r="C755" s="1" t="n">
        <v>45911</v>
      </c>
      <c r="D755" t="inlineStr">
        <is>
          <t>GÄVLEBORGS LÄN</t>
        </is>
      </c>
      <c r="E755" t="inlineStr">
        <is>
          <t>SÖDERHAMN</t>
        </is>
      </c>
      <c r="G755" t="n">
        <v>0.5</v>
      </c>
      <c r="H755" t="n">
        <v>0</v>
      </c>
      <c r="I755" t="n">
        <v>0</v>
      </c>
      <c r="J755" t="n">
        <v>0</v>
      </c>
      <c r="K755" t="n">
        <v>0</v>
      </c>
      <c r="L755" t="n">
        <v>0</v>
      </c>
      <c r="M755" t="n">
        <v>0</v>
      </c>
      <c r="N755" t="n">
        <v>0</v>
      </c>
      <c r="O755" t="n">
        <v>0</v>
      </c>
      <c r="P755" t="n">
        <v>0</v>
      </c>
      <c r="Q755" t="n">
        <v>0</v>
      </c>
      <c r="R755" s="2" t="inlineStr"/>
    </row>
    <row r="756" ht="15" customHeight="1">
      <c r="A756" t="inlineStr">
        <is>
          <t>A 30817-2022</t>
        </is>
      </c>
      <c r="B756" s="1" t="n">
        <v>44765.52855324074</v>
      </c>
      <c r="C756" s="1" t="n">
        <v>45911</v>
      </c>
      <c r="D756" t="inlineStr">
        <is>
          <t>GÄVLEBORGS LÄN</t>
        </is>
      </c>
      <c r="E756" t="inlineStr">
        <is>
          <t>NORDANSTIG</t>
        </is>
      </c>
      <c r="G756" t="n">
        <v>2.4</v>
      </c>
      <c r="H756" t="n">
        <v>0</v>
      </c>
      <c r="I756" t="n">
        <v>0</v>
      </c>
      <c r="J756" t="n">
        <v>0</v>
      </c>
      <c r="K756" t="n">
        <v>0</v>
      </c>
      <c r="L756" t="n">
        <v>0</v>
      </c>
      <c r="M756" t="n">
        <v>0</v>
      </c>
      <c r="N756" t="n">
        <v>0</v>
      </c>
      <c r="O756" t="n">
        <v>0</v>
      </c>
      <c r="P756" t="n">
        <v>0</v>
      </c>
      <c r="Q756" t="n">
        <v>0</v>
      </c>
      <c r="R756" s="2" t="inlineStr"/>
    </row>
    <row r="757" ht="15" customHeight="1">
      <c r="A757" t="inlineStr">
        <is>
          <t>A 32948-2022</t>
        </is>
      </c>
      <c r="B757" s="1" t="n">
        <v>44784.71929398148</v>
      </c>
      <c r="C757" s="1" t="n">
        <v>45911</v>
      </c>
      <c r="D757" t="inlineStr">
        <is>
          <t>GÄVLEBORGS LÄN</t>
        </is>
      </c>
      <c r="E757" t="inlineStr">
        <is>
          <t>BOLLNÄS</t>
        </is>
      </c>
      <c r="G757" t="n">
        <v>0.7</v>
      </c>
      <c r="H757" t="n">
        <v>0</v>
      </c>
      <c r="I757" t="n">
        <v>0</v>
      </c>
      <c r="J757" t="n">
        <v>0</v>
      </c>
      <c r="K757" t="n">
        <v>0</v>
      </c>
      <c r="L757" t="n">
        <v>0</v>
      </c>
      <c r="M757" t="n">
        <v>0</v>
      </c>
      <c r="N757" t="n">
        <v>0</v>
      </c>
      <c r="O757" t="n">
        <v>0</v>
      </c>
      <c r="P757" t="n">
        <v>0</v>
      </c>
      <c r="Q757" t="n">
        <v>0</v>
      </c>
      <c r="R757" s="2" t="inlineStr"/>
    </row>
    <row r="758" ht="15" customHeight="1">
      <c r="A758" t="inlineStr">
        <is>
          <t>A 58883-2020</t>
        </is>
      </c>
      <c r="B758" s="1" t="n">
        <v>44146</v>
      </c>
      <c r="C758" s="1" t="n">
        <v>45911</v>
      </c>
      <c r="D758" t="inlineStr">
        <is>
          <t>GÄVLEBORGS LÄN</t>
        </is>
      </c>
      <c r="E758" t="inlineStr">
        <is>
          <t>BOLLNÄS</t>
        </is>
      </c>
      <c r="G758" t="n">
        <v>6</v>
      </c>
      <c r="H758" t="n">
        <v>0</v>
      </c>
      <c r="I758" t="n">
        <v>0</v>
      </c>
      <c r="J758" t="n">
        <v>0</v>
      </c>
      <c r="K758" t="n">
        <v>0</v>
      </c>
      <c r="L758" t="n">
        <v>0</v>
      </c>
      <c r="M758" t="n">
        <v>0</v>
      </c>
      <c r="N758" t="n">
        <v>0</v>
      </c>
      <c r="O758" t="n">
        <v>0</v>
      </c>
      <c r="P758" t="n">
        <v>0</v>
      </c>
      <c r="Q758" t="n">
        <v>0</v>
      </c>
      <c r="R758" s="2" t="inlineStr"/>
    </row>
    <row r="759" ht="15" customHeight="1">
      <c r="A759" t="inlineStr">
        <is>
          <t>A 65270-2021</t>
        </is>
      </c>
      <c r="B759" s="1" t="n">
        <v>44515</v>
      </c>
      <c r="C759" s="1" t="n">
        <v>45911</v>
      </c>
      <c r="D759" t="inlineStr">
        <is>
          <t>GÄVLEBORGS LÄN</t>
        </is>
      </c>
      <c r="E759" t="inlineStr">
        <is>
          <t>SANDVIKEN</t>
        </is>
      </c>
      <c r="G759" t="n">
        <v>1.4</v>
      </c>
      <c r="H759" t="n">
        <v>0</v>
      </c>
      <c r="I759" t="n">
        <v>0</v>
      </c>
      <c r="J759" t="n">
        <v>0</v>
      </c>
      <c r="K759" t="n">
        <v>0</v>
      </c>
      <c r="L759" t="n">
        <v>0</v>
      </c>
      <c r="M759" t="n">
        <v>0</v>
      </c>
      <c r="N759" t="n">
        <v>0</v>
      </c>
      <c r="O759" t="n">
        <v>0</v>
      </c>
      <c r="P759" t="n">
        <v>0</v>
      </c>
      <c r="Q759" t="n">
        <v>0</v>
      </c>
      <c r="R759" s="2" t="inlineStr"/>
    </row>
    <row r="760" ht="15" customHeight="1">
      <c r="A760" t="inlineStr">
        <is>
          <t>A 58528-2021</t>
        </is>
      </c>
      <c r="B760" s="1" t="n">
        <v>44488.65960648148</v>
      </c>
      <c r="C760" s="1" t="n">
        <v>45911</v>
      </c>
      <c r="D760" t="inlineStr">
        <is>
          <t>GÄVLEBORGS LÄN</t>
        </is>
      </c>
      <c r="E760" t="inlineStr">
        <is>
          <t>BOLLNÄS</t>
        </is>
      </c>
      <c r="G760" t="n">
        <v>3.1</v>
      </c>
      <c r="H760" t="n">
        <v>0</v>
      </c>
      <c r="I760" t="n">
        <v>0</v>
      </c>
      <c r="J760" t="n">
        <v>0</v>
      </c>
      <c r="K760" t="n">
        <v>0</v>
      </c>
      <c r="L760" t="n">
        <v>0</v>
      </c>
      <c r="M760" t="n">
        <v>0</v>
      </c>
      <c r="N760" t="n">
        <v>0</v>
      </c>
      <c r="O760" t="n">
        <v>0</v>
      </c>
      <c r="P760" t="n">
        <v>0</v>
      </c>
      <c r="Q760" t="n">
        <v>0</v>
      </c>
      <c r="R760" s="2" t="inlineStr"/>
    </row>
    <row r="761" ht="15" customHeight="1">
      <c r="A761" t="inlineStr">
        <is>
          <t>A 61687-2021</t>
        </is>
      </c>
      <c r="B761" s="1" t="n">
        <v>44501.57883101852</v>
      </c>
      <c r="C761" s="1" t="n">
        <v>45911</v>
      </c>
      <c r="D761" t="inlineStr">
        <is>
          <t>GÄVLEBORGS LÄN</t>
        </is>
      </c>
      <c r="E761" t="inlineStr">
        <is>
          <t>HOFORS</t>
        </is>
      </c>
      <c r="G761" t="n">
        <v>1.6</v>
      </c>
      <c r="H761" t="n">
        <v>0</v>
      </c>
      <c r="I761" t="n">
        <v>0</v>
      </c>
      <c r="J761" t="n">
        <v>0</v>
      </c>
      <c r="K761" t="n">
        <v>0</v>
      </c>
      <c r="L761" t="n">
        <v>0</v>
      </c>
      <c r="M761" t="n">
        <v>0</v>
      </c>
      <c r="N761" t="n">
        <v>0</v>
      </c>
      <c r="O761" t="n">
        <v>0</v>
      </c>
      <c r="P761" t="n">
        <v>0</v>
      </c>
      <c r="Q761" t="n">
        <v>0</v>
      </c>
      <c r="R761" s="2" t="inlineStr"/>
    </row>
    <row r="762" ht="15" customHeight="1">
      <c r="A762" t="inlineStr">
        <is>
          <t>A 67634-2021</t>
        </is>
      </c>
      <c r="B762" s="1" t="n">
        <v>44524.6865625</v>
      </c>
      <c r="C762" s="1" t="n">
        <v>45911</v>
      </c>
      <c r="D762" t="inlineStr">
        <is>
          <t>GÄVLEBORGS LÄN</t>
        </is>
      </c>
      <c r="E762" t="inlineStr">
        <is>
          <t>SÖDERHAMN</t>
        </is>
      </c>
      <c r="G762" t="n">
        <v>1</v>
      </c>
      <c r="H762" t="n">
        <v>0</v>
      </c>
      <c r="I762" t="n">
        <v>0</v>
      </c>
      <c r="J762" t="n">
        <v>0</v>
      </c>
      <c r="K762" t="n">
        <v>0</v>
      </c>
      <c r="L762" t="n">
        <v>0</v>
      </c>
      <c r="M762" t="n">
        <v>0</v>
      </c>
      <c r="N762" t="n">
        <v>0</v>
      </c>
      <c r="O762" t="n">
        <v>0</v>
      </c>
      <c r="P762" t="n">
        <v>0</v>
      </c>
      <c r="Q762" t="n">
        <v>0</v>
      </c>
      <c r="R762" s="2" t="inlineStr"/>
    </row>
    <row r="763" ht="15" customHeight="1">
      <c r="A763" t="inlineStr">
        <is>
          <t>A 36323-2021</t>
        </is>
      </c>
      <c r="B763" s="1" t="n">
        <v>44390</v>
      </c>
      <c r="C763" s="1" t="n">
        <v>45911</v>
      </c>
      <c r="D763" t="inlineStr">
        <is>
          <t>GÄVLEBORGS LÄN</t>
        </is>
      </c>
      <c r="E763" t="inlineStr">
        <is>
          <t>LJUSDAL</t>
        </is>
      </c>
      <c r="G763" t="n">
        <v>0.8</v>
      </c>
      <c r="H763" t="n">
        <v>0</v>
      </c>
      <c r="I763" t="n">
        <v>0</v>
      </c>
      <c r="J763" t="n">
        <v>0</v>
      </c>
      <c r="K763" t="n">
        <v>0</v>
      </c>
      <c r="L763" t="n">
        <v>0</v>
      </c>
      <c r="M763" t="n">
        <v>0</v>
      </c>
      <c r="N763" t="n">
        <v>0</v>
      </c>
      <c r="O763" t="n">
        <v>0</v>
      </c>
      <c r="P763" t="n">
        <v>0</v>
      </c>
      <c r="Q763" t="n">
        <v>0</v>
      </c>
      <c r="R763" s="2" t="inlineStr"/>
    </row>
    <row r="764" ht="15" customHeight="1">
      <c r="A764" t="inlineStr">
        <is>
          <t>A 36768-2022</t>
        </is>
      </c>
      <c r="B764" s="1" t="n">
        <v>44805.45609953703</v>
      </c>
      <c r="C764" s="1" t="n">
        <v>45911</v>
      </c>
      <c r="D764" t="inlineStr">
        <is>
          <t>GÄVLEBORGS LÄN</t>
        </is>
      </c>
      <c r="E764" t="inlineStr">
        <is>
          <t>GÄVLE</t>
        </is>
      </c>
      <c r="F764" t="inlineStr">
        <is>
          <t>Kyrkan</t>
        </is>
      </c>
      <c r="G764" t="n">
        <v>2</v>
      </c>
      <c r="H764" t="n">
        <v>0</v>
      </c>
      <c r="I764" t="n">
        <v>0</v>
      </c>
      <c r="J764" t="n">
        <v>0</v>
      </c>
      <c r="K764" t="n">
        <v>0</v>
      </c>
      <c r="L764" t="n">
        <v>0</v>
      </c>
      <c r="M764" t="n">
        <v>0</v>
      </c>
      <c r="N764" t="n">
        <v>0</v>
      </c>
      <c r="O764" t="n">
        <v>0</v>
      </c>
      <c r="P764" t="n">
        <v>0</v>
      </c>
      <c r="Q764" t="n">
        <v>0</v>
      </c>
      <c r="R764" s="2" t="inlineStr"/>
    </row>
    <row r="765" ht="15" customHeight="1">
      <c r="A765" t="inlineStr">
        <is>
          <t>A 68541-2021</t>
        </is>
      </c>
      <c r="B765" s="1" t="n">
        <v>44529.48662037037</v>
      </c>
      <c r="C765" s="1" t="n">
        <v>45911</v>
      </c>
      <c r="D765" t="inlineStr">
        <is>
          <t>GÄVLEBORGS LÄN</t>
        </is>
      </c>
      <c r="E765" t="inlineStr">
        <is>
          <t>OCKELBO</t>
        </is>
      </c>
      <c r="G765" t="n">
        <v>3.4</v>
      </c>
      <c r="H765" t="n">
        <v>0</v>
      </c>
      <c r="I765" t="n">
        <v>0</v>
      </c>
      <c r="J765" t="n">
        <v>0</v>
      </c>
      <c r="K765" t="n">
        <v>0</v>
      </c>
      <c r="L765" t="n">
        <v>0</v>
      </c>
      <c r="M765" t="n">
        <v>0</v>
      </c>
      <c r="N765" t="n">
        <v>0</v>
      </c>
      <c r="O765" t="n">
        <v>0</v>
      </c>
      <c r="P765" t="n">
        <v>0</v>
      </c>
      <c r="Q765" t="n">
        <v>0</v>
      </c>
      <c r="R765" s="2" t="inlineStr"/>
    </row>
    <row r="766" ht="15" customHeight="1">
      <c r="A766" t="inlineStr">
        <is>
          <t>A 52222-2022</t>
        </is>
      </c>
      <c r="B766" s="1" t="n">
        <v>44873</v>
      </c>
      <c r="C766" s="1" t="n">
        <v>45911</v>
      </c>
      <c r="D766" t="inlineStr">
        <is>
          <t>GÄVLEBORGS LÄN</t>
        </is>
      </c>
      <c r="E766" t="inlineStr">
        <is>
          <t>LJUSDAL</t>
        </is>
      </c>
      <c r="G766" t="n">
        <v>2</v>
      </c>
      <c r="H766" t="n">
        <v>0</v>
      </c>
      <c r="I766" t="n">
        <v>0</v>
      </c>
      <c r="J766" t="n">
        <v>0</v>
      </c>
      <c r="K766" t="n">
        <v>0</v>
      </c>
      <c r="L766" t="n">
        <v>0</v>
      </c>
      <c r="M766" t="n">
        <v>0</v>
      </c>
      <c r="N766" t="n">
        <v>0</v>
      </c>
      <c r="O766" t="n">
        <v>0</v>
      </c>
      <c r="P766" t="n">
        <v>0</v>
      </c>
      <c r="Q766" t="n">
        <v>0</v>
      </c>
      <c r="R766" s="2" t="inlineStr"/>
    </row>
    <row r="767" ht="15" customHeight="1">
      <c r="A767" t="inlineStr">
        <is>
          <t>A 58648-2021</t>
        </is>
      </c>
      <c r="B767" s="1" t="n">
        <v>44489</v>
      </c>
      <c r="C767" s="1" t="n">
        <v>45911</v>
      </c>
      <c r="D767" t="inlineStr">
        <is>
          <t>GÄVLEBORGS LÄN</t>
        </is>
      </c>
      <c r="E767" t="inlineStr">
        <is>
          <t>LJUSDAL</t>
        </is>
      </c>
      <c r="F767" t="inlineStr">
        <is>
          <t>Holmen skog AB</t>
        </is>
      </c>
      <c r="G767" t="n">
        <v>4.5</v>
      </c>
      <c r="H767" t="n">
        <v>0</v>
      </c>
      <c r="I767" t="n">
        <v>0</v>
      </c>
      <c r="J767" t="n">
        <v>0</v>
      </c>
      <c r="K767" t="n">
        <v>0</v>
      </c>
      <c r="L767" t="n">
        <v>0</v>
      </c>
      <c r="M767" t="n">
        <v>0</v>
      </c>
      <c r="N767" t="n">
        <v>0</v>
      </c>
      <c r="O767" t="n">
        <v>0</v>
      </c>
      <c r="P767" t="n">
        <v>0</v>
      </c>
      <c r="Q767" t="n">
        <v>0</v>
      </c>
      <c r="R767" s="2" t="inlineStr"/>
    </row>
    <row r="768" ht="15" customHeight="1">
      <c r="A768" t="inlineStr">
        <is>
          <t>A 30424-2021</t>
        </is>
      </c>
      <c r="B768" s="1" t="n">
        <v>44364.55576388889</v>
      </c>
      <c r="C768" s="1" t="n">
        <v>45911</v>
      </c>
      <c r="D768" t="inlineStr">
        <is>
          <t>GÄVLEBORGS LÄN</t>
        </is>
      </c>
      <c r="E768" t="inlineStr">
        <is>
          <t>OVANÅKER</t>
        </is>
      </c>
      <c r="G768" t="n">
        <v>3.6</v>
      </c>
      <c r="H768" t="n">
        <v>0</v>
      </c>
      <c r="I768" t="n">
        <v>0</v>
      </c>
      <c r="J768" t="n">
        <v>0</v>
      </c>
      <c r="K768" t="n">
        <v>0</v>
      </c>
      <c r="L768" t="n">
        <v>0</v>
      </c>
      <c r="M768" t="n">
        <v>0</v>
      </c>
      <c r="N768" t="n">
        <v>0</v>
      </c>
      <c r="O768" t="n">
        <v>0</v>
      </c>
      <c r="P768" t="n">
        <v>0</v>
      </c>
      <c r="Q768" t="n">
        <v>0</v>
      </c>
      <c r="R768" s="2" t="inlineStr"/>
    </row>
    <row r="769" ht="15" customHeight="1">
      <c r="A769" t="inlineStr">
        <is>
          <t>A 60569-2021</t>
        </is>
      </c>
      <c r="B769" s="1" t="n">
        <v>44496.56317129629</v>
      </c>
      <c r="C769" s="1" t="n">
        <v>45911</v>
      </c>
      <c r="D769" t="inlineStr">
        <is>
          <t>GÄVLEBORGS LÄN</t>
        </is>
      </c>
      <c r="E769" t="inlineStr">
        <is>
          <t>LJUSDAL</t>
        </is>
      </c>
      <c r="F769" t="inlineStr">
        <is>
          <t>Bergvik skog väst AB</t>
        </is>
      </c>
      <c r="G769" t="n">
        <v>2.5</v>
      </c>
      <c r="H769" t="n">
        <v>0</v>
      </c>
      <c r="I769" t="n">
        <v>0</v>
      </c>
      <c r="J769" t="n">
        <v>0</v>
      </c>
      <c r="K769" t="n">
        <v>0</v>
      </c>
      <c r="L769" t="n">
        <v>0</v>
      </c>
      <c r="M769" t="n">
        <v>0</v>
      </c>
      <c r="N769" t="n">
        <v>0</v>
      </c>
      <c r="O769" t="n">
        <v>0</v>
      </c>
      <c r="P769" t="n">
        <v>0</v>
      </c>
      <c r="Q769" t="n">
        <v>0</v>
      </c>
      <c r="R769" s="2" t="inlineStr"/>
    </row>
    <row r="770" ht="15" customHeight="1">
      <c r="A770" t="inlineStr">
        <is>
          <t>A 69836-2021</t>
        </is>
      </c>
      <c r="B770" s="1" t="n">
        <v>44532</v>
      </c>
      <c r="C770" s="1" t="n">
        <v>45911</v>
      </c>
      <c r="D770" t="inlineStr">
        <is>
          <t>GÄVLEBORGS LÄN</t>
        </is>
      </c>
      <c r="E770" t="inlineStr">
        <is>
          <t>BOLLNÄS</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7183-2022</t>
        </is>
      </c>
      <c r="B771" s="1" t="n">
        <v>44605</v>
      </c>
      <c r="C771" s="1" t="n">
        <v>45911</v>
      </c>
      <c r="D771" t="inlineStr">
        <is>
          <t>GÄVLEBORGS LÄN</t>
        </is>
      </c>
      <c r="E771" t="inlineStr">
        <is>
          <t>NORDANSTIG</t>
        </is>
      </c>
      <c r="G771" t="n">
        <v>1.1</v>
      </c>
      <c r="H771" t="n">
        <v>0</v>
      </c>
      <c r="I771" t="n">
        <v>0</v>
      </c>
      <c r="J771" t="n">
        <v>0</v>
      </c>
      <c r="K771" t="n">
        <v>0</v>
      </c>
      <c r="L771" t="n">
        <v>0</v>
      </c>
      <c r="M771" t="n">
        <v>0</v>
      </c>
      <c r="N771" t="n">
        <v>0</v>
      </c>
      <c r="O771" t="n">
        <v>0</v>
      </c>
      <c r="P771" t="n">
        <v>0</v>
      </c>
      <c r="Q771" t="n">
        <v>0</v>
      </c>
      <c r="R771" s="2" t="inlineStr"/>
    </row>
    <row r="772" ht="15" customHeight="1">
      <c r="A772" t="inlineStr">
        <is>
          <t>A 69833-2021</t>
        </is>
      </c>
      <c r="B772" s="1" t="n">
        <v>44532.6444212963</v>
      </c>
      <c r="C772" s="1" t="n">
        <v>45911</v>
      </c>
      <c r="D772" t="inlineStr">
        <is>
          <t>GÄVLEBORGS LÄN</t>
        </is>
      </c>
      <c r="E772" t="inlineStr">
        <is>
          <t>OCKELBO</t>
        </is>
      </c>
      <c r="G772" t="n">
        <v>0.6</v>
      </c>
      <c r="H772" t="n">
        <v>0</v>
      </c>
      <c r="I772" t="n">
        <v>0</v>
      </c>
      <c r="J772" t="n">
        <v>0</v>
      </c>
      <c r="K772" t="n">
        <v>0</v>
      </c>
      <c r="L772" t="n">
        <v>0</v>
      </c>
      <c r="M772" t="n">
        <v>0</v>
      </c>
      <c r="N772" t="n">
        <v>0</v>
      </c>
      <c r="O772" t="n">
        <v>0</v>
      </c>
      <c r="P772" t="n">
        <v>0</v>
      </c>
      <c r="Q772" t="n">
        <v>0</v>
      </c>
      <c r="R772" s="2" t="inlineStr"/>
    </row>
    <row r="773" ht="15" customHeight="1">
      <c r="A773" t="inlineStr">
        <is>
          <t>A 54595-2020</t>
        </is>
      </c>
      <c r="B773" s="1" t="n">
        <v>44126</v>
      </c>
      <c r="C773" s="1" t="n">
        <v>45911</v>
      </c>
      <c r="D773" t="inlineStr">
        <is>
          <t>GÄVLEBORGS LÄN</t>
        </is>
      </c>
      <c r="E773" t="inlineStr">
        <is>
          <t>LJUSDAL</t>
        </is>
      </c>
      <c r="G773" t="n">
        <v>1.7</v>
      </c>
      <c r="H773" t="n">
        <v>0</v>
      </c>
      <c r="I773" t="n">
        <v>0</v>
      </c>
      <c r="J773" t="n">
        <v>0</v>
      </c>
      <c r="K773" t="n">
        <v>0</v>
      </c>
      <c r="L773" t="n">
        <v>0</v>
      </c>
      <c r="M773" t="n">
        <v>0</v>
      </c>
      <c r="N773" t="n">
        <v>0</v>
      </c>
      <c r="O773" t="n">
        <v>0</v>
      </c>
      <c r="P773" t="n">
        <v>0</v>
      </c>
      <c r="Q773" t="n">
        <v>0</v>
      </c>
      <c r="R773" s="2" t="inlineStr"/>
    </row>
    <row r="774" ht="15" customHeight="1">
      <c r="A774" t="inlineStr">
        <is>
          <t>A 45591-2020</t>
        </is>
      </c>
      <c r="B774" s="1" t="n">
        <v>44090</v>
      </c>
      <c r="C774" s="1" t="n">
        <v>45911</v>
      </c>
      <c r="D774" t="inlineStr">
        <is>
          <t>GÄVLEBORGS LÄN</t>
        </is>
      </c>
      <c r="E774" t="inlineStr">
        <is>
          <t>HUDIKSVALL</t>
        </is>
      </c>
      <c r="G774" t="n">
        <v>3.9</v>
      </c>
      <c r="H774" t="n">
        <v>0</v>
      </c>
      <c r="I774" t="n">
        <v>0</v>
      </c>
      <c r="J774" t="n">
        <v>0</v>
      </c>
      <c r="K774" t="n">
        <v>0</v>
      </c>
      <c r="L774" t="n">
        <v>0</v>
      </c>
      <c r="M774" t="n">
        <v>0</v>
      </c>
      <c r="N774" t="n">
        <v>0</v>
      </c>
      <c r="O774" t="n">
        <v>0</v>
      </c>
      <c r="P774" t="n">
        <v>0</v>
      </c>
      <c r="Q774" t="n">
        <v>0</v>
      </c>
      <c r="R774" s="2" t="inlineStr"/>
    </row>
    <row r="775" ht="15" customHeight="1">
      <c r="A775" t="inlineStr">
        <is>
          <t>A 66343-2020</t>
        </is>
      </c>
      <c r="B775" s="1" t="n">
        <v>44176</v>
      </c>
      <c r="C775" s="1" t="n">
        <v>45911</v>
      </c>
      <c r="D775" t="inlineStr">
        <is>
          <t>GÄVLEBORGS LÄN</t>
        </is>
      </c>
      <c r="E775" t="inlineStr">
        <is>
          <t>GÄVLE</t>
        </is>
      </c>
      <c r="F775" t="inlineStr">
        <is>
          <t>Bergvik skog öst AB</t>
        </is>
      </c>
      <c r="G775" t="n">
        <v>0.7</v>
      </c>
      <c r="H775" t="n">
        <v>0</v>
      </c>
      <c r="I775" t="n">
        <v>0</v>
      </c>
      <c r="J775" t="n">
        <v>0</v>
      </c>
      <c r="K775" t="n">
        <v>0</v>
      </c>
      <c r="L775" t="n">
        <v>0</v>
      </c>
      <c r="M775" t="n">
        <v>0</v>
      </c>
      <c r="N775" t="n">
        <v>0</v>
      </c>
      <c r="O775" t="n">
        <v>0</v>
      </c>
      <c r="P775" t="n">
        <v>0</v>
      </c>
      <c r="Q775" t="n">
        <v>0</v>
      </c>
      <c r="R775" s="2" t="inlineStr"/>
    </row>
    <row r="776" ht="15" customHeight="1">
      <c r="A776" t="inlineStr">
        <is>
          <t>A 66346-2020</t>
        </is>
      </c>
      <c r="B776" s="1" t="n">
        <v>44176.56532407407</v>
      </c>
      <c r="C776" s="1" t="n">
        <v>45911</v>
      </c>
      <c r="D776" t="inlineStr">
        <is>
          <t>GÄVLEBORGS LÄN</t>
        </is>
      </c>
      <c r="E776" t="inlineStr">
        <is>
          <t>GÄVLE</t>
        </is>
      </c>
      <c r="F776" t="inlineStr">
        <is>
          <t>Bergvik skog öst AB</t>
        </is>
      </c>
      <c r="G776" t="n">
        <v>1</v>
      </c>
      <c r="H776" t="n">
        <v>0</v>
      </c>
      <c r="I776" t="n">
        <v>0</v>
      </c>
      <c r="J776" t="n">
        <v>0</v>
      </c>
      <c r="K776" t="n">
        <v>0</v>
      </c>
      <c r="L776" t="n">
        <v>0</v>
      </c>
      <c r="M776" t="n">
        <v>0</v>
      </c>
      <c r="N776" t="n">
        <v>0</v>
      </c>
      <c r="O776" t="n">
        <v>0</v>
      </c>
      <c r="P776" t="n">
        <v>0</v>
      </c>
      <c r="Q776" t="n">
        <v>0</v>
      </c>
      <c r="R776" s="2" t="inlineStr"/>
    </row>
    <row r="777" ht="15" customHeight="1">
      <c r="A777" t="inlineStr">
        <is>
          <t>A 55243-2021</t>
        </is>
      </c>
      <c r="B777" s="1" t="n">
        <v>44475.39793981481</v>
      </c>
      <c r="C777" s="1" t="n">
        <v>45911</v>
      </c>
      <c r="D777" t="inlineStr">
        <is>
          <t>GÄVLEBORGS LÄN</t>
        </is>
      </c>
      <c r="E777" t="inlineStr">
        <is>
          <t>OVANÅKER</t>
        </is>
      </c>
      <c r="G777" t="n">
        <v>2.1</v>
      </c>
      <c r="H777" t="n">
        <v>0</v>
      </c>
      <c r="I777" t="n">
        <v>0</v>
      </c>
      <c r="J777" t="n">
        <v>0</v>
      </c>
      <c r="K777" t="n">
        <v>0</v>
      </c>
      <c r="L777" t="n">
        <v>0</v>
      </c>
      <c r="M777" t="n">
        <v>0</v>
      </c>
      <c r="N777" t="n">
        <v>0</v>
      </c>
      <c r="O777" t="n">
        <v>0</v>
      </c>
      <c r="P777" t="n">
        <v>0</v>
      </c>
      <c r="Q777" t="n">
        <v>0</v>
      </c>
      <c r="R777" s="2" t="inlineStr"/>
    </row>
    <row r="778" ht="15" customHeight="1">
      <c r="A778" t="inlineStr">
        <is>
          <t>A 46455-2020</t>
        </is>
      </c>
      <c r="B778" s="1" t="n">
        <v>44095</v>
      </c>
      <c r="C778" s="1" t="n">
        <v>45911</v>
      </c>
      <c r="D778" t="inlineStr">
        <is>
          <t>GÄVLEBORGS LÄN</t>
        </is>
      </c>
      <c r="E778" t="inlineStr">
        <is>
          <t>GÄVLE</t>
        </is>
      </c>
      <c r="F778" t="inlineStr">
        <is>
          <t>Bergvik skog öst AB</t>
        </is>
      </c>
      <c r="G778" t="n">
        <v>1.1</v>
      </c>
      <c r="H778" t="n">
        <v>0</v>
      </c>
      <c r="I778" t="n">
        <v>0</v>
      </c>
      <c r="J778" t="n">
        <v>0</v>
      </c>
      <c r="K778" t="n">
        <v>0</v>
      </c>
      <c r="L778" t="n">
        <v>0</v>
      </c>
      <c r="M778" t="n">
        <v>0</v>
      </c>
      <c r="N778" t="n">
        <v>0</v>
      </c>
      <c r="O778" t="n">
        <v>0</v>
      </c>
      <c r="P778" t="n">
        <v>0</v>
      </c>
      <c r="Q778" t="n">
        <v>0</v>
      </c>
      <c r="R778" s="2" t="inlineStr"/>
    </row>
    <row r="779" ht="15" customHeight="1">
      <c r="A779" t="inlineStr">
        <is>
          <t>A 52121-2022</t>
        </is>
      </c>
      <c r="B779" s="1" t="n">
        <v>44873.42385416666</v>
      </c>
      <c r="C779" s="1" t="n">
        <v>45911</v>
      </c>
      <c r="D779" t="inlineStr">
        <is>
          <t>GÄVLEBORGS LÄN</t>
        </is>
      </c>
      <c r="E779" t="inlineStr">
        <is>
          <t>LJUSDAL</t>
        </is>
      </c>
      <c r="F779" t="inlineStr">
        <is>
          <t>Bergvik skog väst AB</t>
        </is>
      </c>
      <c r="G779" t="n">
        <v>6.9</v>
      </c>
      <c r="H779" t="n">
        <v>0</v>
      </c>
      <c r="I779" t="n">
        <v>0</v>
      </c>
      <c r="J779" t="n">
        <v>0</v>
      </c>
      <c r="K779" t="n">
        <v>0</v>
      </c>
      <c r="L779" t="n">
        <v>0</v>
      </c>
      <c r="M779" t="n">
        <v>0</v>
      </c>
      <c r="N779" t="n">
        <v>0</v>
      </c>
      <c r="O779" t="n">
        <v>0</v>
      </c>
      <c r="P779" t="n">
        <v>0</v>
      </c>
      <c r="Q779" t="n">
        <v>0</v>
      </c>
      <c r="R779" s="2" t="inlineStr"/>
    </row>
    <row r="780" ht="15" customHeight="1">
      <c r="A780" t="inlineStr">
        <is>
          <t>A 11543-2021</t>
        </is>
      </c>
      <c r="B780" s="1" t="n">
        <v>44264</v>
      </c>
      <c r="C780" s="1" t="n">
        <v>45911</v>
      </c>
      <c r="D780" t="inlineStr">
        <is>
          <t>GÄVLEBORGS LÄN</t>
        </is>
      </c>
      <c r="E780" t="inlineStr">
        <is>
          <t>OVANÅKER</t>
        </is>
      </c>
      <c r="G780" t="n">
        <v>0.9</v>
      </c>
      <c r="H780" t="n">
        <v>0</v>
      </c>
      <c r="I780" t="n">
        <v>0</v>
      </c>
      <c r="J780" t="n">
        <v>0</v>
      </c>
      <c r="K780" t="n">
        <v>0</v>
      </c>
      <c r="L780" t="n">
        <v>0</v>
      </c>
      <c r="M780" t="n">
        <v>0</v>
      </c>
      <c r="N780" t="n">
        <v>0</v>
      </c>
      <c r="O780" t="n">
        <v>0</v>
      </c>
      <c r="P780" t="n">
        <v>0</v>
      </c>
      <c r="Q780" t="n">
        <v>0</v>
      </c>
      <c r="R780" s="2" t="inlineStr"/>
    </row>
    <row r="781" ht="15" customHeight="1">
      <c r="A781" t="inlineStr">
        <is>
          <t>A 65835-2020</t>
        </is>
      </c>
      <c r="B781" s="1" t="n">
        <v>44174</v>
      </c>
      <c r="C781" s="1" t="n">
        <v>45911</v>
      </c>
      <c r="D781" t="inlineStr">
        <is>
          <t>GÄVLEBORGS LÄN</t>
        </is>
      </c>
      <c r="E781" t="inlineStr">
        <is>
          <t>HUDIKSVALL</t>
        </is>
      </c>
      <c r="G781" t="n">
        <v>3.9</v>
      </c>
      <c r="H781" t="n">
        <v>0</v>
      </c>
      <c r="I781" t="n">
        <v>0</v>
      </c>
      <c r="J781" t="n">
        <v>0</v>
      </c>
      <c r="K781" t="n">
        <v>0</v>
      </c>
      <c r="L781" t="n">
        <v>0</v>
      </c>
      <c r="M781" t="n">
        <v>0</v>
      </c>
      <c r="N781" t="n">
        <v>0</v>
      </c>
      <c r="O781" t="n">
        <v>0</v>
      </c>
      <c r="P781" t="n">
        <v>0</v>
      </c>
      <c r="Q781" t="n">
        <v>0</v>
      </c>
      <c r="R781" s="2" t="inlineStr"/>
    </row>
    <row r="782" ht="15" customHeight="1">
      <c r="A782" t="inlineStr">
        <is>
          <t>A 61012-2021</t>
        </is>
      </c>
      <c r="B782" s="1" t="n">
        <v>44497</v>
      </c>
      <c r="C782" s="1" t="n">
        <v>45911</v>
      </c>
      <c r="D782" t="inlineStr">
        <is>
          <t>GÄVLEBORGS LÄN</t>
        </is>
      </c>
      <c r="E782" t="inlineStr">
        <is>
          <t>LJUSDAL</t>
        </is>
      </c>
      <c r="F782" t="inlineStr">
        <is>
          <t>Holmen skog AB</t>
        </is>
      </c>
      <c r="G782" t="n">
        <v>4</v>
      </c>
      <c r="H782" t="n">
        <v>0</v>
      </c>
      <c r="I782" t="n">
        <v>0</v>
      </c>
      <c r="J782" t="n">
        <v>0</v>
      </c>
      <c r="K782" t="n">
        <v>0</v>
      </c>
      <c r="L782" t="n">
        <v>0</v>
      </c>
      <c r="M782" t="n">
        <v>0</v>
      </c>
      <c r="N782" t="n">
        <v>0</v>
      </c>
      <c r="O782" t="n">
        <v>0</v>
      </c>
      <c r="P782" t="n">
        <v>0</v>
      </c>
      <c r="Q782" t="n">
        <v>0</v>
      </c>
      <c r="R782" s="2" t="inlineStr"/>
    </row>
    <row r="783" ht="15" customHeight="1">
      <c r="A783" t="inlineStr">
        <is>
          <t>A 66690-2020</t>
        </is>
      </c>
      <c r="B783" s="1" t="n">
        <v>44179</v>
      </c>
      <c r="C783" s="1" t="n">
        <v>45911</v>
      </c>
      <c r="D783" t="inlineStr">
        <is>
          <t>GÄVLEBORGS LÄN</t>
        </is>
      </c>
      <c r="E783" t="inlineStr">
        <is>
          <t>HUDIKSVALL</t>
        </is>
      </c>
      <c r="G783" t="n">
        <v>1.3</v>
      </c>
      <c r="H783" t="n">
        <v>0</v>
      </c>
      <c r="I783" t="n">
        <v>0</v>
      </c>
      <c r="J783" t="n">
        <v>0</v>
      </c>
      <c r="K783" t="n">
        <v>0</v>
      </c>
      <c r="L783" t="n">
        <v>0</v>
      </c>
      <c r="M783" t="n">
        <v>0</v>
      </c>
      <c r="N783" t="n">
        <v>0</v>
      </c>
      <c r="O783" t="n">
        <v>0</v>
      </c>
      <c r="P783" t="n">
        <v>0</v>
      </c>
      <c r="Q783" t="n">
        <v>0</v>
      </c>
      <c r="R783" s="2" t="inlineStr"/>
    </row>
    <row r="784" ht="15" customHeight="1">
      <c r="A784" t="inlineStr">
        <is>
          <t>A 3429-2022</t>
        </is>
      </c>
      <c r="B784" s="1" t="n">
        <v>44585</v>
      </c>
      <c r="C784" s="1" t="n">
        <v>45911</v>
      </c>
      <c r="D784" t="inlineStr">
        <is>
          <t>GÄVLEBORGS LÄN</t>
        </is>
      </c>
      <c r="E784" t="inlineStr">
        <is>
          <t>BOLLNÄS</t>
        </is>
      </c>
      <c r="G784" t="n">
        <v>0.6</v>
      </c>
      <c r="H784" t="n">
        <v>0</v>
      </c>
      <c r="I784" t="n">
        <v>0</v>
      </c>
      <c r="J784" t="n">
        <v>0</v>
      </c>
      <c r="K784" t="n">
        <v>0</v>
      </c>
      <c r="L784" t="n">
        <v>0</v>
      </c>
      <c r="M784" t="n">
        <v>0</v>
      </c>
      <c r="N784" t="n">
        <v>0</v>
      </c>
      <c r="O784" t="n">
        <v>0</v>
      </c>
      <c r="P784" t="n">
        <v>0</v>
      </c>
      <c r="Q784" t="n">
        <v>0</v>
      </c>
      <c r="R784" s="2" t="inlineStr"/>
    </row>
    <row r="785" ht="15" customHeight="1">
      <c r="A785" t="inlineStr">
        <is>
          <t>A 12358-2022</t>
        </is>
      </c>
      <c r="B785" s="1" t="n">
        <v>44637</v>
      </c>
      <c r="C785" s="1" t="n">
        <v>45911</v>
      </c>
      <c r="D785" t="inlineStr">
        <is>
          <t>GÄVLEBORGS LÄN</t>
        </is>
      </c>
      <c r="E785" t="inlineStr">
        <is>
          <t>SÖDERHAMN</t>
        </is>
      </c>
      <c r="G785" t="n">
        <v>2.5</v>
      </c>
      <c r="H785" t="n">
        <v>0</v>
      </c>
      <c r="I785" t="n">
        <v>0</v>
      </c>
      <c r="J785" t="n">
        <v>0</v>
      </c>
      <c r="K785" t="n">
        <v>0</v>
      </c>
      <c r="L785" t="n">
        <v>0</v>
      </c>
      <c r="M785" t="n">
        <v>0</v>
      </c>
      <c r="N785" t="n">
        <v>0</v>
      </c>
      <c r="O785" t="n">
        <v>0</v>
      </c>
      <c r="P785" t="n">
        <v>0</v>
      </c>
      <c r="Q785" t="n">
        <v>0</v>
      </c>
      <c r="R785" s="2" t="inlineStr"/>
    </row>
    <row r="786" ht="15" customHeight="1">
      <c r="A786" t="inlineStr">
        <is>
          <t>A 27992-2021</t>
        </is>
      </c>
      <c r="B786" s="1" t="n">
        <v>44355.22805555556</v>
      </c>
      <c r="C786" s="1" t="n">
        <v>45911</v>
      </c>
      <c r="D786" t="inlineStr">
        <is>
          <t>GÄVLEBORGS LÄN</t>
        </is>
      </c>
      <c r="E786" t="inlineStr">
        <is>
          <t>LJUSDAL</t>
        </is>
      </c>
      <c r="F786" t="inlineStr">
        <is>
          <t>Sveaskog</t>
        </is>
      </c>
      <c r="G786" t="n">
        <v>4.4</v>
      </c>
      <c r="H786" t="n">
        <v>0</v>
      </c>
      <c r="I786" t="n">
        <v>0</v>
      </c>
      <c r="J786" t="n">
        <v>0</v>
      </c>
      <c r="K786" t="n">
        <v>0</v>
      </c>
      <c r="L786" t="n">
        <v>0</v>
      </c>
      <c r="M786" t="n">
        <v>0</v>
      </c>
      <c r="N786" t="n">
        <v>0</v>
      </c>
      <c r="O786" t="n">
        <v>0</v>
      </c>
      <c r="P786" t="n">
        <v>0</v>
      </c>
      <c r="Q786" t="n">
        <v>0</v>
      </c>
      <c r="R786" s="2" t="inlineStr"/>
    </row>
    <row r="787" ht="15" customHeight="1">
      <c r="A787" t="inlineStr">
        <is>
          <t>A 12142-2021</t>
        </is>
      </c>
      <c r="B787" s="1" t="n">
        <v>44266.56960648148</v>
      </c>
      <c r="C787" s="1" t="n">
        <v>45911</v>
      </c>
      <c r="D787" t="inlineStr">
        <is>
          <t>GÄVLEBORGS LÄN</t>
        </is>
      </c>
      <c r="E787" t="inlineStr">
        <is>
          <t>HUDIKSVALL</t>
        </is>
      </c>
      <c r="F787" t="inlineStr">
        <is>
          <t>Holmen skog AB</t>
        </is>
      </c>
      <c r="G787" t="n">
        <v>2</v>
      </c>
      <c r="H787" t="n">
        <v>0</v>
      </c>
      <c r="I787" t="n">
        <v>0</v>
      </c>
      <c r="J787" t="n">
        <v>0</v>
      </c>
      <c r="K787" t="n">
        <v>0</v>
      </c>
      <c r="L787" t="n">
        <v>0</v>
      </c>
      <c r="M787" t="n">
        <v>0</v>
      </c>
      <c r="N787" t="n">
        <v>0</v>
      </c>
      <c r="O787" t="n">
        <v>0</v>
      </c>
      <c r="P787" t="n">
        <v>0</v>
      </c>
      <c r="Q787" t="n">
        <v>0</v>
      </c>
      <c r="R787" s="2" t="inlineStr"/>
    </row>
    <row r="788" ht="15" customHeight="1">
      <c r="A788" t="inlineStr">
        <is>
          <t>A 19976-2021</t>
        </is>
      </c>
      <c r="B788" s="1" t="n">
        <v>44313</v>
      </c>
      <c r="C788" s="1" t="n">
        <v>45911</v>
      </c>
      <c r="D788" t="inlineStr">
        <is>
          <t>GÄVLEBORGS LÄN</t>
        </is>
      </c>
      <c r="E788" t="inlineStr">
        <is>
          <t>LJUSDAL</t>
        </is>
      </c>
      <c r="F788" t="inlineStr">
        <is>
          <t>Sveaskog</t>
        </is>
      </c>
      <c r="G788" t="n">
        <v>40.1</v>
      </c>
      <c r="H788" t="n">
        <v>0</v>
      </c>
      <c r="I788" t="n">
        <v>0</v>
      </c>
      <c r="J788" t="n">
        <v>0</v>
      </c>
      <c r="K788" t="n">
        <v>0</v>
      </c>
      <c r="L788" t="n">
        <v>0</v>
      </c>
      <c r="M788" t="n">
        <v>0</v>
      </c>
      <c r="N788" t="n">
        <v>0</v>
      </c>
      <c r="O788" t="n">
        <v>0</v>
      </c>
      <c r="P788" t="n">
        <v>0</v>
      </c>
      <c r="Q788" t="n">
        <v>0</v>
      </c>
      <c r="R788" s="2" t="inlineStr"/>
    </row>
    <row r="789" ht="15" customHeight="1">
      <c r="A789" t="inlineStr">
        <is>
          <t>A 32043-2021</t>
        </is>
      </c>
      <c r="B789" s="1" t="n">
        <v>44370.68188657407</v>
      </c>
      <c r="C789" s="1" t="n">
        <v>45911</v>
      </c>
      <c r="D789" t="inlineStr">
        <is>
          <t>GÄVLEBORGS LÄN</t>
        </is>
      </c>
      <c r="E789" t="inlineStr">
        <is>
          <t>NORDANSTIG</t>
        </is>
      </c>
      <c r="G789" t="n">
        <v>4.9</v>
      </c>
      <c r="H789" t="n">
        <v>0</v>
      </c>
      <c r="I789" t="n">
        <v>0</v>
      </c>
      <c r="J789" t="n">
        <v>0</v>
      </c>
      <c r="K789" t="n">
        <v>0</v>
      </c>
      <c r="L789" t="n">
        <v>0</v>
      </c>
      <c r="M789" t="n">
        <v>0</v>
      </c>
      <c r="N789" t="n">
        <v>0</v>
      </c>
      <c r="O789" t="n">
        <v>0</v>
      </c>
      <c r="P789" t="n">
        <v>0</v>
      </c>
      <c r="Q789" t="n">
        <v>0</v>
      </c>
      <c r="R789" s="2" t="inlineStr"/>
    </row>
    <row r="790" ht="15" customHeight="1">
      <c r="A790" t="inlineStr">
        <is>
          <t>A 40926-2021</t>
        </is>
      </c>
      <c r="B790" s="1" t="n">
        <v>44421</v>
      </c>
      <c r="C790" s="1" t="n">
        <v>45911</v>
      </c>
      <c r="D790" t="inlineStr">
        <is>
          <t>GÄVLEBORGS LÄN</t>
        </is>
      </c>
      <c r="E790" t="inlineStr">
        <is>
          <t>SANDVIKEN</t>
        </is>
      </c>
      <c r="F790" t="inlineStr">
        <is>
          <t>Naturvårdsverket</t>
        </is>
      </c>
      <c r="G790" t="n">
        <v>1.1</v>
      </c>
      <c r="H790" t="n">
        <v>0</v>
      </c>
      <c r="I790" t="n">
        <v>0</v>
      </c>
      <c r="J790" t="n">
        <v>0</v>
      </c>
      <c r="K790" t="n">
        <v>0</v>
      </c>
      <c r="L790" t="n">
        <v>0</v>
      </c>
      <c r="M790" t="n">
        <v>0</v>
      </c>
      <c r="N790" t="n">
        <v>0</v>
      </c>
      <c r="O790" t="n">
        <v>0</v>
      </c>
      <c r="P790" t="n">
        <v>0</v>
      </c>
      <c r="Q790" t="n">
        <v>0</v>
      </c>
      <c r="R790" s="2" t="inlineStr"/>
    </row>
    <row r="791" ht="15" customHeight="1">
      <c r="A791" t="inlineStr">
        <is>
          <t>A 37701-2021</t>
        </is>
      </c>
      <c r="B791" s="1" t="n">
        <v>44400.53994212963</v>
      </c>
      <c r="C791" s="1" t="n">
        <v>45911</v>
      </c>
      <c r="D791" t="inlineStr">
        <is>
          <t>GÄVLEBORGS LÄN</t>
        </is>
      </c>
      <c r="E791" t="inlineStr">
        <is>
          <t>OCKELBO</t>
        </is>
      </c>
      <c r="G791" t="n">
        <v>6.3</v>
      </c>
      <c r="H791" t="n">
        <v>0</v>
      </c>
      <c r="I791" t="n">
        <v>0</v>
      </c>
      <c r="J791" t="n">
        <v>0</v>
      </c>
      <c r="K791" t="n">
        <v>0</v>
      </c>
      <c r="L791" t="n">
        <v>0</v>
      </c>
      <c r="M791" t="n">
        <v>0</v>
      </c>
      <c r="N791" t="n">
        <v>0</v>
      </c>
      <c r="O791" t="n">
        <v>0</v>
      </c>
      <c r="P791" t="n">
        <v>0</v>
      </c>
      <c r="Q791" t="n">
        <v>0</v>
      </c>
      <c r="R791" s="2" t="inlineStr"/>
    </row>
    <row r="792" ht="15" customHeight="1">
      <c r="A792" t="inlineStr">
        <is>
          <t>A 20101-2021</t>
        </is>
      </c>
      <c r="B792" s="1" t="n">
        <v>44314.44876157407</v>
      </c>
      <c r="C792" s="1" t="n">
        <v>45911</v>
      </c>
      <c r="D792" t="inlineStr">
        <is>
          <t>GÄVLEBORGS LÄN</t>
        </is>
      </c>
      <c r="E792" t="inlineStr">
        <is>
          <t>OVANÅKER</t>
        </is>
      </c>
      <c r="F792" t="inlineStr">
        <is>
          <t>Sveaskog</t>
        </is>
      </c>
      <c r="G792" t="n">
        <v>0.9</v>
      </c>
      <c r="H792" t="n">
        <v>0</v>
      </c>
      <c r="I792" t="n">
        <v>0</v>
      </c>
      <c r="J792" t="n">
        <v>0</v>
      </c>
      <c r="K792" t="n">
        <v>0</v>
      </c>
      <c r="L792" t="n">
        <v>0</v>
      </c>
      <c r="M792" t="n">
        <v>0</v>
      </c>
      <c r="N792" t="n">
        <v>0</v>
      </c>
      <c r="O792" t="n">
        <v>0</v>
      </c>
      <c r="P792" t="n">
        <v>0</v>
      </c>
      <c r="Q792" t="n">
        <v>0</v>
      </c>
      <c r="R792" s="2" t="inlineStr"/>
    </row>
    <row r="793" ht="15" customHeight="1">
      <c r="A793" t="inlineStr">
        <is>
          <t>A 50743-2022</t>
        </is>
      </c>
      <c r="B793" s="1" t="n">
        <v>44867.39114583333</v>
      </c>
      <c r="C793" s="1" t="n">
        <v>45911</v>
      </c>
      <c r="D793" t="inlineStr">
        <is>
          <t>GÄVLEBORGS LÄN</t>
        </is>
      </c>
      <c r="E793" t="inlineStr">
        <is>
          <t>LJUSDAL</t>
        </is>
      </c>
      <c r="F793" t="inlineStr">
        <is>
          <t>Kommuner</t>
        </is>
      </c>
      <c r="G793" t="n">
        <v>0.6</v>
      </c>
      <c r="H793" t="n">
        <v>0</v>
      </c>
      <c r="I793" t="n">
        <v>0</v>
      </c>
      <c r="J793" t="n">
        <v>0</v>
      </c>
      <c r="K793" t="n">
        <v>0</v>
      </c>
      <c r="L793" t="n">
        <v>0</v>
      </c>
      <c r="M793" t="n">
        <v>0</v>
      </c>
      <c r="N793" t="n">
        <v>0</v>
      </c>
      <c r="O793" t="n">
        <v>0</v>
      </c>
      <c r="P793" t="n">
        <v>0</v>
      </c>
      <c r="Q793" t="n">
        <v>0</v>
      </c>
      <c r="R793" s="2" t="inlineStr"/>
    </row>
    <row r="794" ht="15" customHeight="1">
      <c r="A794" t="inlineStr">
        <is>
          <t>A 27476-2021</t>
        </is>
      </c>
      <c r="B794" s="1" t="n">
        <v>44351.60512731481</v>
      </c>
      <c r="C794" s="1" t="n">
        <v>45911</v>
      </c>
      <c r="D794" t="inlineStr">
        <is>
          <t>GÄVLEBORGS LÄN</t>
        </is>
      </c>
      <c r="E794" t="inlineStr">
        <is>
          <t>GÄVLE</t>
        </is>
      </c>
      <c r="G794" t="n">
        <v>1.8</v>
      </c>
      <c r="H794" t="n">
        <v>0</v>
      </c>
      <c r="I794" t="n">
        <v>0</v>
      </c>
      <c r="J794" t="n">
        <v>0</v>
      </c>
      <c r="K794" t="n">
        <v>0</v>
      </c>
      <c r="L794" t="n">
        <v>0</v>
      </c>
      <c r="M794" t="n">
        <v>0</v>
      </c>
      <c r="N794" t="n">
        <v>0</v>
      </c>
      <c r="O794" t="n">
        <v>0</v>
      </c>
      <c r="P794" t="n">
        <v>0</v>
      </c>
      <c r="Q794" t="n">
        <v>0</v>
      </c>
      <c r="R794" s="2" t="inlineStr"/>
    </row>
    <row r="795" ht="15" customHeight="1">
      <c r="A795" t="inlineStr">
        <is>
          <t>A 43441-2021</t>
        </is>
      </c>
      <c r="B795" s="1" t="n">
        <v>44432.66142361111</v>
      </c>
      <c r="C795" s="1" t="n">
        <v>45911</v>
      </c>
      <c r="D795" t="inlineStr">
        <is>
          <t>GÄVLEBORGS LÄN</t>
        </is>
      </c>
      <c r="E795" t="inlineStr">
        <is>
          <t>NORDANSTIG</t>
        </is>
      </c>
      <c r="G795" t="n">
        <v>1.2</v>
      </c>
      <c r="H795" t="n">
        <v>0</v>
      </c>
      <c r="I795" t="n">
        <v>0</v>
      </c>
      <c r="J795" t="n">
        <v>0</v>
      </c>
      <c r="K795" t="n">
        <v>0</v>
      </c>
      <c r="L795" t="n">
        <v>0</v>
      </c>
      <c r="M795" t="n">
        <v>0</v>
      </c>
      <c r="N795" t="n">
        <v>0</v>
      </c>
      <c r="O795" t="n">
        <v>0</v>
      </c>
      <c r="P795" t="n">
        <v>0</v>
      </c>
      <c r="Q795" t="n">
        <v>0</v>
      </c>
      <c r="R795" s="2" t="inlineStr"/>
    </row>
    <row r="796" ht="15" customHeight="1">
      <c r="A796" t="inlineStr">
        <is>
          <t>A 39325-2022</t>
        </is>
      </c>
      <c r="B796" s="1" t="n">
        <v>44817</v>
      </c>
      <c r="C796" s="1" t="n">
        <v>45911</v>
      </c>
      <c r="D796" t="inlineStr">
        <is>
          <t>GÄVLEBORGS LÄN</t>
        </is>
      </c>
      <c r="E796" t="inlineStr">
        <is>
          <t>OCKELBO</t>
        </is>
      </c>
      <c r="F796" t="inlineStr">
        <is>
          <t>Bergvik skog väst AB</t>
        </is>
      </c>
      <c r="G796" t="n">
        <v>0.6</v>
      </c>
      <c r="H796" t="n">
        <v>0</v>
      </c>
      <c r="I796" t="n">
        <v>0</v>
      </c>
      <c r="J796" t="n">
        <v>0</v>
      </c>
      <c r="K796" t="n">
        <v>0</v>
      </c>
      <c r="L796" t="n">
        <v>0</v>
      </c>
      <c r="M796" t="n">
        <v>0</v>
      </c>
      <c r="N796" t="n">
        <v>0</v>
      </c>
      <c r="O796" t="n">
        <v>0</v>
      </c>
      <c r="P796" t="n">
        <v>0</v>
      </c>
      <c r="Q796" t="n">
        <v>0</v>
      </c>
      <c r="R796" s="2" t="inlineStr"/>
    </row>
    <row r="797" ht="15" customHeight="1">
      <c r="A797" t="inlineStr">
        <is>
          <t>A 7344-2021</t>
        </is>
      </c>
      <c r="B797" s="1" t="n">
        <v>44239</v>
      </c>
      <c r="C797" s="1" t="n">
        <v>45911</v>
      </c>
      <c r="D797" t="inlineStr">
        <is>
          <t>GÄVLEBORGS LÄN</t>
        </is>
      </c>
      <c r="E797" t="inlineStr">
        <is>
          <t>OCKELBO</t>
        </is>
      </c>
      <c r="F797" t="inlineStr">
        <is>
          <t>Bergvik skog väst AB</t>
        </is>
      </c>
      <c r="G797" t="n">
        <v>1</v>
      </c>
      <c r="H797" t="n">
        <v>0</v>
      </c>
      <c r="I797" t="n">
        <v>0</v>
      </c>
      <c r="J797" t="n">
        <v>0</v>
      </c>
      <c r="K797" t="n">
        <v>0</v>
      </c>
      <c r="L797" t="n">
        <v>0</v>
      </c>
      <c r="M797" t="n">
        <v>0</v>
      </c>
      <c r="N797" t="n">
        <v>0</v>
      </c>
      <c r="O797" t="n">
        <v>0</v>
      </c>
      <c r="P797" t="n">
        <v>0</v>
      </c>
      <c r="Q797" t="n">
        <v>0</v>
      </c>
      <c r="R797" s="2" t="inlineStr"/>
    </row>
    <row r="798" ht="15" customHeight="1">
      <c r="A798" t="inlineStr">
        <is>
          <t>A 7358-2021</t>
        </is>
      </c>
      <c r="B798" s="1" t="n">
        <v>44239</v>
      </c>
      <c r="C798" s="1" t="n">
        <v>45911</v>
      </c>
      <c r="D798" t="inlineStr">
        <is>
          <t>GÄVLEBORGS LÄN</t>
        </is>
      </c>
      <c r="E798" t="inlineStr">
        <is>
          <t>LJUSDAL</t>
        </is>
      </c>
      <c r="G798" t="n">
        <v>1.4</v>
      </c>
      <c r="H798" t="n">
        <v>0</v>
      </c>
      <c r="I798" t="n">
        <v>0</v>
      </c>
      <c r="J798" t="n">
        <v>0</v>
      </c>
      <c r="K798" t="n">
        <v>0</v>
      </c>
      <c r="L798" t="n">
        <v>0</v>
      </c>
      <c r="M798" t="n">
        <v>0</v>
      </c>
      <c r="N798" t="n">
        <v>0</v>
      </c>
      <c r="O798" t="n">
        <v>0</v>
      </c>
      <c r="P798" t="n">
        <v>0</v>
      </c>
      <c r="Q798" t="n">
        <v>0</v>
      </c>
      <c r="R798" s="2" t="inlineStr"/>
    </row>
    <row r="799" ht="15" customHeight="1">
      <c r="A799" t="inlineStr">
        <is>
          <t>A 66758-2021</t>
        </is>
      </c>
      <c r="B799" s="1" t="n">
        <v>44521.80271990741</v>
      </c>
      <c r="C799" s="1" t="n">
        <v>45911</v>
      </c>
      <c r="D799" t="inlineStr">
        <is>
          <t>GÄVLEBORGS LÄN</t>
        </is>
      </c>
      <c r="E799" t="inlineStr">
        <is>
          <t>HUDIKSVALL</t>
        </is>
      </c>
      <c r="G799" t="n">
        <v>0.5</v>
      </c>
      <c r="H799" t="n">
        <v>0</v>
      </c>
      <c r="I799" t="n">
        <v>0</v>
      </c>
      <c r="J799" t="n">
        <v>0</v>
      </c>
      <c r="K799" t="n">
        <v>0</v>
      </c>
      <c r="L799" t="n">
        <v>0</v>
      </c>
      <c r="M799" t="n">
        <v>0</v>
      </c>
      <c r="N799" t="n">
        <v>0</v>
      </c>
      <c r="O799" t="n">
        <v>0</v>
      </c>
      <c r="P799" t="n">
        <v>0</v>
      </c>
      <c r="Q799" t="n">
        <v>0</v>
      </c>
      <c r="R799" s="2" t="inlineStr"/>
    </row>
    <row r="800" ht="15" customHeight="1">
      <c r="A800" t="inlineStr">
        <is>
          <t>A 67716-2021</t>
        </is>
      </c>
      <c r="B800" s="1" t="n">
        <v>44525</v>
      </c>
      <c r="C800" s="1" t="n">
        <v>45911</v>
      </c>
      <c r="D800" t="inlineStr">
        <is>
          <t>GÄVLEBORGS LÄN</t>
        </is>
      </c>
      <c r="E800" t="inlineStr">
        <is>
          <t>NORDANSTIG</t>
        </is>
      </c>
      <c r="F800" t="inlineStr">
        <is>
          <t>Holmen skog AB</t>
        </is>
      </c>
      <c r="G800" t="n">
        <v>7.4</v>
      </c>
      <c r="H800" t="n">
        <v>0</v>
      </c>
      <c r="I800" t="n">
        <v>0</v>
      </c>
      <c r="J800" t="n">
        <v>0</v>
      </c>
      <c r="K800" t="n">
        <v>0</v>
      </c>
      <c r="L800" t="n">
        <v>0</v>
      </c>
      <c r="M800" t="n">
        <v>0</v>
      </c>
      <c r="N800" t="n">
        <v>0</v>
      </c>
      <c r="O800" t="n">
        <v>0</v>
      </c>
      <c r="P800" t="n">
        <v>0</v>
      </c>
      <c r="Q800" t="n">
        <v>0</v>
      </c>
      <c r="R800" s="2" t="inlineStr"/>
    </row>
    <row r="801" ht="15" customHeight="1">
      <c r="A801" t="inlineStr">
        <is>
          <t>A 47427-2020</t>
        </is>
      </c>
      <c r="B801" s="1" t="n">
        <v>44097</v>
      </c>
      <c r="C801" s="1" t="n">
        <v>45911</v>
      </c>
      <c r="D801" t="inlineStr">
        <is>
          <t>GÄVLEBORGS LÄN</t>
        </is>
      </c>
      <c r="E801" t="inlineStr">
        <is>
          <t>OCKELBO</t>
        </is>
      </c>
      <c r="G801" t="n">
        <v>3</v>
      </c>
      <c r="H801" t="n">
        <v>0</v>
      </c>
      <c r="I801" t="n">
        <v>0</v>
      </c>
      <c r="J801" t="n">
        <v>0</v>
      </c>
      <c r="K801" t="n">
        <v>0</v>
      </c>
      <c r="L801" t="n">
        <v>0</v>
      </c>
      <c r="M801" t="n">
        <v>0</v>
      </c>
      <c r="N801" t="n">
        <v>0</v>
      </c>
      <c r="O801" t="n">
        <v>0</v>
      </c>
      <c r="P801" t="n">
        <v>0</v>
      </c>
      <c r="Q801" t="n">
        <v>0</v>
      </c>
      <c r="R801" s="2" t="inlineStr"/>
    </row>
    <row r="802" ht="15" customHeight="1">
      <c r="A802" t="inlineStr">
        <is>
          <t>A 60689-2021</t>
        </is>
      </c>
      <c r="B802" s="1" t="n">
        <v>44496.66270833334</v>
      </c>
      <c r="C802" s="1" t="n">
        <v>45911</v>
      </c>
      <c r="D802" t="inlineStr">
        <is>
          <t>GÄVLEBORGS LÄN</t>
        </is>
      </c>
      <c r="E802" t="inlineStr">
        <is>
          <t>LJUSDAL</t>
        </is>
      </c>
      <c r="G802" t="n">
        <v>2.6</v>
      </c>
      <c r="H802" t="n">
        <v>0</v>
      </c>
      <c r="I802" t="n">
        <v>0</v>
      </c>
      <c r="J802" t="n">
        <v>0</v>
      </c>
      <c r="K802" t="n">
        <v>0</v>
      </c>
      <c r="L802" t="n">
        <v>0</v>
      </c>
      <c r="M802" t="n">
        <v>0</v>
      </c>
      <c r="N802" t="n">
        <v>0</v>
      </c>
      <c r="O802" t="n">
        <v>0</v>
      </c>
      <c r="P802" t="n">
        <v>0</v>
      </c>
      <c r="Q802" t="n">
        <v>0</v>
      </c>
      <c r="R802" s="2" t="inlineStr"/>
    </row>
    <row r="803" ht="15" customHeight="1">
      <c r="A803" t="inlineStr">
        <is>
          <t>A 51252-2022</t>
        </is>
      </c>
      <c r="B803" s="1" t="n">
        <v>44868</v>
      </c>
      <c r="C803" s="1" t="n">
        <v>45911</v>
      </c>
      <c r="D803" t="inlineStr">
        <is>
          <t>GÄVLEBORGS LÄN</t>
        </is>
      </c>
      <c r="E803" t="inlineStr">
        <is>
          <t>OVANÅKER</t>
        </is>
      </c>
      <c r="G803" t="n">
        <v>1.2</v>
      </c>
      <c r="H803" t="n">
        <v>0</v>
      </c>
      <c r="I803" t="n">
        <v>0</v>
      </c>
      <c r="J803" t="n">
        <v>0</v>
      </c>
      <c r="K803" t="n">
        <v>0</v>
      </c>
      <c r="L803" t="n">
        <v>0</v>
      </c>
      <c r="M803" t="n">
        <v>0</v>
      </c>
      <c r="N803" t="n">
        <v>0</v>
      </c>
      <c r="O803" t="n">
        <v>0</v>
      </c>
      <c r="P803" t="n">
        <v>0</v>
      </c>
      <c r="Q803" t="n">
        <v>0</v>
      </c>
      <c r="R803" s="2" t="inlineStr"/>
    </row>
    <row r="804" ht="15" customHeight="1">
      <c r="A804" t="inlineStr">
        <is>
          <t>A 18483-2021</t>
        </is>
      </c>
      <c r="B804" s="1" t="n">
        <v>44306.37357638889</v>
      </c>
      <c r="C804" s="1" t="n">
        <v>45911</v>
      </c>
      <c r="D804" t="inlineStr">
        <is>
          <t>GÄVLEBORGS LÄN</t>
        </is>
      </c>
      <c r="E804" t="inlineStr">
        <is>
          <t>SANDVIKEN</t>
        </is>
      </c>
      <c r="G804" t="n">
        <v>1.1</v>
      </c>
      <c r="H804" t="n">
        <v>0</v>
      </c>
      <c r="I804" t="n">
        <v>0</v>
      </c>
      <c r="J804" t="n">
        <v>0</v>
      </c>
      <c r="K804" t="n">
        <v>0</v>
      </c>
      <c r="L804" t="n">
        <v>0</v>
      </c>
      <c r="M804" t="n">
        <v>0</v>
      </c>
      <c r="N804" t="n">
        <v>0</v>
      </c>
      <c r="O804" t="n">
        <v>0</v>
      </c>
      <c r="P804" t="n">
        <v>0</v>
      </c>
      <c r="Q804" t="n">
        <v>0</v>
      </c>
      <c r="R804" s="2" t="inlineStr"/>
    </row>
    <row r="805" ht="15" customHeight="1">
      <c r="A805" t="inlineStr">
        <is>
          <t>A 59810-2021</t>
        </is>
      </c>
      <c r="B805" s="1" t="n">
        <v>44494</v>
      </c>
      <c r="C805" s="1" t="n">
        <v>45911</v>
      </c>
      <c r="D805" t="inlineStr">
        <is>
          <t>GÄVLEBORGS LÄN</t>
        </is>
      </c>
      <c r="E805" t="inlineStr">
        <is>
          <t>GÄVLE</t>
        </is>
      </c>
      <c r="G805" t="n">
        <v>2.3</v>
      </c>
      <c r="H805" t="n">
        <v>0</v>
      </c>
      <c r="I805" t="n">
        <v>0</v>
      </c>
      <c r="J805" t="n">
        <v>0</v>
      </c>
      <c r="K805" t="n">
        <v>0</v>
      </c>
      <c r="L805" t="n">
        <v>0</v>
      </c>
      <c r="M805" t="n">
        <v>0</v>
      </c>
      <c r="N805" t="n">
        <v>0</v>
      </c>
      <c r="O805" t="n">
        <v>0</v>
      </c>
      <c r="P805" t="n">
        <v>0</v>
      </c>
      <c r="Q805" t="n">
        <v>0</v>
      </c>
      <c r="R805" s="2" t="inlineStr"/>
    </row>
    <row r="806" ht="15" customHeight="1">
      <c r="A806" t="inlineStr">
        <is>
          <t>A 44382-2021</t>
        </is>
      </c>
      <c r="B806" s="1" t="n">
        <v>44435.47162037037</v>
      </c>
      <c r="C806" s="1" t="n">
        <v>45911</v>
      </c>
      <c r="D806" t="inlineStr">
        <is>
          <t>GÄVLEBORGS LÄN</t>
        </is>
      </c>
      <c r="E806" t="inlineStr">
        <is>
          <t>LJUSDAL</t>
        </is>
      </c>
      <c r="F806" t="inlineStr">
        <is>
          <t>Sveaskog</t>
        </is>
      </c>
      <c r="G806" t="n">
        <v>6.6</v>
      </c>
      <c r="H806" t="n">
        <v>0</v>
      </c>
      <c r="I806" t="n">
        <v>0</v>
      </c>
      <c r="J806" t="n">
        <v>0</v>
      </c>
      <c r="K806" t="n">
        <v>0</v>
      </c>
      <c r="L806" t="n">
        <v>0</v>
      </c>
      <c r="M806" t="n">
        <v>0</v>
      </c>
      <c r="N806" t="n">
        <v>0</v>
      </c>
      <c r="O806" t="n">
        <v>0</v>
      </c>
      <c r="P806" t="n">
        <v>0</v>
      </c>
      <c r="Q806" t="n">
        <v>0</v>
      </c>
      <c r="R806" s="2" t="inlineStr"/>
    </row>
    <row r="807" ht="15" customHeight="1">
      <c r="A807" t="inlineStr">
        <is>
          <t>A 73750-2021</t>
        </is>
      </c>
      <c r="B807" s="1" t="n">
        <v>44552</v>
      </c>
      <c r="C807" s="1" t="n">
        <v>45911</v>
      </c>
      <c r="D807" t="inlineStr">
        <is>
          <t>GÄVLEBORGS LÄN</t>
        </is>
      </c>
      <c r="E807" t="inlineStr">
        <is>
          <t>LJUSDAL</t>
        </is>
      </c>
      <c r="G807" t="n">
        <v>1.4</v>
      </c>
      <c r="H807" t="n">
        <v>0</v>
      </c>
      <c r="I807" t="n">
        <v>0</v>
      </c>
      <c r="J807" t="n">
        <v>0</v>
      </c>
      <c r="K807" t="n">
        <v>0</v>
      </c>
      <c r="L807" t="n">
        <v>0</v>
      </c>
      <c r="M807" t="n">
        <v>0</v>
      </c>
      <c r="N807" t="n">
        <v>0</v>
      </c>
      <c r="O807" t="n">
        <v>0</v>
      </c>
      <c r="P807" t="n">
        <v>0</v>
      </c>
      <c r="Q807" t="n">
        <v>0</v>
      </c>
      <c r="R807" s="2" t="inlineStr"/>
    </row>
    <row r="808" ht="15" customHeight="1">
      <c r="A808" t="inlineStr">
        <is>
          <t>A 11826-2021</t>
        </is>
      </c>
      <c r="B808" s="1" t="n">
        <v>44265.5718287037</v>
      </c>
      <c r="C808" s="1" t="n">
        <v>45911</v>
      </c>
      <c r="D808" t="inlineStr">
        <is>
          <t>GÄVLEBORGS LÄN</t>
        </is>
      </c>
      <c r="E808" t="inlineStr">
        <is>
          <t>SÖDERHAMN</t>
        </is>
      </c>
      <c r="G808" t="n">
        <v>1.4</v>
      </c>
      <c r="H808" t="n">
        <v>0</v>
      </c>
      <c r="I808" t="n">
        <v>0</v>
      </c>
      <c r="J808" t="n">
        <v>0</v>
      </c>
      <c r="K808" t="n">
        <v>0</v>
      </c>
      <c r="L808" t="n">
        <v>0</v>
      </c>
      <c r="M808" t="n">
        <v>0</v>
      </c>
      <c r="N808" t="n">
        <v>0</v>
      </c>
      <c r="O808" t="n">
        <v>0</v>
      </c>
      <c r="P808" t="n">
        <v>0</v>
      </c>
      <c r="Q808" t="n">
        <v>0</v>
      </c>
      <c r="R808" s="2" t="inlineStr"/>
    </row>
    <row r="809" ht="15" customHeight="1">
      <c r="A809" t="inlineStr">
        <is>
          <t>A 3868-2022</t>
        </is>
      </c>
      <c r="B809" s="1" t="n">
        <v>44587</v>
      </c>
      <c r="C809" s="1" t="n">
        <v>45911</v>
      </c>
      <c r="D809" t="inlineStr">
        <is>
          <t>GÄVLEBORGS LÄN</t>
        </is>
      </c>
      <c r="E809" t="inlineStr">
        <is>
          <t>LJUSDAL</t>
        </is>
      </c>
      <c r="F809" t="inlineStr">
        <is>
          <t>Sveaskog</t>
        </is>
      </c>
      <c r="G809" t="n">
        <v>0.2</v>
      </c>
      <c r="H809" t="n">
        <v>0</v>
      </c>
      <c r="I809" t="n">
        <v>0</v>
      </c>
      <c r="J809" t="n">
        <v>0</v>
      </c>
      <c r="K809" t="n">
        <v>0</v>
      </c>
      <c r="L809" t="n">
        <v>0</v>
      </c>
      <c r="M809" t="n">
        <v>0</v>
      </c>
      <c r="N809" t="n">
        <v>0</v>
      </c>
      <c r="O809" t="n">
        <v>0</v>
      </c>
      <c r="P809" t="n">
        <v>0</v>
      </c>
      <c r="Q809" t="n">
        <v>0</v>
      </c>
      <c r="R809" s="2" t="inlineStr"/>
    </row>
    <row r="810" ht="15" customHeight="1">
      <c r="A810" t="inlineStr">
        <is>
          <t>A 51721-2021</t>
        </is>
      </c>
      <c r="B810" s="1" t="n">
        <v>44462</v>
      </c>
      <c r="C810" s="1" t="n">
        <v>45911</v>
      </c>
      <c r="D810" t="inlineStr">
        <is>
          <t>GÄVLEBORGS LÄN</t>
        </is>
      </c>
      <c r="E810" t="inlineStr">
        <is>
          <t>NORDANSTIG</t>
        </is>
      </c>
      <c r="F810" t="inlineStr">
        <is>
          <t>Holmen skog AB</t>
        </is>
      </c>
      <c r="G810" t="n">
        <v>1.6</v>
      </c>
      <c r="H810" t="n">
        <v>0</v>
      </c>
      <c r="I810" t="n">
        <v>0</v>
      </c>
      <c r="J810" t="n">
        <v>0</v>
      </c>
      <c r="K810" t="n">
        <v>0</v>
      </c>
      <c r="L810" t="n">
        <v>0</v>
      </c>
      <c r="M810" t="n">
        <v>0</v>
      </c>
      <c r="N810" t="n">
        <v>0</v>
      </c>
      <c r="O810" t="n">
        <v>0</v>
      </c>
      <c r="P810" t="n">
        <v>0</v>
      </c>
      <c r="Q810" t="n">
        <v>0</v>
      </c>
      <c r="R810" s="2" t="inlineStr"/>
    </row>
    <row r="811" ht="15" customHeight="1">
      <c r="A811" t="inlineStr">
        <is>
          <t>A 52839-2021</t>
        </is>
      </c>
      <c r="B811" s="1" t="n">
        <v>44467.4345949074</v>
      </c>
      <c r="C811" s="1" t="n">
        <v>45911</v>
      </c>
      <c r="D811" t="inlineStr">
        <is>
          <t>GÄVLEBORGS LÄN</t>
        </is>
      </c>
      <c r="E811" t="inlineStr">
        <is>
          <t>LJUSDAL</t>
        </is>
      </c>
      <c r="F811" t="inlineStr">
        <is>
          <t>Holmen skog AB</t>
        </is>
      </c>
      <c r="G811" t="n">
        <v>14.9</v>
      </c>
      <c r="H811" t="n">
        <v>0</v>
      </c>
      <c r="I811" t="n">
        <v>0</v>
      </c>
      <c r="J811" t="n">
        <v>0</v>
      </c>
      <c r="K811" t="n">
        <v>0</v>
      </c>
      <c r="L811" t="n">
        <v>0</v>
      </c>
      <c r="M811" t="n">
        <v>0</v>
      </c>
      <c r="N811" t="n">
        <v>0</v>
      </c>
      <c r="O811" t="n">
        <v>0</v>
      </c>
      <c r="P811" t="n">
        <v>0</v>
      </c>
      <c r="Q811" t="n">
        <v>0</v>
      </c>
      <c r="R811" s="2" t="inlineStr"/>
    </row>
    <row r="812" ht="15" customHeight="1">
      <c r="A812" t="inlineStr">
        <is>
          <t>A 25238-2022</t>
        </is>
      </c>
      <c r="B812" s="1" t="n">
        <v>44729</v>
      </c>
      <c r="C812" s="1" t="n">
        <v>45911</v>
      </c>
      <c r="D812" t="inlineStr">
        <is>
          <t>GÄVLEBORGS LÄN</t>
        </is>
      </c>
      <c r="E812" t="inlineStr">
        <is>
          <t>BOLLNÄS</t>
        </is>
      </c>
      <c r="F812" t="inlineStr">
        <is>
          <t>Bergvik skog väst AB</t>
        </is>
      </c>
      <c r="G812" t="n">
        <v>2.2</v>
      </c>
      <c r="H812" t="n">
        <v>0</v>
      </c>
      <c r="I812" t="n">
        <v>0</v>
      </c>
      <c r="J812" t="n">
        <v>0</v>
      </c>
      <c r="K812" t="n">
        <v>0</v>
      </c>
      <c r="L812" t="n">
        <v>0</v>
      </c>
      <c r="M812" t="n">
        <v>0</v>
      </c>
      <c r="N812" t="n">
        <v>0</v>
      </c>
      <c r="O812" t="n">
        <v>0</v>
      </c>
      <c r="P812" t="n">
        <v>0</v>
      </c>
      <c r="Q812" t="n">
        <v>0</v>
      </c>
      <c r="R812" s="2" t="inlineStr"/>
    </row>
    <row r="813" ht="15" customHeight="1">
      <c r="A813" t="inlineStr">
        <is>
          <t>A 45683-2020</t>
        </is>
      </c>
      <c r="B813" s="1" t="n">
        <v>44090</v>
      </c>
      <c r="C813" s="1" t="n">
        <v>45911</v>
      </c>
      <c r="D813" t="inlineStr">
        <is>
          <t>GÄVLEBORGS LÄN</t>
        </is>
      </c>
      <c r="E813" t="inlineStr">
        <is>
          <t>NORDANSTIG</t>
        </is>
      </c>
      <c r="G813" t="n">
        <v>31.9</v>
      </c>
      <c r="H813" t="n">
        <v>0</v>
      </c>
      <c r="I813" t="n">
        <v>0</v>
      </c>
      <c r="J813" t="n">
        <v>0</v>
      </c>
      <c r="K813" t="n">
        <v>0</v>
      </c>
      <c r="L813" t="n">
        <v>0</v>
      </c>
      <c r="M813" t="n">
        <v>0</v>
      </c>
      <c r="N813" t="n">
        <v>0</v>
      </c>
      <c r="O813" t="n">
        <v>0</v>
      </c>
      <c r="P813" t="n">
        <v>0</v>
      </c>
      <c r="Q813" t="n">
        <v>0</v>
      </c>
      <c r="R813" s="2" t="inlineStr"/>
    </row>
    <row r="814" ht="15" customHeight="1">
      <c r="A814" t="inlineStr">
        <is>
          <t>A 45879-2021</t>
        </is>
      </c>
      <c r="B814" s="1" t="n">
        <v>44441.58484953704</v>
      </c>
      <c r="C814" s="1" t="n">
        <v>45911</v>
      </c>
      <c r="D814" t="inlineStr">
        <is>
          <t>GÄVLEBORGS LÄN</t>
        </is>
      </c>
      <c r="E814" t="inlineStr">
        <is>
          <t>NORDANSTIG</t>
        </is>
      </c>
      <c r="F814" t="inlineStr">
        <is>
          <t>Holmen skog AB</t>
        </is>
      </c>
      <c r="G814" t="n">
        <v>13.6</v>
      </c>
      <c r="H814" t="n">
        <v>0</v>
      </c>
      <c r="I814" t="n">
        <v>0</v>
      </c>
      <c r="J814" t="n">
        <v>0</v>
      </c>
      <c r="K814" t="n">
        <v>0</v>
      </c>
      <c r="L814" t="n">
        <v>0</v>
      </c>
      <c r="M814" t="n">
        <v>0</v>
      </c>
      <c r="N814" t="n">
        <v>0</v>
      </c>
      <c r="O814" t="n">
        <v>0</v>
      </c>
      <c r="P814" t="n">
        <v>0</v>
      </c>
      <c r="Q814" t="n">
        <v>0</v>
      </c>
      <c r="R814" s="2" t="inlineStr"/>
    </row>
    <row r="815" ht="15" customHeight="1">
      <c r="A815" t="inlineStr">
        <is>
          <t>A 46642-2021</t>
        </is>
      </c>
      <c r="B815" s="1" t="n">
        <v>44445</v>
      </c>
      <c r="C815" s="1" t="n">
        <v>45911</v>
      </c>
      <c r="D815" t="inlineStr">
        <is>
          <t>GÄVLEBORGS LÄN</t>
        </is>
      </c>
      <c r="E815" t="inlineStr">
        <is>
          <t>LJUSDAL</t>
        </is>
      </c>
      <c r="F815" t="inlineStr">
        <is>
          <t>Sveaskog</t>
        </is>
      </c>
      <c r="G815" t="n">
        <v>2.9</v>
      </c>
      <c r="H815" t="n">
        <v>0</v>
      </c>
      <c r="I815" t="n">
        <v>0</v>
      </c>
      <c r="J815" t="n">
        <v>0</v>
      </c>
      <c r="K815" t="n">
        <v>0</v>
      </c>
      <c r="L815" t="n">
        <v>0</v>
      </c>
      <c r="M815" t="n">
        <v>0</v>
      </c>
      <c r="N815" t="n">
        <v>0</v>
      </c>
      <c r="O815" t="n">
        <v>0</v>
      </c>
      <c r="P815" t="n">
        <v>0</v>
      </c>
      <c r="Q815" t="n">
        <v>0</v>
      </c>
      <c r="R815" s="2" t="inlineStr"/>
      <c r="U815">
        <f>HYPERLINK("https://klasma.github.io/Logging_2161/knärot/A 46642-2021 karta knärot.png", "A 46642-2021")</f>
        <v/>
      </c>
      <c r="V815">
        <f>HYPERLINK("https://klasma.github.io/Logging_2161/klagomål/A 46642-2021 FSC-klagomål.docx", "A 46642-2021")</f>
        <v/>
      </c>
      <c r="W815">
        <f>HYPERLINK("https://klasma.github.io/Logging_2161/klagomålsmail/A 46642-2021 FSC-klagomål mail.docx", "A 46642-2021")</f>
        <v/>
      </c>
      <c r="X815">
        <f>HYPERLINK("https://klasma.github.io/Logging_2161/tillsyn/A 46642-2021 tillsynsbegäran.docx", "A 46642-2021")</f>
        <v/>
      </c>
      <c r="Y815">
        <f>HYPERLINK("https://klasma.github.io/Logging_2161/tillsynsmail/A 46642-2021 tillsynsbegäran mail.docx", "A 46642-2021")</f>
        <v/>
      </c>
    </row>
    <row r="816" ht="15" customHeight="1">
      <c r="A816" t="inlineStr">
        <is>
          <t>A 52117-2021</t>
        </is>
      </c>
      <c r="B816" s="1" t="n">
        <v>44462</v>
      </c>
      <c r="C816" s="1" t="n">
        <v>45911</v>
      </c>
      <c r="D816" t="inlineStr">
        <is>
          <t>GÄVLEBORGS LÄN</t>
        </is>
      </c>
      <c r="E816" t="inlineStr">
        <is>
          <t>HUDIKSVALL</t>
        </is>
      </c>
      <c r="G816" t="n">
        <v>2.4</v>
      </c>
      <c r="H816" t="n">
        <v>0</v>
      </c>
      <c r="I816" t="n">
        <v>0</v>
      </c>
      <c r="J816" t="n">
        <v>0</v>
      </c>
      <c r="K816" t="n">
        <v>0</v>
      </c>
      <c r="L816" t="n">
        <v>0</v>
      </c>
      <c r="M816" t="n">
        <v>0</v>
      </c>
      <c r="N816" t="n">
        <v>0</v>
      </c>
      <c r="O816" t="n">
        <v>0</v>
      </c>
      <c r="P816" t="n">
        <v>0</v>
      </c>
      <c r="Q816" t="n">
        <v>0</v>
      </c>
      <c r="R816" s="2" t="inlineStr"/>
    </row>
    <row r="817" ht="15" customHeight="1">
      <c r="A817" t="inlineStr">
        <is>
          <t>A 34419-2022</t>
        </is>
      </c>
      <c r="B817" s="1" t="n">
        <v>44792</v>
      </c>
      <c r="C817" s="1" t="n">
        <v>45911</v>
      </c>
      <c r="D817" t="inlineStr">
        <is>
          <t>GÄVLEBORGS LÄN</t>
        </is>
      </c>
      <c r="E817" t="inlineStr">
        <is>
          <t>LJUSDAL</t>
        </is>
      </c>
      <c r="F817" t="inlineStr">
        <is>
          <t>Sveaskog</t>
        </is>
      </c>
      <c r="G817" t="n">
        <v>3.6</v>
      </c>
      <c r="H817" t="n">
        <v>0</v>
      </c>
      <c r="I817" t="n">
        <v>0</v>
      </c>
      <c r="J817" t="n">
        <v>0</v>
      </c>
      <c r="K817" t="n">
        <v>0</v>
      </c>
      <c r="L817" t="n">
        <v>0</v>
      </c>
      <c r="M817" t="n">
        <v>0</v>
      </c>
      <c r="N817" t="n">
        <v>0</v>
      </c>
      <c r="O817" t="n">
        <v>0</v>
      </c>
      <c r="P817" t="n">
        <v>0</v>
      </c>
      <c r="Q817" t="n">
        <v>0</v>
      </c>
      <c r="R817" s="2" t="inlineStr"/>
    </row>
    <row r="818" ht="15" customHeight="1">
      <c r="A818" t="inlineStr">
        <is>
          <t>A 14413-2021</t>
        </is>
      </c>
      <c r="B818" s="1" t="n">
        <v>44279</v>
      </c>
      <c r="C818" s="1" t="n">
        <v>45911</v>
      </c>
      <c r="D818" t="inlineStr">
        <is>
          <t>GÄVLEBORGS LÄN</t>
        </is>
      </c>
      <c r="E818" t="inlineStr">
        <is>
          <t>OVANÅKER</t>
        </is>
      </c>
      <c r="G818" t="n">
        <v>2.6</v>
      </c>
      <c r="H818" t="n">
        <v>0</v>
      </c>
      <c r="I818" t="n">
        <v>0</v>
      </c>
      <c r="J818" t="n">
        <v>0</v>
      </c>
      <c r="K818" t="n">
        <v>0</v>
      </c>
      <c r="L818" t="n">
        <v>0</v>
      </c>
      <c r="M818" t="n">
        <v>0</v>
      </c>
      <c r="N818" t="n">
        <v>0</v>
      </c>
      <c r="O818" t="n">
        <v>0</v>
      </c>
      <c r="P818" t="n">
        <v>0</v>
      </c>
      <c r="Q818" t="n">
        <v>0</v>
      </c>
      <c r="R818" s="2" t="inlineStr"/>
    </row>
    <row r="819" ht="15" customHeight="1">
      <c r="A819" t="inlineStr">
        <is>
          <t>A 1306-2022</t>
        </is>
      </c>
      <c r="B819" s="1" t="n">
        <v>44572</v>
      </c>
      <c r="C819" s="1" t="n">
        <v>45911</v>
      </c>
      <c r="D819" t="inlineStr">
        <is>
          <t>GÄVLEBORGS LÄN</t>
        </is>
      </c>
      <c r="E819" t="inlineStr">
        <is>
          <t>BOLLNÄS</t>
        </is>
      </c>
      <c r="G819" t="n">
        <v>1.6</v>
      </c>
      <c r="H819" t="n">
        <v>0</v>
      </c>
      <c r="I819" t="n">
        <v>0</v>
      </c>
      <c r="J819" t="n">
        <v>0</v>
      </c>
      <c r="K819" t="n">
        <v>0</v>
      </c>
      <c r="L819" t="n">
        <v>0</v>
      </c>
      <c r="M819" t="n">
        <v>0</v>
      </c>
      <c r="N819" t="n">
        <v>0</v>
      </c>
      <c r="O819" t="n">
        <v>0</v>
      </c>
      <c r="P819" t="n">
        <v>0</v>
      </c>
      <c r="Q819" t="n">
        <v>0</v>
      </c>
      <c r="R819" s="2" t="inlineStr"/>
    </row>
    <row r="820" ht="15" customHeight="1">
      <c r="A820" t="inlineStr">
        <is>
          <t>A 47632-2021</t>
        </is>
      </c>
      <c r="B820" s="1" t="n">
        <v>44448</v>
      </c>
      <c r="C820" s="1" t="n">
        <v>45911</v>
      </c>
      <c r="D820" t="inlineStr">
        <is>
          <t>GÄVLEBORGS LÄN</t>
        </is>
      </c>
      <c r="E820" t="inlineStr">
        <is>
          <t>SANDVIKEN</t>
        </is>
      </c>
      <c r="F820" t="inlineStr">
        <is>
          <t>Sveaskog</t>
        </is>
      </c>
      <c r="G820" t="n">
        <v>0.7</v>
      </c>
      <c r="H820" t="n">
        <v>0</v>
      </c>
      <c r="I820" t="n">
        <v>0</v>
      </c>
      <c r="J820" t="n">
        <v>0</v>
      </c>
      <c r="K820" t="n">
        <v>0</v>
      </c>
      <c r="L820" t="n">
        <v>0</v>
      </c>
      <c r="M820" t="n">
        <v>0</v>
      </c>
      <c r="N820" t="n">
        <v>0</v>
      </c>
      <c r="O820" t="n">
        <v>0</v>
      </c>
      <c r="P820" t="n">
        <v>0</v>
      </c>
      <c r="Q820" t="n">
        <v>0</v>
      </c>
      <c r="R820" s="2" t="inlineStr"/>
    </row>
    <row r="821" ht="15" customHeight="1">
      <c r="A821" t="inlineStr">
        <is>
          <t>A 43875-2022</t>
        </is>
      </c>
      <c r="B821" s="1" t="n">
        <v>44837</v>
      </c>
      <c r="C821" s="1" t="n">
        <v>45911</v>
      </c>
      <c r="D821" t="inlineStr">
        <is>
          <t>GÄVLEBORGS LÄN</t>
        </is>
      </c>
      <c r="E821" t="inlineStr">
        <is>
          <t>SÖDERHAMN</t>
        </is>
      </c>
      <c r="G821" t="n">
        <v>15.1</v>
      </c>
      <c r="H821" t="n">
        <v>0</v>
      </c>
      <c r="I821" t="n">
        <v>0</v>
      </c>
      <c r="J821" t="n">
        <v>0</v>
      </c>
      <c r="K821" t="n">
        <v>0</v>
      </c>
      <c r="L821" t="n">
        <v>0</v>
      </c>
      <c r="M821" t="n">
        <v>0</v>
      </c>
      <c r="N821" t="n">
        <v>0</v>
      </c>
      <c r="O821" t="n">
        <v>0</v>
      </c>
      <c r="P821" t="n">
        <v>0</v>
      </c>
      <c r="Q821" t="n">
        <v>0</v>
      </c>
      <c r="R821" s="2" t="inlineStr"/>
    </row>
    <row r="822" ht="15" customHeight="1">
      <c r="A822" t="inlineStr">
        <is>
          <t>A 55386-2022</t>
        </is>
      </c>
      <c r="B822" s="1" t="n">
        <v>44887.55108796297</v>
      </c>
      <c r="C822" s="1" t="n">
        <v>45911</v>
      </c>
      <c r="D822" t="inlineStr">
        <is>
          <t>GÄVLEBORGS LÄN</t>
        </is>
      </c>
      <c r="E822" t="inlineStr">
        <is>
          <t>HUDIKSVALL</t>
        </is>
      </c>
      <c r="G822" t="n">
        <v>0.8</v>
      </c>
      <c r="H822" t="n">
        <v>0</v>
      </c>
      <c r="I822" t="n">
        <v>0</v>
      </c>
      <c r="J822" t="n">
        <v>0</v>
      </c>
      <c r="K822" t="n">
        <v>0</v>
      </c>
      <c r="L822" t="n">
        <v>0</v>
      </c>
      <c r="M822" t="n">
        <v>0</v>
      </c>
      <c r="N822" t="n">
        <v>0</v>
      </c>
      <c r="O822" t="n">
        <v>0</v>
      </c>
      <c r="P822" t="n">
        <v>0</v>
      </c>
      <c r="Q822" t="n">
        <v>0</v>
      </c>
      <c r="R822" s="2" t="inlineStr"/>
    </row>
    <row r="823" ht="15" customHeight="1">
      <c r="A823" t="inlineStr">
        <is>
          <t>A 7095-2022</t>
        </is>
      </c>
      <c r="B823" s="1" t="n">
        <v>44603.60409722223</v>
      </c>
      <c r="C823" s="1" t="n">
        <v>45911</v>
      </c>
      <c r="D823" t="inlineStr">
        <is>
          <t>GÄVLEBORGS LÄN</t>
        </is>
      </c>
      <c r="E823" t="inlineStr">
        <is>
          <t>BOLLNÄS</t>
        </is>
      </c>
      <c r="G823" t="n">
        <v>4.1</v>
      </c>
      <c r="H823" t="n">
        <v>0</v>
      </c>
      <c r="I823" t="n">
        <v>0</v>
      </c>
      <c r="J823" t="n">
        <v>0</v>
      </c>
      <c r="K823" t="n">
        <v>0</v>
      </c>
      <c r="L823" t="n">
        <v>0</v>
      </c>
      <c r="M823" t="n">
        <v>0</v>
      </c>
      <c r="N823" t="n">
        <v>0</v>
      </c>
      <c r="O823" t="n">
        <v>0</v>
      </c>
      <c r="P823" t="n">
        <v>0</v>
      </c>
      <c r="Q823" t="n">
        <v>0</v>
      </c>
      <c r="R823" s="2" t="inlineStr"/>
    </row>
    <row r="824" ht="15" customHeight="1">
      <c r="A824" t="inlineStr">
        <is>
          <t>A 7096-2022</t>
        </is>
      </c>
      <c r="B824" s="1" t="n">
        <v>44603.60658564815</v>
      </c>
      <c r="C824" s="1" t="n">
        <v>45911</v>
      </c>
      <c r="D824" t="inlineStr">
        <is>
          <t>GÄVLEBORGS LÄN</t>
        </is>
      </c>
      <c r="E824" t="inlineStr">
        <is>
          <t>BOLLNÄS</t>
        </is>
      </c>
      <c r="G824" t="n">
        <v>1.7</v>
      </c>
      <c r="H824" t="n">
        <v>0</v>
      </c>
      <c r="I824" t="n">
        <v>0</v>
      </c>
      <c r="J824" t="n">
        <v>0</v>
      </c>
      <c r="K824" t="n">
        <v>0</v>
      </c>
      <c r="L824" t="n">
        <v>0</v>
      </c>
      <c r="M824" t="n">
        <v>0</v>
      </c>
      <c r="N824" t="n">
        <v>0</v>
      </c>
      <c r="O824" t="n">
        <v>0</v>
      </c>
      <c r="P824" t="n">
        <v>0</v>
      </c>
      <c r="Q824" t="n">
        <v>0</v>
      </c>
      <c r="R824" s="2" t="inlineStr"/>
    </row>
    <row r="825" ht="15" customHeight="1">
      <c r="A825" t="inlineStr">
        <is>
          <t>A 7099-2022</t>
        </is>
      </c>
      <c r="B825" s="1" t="n">
        <v>44603.6125925926</v>
      </c>
      <c r="C825" s="1" t="n">
        <v>45911</v>
      </c>
      <c r="D825" t="inlineStr">
        <is>
          <t>GÄVLEBORGS LÄN</t>
        </is>
      </c>
      <c r="E825" t="inlineStr">
        <is>
          <t>BOLLNÄS</t>
        </is>
      </c>
      <c r="G825" t="n">
        <v>1.3</v>
      </c>
      <c r="H825" t="n">
        <v>0</v>
      </c>
      <c r="I825" t="n">
        <v>0</v>
      </c>
      <c r="J825" t="n">
        <v>0</v>
      </c>
      <c r="K825" t="n">
        <v>0</v>
      </c>
      <c r="L825" t="n">
        <v>0</v>
      </c>
      <c r="M825" t="n">
        <v>0</v>
      </c>
      <c r="N825" t="n">
        <v>0</v>
      </c>
      <c r="O825" t="n">
        <v>0</v>
      </c>
      <c r="P825" t="n">
        <v>0</v>
      </c>
      <c r="Q825" t="n">
        <v>0</v>
      </c>
      <c r="R825" s="2" t="inlineStr"/>
    </row>
    <row r="826" ht="15" customHeight="1">
      <c r="A826" t="inlineStr">
        <is>
          <t>A 41037-2022</t>
        </is>
      </c>
      <c r="B826" s="1" t="n">
        <v>44824</v>
      </c>
      <c r="C826" s="1" t="n">
        <v>45911</v>
      </c>
      <c r="D826" t="inlineStr">
        <is>
          <t>GÄVLEBORGS LÄN</t>
        </is>
      </c>
      <c r="E826" t="inlineStr">
        <is>
          <t>SÖDERHAMN</t>
        </is>
      </c>
      <c r="F826" t="inlineStr">
        <is>
          <t>Kommuner</t>
        </is>
      </c>
      <c r="G826" t="n">
        <v>21.6</v>
      </c>
      <c r="H826" t="n">
        <v>0</v>
      </c>
      <c r="I826" t="n">
        <v>0</v>
      </c>
      <c r="J826" t="n">
        <v>0</v>
      </c>
      <c r="K826" t="n">
        <v>0</v>
      </c>
      <c r="L826" t="n">
        <v>0</v>
      </c>
      <c r="M826" t="n">
        <v>0</v>
      </c>
      <c r="N826" t="n">
        <v>0</v>
      </c>
      <c r="O826" t="n">
        <v>0</v>
      </c>
      <c r="P826" t="n">
        <v>0</v>
      </c>
      <c r="Q826" t="n">
        <v>0</v>
      </c>
      <c r="R826" s="2" t="inlineStr"/>
    </row>
    <row r="827" ht="15" customHeight="1">
      <c r="A827" t="inlineStr">
        <is>
          <t>A 23029-2022</t>
        </is>
      </c>
      <c r="B827" s="1" t="n">
        <v>44719</v>
      </c>
      <c r="C827" s="1" t="n">
        <v>45911</v>
      </c>
      <c r="D827" t="inlineStr">
        <is>
          <t>GÄVLEBORGS LÄN</t>
        </is>
      </c>
      <c r="E827" t="inlineStr">
        <is>
          <t>OVANÅKER</t>
        </is>
      </c>
      <c r="G827" t="n">
        <v>0.5</v>
      </c>
      <c r="H827" t="n">
        <v>0</v>
      </c>
      <c r="I827" t="n">
        <v>0</v>
      </c>
      <c r="J827" t="n">
        <v>0</v>
      </c>
      <c r="K827" t="n">
        <v>0</v>
      </c>
      <c r="L827" t="n">
        <v>0</v>
      </c>
      <c r="M827" t="n">
        <v>0</v>
      </c>
      <c r="N827" t="n">
        <v>0</v>
      </c>
      <c r="O827" t="n">
        <v>0</v>
      </c>
      <c r="P827" t="n">
        <v>0</v>
      </c>
      <c r="Q827" t="n">
        <v>0</v>
      </c>
      <c r="R827" s="2" t="inlineStr"/>
    </row>
    <row r="828" ht="15" customHeight="1">
      <c r="A828" t="inlineStr">
        <is>
          <t>A 8942-2021</t>
        </is>
      </c>
      <c r="B828" s="1" t="n">
        <v>44249.40599537037</v>
      </c>
      <c r="C828" s="1" t="n">
        <v>45911</v>
      </c>
      <c r="D828" t="inlineStr">
        <is>
          <t>GÄVLEBORGS LÄN</t>
        </is>
      </c>
      <c r="E828" t="inlineStr">
        <is>
          <t>NORDANSTIG</t>
        </is>
      </c>
      <c r="G828" t="n">
        <v>1.8</v>
      </c>
      <c r="H828" t="n">
        <v>0</v>
      </c>
      <c r="I828" t="n">
        <v>0</v>
      </c>
      <c r="J828" t="n">
        <v>0</v>
      </c>
      <c r="K828" t="n">
        <v>0</v>
      </c>
      <c r="L828" t="n">
        <v>0</v>
      </c>
      <c r="M828" t="n">
        <v>0</v>
      </c>
      <c r="N828" t="n">
        <v>0</v>
      </c>
      <c r="O828" t="n">
        <v>0</v>
      </c>
      <c r="P828" t="n">
        <v>0</v>
      </c>
      <c r="Q828" t="n">
        <v>0</v>
      </c>
      <c r="R828" s="2" t="inlineStr"/>
    </row>
    <row r="829" ht="15" customHeight="1">
      <c r="A829" t="inlineStr">
        <is>
          <t>A 67188-2021</t>
        </is>
      </c>
      <c r="B829" s="1" t="n">
        <v>44523.44744212963</v>
      </c>
      <c r="C829" s="1" t="n">
        <v>45911</v>
      </c>
      <c r="D829" t="inlineStr">
        <is>
          <t>GÄVLEBORGS LÄN</t>
        </is>
      </c>
      <c r="E829" t="inlineStr">
        <is>
          <t>OVANÅKER</t>
        </is>
      </c>
      <c r="G829" t="n">
        <v>2.3</v>
      </c>
      <c r="H829" t="n">
        <v>0</v>
      </c>
      <c r="I829" t="n">
        <v>0</v>
      </c>
      <c r="J829" t="n">
        <v>0</v>
      </c>
      <c r="K829" t="n">
        <v>0</v>
      </c>
      <c r="L829" t="n">
        <v>0</v>
      </c>
      <c r="M829" t="n">
        <v>0</v>
      </c>
      <c r="N829" t="n">
        <v>0</v>
      </c>
      <c r="O829" t="n">
        <v>0</v>
      </c>
      <c r="P829" t="n">
        <v>0</v>
      </c>
      <c r="Q829" t="n">
        <v>0</v>
      </c>
      <c r="R829" s="2" t="inlineStr"/>
    </row>
    <row r="830" ht="15" customHeight="1">
      <c r="A830" t="inlineStr">
        <is>
          <t>A 19856-2022</t>
        </is>
      </c>
      <c r="B830" s="1" t="n">
        <v>44697.25298611111</v>
      </c>
      <c r="C830" s="1" t="n">
        <v>45911</v>
      </c>
      <c r="D830" t="inlineStr">
        <is>
          <t>GÄVLEBORGS LÄN</t>
        </is>
      </c>
      <c r="E830" t="inlineStr">
        <is>
          <t>BOLLNÄS</t>
        </is>
      </c>
      <c r="G830" t="n">
        <v>2.3</v>
      </c>
      <c r="H830" t="n">
        <v>0</v>
      </c>
      <c r="I830" t="n">
        <v>0</v>
      </c>
      <c r="J830" t="n">
        <v>0</v>
      </c>
      <c r="K830" t="n">
        <v>0</v>
      </c>
      <c r="L830" t="n">
        <v>0</v>
      </c>
      <c r="M830" t="n">
        <v>0</v>
      </c>
      <c r="N830" t="n">
        <v>0</v>
      </c>
      <c r="O830" t="n">
        <v>0</v>
      </c>
      <c r="P830" t="n">
        <v>0</v>
      </c>
      <c r="Q830" t="n">
        <v>0</v>
      </c>
      <c r="R830" s="2" t="inlineStr"/>
    </row>
    <row r="831" ht="15" customHeight="1">
      <c r="A831" t="inlineStr">
        <is>
          <t>A 19892-2022</t>
        </is>
      </c>
      <c r="B831" s="1" t="n">
        <v>44697</v>
      </c>
      <c r="C831" s="1" t="n">
        <v>45911</v>
      </c>
      <c r="D831" t="inlineStr">
        <is>
          <t>GÄVLEBORGS LÄN</t>
        </is>
      </c>
      <c r="E831" t="inlineStr">
        <is>
          <t>LJUSDAL</t>
        </is>
      </c>
      <c r="G831" t="n">
        <v>1.4</v>
      </c>
      <c r="H831" t="n">
        <v>0</v>
      </c>
      <c r="I831" t="n">
        <v>0</v>
      </c>
      <c r="J831" t="n">
        <v>0</v>
      </c>
      <c r="K831" t="n">
        <v>0</v>
      </c>
      <c r="L831" t="n">
        <v>0</v>
      </c>
      <c r="M831" t="n">
        <v>0</v>
      </c>
      <c r="N831" t="n">
        <v>0</v>
      </c>
      <c r="O831" t="n">
        <v>0</v>
      </c>
      <c r="P831" t="n">
        <v>0</v>
      </c>
      <c r="Q831" t="n">
        <v>0</v>
      </c>
      <c r="R831" s="2" t="inlineStr"/>
    </row>
    <row r="832" ht="15" customHeight="1">
      <c r="A832" t="inlineStr">
        <is>
          <t>A 43109-2021</t>
        </is>
      </c>
      <c r="B832" s="1" t="n">
        <v>44431.61394675926</v>
      </c>
      <c r="C832" s="1" t="n">
        <v>45911</v>
      </c>
      <c r="D832" t="inlineStr">
        <is>
          <t>GÄVLEBORGS LÄN</t>
        </is>
      </c>
      <c r="E832" t="inlineStr">
        <is>
          <t>LJUSDAL</t>
        </is>
      </c>
      <c r="F832" t="inlineStr">
        <is>
          <t>Sveaskog</t>
        </is>
      </c>
      <c r="G832" t="n">
        <v>1.7</v>
      </c>
      <c r="H832" t="n">
        <v>0</v>
      </c>
      <c r="I832" t="n">
        <v>0</v>
      </c>
      <c r="J832" t="n">
        <v>0</v>
      </c>
      <c r="K832" t="n">
        <v>0</v>
      </c>
      <c r="L832" t="n">
        <v>0</v>
      </c>
      <c r="M832" t="n">
        <v>0</v>
      </c>
      <c r="N832" t="n">
        <v>0</v>
      </c>
      <c r="O832" t="n">
        <v>0</v>
      </c>
      <c r="P832" t="n">
        <v>0</v>
      </c>
      <c r="Q832" t="n">
        <v>0</v>
      </c>
      <c r="R832" s="2" t="inlineStr"/>
    </row>
    <row r="833" ht="15" customHeight="1">
      <c r="A833" t="inlineStr">
        <is>
          <t>A 34718-2022</t>
        </is>
      </c>
      <c r="B833" s="1" t="n">
        <v>44795.58773148148</v>
      </c>
      <c r="C833" s="1" t="n">
        <v>45911</v>
      </c>
      <c r="D833" t="inlineStr">
        <is>
          <t>GÄVLEBORGS LÄN</t>
        </is>
      </c>
      <c r="E833" t="inlineStr">
        <is>
          <t>OCKELBO</t>
        </is>
      </c>
      <c r="G833" t="n">
        <v>0.5</v>
      </c>
      <c r="H833" t="n">
        <v>0</v>
      </c>
      <c r="I833" t="n">
        <v>0</v>
      </c>
      <c r="J833" t="n">
        <v>0</v>
      </c>
      <c r="K833" t="n">
        <v>0</v>
      </c>
      <c r="L833" t="n">
        <v>0</v>
      </c>
      <c r="M833" t="n">
        <v>0</v>
      </c>
      <c r="N833" t="n">
        <v>0</v>
      </c>
      <c r="O833" t="n">
        <v>0</v>
      </c>
      <c r="P833" t="n">
        <v>0</v>
      </c>
      <c r="Q833" t="n">
        <v>0</v>
      </c>
      <c r="R833" s="2" t="inlineStr"/>
    </row>
    <row r="834" ht="15" customHeight="1">
      <c r="A834" t="inlineStr">
        <is>
          <t>A 5843-2021</t>
        </is>
      </c>
      <c r="B834" s="1" t="n">
        <v>44231</v>
      </c>
      <c r="C834" s="1" t="n">
        <v>45911</v>
      </c>
      <c r="D834" t="inlineStr">
        <is>
          <t>GÄVLEBORGS LÄN</t>
        </is>
      </c>
      <c r="E834" t="inlineStr">
        <is>
          <t>NORDANSTIG</t>
        </is>
      </c>
      <c r="F834" t="inlineStr">
        <is>
          <t>Holmen skog AB</t>
        </is>
      </c>
      <c r="G834" t="n">
        <v>9.1</v>
      </c>
      <c r="H834" t="n">
        <v>0</v>
      </c>
      <c r="I834" t="n">
        <v>0</v>
      </c>
      <c r="J834" t="n">
        <v>0</v>
      </c>
      <c r="K834" t="n">
        <v>0</v>
      </c>
      <c r="L834" t="n">
        <v>0</v>
      </c>
      <c r="M834" t="n">
        <v>0</v>
      </c>
      <c r="N834" t="n">
        <v>0</v>
      </c>
      <c r="O834" t="n">
        <v>0</v>
      </c>
      <c r="P834" t="n">
        <v>0</v>
      </c>
      <c r="Q834" t="n">
        <v>0</v>
      </c>
      <c r="R834" s="2" t="inlineStr"/>
    </row>
    <row r="835" ht="15" customHeight="1">
      <c r="A835" t="inlineStr">
        <is>
          <t>A 55055-2022</t>
        </is>
      </c>
      <c r="B835" s="1" t="n">
        <v>44886.58072916666</v>
      </c>
      <c r="C835" s="1" t="n">
        <v>45911</v>
      </c>
      <c r="D835" t="inlineStr">
        <is>
          <t>GÄVLEBORGS LÄN</t>
        </is>
      </c>
      <c r="E835" t="inlineStr">
        <is>
          <t>LJUSDAL</t>
        </is>
      </c>
      <c r="G835" t="n">
        <v>0.8</v>
      </c>
      <c r="H835" t="n">
        <v>0</v>
      </c>
      <c r="I835" t="n">
        <v>0</v>
      </c>
      <c r="J835" t="n">
        <v>0</v>
      </c>
      <c r="K835" t="n">
        <v>0</v>
      </c>
      <c r="L835" t="n">
        <v>0</v>
      </c>
      <c r="M835" t="n">
        <v>0</v>
      </c>
      <c r="N835" t="n">
        <v>0</v>
      </c>
      <c r="O835" t="n">
        <v>0</v>
      </c>
      <c r="P835" t="n">
        <v>0</v>
      </c>
      <c r="Q835" t="n">
        <v>0</v>
      </c>
      <c r="R835" s="2" t="inlineStr"/>
    </row>
    <row r="836" ht="15" customHeight="1">
      <c r="A836" t="inlineStr">
        <is>
          <t>A 55065-2022</t>
        </is>
      </c>
      <c r="B836" s="1" t="n">
        <v>44886.58819444444</v>
      </c>
      <c r="C836" s="1" t="n">
        <v>45911</v>
      </c>
      <c r="D836" t="inlineStr">
        <is>
          <t>GÄVLEBORGS LÄN</t>
        </is>
      </c>
      <c r="E836" t="inlineStr">
        <is>
          <t>OVANÅKER</t>
        </is>
      </c>
      <c r="G836" t="n">
        <v>1.5</v>
      </c>
      <c r="H836" t="n">
        <v>0</v>
      </c>
      <c r="I836" t="n">
        <v>0</v>
      </c>
      <c r="J836" t="n">
        <v>0</v>
      </c>
      <c r="K836" t="n">
        <v>0</v>
      </c>
      <c r="L836" t="n">
        <v>0</v>
      </c>
      <c r="M836" t="n">
        <v>0</v>
      </c>
      <c r="N836" t="n">
        <v>0</v>
      </c>
      <c r="O836" t="n">
        <v>0</v>
      </c>
      <c r="P836" t="n">
        <v>0</v>
      </c>
      <c r="Q836" t="n">
        <v>0</v>
      </c>
      <c r="R836" s="2" t="inlineStr"/>
    </row>
    <row r="837" ht="15" customHeight="1">
      <c r="A837" t="inlineStr">
        <is>
          <t>A 20020-2021</t>
        </is>
      </c>
      <c r="B837" s="1" t="n">
        <v>44314.26796296296</v>
      </c>
      <c r="C837" s="1" t="n">
        <v>45911</v>
      </c>
      <c r="D837" t="inlineStr">
        <is>
          <t>GÄVLEBORGS LÄN</t>
        </is>
      </c>
      <c r="E837" t="inlineStr">
        <is>
          <t>BOLLNÄS</t>
        </is>
      </c>
      <c r="G837" t="n">
        <v>0.5</v>
      </c>
      <c r="H837" t="n">
        <v>0</v>
      </c>
      <c r="I837" t="n">
        <v>0</v>
      </c>
      <c r="J837" t="n">
        <v>0</v>
      </c>
      <c r="K837" t="n">
        <v>0</v>
      </c>
      <c r="L837" t="n">
        <v>0</v>
      </c>
      <c r="M837" t="n">
        <v>0</v>
      </c>
      <c r="N837" t="n">
        <v>0</v>
      </c>
      <c r="O837" t="n">
        <v>0</v>
      </c>
      <c r="P837" t="n">
        <v>0</v>
      </c>
      <c r="Q837" t="n">
        <v>0</v>
      </c>
      <c r="R837" s="2" t="inlineStr"/>
    </row>
    <row r="838" ht="15" customHeight="1">
      <c r="A838" t="inlineStr">
        <is>
          <t>A 50732-2021</t>
        </is>
      </c>
      <c r="B838" s="1" t="n">
        <v>44460</v>
      </c>
      <c r="C838" s="1" t="n">
        <v>45911</v>
      </c>
      <c r="D838" t="inlineStr">
        <is>
          <t>GÄVLEBORGS LÄN</t>
        </is>
      </c>
      <c r="E838" t="inlineStr">
        <is>
          <t>LJUSDAL</t>
        </is>
      </c>
      <c r="F838" t="inlineStr">
        <is>
          <t>Holmen skog AB</t>
        </is>
      </c>
      <c r="G838" t="n">
        <v>3.6</v>
      </c>
      <c r="H838" t="n">
        <v>0</v>
      </c>
      <c r="I838" t="n">
        <v>0</v>
      </c>
      <c r="J838" t="n">
        <v>0</v>
      </c>
      <c r="K838" t="n">
        <v>0</v>
      </c>
      <c r="L838" t="n">
        <v>0</v>
      </c>
      <c r="M838" t="n">
        <v>0</v>
      </c>
      <c r="N838" t="n">
        <v>0</v>
      </c>
      <c r="O838" t="n">
        <v>0</v>
      </c>
      <c r="P838" t="n">
        <v>0</v>
      </c>
      <c r="Q838" t="n">
        <v>0</v>
      </c>
      <c r="R838" s="2" t="inlineStr"/>
    </row>
    <row r="839" ht="15" customHeight="1">
      <c r="A839" t="inlineStr">
        <is>
          <t>A 50579-2022</t>
        </is>
      </c>
      <c r="B839" s="1" t="n">
        <v>44866</v>
      </c>
      <c r="C839" s="1" t="n">
        <v>45911</v>
      </c>
      <c r="D839" t="inlineStr">
        <is>
          <t>GÄVLEBORGS LÄN</t>
        </is>
      </c>
      <c r="E839" t="inlineStr">
        <is>
          <t>LJUSDAL</t>
        </is>
      </c>
      <c r="F839" t="inlineStr">
        <is>
          <t>Bergvik skog väst AB</t>
        </is>
      </c>
      <c r="G839" t="n">
        <v>3.1</v>
      </c>
      <c r="H839" t="n">
        <v>0</v>
      </c>
      <c r="I839" t="n">
        <v>0</v>
      </c>
      <c r="J839" t="n">
        <v>0</v>
      </c>
      <c r="K839" t="n">
        <v>0</v>
      </c>
      <c r="L839" t="n">
        <v>0</v>
      </c>
      <c r="M839" t="n">
        <v>0</v>
      </c>
      <c r="N839" t="n">
        <v>0</v>
      </c>
      <c r="O839" t="n">
        <v>0</v>
      </c>
      <c r="P839" t="n">
        <v>0</v>
      </c>
      <c r="Q839" t="n">
        <v>0</v>
      </c>
      <c r="R839" s="2" t="inlineStr"/>
    </row>
    <row r="840" ht="15" customHeight="1">
      <c r="A840" t="inlineStr">
        <is>
          <t>A 32698-2021</t>
        </is>
      </c>
      <c r="B840" s="1" t="n">
        <v>44375.47541666667</v>
      </c>
      <c r="C840" s="1" t="n">
        <v>45911</v>
      </c>
      <c r="D840" t="inlineStr">
        <is>
          <t>GÄVLEBORGS LÄN</t>
        </is>
      </c>
      <c r="E840" t="inlineStr">
        <is>
          <t>BOLLNÄS</t>
        </is>
      </c>
      <c r="G840" t="n">
        <v>2.9</v>
      </c>
      <c r="H840" t="n">
        <v>0</v>
      </c>
      <c r="I840" t="n">
        <v>0</v>
      </c>
      <c r="J840" t="n">
        <v>0</v>
      </c>
      <c r="K840" t="n">
        <v>0</v>
      </c>
      <c r="L840" t="n">
        <v>0</v>
      </c>
      <c r="M840" t="n">
        <v>0</v>
      </c>
      <c r="N840" t="n">
        <v>0</v>
      </c>
      <c r="O840" t="n">
        <v>0</v>
      </c>
      <c r="P840" t="n">
        <v>0</v>
      </c>
      <c r="Q840" t="n">
        <v>0</v>
      </c>
      <c r="R840" s="2" t="inlineStr"/>
    </row>
    <row r="841" ht="15" customHeight="1">
      <c r="A841" t="inlineStr">
        <is>
          <t>A 24340-2022</t>
        </is>
      </c>
      <c r="B841" s="1" t="n">
        <v>44726</v>
      </c>
      <c r="C841" s="1" t="n">
        <v>45911</v>
      </c>
      <c r="D841" t="inlineStr">
        <is>
          <t>GÄVLEBORGS LÄN</t>
        </is>
      </c>
      <c r="E841" t="inlineStr">
        <is>
          <t>LJUSDAL</t>
        </is>
      </c>
      <c r="G841" t="n">
        <v>0.9</v>
      </c>
      <c r="H841" t="n">
        <v>0</v>
      </c>
      <c r="I841" t="n">
        <v>0</v>
      </c>
      <c r="J841" t="n">
        <v>0</v>
      </c>
      <c r="K841" t="n">
        <v>0</v>
      </c>
      <c r="L841" t="n">
        <v>0</v>
      </c>
      <c r="M841" t="n">
        <v>0</v>
      </c>
      <c r="N841" t="n">
        <v>0</v>
      </c>
      <c r="O841" t="n">
        <v>0</v>
      </c>
      <c r="P841" t="n">
        <v>0</v>
      </c>
      <c r="Q841" t="n">
        <v>0</v>
      </c>
      <c r="R841" s="2" t="inlineStr"/>
    </row>
    <row r="842" ht="15" customHeight="1">
      <c r="A842" t="inlineStr">
        <is>
          <t>A 51762-2021</t>
        </is>
      </c>
      <c r="B842" s="1" t="n">
        <v>44462.59549768519</v>
      </c>
      <c r="C842" s="1" t="n">
        <v>45911</v>
      </c>
      <c r="D842" t="inlineStr">
        <is>
          <t>GÄVLEBORGS LÄN</t>
        </is>
      </c>
      <c r="E842" t="inlineStr">
        <is>
          <t>HUDIKSVALL</t>
        </is>
      </c>
      <c r="F842" t="inlineStr">
        <is>
          <t>Holmen skog AB</t>
        </is>
      </c>
      <c r="G842" t="n">
        <v>0.6</v>
      </c>
      <c r="H842" t="n">
        <v>0</v>
      </c>
      <c r="I842" t="n">
        <v>0</v>
      </c>
      <c r="J842" t="n">
        <v>0</v>
      </c>
      <c r="K842" t="n">
        <v>0</v>
      </c>
      <c r="L842" t="n">
        <v>0</v>
      </c>
      <c r="M842" t="n">
        <v>0</v>
      </c>
      <c r="N842" t="n">
        <v>0</v>
      </c>
      <c r="O842" t="n">
        <v>0</v>
      </c>
      <c r="P842" t="n">
        <v>0</v>
      </c>
      <c r="Q842" t="n">
        <v>0</v>
      </c>
      <c r="R842" s="2" t="inlineStr"/>
    </row>
    <row r="843" ht="15" customHeight="1">
      <c r="A843" t="inlineStr">
        <is>
          <t>A 72110-2021</t>
        </is>
      </c>
      <c r="B843" s="1" t="n">
        <v>44544.5596875</v>
      </c>
      <c r="C843" s="1" t="n">
        <v>45911</v>
      </c>
      <c r="D843" t="inlineStr">
        <is>
          <t>GÄVLEBORGS LÄN</t>
        </is>
      </c>
      <c r="E843" t="inlineStr">
        <is>
          <t>OVANÅKER</t>
        </is>
      </c>
      <c r="G843" t="n">
        <v>0.8</v>
      </c>
      <c r="H843" t="n">
        <v>0</v>
      </c>
      <c r="I843" t="n">
        <v>0</v>
      </c>
      <c r="J843" t="n">
        <v>0</v>
      </c>
      <c r="K843" t="n">
        <v>0</v>
      </c>
      <c r="L843" t="n">
        <v>0</v>
      </c>
      <c r="M843" t="n">
        <v>0</v>
      </c>
      <c r="N843" t="n">
        <v>0</v>
      </c>
      <c r="O843" t="n">
        <v>0</v>
      </c>
      <c r="P843" t="n">
        <v>0</v>
      </c>
      <c r="Q843" t="n">
        <v>0</v>
      </c>
      <c r="R843" s="2" t="inlineStr"/>
    </row>
    <row r="844" ht="15" customHeight="1">
      <c r="A844" t="inlineStr">
        <is>
          <t>A 22361-2022</t>
        </is>
      </c>
      <c r="B844" s="1" t="n">
        <v>44713</v>
      </c>
      <c r="C844" s="1" t="n">
        <v>45911</v>
      </c>
      <c r="D844" t="inlineStr">
        <is>
          <t>GÄVLEBORGS LÄN</t>
        </is>
      </c>
      <c r="E844" t="inlineStr">
        <is>
          <t>NORDANSTIG</t>
        </is>
      </c>
      <c r="G844" t="n">
        <v>2</v>
      </c>
      <c r="H844" t="n">
        <v>0</v>
      </c>
      <c r="I844" t="n">
        <v>0</v>
      </c>
      <c r="J844" t="n">
        <v>0</v>
      </c>
      <c r="K844" t="n">
        <v>0</v>
      </c>
      <c r="L844" t="n">
        <v>0</v>
      </c>
      <c r="M844" t="n">
        <v>0</v>
      </c>
      <c r="N844" t="n">
        <v>0</v>
      </c>
      <c r="O844" t="n">
        <v>0</v>
      </c>
      <c r="P844" t="n">
        <v>0</v>
      </c>
      <c r="Q844" t="n">
        <v>0</v>
      </c>
      <c r="R844" s="2" t="inlineStr"/>
    </row>
    <row r="845" ht="15" customHeight="1">
      <c r="A845" t="inlineStr">
        <is>
          <t>A 22362-2022</t>
        </is>
      </c>
      <c r="B845" s="1" t="n">
        <v>44713</v>
      </c>
      <c r="C845" s="1" t="n">
        <v>45911</v>
      </c>
      <c r="D845" t="inlineStr">
        <is>
          <t>GÄVLEBORGS LÄN</t>
        </is>
      </c>
      <c r="E845" t="inlineStr">
        <is>
          <t>NORDANSTIG</t>
        </is>
      </c>
      <c r="F845" t="inlineStr">
        <is>
          <t>Holmen skog AB</t>
        </is>
      </c>
      <c r="G845" t="n">
        <v>2.3</v>
      </c>
      <c r="H845" t="n">
        <v>0</v>
      </c>
      <c r="I845" t="n">
        <v>0</v>
      </c>
      <c r="J845" t="n">
        <v>0</v>
      </c>
      <c r="K845" t="n">
        <v>0</v>
      </c>
      <c r="L845" t="n">
        <v>0</v>
      </c>
      <c r="M845" t="n">
        <v>0</v>
      </c>
      <c r="N845" t="n">
        <v>0</v>
      </c>
      <c r="O845" t="n">
        <v>0</v>
      </c>
      <c r="P845" t="n">
        <v>0</v>
      </c>
      <c r="Q845" t="n">
        <v>0</v>
      </c>
      <c r="R845" s="2" t="inlineStr"/>
    </row>
    <row r="846" ht="15" customHeight="1">
      <c r="A846" t="inlineStr">
        <is>
          <t>A 17935-2021</t>
        </is>
      </c>
      <c r="B846" s="1" t="n">
        <v>44301.56144675926</v>
      </c>
      <c r="C846" s="1" t="n">
        <v>45911</v>
      </c>
      <c r="D846" t="inlineStr">
        <is>
          <t>GÄVLEBORGS LÄN</t>
        </is>
      </c>
      <c r="E846" t="inlineStr">
        <is>
          <t>BOLLNÄS</t>
        </is>
      </c>
      <c r="G846" t="n">
        <v>1.3</v>
      </c>
      <c r="H846" t="n">
        <v>0</v>
      </c>
      <c r="I846" t="n">
        <v>0</v>
      </c>
      <c r="J846" t="n">
        <v>0</v>
      </c>
      <c r="K846" t="n">
        <v>0</v>
      </c>
      <c r="L846" t="n">
        <v>0</v>
      </c>
      <c r="M846" t="n">
        <v>0</v>
      </c>
      <c r="N846" t="n">
        <v>0</v>
      </c>
      <c r="O846" t="n">
        <v>0</v>
      </c>
      <c r="P846" t="n">
        <v>0</v>
      </c>
      <c r="Q846" t="n">
        <v>0</v>
      </c>
      <c r="R846" s="2" t="inlineStr"/>
    </row>
    <row r="847" ht="15" customHeight="1">
      <c r="A847" t="inlineStr">
        <is>
          <t>A 63731-2021</t>
        </is>
      </c>
      <c r="B847" s="1" t="n">
        <v>44509</v>
      </c>
      <c r="C847" s="1" t="n">
        <v>45911</v>
      </c>
      <c r="D847" t="inlineStr">
        <is>
          <t>GÄVLEBORGS LÄN</t>
        </is>
      </c>
      <c r="E847" t="inlineStr">
        <is>
          <t>OCKELBO</t>
        </is>
      </c>
      <c r="G847" t="n">
        <v>2.1</v>
      </c>
      <c r="H847" t="n">
        <v>0</v>
      </c>
      <c r="I847" t="n">
        <v>0</v>
      </c>
      <c r="J847" t="n">
        <v>0</v>
      </c>
      <c r="K847" t="n">
        <v>0</v>
      </c>
      <c r="L847" t="n">
        <v>0</v>
      </c>
      <c r="M847" t="n">
        <v>0</v>
      </c>
      <c r="N847" t="n">
        <v>0</v>
      </c>
      <c r="O847" t="n">
        <v>0</v>
      </c>
      <c r="P847" t="n">
        <v>0</v>
      </c>
      <c r="Q847" t="n">
        <v>0</v>
      </c>
      <c r="R847" s="2" t="inlineStr"/>
    </row>
    <row r="848" ht="15" customHeight="1">
      <c r="A848" t="inlineStr">
        <is>
          <t>A 63760-2021</t>
        </is>
      </c>
      <c r="B848" s="1" t="n">
        <v>44509.48017361111</v>
      </c>
      <c r="C848" s="1" t="n">
        <v>45911</v>
      </c>
      <c r="D848" t="inlineStr">
        <is>
          <t>GÄVLEBORGS LÄN</t>
        </is>
      </c>
      <c r="E848" t="inlineStr">
        <is>
          <t>LJUSDAL</t>
        </is>
      </c>
      <c r="F848" t="inlineStr">
        <is>
          <t>Holmen skog AB</t>
        </is>
      </c>
      <c r="G848" t="n">
        <v>1.2</v>
      </c>
      <c r="H848" t="n">
        <v>0</v>
      </c>
      <c r="I848" t="n">
        <v>0</v>
      </c>
      <c r="J848" t="n">
        <v>0</v>
      </c>
      <c r="K848" t="n">
        <v>0</v>
      </c>
      <c r="L848" t="n">
        <v>0</v>
      </c>
      <c r="M848" t="n">
        <v>0</v>
      </c>
      <c r="N848" t="n">
        <v>0</v>
      </c>
      <c r="O848" t="n">
        <v>0</v>
      </c>
      <c r="P848" t="n">
        <v>0</v>
      </c>
      <c r="Q848" t="n">
        <v>0</v>
      </c>
      <c r="R848" s="2" t="inlineStr"/>
    </row>
    <row r="849" ht="15" customHeight="1">
      <c r="A849" t="inlineStr">
        <is>
          <t>A 49726-2022</t>
        </is>
      </c>
      <c r="B849" s="1" t="n">
        <v>44862.55981481481</v>
      </c>
      <c r="C849" s="1" t="n">
        <v>45911</v>
      </c>
      <c r="D849" t="inlineStr">
        <is>
          <t>GÄVLEBORGS LÄN</t>
        </is>
      </c>
      <c r="E849" t="inlineStr">
        <is>
          <t>LJUSDAL</t>
        </is>
      </c>
      <c r="G849" t="n">
        <v>3.7</v>
      </c>
      <c r="H849" t="n">
        <v>0</v>
      </c>
      <c r="I849" t="n">
        <v>0</v>
      </c>
      <c r="J849" t="n">
        <v>0</v>
      </c>
      <c r="K849" t="n">
        <v>0</v>
      </c>
      <c r="L849" t="n">
        <v>0</v>
      </c>
      <c r="M849" t="n">
        <v>0</v>
      </c>
      <c r="N849" t="n">
        <v>0</v>
      </c>
      <c r="O849" t="n">
        <v>0</v>
      </c>
      <c r="P849" t="n">
        <v>0</v>
      </c>
      <c r="Q849" t="n">
        <v>0</v>
      </c>
      <c r="R849" s="2" t="inlineStr"/>
    </row>
    <row r="850" ht="15" customHeight="1">
      <c r="A850" t="inlineStr">
        <is>
          <t>A 9261-2022</t>
        </is>
      </c>
      <c r="B850" s="1" t="n">
        <v>44616</v>
      </c>
      <c r="C850" s="1" t="n">
        <v>45911</v>
      </c>
      <c r="D850" t="inlineStr">
        <is>
          <t>GÄVLEBORGS LÄN</t>
        </is>
      </c>
      <c r="E850" t="inlineStr">
        <is>
          <t>SÖDERHAMN</t>
        </is>
      </c>
      <c r="G850" t="n">
        <v>1.7</v>
      </c>
      <c r="H850" t="n">
        <v>0</v>
      </c>
      <c r="I850" t="n">
        <v>0</v>
      </c>
      <c r="J850" t="n">
        <v>0</v>
      </c>
      <c r="K850" t="n">
        <v>0</v>
      </c>
      <c r="L850" t="n">
        <v>0</v>
      </c>
      <c r="M850" t="n">
        <v>0</v>
      </c>
      <c r="N850" t="n">
        <v>0</v>
      </c>
      <c r="O850" t="n">
        <v>0</v>
      </c>
      <c r="P850" t="n">
        <v>0</v>
      </c>
      <c r="Q850" t="n">
        <v>0</v>
      </c>
      <c r="R850" s="2" t="inlineStr"/>
    </row>
    <row r="851" ht="15" customHeight="1">
      <c r="A851" t="inlineStr">
        <is>
          <t>A 20193-2021</t>
        </is>
      </c>
      <c r="B851" s="1" t="n">
        <v>44314.57642361111</v>
      </c>
      <c r="C851" s="1" t="n">
        <v>45911</v>
      </c>
      <c r="D851" t="inlineStr">
        <is>
          <t>GÄVLEBORGS LÄN</t>
        </is>
      </c>
      <c r="E851" t="inlineStr">
        <is>
          <t>BOLLNÄS</t>
        </is>
      </c>
      <c r="G851" t="n">
        <v>0.6</v>
      </c>
      <c r="H851" t="n">
        <v>0</v>
      </c>
      <c r="I851" t="n">
        <v>0</v>
      </c>
      <c r="J851" t="n">
        <v>0</v>
      </c>
      <c r="K851" t="n">
        <v>0</v>
      </c>
      <c r="L851" t="n">
        <v>0</v>
      </c>
      <c r="M851" t="n">
        <v>0</v>
      </c>
      <c r="N851" t="n">
        <v>0</v>
      </c>
      <c r="O851" t="n">
        <v>0</v>
      </c>
      <c r="P851" t="n">
        <v>0</v>
      </c>
      <c r="Q851" t="n">
        <v>0</v>
      </c>
      <c r="R851" s="2" t="inlineStr"/>
    </row>
    <row r="852" ht="15" customHeight="1">
      <c r="A852" t="inlineStr">
        <is>
          <t>A 51590-2022</t>
        </is>
      </c>
      <c r="B852" s="1" t="n">
        <v>44871.51618055555</v>
      </c>
      <c r="C852" s="1" t="n">
        <v>45911</v>
      </c>
      <c r="D852" t="inlineStr">
        <is>
          <t>GÄVLEBORGS LÄN</t>
        </is>
      </c>
      <c r="E852" t="inlineStr">
        <is>
          <t>HUDIKSVALL</t>
        </is>
      </c>
      <c r="G852" t="n">
        <v>1.6</v>
      </c>
      <c r="H852" t="n">
        <v>0</v>
      </c>
      <c r="I852" t="n">
        <v>0</v>
      </c>
      <c r="J852" t="n">
        <v>0</v>
      </c>
      <c r="K852" t="n">
        <v>0</v>
      </c>
      <c r="L852" t="n">
        <v>0</v>
      </c>
      <c r="M852" t="n">
        <v>0</v>
      </c>
      <c r="N852" t="n">
        <v>0</v>
      </c>
      <c r="O852" t="n">
        <v>0</v>
      </c>
      <c r="P852" t="n">
        <v>0</v>
      </c>
      <c r="Q852" t="n">
        <v>0</v>
      </c>
      <c r="R852" s="2" t="inlineStr"/>
    </row>
    <row r="853" ht="15" customHeight="1">
      <c r="A853" t="inlineStr">
        <is>
          <t>A 26349-2022</t>
        </is>
      </c>
      <c r="B853" s="1" t="n">
        <v>44735</v>
      </c>
      <c r="C853" s="1" t="n">
        <v>45911</v>
      </c>
      <c r="D853" t="inlineStr">
        <is>
          <t>GÄVLEBORGS LÄN</t>
        </is>
      </c>
      <c r="E853" t="inlineStr">
        <is>
          <t>GÄVLE</t>
        </is>
      </c>
      <c r="G853" t="n">
        <v>2.3</v>
      </c>
      <c r="H853" t="n">
        <v>0</v>
      </c>
      <c r="I853" t="n">
        <v>0</v>
      </c>
      <c r="J853" t="n">
        <v>0</v>
      </c>
      <c r="K853" t="n">
        <v>0</v>
      </c>
      <c r="L853" t="n">
        <v>0</v>
      </c>
      <c r="M853" t="n">
        <v>0</v>
      </c>
      <c r="N853" t="n">
        <v>0</v>
      </c>
      <c r="O853" t="n">
        <v>0</v>
      </c>
      <c r="P853" t="n">
        <v>0</v>
      </c>
      <c r="Q853" t="n">
        <v>0</v>
      </c>
      <c r="R853" s="2" t="inlineStr"/>
    </row>
    <row r="854" ht="15" customHeight="1">
      <c r="A854" t="inlineStr">
        <is>
          <t>A 33410-2021</t>
        </is>
      </c>
      <c r="B854" s="1" t="n">
        <v>44377</v>
      </c>
      <c r="C854" s="1" t="n">
        <v>45911</v>
      </c>
      <c r="D854" t="inlineStr">
        <is>
          <t>GÄVLEBORGS LÄN</t>
        </is>
      </c>
      <c r="E854" t="inlineStr">
        <is>
          <t>SANDVIKEN</t>
        </is>
      </c>
      <c r="G854" t="n">
        <v>3.4</v>
      </c>
      <c r="H854" t="n">
        <v>0</v>
      </c>
      <c r="I854" t="n">
        <v>0</v>
      </c>
      <c r="J854" t="n">
        <v>0</v>
      </c>
      <c r="K854" t="n">
        <v>0</v>
      </c>
      <c r="L854" t="n">
        <v>0</v>
      </c>
      <c r="M854" t="n">
        <v>0</v>
      </c>
      <c r="N854" t="n">
        <v>0</v>
      </c>
      <c r="O854" t="n">
        <v>0</v>
      </c>
      <c r="P854" t="n">
        <v>0</v>
      </c>
      <c r="Q854" t="n">
        <v>0</v>
      </c>
      <c r="R854" s="2" t="inlineStr"/>
    </row>
    <row r="855" ht="15" customHeight="1">
      <c r="A855" t="inlineStr">
        <is>
          <t>A 26939-2022</t>
        </is>
      </c>
      <c r="B855" s="1" t="n">
        <v>44740</v>
      </c>
      <c r="C855" s="1" t="n">
        <v>45911</v>
      </c>
      <c r="D855" t="inlineStr">
        <is>
          <t>GÄVLEBORGS LÄN</t>
        </is>
      </c>
      <c r="E855" t="inlineStr">
        <is>
          <t>SÖDERHAMN</t>
        </is>
      </c>
      <c r="G855" t="n">
        <v>0.2</v>
      </c>
      <c r="H855" t="n">
        <v>0</v>
      </c>
      <c r="I855" t="n">
        <v>0</v>
      </c>
      <c r="J855" t="n">
        <v>0</v>
      </c>
      <c r="K855" t="n">
        <v>0</v>
      </c>
      <c r="L855" t="n">
        <v>0</v>
      </c>
      <c r="M855" t="n">
        <v>0</v>
      </c>
      <c r="N855" t="n">
        <v>0</v>
      </c>
      <c r="O855" t="n">
        <v>0</v>
      </c>
      <c r="P855" t="n">
        <v>0</v>
      </c>
      <c r="Q855" t="n">
        <v>0</v>
      </c>
      <c r="R855" s="2" t="inlineStr"/>
    </row>
    <row r="856" ht="15" customHeight="1">
      <c r="A856" t="inlineStr">
        <is>
          <t>A 31336-2022</t>
        </is>
      </c>
      <c r="B856" s="1" t="n">
        <v>44774</v>
      </c>
      <c r="C856" s="1" t="n">
        <v>45911</v>
      </c>
      <c r="D856" t="inlineStr">
        <is>
          <t>GÄVLEBORGS LÄN</t>
        </is>
      </c>
      <c r="E856" t="inlineStr">
        <is>
          <t>LJUSDAL</t>
        </is>
      </c>
      <c r="F856" t="inlineStr">
        <is>
          <t>Holmen skog AB</t>
        </is>
      </c>
      <c r="G856" t="n">
        <v>3.5</v>
      </c>
      <c r="H856" t="n">
        <v>0</v>
      </c>
      <c r="I856" t="n">
        <v>0</v>
      </c>
      <c r="J856" t="n">
        <v>0</v>
      </c>
      <c r="K856" t="n">
        <v>0</v>
      </c>
      <c r="L856" t="n">
        <v>0</v>
      </c>
      <c r="M856" t="n">
        <v>0</v>
      </c>
      <c r="N856" t="n">
        <v>0</v>
      </c>
      <c r="O856" t="n">
        <v>0</v>
      </c>
      <c r="P856" t="n">
        <v>0</v>
      </c>
      <c r="Q856" t="n">
        <v>0</v>
      </c>
      <c r="R856" s="2" t="inlineStr"/>
    </row>
    <row r="857" ht="15" customHeight="1">
      <c r="A857" t="inlineStr">
        <is>
          <t>A 31378-2022</t>
        </is>
      </c>
      <c r="B857" s="1" t="n">
        <v>44774</v>
      </c>
      <c r="C857" s="1" t="n">
        <v>45911</v>
      </c>
      <c r="D857" t="inlineStr">
        <is>
          <t>GÄVLEBORGS LÄN</t>
        </is>
      </c>
      <c r="E857" t="inlineStr">
        <is>
          <t>LJUSDAL</t>
        </is>
      </c>
      <c r="F857" t="inlineStr">
        <is>
          <t>Holmen skog AB</t>
        </is>
      </c>
      <c r="G857" t="n">
        <v>3.9</v>
      </c>
      <c r="H857" t="n">
        <v>0</v>
      </c>
      <c r="I857" t="n">
        <v>0</v>
      </c>
      <c r="J857" t="n">
        <v>0</v>
      </c>
      <c r="K857" t="n">
        <v>0</v>
      </c>
      <c r="L857" t="n">
        <v>0</v>
      </c>
      <c r="M857" t="n">
        <v>0</v>
      </c>
      <c r="N857" t="n">
        <v>0</v>
      </c>
      <c r="O857" t="n">
        <v>0</v>
      </c>
      <c r="P857" t="n">
        <v>0</v>
      </c>
      <c r="Q857" t="n">
        <v>0</v>
      </c>
      <c r="R857" s="2" t="inlineStr"/>
    </row>
    <row r="858" ht="15" customHeight="1">
      <c r="A858" t="inlineStr">
        <is>
          <t>A 15902-2021</t>
        </is>
      </c>
      <c r="B858" s="1" t="n">
        <v>44287</v>
      </c>
      <c r="C858" s="1" t="n">
        <v>45911</v>
      </c>
      <c r="D858" t="inlineStr">
        <is>
          <t>GÄVLEBORGS LÄN</t>
        </is>
      </c>
      <c r="E858" t="inlineStr">
        <is>
          <t>OVANÅKER</t>
        </is>
      </c>
      <c r="G858" t="n">
        <v>1.6</v>
      </c>
      <c r="H858" t="n">
        <v>0</v>
      </c>
      <c r="I858" t="n">
        <v>0</v>
      </c>
      <c r="J858" t="n">
        <v>0</v>
      </c>
      <c r="K858" t="n">
        <v>0</v>
      </c>
      <c r="L858" t="n">
        <v>0</v>
      </c>
      <c r="M858" t="n">
        <v>0</v>
      </c>
      <c r="N858" t="n">
        <v>0</v>
      </c>
      <c r="O858" t="n">
        <v>0</v>
      </c>
      <c r="P858" t="n">
        <v>0</v>
      </c>
      <c r="Q858" t="n">
        <v>0</v>
      </c>
      <c r="R858" s="2" t="inlineStr"/>
    </row>
    <row r="859" ht="15" customHeight="1">
      <c r="A859" t="inlineStr">
        <is>
          <t>A 25149-2021</t>
        </is>
      </c>
      <c r="B859" s="1" t="n">
        <v>44341.91979166667</v>
      </c>
      <c r="C859" s="1" t="n">
        <v>45911</v>
      </c>
      <c r="D859" t="inlineStr">
        <is>
          <t>GÄVLEBORGS LÄN</t>
        </is>
      </c>
      <c r="E859" t="inlineStr">
        <is>
          <t>HUDIKSVALL</t>
        </is>
      </c>
      <c r="G859" t="n">
        <v>1.8</v>
      </c>
      <c r="H859" t="n">
        <v>0</v>
      </c>
      <c r="I859" t="n">
        <v>0</v>
      </c>
      <c r="J859" t="n">
        <v>0</v>
      </c>
      <c r="K859" t="n">
        <v>0</v>
      </c>
      <c r="L859" t="n">
        <v>0</v>
      </c>
      <c r="M859" t="n">
        <v>0</v>
      </c>
      <c r="N859" t="n">
        <v>0</v>
      </c>
      <c r="O859" t="n">
        <v>0</v>
      </c>
      <c r="P859" t="n">
        <v>0</v>
      </c>
      <c r="Q859" t="n">
        <v>0</v>
      </c>
      <c r="R859" s="2" t="inlineStr"/>
    </row>
    <row r="860" ht="15" customHeight="1">
      <c r="A860" t="inlineStr">
        <is>
          <t>A 49913-2020</t>
        </is>
      </c>
      <c r="B860" s="1" t="n">
        <v>44109</v>
      </c>
      <c r="C860" s="1" t="n">
        <v>45911</v>
      </c>
      <c r="D860" t="inlineStr">
        <is>
          <t>GÄVLEBORGS LÄN</t>
        </is>
      </c>
      <c r="E860" t="inlineStr">
        <is>
          <t>LJUSDAL</t>
        </is>
      </c>
      <c r="F860" t="inlineStr">
        <is>
          <t>Kommuner</t>
        </is>
      </c>
      <c r="G860" t="n">
        <v>6.7</v>
      </c>
      <c r="H860" t="n">
        <v>0</v>
      </c>
      <c r="I860" t="n">
        <v>0</v>
      </c>
      <c r="J860" t="n">
        <v>0</v>
      </c>
      <c r="K860" t="n">
        <v>0</v>
      </c>
      <c r="L860" t="n">
        <v>0</v>
      </c>
      <c r="M860" t="n">
        <v>0</v>
      </c>
      <c r="N860" t="n">
        <v>0</v>
      </c>
      <c r="O860" t="n">
        <v>0</v>
      </c>
      <c r="P860" t="n">
        <v>0</v>
      </c>
      <c r="Q860" t="n">
        <v>0</v>
      </c>
      <c r="R860" s="2" t="inlineStr"/>
    </row>
    <row r="861" ht="15" customHeight="1">
      <c r="A861" t="inlineStr">
        <is>
          <t>A 54660-2022</t>
        </is>
      </c>
      <c r="B861" s="1" t="n">
        <v>44883.44413194444</v>
      </c>
      <c r="C861" s="1" t="n">
        <v>45911</v>
      </c>
      <c r="D861" t="inlineStr">
        <is>
          <t>GÄVLEBORGS LÄN</t>
        </is>
      </c>
      <c r="E861" t="inlineStr">
        <is>
          <t>OVANÅKER</t>
        </is>
      </c>
      <c r="G861" t="n">
        <v>1.9</v>
      </c>
      <c r="H861" t="n">
        <v>0</v>
      </c>
      <c r="I861" t="n">
        <v>0</v>
      </c>
      <c r="J861" t="n">
        <v>0</v>
      </c>
      <c r="K861" t="n">
        <v>0</v>
      </c>
      <c r="L861" t="n">
        <v>0</v>
      </c>
      <c r="M861" t="n">
        <v>0</v>
      </c>
      <c r="N861" t="n">
        <v>0</v>
      </c>
      <c r="O861" t="n">
        <v>0</v>
      </c>
      <c r="P861" t="n">
        <v>0</v>
      </c>
      <c r="Q861" t="n">
        <v>0</v>
      </c>
      <c r="R861" s="2" t="inlineStr"/>
    </row>
    <row r="862" ht="15" customHeight="1">
      <c r="A862" t="inlineStr">
        <is>
          <t>A 46346-2020</t>
        </is>
      </c>
      <c r="B862" s="1" t="n">
        <v>44092.6435300926</v>
      </c>
      <c r="C862" s="1" t="n">
        <v>45911</v>
      </c>
      <c r="D862" t="inlineStr">
        <is>
          <t>GÄVLEBORGS LÄN</t>
        </is>
      </c>
      <c r="E862" t="inlineStr">
        <is>
          <t>NORDANSTIG</t>
        </is>
      </c>
      <c r="G862" t="n">
        <v>3</v>
      </c>
      <c r="H862" t="n">
        <v>0</v>
      </c>
      <c r="I862" t="n">
        <v>0</v>
      </c>
      <c r="J862" t="n">
        <v>0</v>
      </c>
      <c r="K862" t="n">
        <v>0</v>
      </c>
      <c r="L862" t="n">
        <v>0</v>
      </c>
      <c r="M862" t="n">
        <v>0</v>
      </c>
      <c r="N862" t="n">
        <v>0</v>
      </c>
      <c r="O862" t="n">
        <v>0</v>
      </c>
      <c r="P862" t="n">
        <v>0</v>
      </c>
      <c r="Q862" t="n">
        <v>0</v>
      </c>
      <c r="R862" s="2" t="inlineStr"/>
    </row>
    <row r="863" ht="15" customHeight="1">
      <c r="A863" t="inlineStr">
        <is>
          <t>A 47485-2021</t>
        </is>
      </c>
      <c r="B863" s="1" t="n">
        <v>44447.66321759259</v>
      </c>
      <c r="C863" s="1" t="n">
        <v>45911</v>
      </c>
      <c r="D863" t="inlineStr">
        <is>
          <t>GÄVLEBORGS LÄN</t>
        </is>
      </c>
      <c r="E863" t="inlineStr">
        <is>
          <t>HOFORS</t>
        </is>
      </c>
      <c r="G863" t="n">
        <v>1</v>
      </c>
      <c r="H863" t="n">
        <v>0</v>
      </c>
      <c r="I863" t="n">
        <v>0</v>
      </c>
      <c r="J863" t="n">
        <v>0</v>
      </c>
      <c r="K863" t="n">
        <v>0</v>
      </c>
      <c r="L863" t="n">
        <v>0</v>
      </c>
      <c r="M863" t="n">
        <v>0</v>
      </c>
      <c r="N863" t="n">
        <v>0</v>
      </c>
      <c r="O863" t="n">
        <v>0</v>
      </c>
      <c r="P863" t="n">
        <v>0</v>
      </c>
      <c r="Q863" t="n">
        <v>0</v>
      </c>
      <c r="R863" s="2" t="inlineStr"/>
    </row>
    <row r="864" ht="15" customHeight="1">
      <c r="A864" t="inlineStr">
        <is>
          <t>A 50818-2022</t>
        </is>
      </c>
      <c r="B864" s="1" t="n">
        <v>44867</v>
      </c>
      <c r="C864" s="1" t="n">
        <v>45911</v>
      </c>
      <c r="D864" t="inlineStr">
        <is>
          <t>GÄVLEBORGS LÄN</t>
        </is>
      </c>
      <c r="E864" t="inlineStr">
        <is>
          <t>HUDIKSVALL</t>
        </is>
      </c>
      <c r="G864" t="n">
        <v>0.9</v>
      </c>
      <c r="H864" t="n">
        <v>0</v>
      </c>
      <c r="I864" t="n">
        <v>0</v>
      </c>
      <c r="J864" t="n">
        <v>0</v>
      </c>
      <c r="K864" t="n">
        <v>0</v>
      </c>
      <c r="L864" t="n">
        <v>0</v>
      </c>
      <c r="M864" t="n">
        <v>0</v>
      </c>
      <c r="N864" t="n">
        <v>0</v>
      </c>
      <c r="O864" t="n">
        <v>0</v>
      </c>
      <c r="P864" t="n">
        <v>0</v>
      </c>
      <c r="Q864" t="n">
        <v>0</v>
      </c>
      <c r="R864" s="2" t="inlineStr"/>
    </row>
    <row r="865" ht="15" customHeight="1">
      <c r="A865" t="inlineStr">
        <is>
          <t>A 49716-2022</t>
        </is>
      </c>
      <c r="B865" s="1" t="n">
        <v>44862.5474537037</v>
      </c>
      <c r="C865" s="1" t="n">
        <v>45911</v>
      </c>
      <c r="D865" t="inlineStr">
        <is>
          <t>GÄVLEBORGS LÄN</t>
        </is>
      </c>
      <c r="E865" t="inlineStr">
        <is>
          <t>LJUSDAL</t>
        </is>
      </c>
      <c r="G865" t="n">
        <v>13.7</v>
      </c>
      <c r="H865" t="n">
        <v>0</v>
      </c>
      <c r="I865" t="n">
        <v>0</v>
      </c>
      <c r="J865" t="n">
        <v>0</v>
      </c>
      <c r="K865" t="n">
        <v>0</v>
      </c>
      <c r="L865" t="n">
        <v>0</v>
      </c>
      <c r="M865" t="n">
        <v>0</v>
      </c>
      <c r="N865" t="n">
        <v>0</v>
      </c>
      <c r="O865" t="n">
        <v>0</v>
      </c>
      <c r="P865" t="n">
        <v>0</v>
      </c>
      <c r="Q865" t="n">
        <v>0</v>
      </c>
      <c r="R865" s="2" t="inlineStr"/>
    </row>
    <row r="866" ht="15" customHeight="1">
      <c r="A866" t="inlineStr">
        <is>
          <t>A 4759-2022</t>
        </is>
      </c>
      <c r="B866" s="1" t="n">
        <v>44592</v>
      </c>
      <c r="C866" s="1" t="n">
        <v>45911</v>
      </c>
      <c r="D866" t="inlineStr">
        <is>
          <t>GÄVLEBORGS LÄN</t>
        </is>
      </c>
      <c r="E866" t="inlineStr">
        <is>
          <t>HUDIKSVALL</t>
        </is>
      </c>
      <c r="G866" t="n">
        <v>0.8</v>
      </c>
      <c r="H866" t="n">
        <v>0</v>
      </c>
      <c r="I866" t="n">
        <v>0</v>
      </c>
      <c r="J866" t="n">
        <v>0</v>
      </c>
      <c r="K866" t="n">
        <v>0</v>
      </c>
      <c r="L866" t="n">
        <v>0</v>
      </c>
      <c r="M866" t="n">
        <v>0</v>
      </c>
      <c r="N866" t="n">
        <v>0</v>
      </c>
      <c r="O866" t="n">
        <v>0</v>
      </c>
      <c r="P866" t="n">
        <v>0</v>
      </c>
      <c r="Q866" t="n">
        <v>0</v>
      </c>
      <c r="R866" s="2" t="inlineStr"/>
    </row>
    <row r="867" ht="15" customHeight="1">
      <c r="A867" t="inlineStr">
        <is>
          <t>A 32849-2022</t>
        </is>
      </c>
      <c r="B867" s="1" t="n">
        <v>44784</v>
      </c>
      <c r="C867" s="1" t="n">
        <v>45911</v>
      </c>
      <c r="D867" t="inlineStr">
        <is>
          <t>GÄVLEBORGS LÄN</t>
        </is>
      </c>
      <c r="E867" t="inlineStr">
        <is>
          <t>SANDVIKEN</t>
        </is>
      </c>
      <c r="G867" t="n">
        <v>1.5</v>
      </c>
      <c r="H867" t="n">
        <v>0</v>
      </c>
      <c r="I867" t="n">
        <v>0</v>
      </c>
      <c r="J867" t="n">
        <v>0</v>
      </c>
      <c r="K867" t="n">
        <v>0</v>
      </c>
      <c r="L867" t="n">
        <v>0</v>
      </c>
      <c r="M867" t="n">
        <v>0</v>
      </c>
      <c r="N867" t="n">
        <v>0</v>
      </c>
      <c r="O867" t="n">
        <v>0</v>
      </c>
      <c r="P867" t="n">
        <v>0</v>
      </c>
      <c r="Q867" t="n">
        <v>0</v>
      </c>
      <c r="R867" s="2" t="inlineStr"/>
    </row>
    <row r="868" ht="15" customHeight="1">
      <c r="A868" t="inlineStr">
        <is>
          <t>A 47893-2020</t>
        </is>
      </c>
      <c r="B868" s="1" t="n">
        <v>44099</v>
      </c>
      <c r="C868" s="1" t="n">
        <v>45911</v>
      </c>
      <c r="D868" t="inlineStr">
        <is>
          <t>GÄVLEBORGS LÄN</t>
        </is>
      </c>
      <c r="E868" t="inlineStr">
        <is>
          <t>LJUSDAL</t>
        </is>
      </c>
      <c r="F868" t="inlineStr">
        <is>
          <t>Sveaskog</t>
        </is>
      </c>
      <c r="G868" t="n">
        <v>3.3</v>
      </c>
      <c r="H868" t="n">
        <v>0</v>
      </c>
      <c r="I868" t="n">
        <v>0</v>
      </c>
      <c r="J868" t="n">
        <v>0</v>
      </c>
      <c r="K868" t="n">
        <v>0</v>
      </c>
      <c r="L868" t="n">
        <v>0</v>
      </c>
      <c r="M868" t="n">
        <v>0</v>
      </c>
      <c r="N868" t="n">
        <v>0</v>
      </c>
      <c r="O868" t="n">
        <v>0</v>
      </c>
      <c r="P868" t="n">
        <v>0</v>
      </c>
      <c r="Q868" t="n">
        <v>0</v>
      </c>
      <c r="R868" s="2" t="inlineStr"/>
    </row>
    <row r="869" ht="15" customHeight="1">
      <c r="A869" t="inlineStr">
        <is>
          <t>A 24208-2022</t>
        </is>
      </c>
      <c r="B869" s="1" t="n">
        <v>44725.59231481481</v>
      </c>
      <c r="C869" s="1" t="n">
        <v>45911</v>
      </c>
      <c r="D869" t="inlineStr">
        <is>
          <t>GÄVLEBORGS LÄN</t>
        </is>
      </c>
      <c r="E869" t="inlineStr">
        <is>
          <t>LJUSDAL</t>
        </is>
      </c>
      <c r="G869" t="n">
        <v>1.4</v>
      </c>
      <c r="H869" t="n">
        <v>0</v>
      </c>
      <c r="I869" t="n">
        <v>0</v>
      </c>
      <c r="J869" t="n">
        <v>0</v>
      </c>
      <c r="K869" t="n">
        <v>0</v>
      </c>
      <c r="L869" t="n">
        <v>0</v>
      </c>
      <c r="M869" t="n">
        <v>0</v>
      </c>
      <c r="N869" t="n">
        <v>0</v>
      </c>
      <c r="O869" t="n">
        <v>0</v>
      </c>
      <c r="P869" t="n">
        <v>0</v>
      </c>
      <c r="Q869" t="n">
        <v>0</v>
      </c>
      <c r="R869" s="2" t="inlineStr"/>
    </row>
    <row r="870" ht="15" customHeight="1">
      <c r="A870" t="inlineStr">
        <is>
          <t>A 48875-2020</t>
        </is>
      </c>
      <c r="B870" s="1" t="n">
        <v>44104</v>
      </c>
      <c r="C870" s="1" t="n">
        <v>45911</v>
      </c>
      <c r="D870" t="inlineStr">
        <is>
          <t>GÄVLEBORGS LÄN</t>
        </is>
      </c>
      <c r="E870" t="inlineStr">
        <is>
          <t>SÖDERHAMN</t>
        </is>
      </c>
      <c r="G870" t="n">
        <v>1.9</v>
      </c>
      <c r="H870" t="n">
        <v>0</v>
      </c>
      <c r="I870" t="n">
        <v>0</v>
      </c>
      <c r="J870" t="n">
        <v>0</v>
      </c>
      <c r="K870" t="n">
        <v>0</v>
      </c>
      <c r="L870" t="n">
        <v>0</v>
      </c>
      <c r="M870" t="n">
        <v>0</v>
      </c>
      <c r="N870" t="n">
        <v>0</v>
      </c>
      <c r="O870" t="n">
        <v>0</v>
      </c>
      <c r="P870" t="n">
        <v>0</v>
      </c>
      <c r="Q870" t="n">
        <v>0</v>
      </c>
      <c r="R870" s="2" t="inlineStr"/>
    </row>
    <row r="871" ht="15" customHeight="1">
      <c r="A871" t="inlineStr">
        <is>
          <t>A 48905-2020</t>
        </is>
      </c>
      <c r="B871" s="1" t="n">
        <v>44104</v>
      </c>
      <c r="C871" s="1" t="n">
        <v>45911</v>
      </c>
      <c r="D871" t="inlineStr">
        <is>
          <t>GÄVLEBORGS LÄN</t>
        </is>
      </c>
      <c r="E871" t="inlineStr">
        <is>
          <t>LJUSDAL</t>
        </is>
      </c>
      <c r="F871" t="inlineStr">
        <is>
          <t>Sveaskog</t>
        </is>
      </c>
      <c r="G871" t="n">
        <v>0.2</v>
      </c>
      <c r="H871" t="n">
        <v>0</v>
      </c>
      <c r="I871" t="n">
        <v>0</v>
      </c>
      <c r="J871" t="n">
        <v>0</v>
      </c>
      <c r="K871" t="n">
        <v>0</v>
      </c>
      <c r="L871" t="n">
        <v>0</v>
      </c>
      <c r="M871" t="n">
        <v>0</v>
      </c>
      <c r="N871" t="n">
        <v>0</v>
      </c>
      <c r="O871" t="n">
        <v>0</v>
      </c>
      <c r="P871" t="n">
        <v>0</v>
      </c>
      <c r="Q871" t="n">
        <v>0</v>
      </c>
      <c r="R871" s="2" t="inlineStr"/>
    </row>
    <row r="872" ht="15" customHeight="1">
      <c r="A872" t="inlineStr">
        <is>
          <t>A 39450-2022</t>
        </is>
      </c>
      <c r="B872" s="1" t="n">
        <v>44818.36261574074</v>
      </c>
      <c r="C872" s="1" t="n">
        <v>45911</v>
      </c>
      <c r="D872" t="inlineStr">
        <is>
          <t>GÄVLEBORGS LÄN</t>
        </is>
      </c>
      <c r="E872" t="inlineStr">
        <is>
          <t>OVANÅKER</t>
        </is>
      </c>
      <c r="G872" t="n">
        <v>2.3</v>
      </c>
      <c r="H872" t="n">
        <v>0</v>
      </c>
      <c r="I872" t="n">
        <v>0</v>
      </c>
      <c r="J872" t="n">
        <v>0</v>
      </c>
      <c r="K872" t="n">
        <v>0</v>
      </c>
      <c r="L872" t="n">
        <v>0</v>
      </c>
      <c r="M872" t="n">
        <v>0</v>
      </c>
      <c r="N872" t="n">
        <v>0</v>
      </c>
      <c r="O872" t="n">
        <v>0</v>
      </c>
      <c r="P872" t="n">
        <v>0</v>
      </c>
      <c r="Q872" t="n">
        <v>0</v>
      </c>
      <c r="R872" s="2" t="inlineStr"/>
    </row>
    <row r="873" ht="15" customHeight="1">
      <c r="A873" t="inlineStr">
        <is>
          <t>A 50877-2020</t>
        </is>
      </c>
      <c r="B873" s="1" t="n">
        <v>44111</v>
      </c>
      <c r="C873" s="1" t="n">
        <v>45911</v>
      </c>
      <c r="D873" t="inlineStr">
        <is>
          <t>GÄVLEBORGS LÄN</t>
        </is>
      </c>
      <c r="E873" t="inlineStr">
        <is>
          <t>SANDVIKEN</t>
        </is>
      </c>
      <c r="F873" t="inlineStr">
        <is>
          <t>Sveaskog</t>
        </is>
      </c>
      <c r="G873" t="n">
        <v>1.7</v>
      </c>
      <c r="H873" t="n">
        <v>0</v>
      </c>
      <c r="I873" t="n">
        <v>0</v>
      </c>
      <c r="J873" t="n">
        <v>0</v>
      </c>
      <c r="K873" t="n">
        <v>0</v>
      </c>
      <c r="L873" t="n">
        <v>0</v>
      </c>
      <c r="M873" t="n">
        <v>0</v>
      </c>
      <c r="N873" t="n">
        <v>0</v>
      </c>
      <c r="O873" t="n">
        <v>0</v>
      </c>
      <c r="P873" t="n">
        <v>0</v>
      </c>
      <c r="Q873" t="n">
        <v>0</v>
      </c>
      <c r="R873" s="2" t="inlineStr"/>
    </row>
    <row r="874" ht="15" customHeight="1">
      <c r="A874" t="inlineStr">
        <is>
          <t>A 30515-2021</t>
        </is>
      </c>
      <c r="B874" s="1" t="n">
        <v>44364</v>
      </c>
      <c r="C874" s="1" t="n">
        <v>45911</v>
      </c>
      <c r="D874" t="inlineStr">
        <is>
          <t>GÄVLEBORGS LÄN</t>
        </is>
      </c>
      <c r="E874" t="inlineStr">
        <is>
          <t>NORDANSTIG</t>
        </is>
      </c>
      <c r="G874" t="n">
        <v>2.4</v>
      </c>
      <c r="H874" t="n">
        <v>0</v>
      </c>
      <c r="I874" t="n">
        <v>0</v>
      </c>
      <c r="J874" t="n">
        <v>0</v>
      </c>
      <c r="K874" t="n">
        <v>0</v>
      </c>
      <c r="L874" t="n">
        <v>0</v>
      </c>
      <c r="M874" t="n">
        <v>0</v>
      </c>
      <c r="N874" t="n">
        <v>0</v>
      </c>
      <c r="O874" t="n">
        <v>0</v>
      </c>
      <c r="P874" t="n">
        <v>0</v>
      </c>
      <c r="Q874" t="n">
        <v>0</v>
      </c>
      <c r="R874" s="2" t="inlineStr"/>
    </row>
    <row r="875" ht="15" customHeight="1">
      <c r="A875" t="inlineStr">
        <is>
          <t>A 31535-2022</t>
        </is>
      </c>
      <c r="B875" s="1" t="n">
        <v>44775.34788194444</v>
      </c>
      <c r="C875" s="1" t="n">
        <v>45911</v>
      </c>
      <c r="D875" t="inlineStr">
        <is>
          <t>GÄVLEBORGS LÄN</t>
        </is>
      </c>
      <c r="E875" t="inlineStr">
        <is>
          <t>GÄVLE</t>
        </is>
      </c>
      <c r="G875" t="n">
        <v>8</v>
      </c>
      <c r="H875" t="n">
        <v>0</v>
      </c>
      <c r="I875" t="n">
        <v>0</v>
      </c>
      <c r="J875" t="n">
        <v>0</v>
      </c>
      <c r="K875" t="n">
        <v>0</v>
      </c>
      <c r="L875" t="n">
        <v>0</v>
      </c>
      <c r="M875" t="n">
        <v>0</v>
      </c>
      <c r="N875" t="n">
        <v>0</v>
      </c>
      <c r="O875" t="n">
        <v>0</v>
      </c>
      <c r="P875" t="n">
        <v>0</v>
      </c>
      <c r="Q875" t="n">
        <v>0</v>
      </c>
      <c r="R875" s="2" t="inlineStr"/>
    </row>
    <row r="876" ht="15" customHeight="1">
      <c r="A876" t="inlineStr">
        <is>
          <t>A 40468-2022</t>
        </is>
      </c>
      <c r="B876" s="1" t="n">
        <v>44823.53434027778</v>
      </c>
      <c r="C876" s="1" t="n">
        <v>45911</v>
      </c>
      <c r="D876" t="inlineStr">
        <is>
          <t>GÄVLEBORGS LÄN</t>
        </is>
      </c>
      <c r="E876" t="inlineStr">
        <is>
          <t>SÖDERHAMN</t>
        </is>
      </c>
      <c r="G876" t="n">
        <v>1</v>
      </c>
      <c r="H876" t="n">
        <v>0</v>
      </c>
      <c r="I876" t="n">
        <v>0</v>
      </c>
      <c r="J876" t="n">
        <v>0</v>
      </c>
      <c r="K876" t="n">
        <v>0</v>
      </c>
      <c r="L876" t="n">
        <v>0</v>
      </c>
      <c r="M876" t="n">
        <v>0</v>
      </c>
      <c r="N876" t="n">
        <v>0</v>
      </c>
      <c r="O876" t="n">
        <v>0</v>
      </c>
      <c r="P876" t="n">
        <v>0</v>
      </c>
      <c r="Q876" t="n">
        <v>0</v>
      </c>
      <c r="R876" s="2" t="inlineStr"/>
    </row>
    <row r="877" ht="15" customHeight="1">
      <c r="A877" t="inlineStr">
        <is>
          <t>A 39687-2021</t>
        </is>
      </c>
      <c r="B877" s="1" t="n">
        <v>44417.45212962963</v>
      </c>
      <c r="C877" s="1" t="n">
        <v>45911</v>
      </c>
      <c r="D877" t="inlineStr">
        <is>
          <t>GÄVLEBORGS LÄN</t>
        </is>
      </c>
      <c r="E877" t="inlineStr">
        <is>
          <t>NORDANSTIG</t>
        </is>
      </c>
      <c r="G877" t="n">
        <v>6.9</v>
      </c>
      <c r="H877" t="n">
        <v>0</v>
      </c>
      <c r="I877" t="n">
        <v>0</v>
      </c>
      <c r="J877" t="n">
        <v>0</v>
      </c>
      <c r="K877" t="n">
        <v>0</v>
      </c>
      <c r="L877" t="n">
        <v>0</v>
      </c>
      <c r="M877" t="n">
        <v>0</v>
      </c>
      <c r="N877" t="n">
        <v>0</v>
      </c>
      <c r="O877" t="n">
        <v>0</v>
      </c>
      <c r="P877" t="n">
        <v>0</v>
      </c>
      <c r="Q877" t="n">
        <v>0</v>
      </c>
      <c r="R877" s="2" t="inlineStr"/>
    </row>
    <row r="878" ht="15" customHeight="1">
      <c r="A878" t="inlineStr">
        <is>
          <t>A 60951-2020</t>
        </is>
      </c>
      <c r="B878" s="1" t="n">
        <v>44154</v>
      </c>
      <c r="C878" s="1" t="n">
        <v>45911</v>
      </c>
      <c r="D878" t="inlineStr">
        <is>
          <t>GÄVLEBORGS LÄN</t>
        </is>
      </c>
      <c r="E878" t="inlineStr">
        <is>
          <t>GÄVLE</t>
        </is>
      </c>
      <c r="G878" t="n">
        <v>1.3</v>
      </c>
      <c r="H878" t="n">
        <v>0</v>
      </c>
      <c r="I878" t="n">
        <v>0</v>
      </c>
      <c r="J878" t="n">
        <v>0</v>
      </c>
      <c r="K878" t="n">
        <v>0</v>
      </c>
      <c r="L878" t="n">
        <v>0</v>
      </c>
      <c r="M878" t="n">
        <v>0</v>
      </c>
      <c r="N878" t="n">
        <v>0</v>
      </c>
      <c r="O878" t="n">
        <v>0</v>
      </c>
      <c r="P878" t="n">
        <v>0</v>
      </c>
      <c r="Q878" t="n">
        <v>0</v>
      </c>
      <c r="R878" s="2" t="inlineStr"/>
    </row>
    <row r="879" ht="15" customHeight="1">
      <c r="A879" t="inlineStr">
        <is>
          <t>A 19741-2022</t>
        </is>
      </c>
      <c r="B879" s="1" t="n">
        <v>44694.59767361111</v>
      </c>
      <c r="C879" s="1" t="n">
        <v>45911</v>
      </c>
      <c r="D879" t="inlineStr">
        <is>
          <t>GÄVLEBORGS LÄN</t>
        </is>
      </c>
      <c r="E879" t="inlineStr">
        <is>
          <t>OVANÅKER</t>
        </is>
      </c>
      <c r="G879" t="n">
        <v>0.4</v>
      </c>
      <c r="H879" t="n">
        <v>0</v>
      </c>
      <c r="I879" t="n">
        <v>0</v>
      </c>
      <c r="J879" t="n">
        <v>0</v>
      </c>
      <c r="K879" t="n">
        <v>0</v>
      </c>
      <c r="L879" t="n">
        <v>0</v>
      </c>
      <c r="M879" t="n">
        <v>0</v>
      </c>
      <c r="N879" t="n">
        <v>0</v>
      </c>
      <c r="O879" t="n">
        <v>0</v>
      </c>
      <c r="P879" t="n">
        <v>0</v>
      </c>
      <c r="Q879" t="n">
        <v>0</v>
      </c>
      <c r="R879" s="2" t="inlineStr"/>
    </row>
    <row r="880" ht="15" customHeight="1">
      <c r="A880" t="inlineStr">
        <is>
          <t>A 43465-2021</t>
        </is>
      </c>
      <c r="B880" s="1" t="n">
        <v>44432.72325231481</v>
      </c>
      <c r="C880" s="1" t="n">
        <v>45911</v>
      </c>
      <c r="D880" t="inlineStr">
        <is>
          <t>GÄVLEBORGS LÄN</t>
        </is>
      </c>
      <c r="E880" t="inlineStr">
        <is>
          <t>SANDVIKEN</t>
        </is>
      </c>
      <c r="G880" t="n">
        <v>1.7</v>
      </c>
      <c r="H880" t="n">
        <v>0</v>
      </c>
      <c r="I880" t="n">
        <v>0</v>
      </c>
      <c r="J880" t="n">
        <v>0</v>
      </c>
      <c r="K880" t="n">
        <v>0</v>
      </c>
      <c r="L880" t="n">
        <v>0</v>
      </c>
      <c r="M880" t="n">
        <v>0</v>
      </c>
      <c r="N880" t="n">
        <v>0</v>
      </c>
      <c r="O880" t="n">
        <v>0</v>
      </c>
      <c r="P880" t="n">
        <v>0</v>
      </c>
      <c r="Q880" t="n">
        <v>0</v>
      </c>
      <c r="R880" s="2" t="inlineStr"/>
    </row>
    <row r="881" ht="15" customHeight="1">
      <c r="A881" t="inlineStr">
        <is>
          <t>A 3207-2021</t>
        </is>
      </c>
      <c r="B881" s="1" t="n">
        <v>44217.55109953704</v>
      </c>
      <c r="C881" s="1" t="n">
        <v>45911</v>
      </c>
      <c r="D881" t="inlineStr">
        <is>
          <t>GÄVLEBORGS LÄN</t>
        </is>
      </c>
      <c r="E881" t="inlineStr">
        <is>
          <t>LJUSDAL</t>
        </is>
      </c>
      <c r="G881" t="n">
        <v>3.6</v>
      </c>
      <c r="H881" t="n">
        <v>0</v>
      </c>
      <c r="I881" t="n">
        <v>0</v>
      </c>
      <c r="J881" t="n">
        <v>0</v>
      </c>
      <c r="K881" t="n">
        <v>0</v>
      </c>
      <c r="L881" t="n">
        <v>0</v>
      </c>
      <c r="M881" t="n">
        <v>0</v>
      </c>
      <c r="N881" t="n">
        <v>0</v>
      </c>
      <c r="O881" t="n">
        <v>0</v>
      </c>
      <c r="P881" t="n">
        <v>0</v>
      </c>
      <c r="Q881" t="n">
        <v>0</v>
      </c>
      <c r="R881" s="2" t="inlineStr"/>
    </row>
    <row r="882" ht="15" customHeight="1">
      <c r="A882" t="inlineStr">
        <is>
          <t>A 48753-2021</t>
        </is>
      </c>
      <c r="B882" s="1" t="n">
        <v>44452</v>
      </c>
      <c r="C882" s="1" t="n">
        <v>45911</v>
      </c>
      <c r="D882" t="inlineStr">
        <is>
          <t>GÄVLEBORGS LÄN</t>
        </is>
      </c>
      <c r="E882" t="inlineStr">
        <is>
          <t>HUDIKSVALL</t>
        </is>
      </c>
      <c r="G882" t="n">
        <v>1.3</v>
      </c>
      <c r="H882" t="n">
        <v>0</v>
      </c>
      <c r="I882" t="n">
        <v>0</v>
      </c>
      <c r="J882" t="n">
        <v>0</v>
      </c>
      <c r="K882" t="n">
        <v>0</v>
      </c>
      <c r="L882" t="n">
        <v>0</v>
      </c>
      <c r="M882" t="n">
        <v>0</v>
      </c>
      <c r="N882" t="n">
        <v>0</v>
      </c>
      <c r="O882" t="n">
        <v>0</v>
      </c>
      <c r="P882" t="n">
        <v>0</v>
      </c>
      <c r="Q882" t="n">
        <v>0</v>
      </c>
      <c r="R882" s="2" t="inlineStr"/>
    </row>
    <row r="883" ht="15" customHeight="1">
      <c r="A883" t="inlineStr">
        <is>
          <t>A 219-2021</t>
        </is>
      </c>
      <c r="B883" s="1" t="n">
        <v>44200</v>
      </c>
      <c r="C883" s="1" t="n">
        <v>45911</v>
      </c>
      <c r="D883" t="inlineStr">
        <is>
          <t>GÄVLEBORGS LÄN</t>
        </is>
      </c>
      <c r="E883" t="inlineStr">
        <is>
          <t>LJUSDAL</t>
        </is>
      </c>
      <c r="G883" t="n">
        <v>1.6</v>
      </c>
      <c r="H883" t="n">
        <v>0</v>
      </c>
      <c r="I883" t="n">
        <v>0</v>
      </c>
      <c r="J883" t="n">
        <v>0</v>
      </c>
      <c r="K883" t="n">
        <v>0</v>
      </c>
      <c r="L883" t="n">
        <v>0</v>
      </c>
      <c r="M883" t="n">
        <v>0</v>
      </c>
      <c r="N883" t="n">
        <v>0</v>
      </c>
      <c r="O883" t="n">
        <v>0</v>
      </c>
      <c r="P883" t="n">
        <v>0</v>
      </c>
      <c r="Q883" t="n">
        <v>0</v>
      </c>
      <c r="R883" s="2" t="inlineStr"/>
    </row>
    <row r="884" ht="15" customHeight="1">
      <c r="A884" t="inlineStr">
        <is>
          <t>A 242-2021</t>
        </is>
      </c>
      <c r="B884" s="1" t="n">
        <v>44200</v>
      </c>
      <c r="C884" s="1" t="n">
        <v>45911</v>
      </c>
      <c r="D884" t="inlineStr">
        <is>
          <t>GÄVLEBORGS LÄN</t>
        </is>
      </c>
      <c r="E884" t="inlineStr">
        <is>
          <t>GÄVLE</t>
        </is>
      </c>
      <c r="G884" t="n">
        <v>1.1</v>
      </c>
      <c r="H884" t="n">
        <v>0</v>
      </c>
      <c r="I884" t="n">
        <v>0</v>
      </c>
      <c r="J884" t="n">
        <v>0</v>
      </c>
      <c r="K884" t="n">
        <v>0</v>
      </c>
      <c r="L884" t="n">
        <v>0</v>
      </c>
      <c r="M884" t="n">
        <v>0</v>
      </c>
      <c r="N884" t="n">
        <v>0</v>
      </c>
      <c r="O884" t="n">
        <v>0</v>
      </c>
      <c r="P884" t="n">
        <v>0</v>
      </c>
      <c r="Q884" t="n">
        <v>0</v>
      </c>
      <c r="R884" s="2" t="inlineStr"/>
    </row>
    <row r="885" ht="15" customHeight="1">
      <c r="A885" t="inlineStr">
        <is>
          <t>A 247-2021</t>
        </is>
      </c>
      <c r="B885" s="1" t="n">
        <v>44200</v>
      </c>
      <c r="C885" s="1" t="n">
        <v>45911</v>
      </c>
      <c r="D885" t="inlineStr">
        <is>
          <t>GÄVLEBORGS LÄN</t>
        </is>
      </c>
      <c r="E885" t="inlineStr">
        <is>
          <t>GÄVLE</t>
        </is>
      </c>
      <c r="G885" t="n">
        <v>0.7</v>
      </c>
      <c r="H885" t="n">
        <v>0</v>
      </c>
      <c r="I885" t="n">
        <v>0</v>
      </c>
      <c r="J885" t="n">
        <v>0</v>
      </c>
      <c r="K885" t="n">
        <v>0</v>
      </c>
      <c r="L885" t="n">
        <v>0</v>
      </c>
      <c r="M885" t="n">
        <v>0</v>
      </c>
      <c r="N885" t="n">
        <v>0</v>
      </c>
      <c r="O885" t="n">
        <v>0</v>
      </c>
      <c r="P885" t="n">
        <v>0</v>
      </c>
      <c r="Q885" t="n">
        <v>0</v>
      </c>
      <c r="R885" s="2" t="inlineStr"/>
    </row>
    <row r="886" ht="15" customHeight="1">
      <c r="A886" t="inlineStr">
        <is>
          <t>A 45573-2020</t>
        </is>
      </c>
      <c r="B886" s="1" t="n">
        <v>44090</v>
      </c>
      <c r="C886" s="1" t="n">
        <v>45911</v>
      </c>
      <c r="D886" t="inlineStr">
        <is>
          <t>GÄVLEBORGS LÄN</t>
        </is>
      </c>
      <c r="E886" t="inlineStr">
        <is>
          <t>NORDANSTIG</t>
        </is>
      </c>
      <c r="G886" t="n">
        <v>1.4</v>
      </c>
      <c r="H886" t="n">
        <v>0</v>
      </c>
      <c r="I886" t="n">
        <v>0</v>
      </c>
      <c r="J886" t="n">
        <v>0</v>
      </c>
      <c r="K886" t="n">
        <v>0</v>
      </c>
      <c r="L886" t="n">
        <v>0</v>
      </c>
      <c r="M886" t="n">
        <v>0</v>
      </c>
      <c r="N886" t="n">
        <v>0</v>
      </c>
      <c r="O886" t="n">
        <v>0</v>
      </c>
      <c r="P886" t="n">
        <v>0</v>
      </c>
      <c r="Q886" t="n">
        <v>0</v>
      </c>
      <c r="R886" s="2" t="inlineStr"/>
    </row>
    <row r="887" ht="15" customHeight="1">
      <c r="A887" t="inlineStr">
        <is>
          <t>A 48080-2022</t>
        </is>
      </c>
      <c r="B887" s="1" t="n">
        <v>44855</v>
      </c>
      <c r="C887" s="1" t="n">
        <v>45911</v>
      </c>
      <c r="D887" t="inlineStr">
        <is>
          <t>GÄVLEBORGS LÄN</t>
        </is>
      </c>
      <c r="E887" t="inlineStr">
        <is>
          <t>NORDANSTIG</t>
        </is>
      </c>
      <c r="F887" t="inlineStr">
        <is>
          <t>SCA</t>
        </is>
      </c>
      <c r="G887" t="n">
        <v>12.1</v>
      </c>
      <c r="H887" t="n">
        <v>0</v>
      </c>
      <c r="I887" t="n">
        <v>0</v>
      </c>
      <c r="J887" t="n">
        <v>0</v>
      </c>
      <c r="K887" t="n">
        <v>0</v>
      </c>
      <c r="L887" t="n">
        <v>0</v>
      </c>
      <c r="M887" t="n">
        <v>0</v>
      </c>
      <c r="N887" t="n">
        <v>0</v>
      </c>
      <c r="O887" t="n">
        <v>0</v>
      </c>
      <c r="P887" t="n">
        <v>0</v>
      </c>
      <c r="Q887" t="n">
        <v>0</v>
      </c>
      <c r="R887" s="2" t="inlineStr"/>
    </row>
    <row r="888" ht="15" customHeight="1">
      <c r="A888" t="inlineStr">
        <is>
          <t>A 45183-2020</t>
        </is>
      </c>
      <c r="B888" s="1" t="n">
        <v>44088</v>
      </c>
      <c r="C888" s="1" t="n">
        <v>45911</v>
      </c>
      <c r="D888" t="inlineStr">
        <is>
          <t>GÄVLEBORGS LÄN</t>
        </is>
      </c>
      <c r="E888" t="inlineStr">
        <is>
          <t>HUDIKSVALL</t>
        </is>
      </c>
      <c r="F888" t="inlineStr">
        <is>
          <t>Holmen skog AB</t>
        </is>
      </c>
      <c r="G888" t="n">
        <v>3.2</v>
      </c>
      <c r="H888" t="n">
        <v>0</v>
      </c>
      <c r="I888" t="n">
        <v>0</v>
      </c>
      <c r="J888" t="n">
        <v>0</v>
      </c>
      <c r="K888" t="n">
        <v>0</v>
      </c>
      <c r="L888" t="n">
        <v>0</v>
      </c>
      <c r="M888" t="n">
        <v>0</v>
      </c>
      <c r="N888" t="n">
        <v>0</v>
      </c>
      <c r="O888" t="n">
        <v>0</v>
      </c>
      <c r="P888" t="n">
        <v>0</v>
      </c>
      <c r="Q888" t="n">
        <v>0</v>
      </c>
      <c r="R888" s="2" t="inlineStr"/>
    </row>
    <row r="889" ht="15" customHeight="1">
      <c r="A889" t="inlineStr">
        <is>
          <t>A 30770-2021</t>
        </is>
      </c>
      <c r="B889" s="1" t="n">
        <v>44365</v>
      </c>
      <c r="C889" s="1" t="n">
        <v>45911</v>
      </c>
      <c r="D889" t="inlineStr">
        <is>
          <t>GÄVLEBORGS LÄN</t>
        </is>
      </c>
      <c r="E889" t="inlineStr">
        <is>
          <t>LJUSDAL</t>
        </is>
      </c>
      <c r="G889" t="n">
        <v>1.5</v>
      </c>
      <c r="H889" t="n">
        <v>0</v>
      </c>
      <c r="I889" t="n">
        <v>0</v>
      </c>
      <c r="J889" t="n">
        <v>0</v>
      </c>
      <c r="K889" t="n">
        <v>0</v>
      </c>
      <c r="L889" t="n">
        <v>0</v>
      </c>
      <c r="M889" t="n">
        <v>0</v>
      </c>
      <c r="N889" t="n">
        <v>0</v>
      </c>
      <c r="O889" t="n">
        <v>0</v>
      </c>
      <c r="P889" t="n">
        <v>0</v>
      </c>
      <c r="Q889" t="n">
        <v>0</v>
      </c>
      <c r="R889" s="2" t="inlineStr"/>
    </row>
    <row r="890" ht="15" customHeight="1">
      <c r="A890" t="inlineStr">
        <is>
          <t>A 50036-2021</t>
        </is>
      </c>
      <c r="B890" s="1" t="n">
        <v>44456.49701388889</v>
      </c>
      <c r="C890" s="1" t="n">
        <v>45911</v>
      </c>
      <c r="D890" t="inlineStr">
        <is>
          <t>GÄVLEBORGS LÄN</t>
        </is>
      </c>
      <c r="E890" t="inlineStr">
        <is>
          <t>NORDANSTIG</t>
        </is>
      </c>
      <c r="G890" t="n">
        <v>0.9</v>
      </c>
      <c r="H890" t="n">
        <v>0</v>
      </c>
      <c r="I890" t="n">
        <v>0</v>
      </c>
      <c r="J890" t="n">
        <v>0</v>
      </c>
      <c r="K890" t="n">
        <v>0</v>
      </c>
      <c r="L890" t="n">
        <v>0</v>
      </c>
      <c r="M890" t="n">
        <v>0</v>
      </c>
      <c r="N890" t="n">
        <v>0</v>
      </c>
      <c r="O890" t="n">
        <v>0</v>
      </c>
      <c r="P890" t="n">
        <v>0</v>
      </c>
      <c r="Q890" t="n">
        <v>0</v>
      </c>
      <c r="R890" s="2" t="inlineStr"/>
    </row>
    <row r="891" ht="15" customHeight="1">
      <c r="A891" t="inlineStr">
        <is>
          <t>A 66442-2020</t>
        </is>
      </c>
      <c r="B891" s="1" t="n">
        <v>44176</v>
      </c>
      <c r="C891" s="1" t="n">
        <v>45911</v>
      </c>
      <c r="D891" t="inlineStr">
        <is>
          <t>GÄVLEBORGS LÄN</t>
        </is>
      </c>
      <c r="E891" t="inlineStr">
        <is>
          <t>OCKELBO</t>
        </is>
      </c>
      <c r="F891" t="inlineStr">
        <is>
          <t>Bergvik skog väst AB</t>
        </is>
      </c>
      <c r="G891" t="n">
        <v>2.8</v>
      </c>
      <c r="H891" t="n">
        <v>0</v>
      </c>
      <c r="I891" t="n">
        <v>0</v>
      </c>
      <c r="J891" t="n">
        <v>0</v>
      </c>
      <c r="K891" t="n">
        <v>0</v>
      </c>
      <c r="L891" t="n">
        <v>0</v>
      </c>
      <c r="M891" t="n">
        <v>0</v>
      </c>
      <c r="N891" t="n">
        <v>0</v>
      </c>
      <c r="O891" t="n">
        <v>0</v>
      </c>
      <c r="P891" t="n">
        <v>0</v>
      </c>
      <c r="Q891" t="n">
        <v>0</v>
      </c>
      <c r="R891" s="2" t="inlineStr"/>
    </row>
    <row r="892" ht="15" customHeight="1">
      <c r="A892" t="inlineStr">
        <is>
          <t>A 43000-2021</t>
        </is>
      </c>
      <c r="B892" s="1" t="n">
        <v>44431.45945601852</v>
      </c>
      <c r="C892" s="1" t="n">
        <v>45911</v>
      </c>
      <c r="D892" t="inlineStr">
        <is>
          <t>GÄVLEBORGS LÄN</t>
        </is>
      </c>
      <c r="E892" t="inlineStr">
        <is>
          <t>LJUSDAL</t>
        </is>
      </c>
      <c r="G892" t="n">
        <v>1</v>
      </c>
      <c r="H892" t="n">
        <v>0</v>
      </c>
      <c r="I892" t="n">
        <v>0</v>
      </c>
      <c r="J892" t="n">
        <v>0</v>
      </c>
      <c r="K892" t="n">
        <v>0</v>
      </c>
      <c r="L892" t="n">
        <v>0</v>
      </c>
      <c r="M892" t="n">
        <v>0</v>
      </c>
      <c r="N892" t="n">
        <v>0</v>
      </c>
      <c r="O892" t="n">
        <v>0</v>
      </c>
      <c r="P892" t="n">
        <v>0</v>
      </c>
      <c r="Q892" t="n">
        <v>0</v>
      </c>
      <c r="R892" s="2" t="inlineStr"/>
    </row>
    <row r="893" ht="15" customHeight="1">
      <c r="A893" t="inlineStr">
        <is>
          <t>A 40159-2021</t>
        </is>
      </c>
      <c r="B893" s="1" t="n">
        <v>44418</v>
      </c>
      <c r="C893" s="1" t="n">
        <v>45911</v>
      </c>
      <c r="D893" t="inlineStr">
        <is>
          <t>GÄVLEBORGS LÄN</t>
        </is>
      </c>
      <c r="E893" t="inlineStr">
        <is>
          <t>OCKELBO</t>
        </is>
      </c>
      <c r="G893" t="n">
        <v>0.4</v>
      </c>
      <c r="H893" t="n">
        <v>0</v>
      </c>
      <c r="I893" t="n">
        <v>0</v>
      </c>
      <c r="J893" t="n">
        <v>0</v>
      </c>
      <c r="K893" t="n">
        <v>0</v>
      </c>
      <c r="L893" t="n">
        <v>0</v>
      </c>
      <c r="M893" t="n">
        <v>0</v>
      </c>
      <c r="N893" t="n">
        <v>0</v>
      </c>
      <c r="O893" t="n">
        <v>0</v>
      </c>
      <c r="P893" t="n">
        <v>0</v>
      </c>
      <c r="Q893" t="n">
        <v>0</v>
      </c>
      <c r="R893" s="2" t="inlineStr"/>
    </row>
    <row r="894" ht="15" customHeight="1">
      <c r="A894" t="inlineStr">
        <is>
          <t>A 68989-2020</t>
        </is>
      </c>
      <c r="B894" s="1" t="n">
        <v>44188</v>
      </c>
      <c r="C894" s="1" t="n">
        <v>45911</v>
      </c>
      <c r="D894" t="inlineStr">
        <is>
          <t>GÄVLEBORGS LÄN</t>
        </is>
      </c>
      <c r="E894" t="inlineStr">
        <is>
          <t>BOLLNÄS</t>
        </is>
      </c>
      <c r="G894" t="n">
        <v>1.2</v>
      </c>
      <c r="H894" t="n">
        <v>0</v>
      </c>
      <c r="I894" t="n">
        <v>0</v>
      </c>
      <c r="J894" t="n">
        <v>0</v>
      </c>
      <c r="K894" t="n">
        <v>0</v>
      </c>
      <c r="L894" t="n">
        <v>0</v>
      </c>
      <c r="M894" t="n">
        <v>0</v>
      </c>
      <c r="N894" t="n">
        <v>0</v>
      </c>
      <c r="O894" t="n">
        <v>0</v>
      </c>
      <c r="P894" t="n">
        <v>0</v>
      </c>
      <c r="Q894" t="n">
        <v>0</v>
      </c>
      <c r="R894" s="2" t="inlineStr"/>
    </row>
    <row r="895" ht="15" customHeight="1">
      <c r="A895" t="inlineStr">
        <is>
          <t>A 30391-2022</t>
        </is>
      </c>
      <c r="B895" s="1" t="n">
        <v>44760.79641203704</v>
      </c>
      <c r="C895" s="1" t="n">
        <v>45911</v>
      </c>
      <c r="D895" t="inlineStr">
        <is>
          <t>GÄVLEBORGS LÄN</t>
        </is>
      </c>
      <c r="E895" t="inlineStr">
        <is>
          <t>SANDVIKEN</t>
        </is>
      </c>
      <c r="F895" t="inlineStr">
        <is>
          <t>Sveaskog</t>
        </is>
      </c>
      <c r="G895" t="n">
        <v>3</v>
      </c>
      <c r="H895" t="n">
        <v>0</v>
      </c>
      <c r="I895" t="n">
        <v>0</v>
      </c>
      <c r="J895" t="n">
        <v>0</v>
      </c>
      <c r="K895" t="n">
        <v>0</v>
      </c>
      <c r="L895" t="n">
        <v>0</v>
      </c>
      <c r="M895" t="n">
        <v>0</v>
      </c>
      <c r="N895" t="n">
        <v>0</v>
      </c>
      <c r="O895" t="n">
        <v>0</v>
      </c>
      <c r="P895" t="n">
        <v>0</v>
      </c>
      <c r="Q895" t="n">
        <v>0</v>
      </c>
      <c r="R895" s="2" t="inlineStr"/>
    </row>
    <row r="896" ht="15" customHeight="1">
      <c r="A896" t="inlineStr">
        <is>
          <t>A 68137-2020</t>
        </is>
      </c>
      <c r="B896" s="1" t="n">
        <v>44183</v>
      </c>
      <c r="C896" s="1" t="n">
        <v>45911</v>
      </c>
      <c r="D896" t="inlineStr">
        <is>
          <t>GÄVLEBORGS LÄN</t>
        </is>
      </c>
      <c r="E896" t="inlineStr">
        <is>
          <t>HUDIKSVALL</t>
        </is>
      </c>
      <c r="F896" t="inlineStr">
        <is>
          <t>Holmen skog AB</t>
        </is>
      </c>
      <c r="G896" t="n">
        <v>3.4</v>
      </c>
      <c r="H896" t="n">
        <v>0</v>
      </c>
      <c r="I896" t="n">
        <v>0</v>
      </c>
      <c r="J896" t="n">
        <v>0</v>
      </c>
      <c r="K896" t="n">
        <v>0</v>
      </c>
      <c r="L896" t="n">
        <v>0</v>
      </c>
      <c r="M896" t="n">
        <v>0</v>
      </c>
      <c r="N896" t="n">
        <v>0</v>
      </c>
      <c r="O896" t="n">
        <v>0</v>
      </c>
      <c r="P896" t="n">
        <v>0</v>
      </c>
      <c r="Q896" t="n">
        <v>0</v>
      </c>
      <c r="R896" s="2" t="inlineStr"/>
    </row>
    <row r="897" ht="15" customHeight="1">
      <c r="A897" t="inlineStr">
        <is>
          <t>A 66995-2020</t>
        </is>
      </c>
      <c r="B897" s="1" t="n">
        <v>44180</v>
      </c>
      <c r="C897" s="1" t="n">
        <v>45911</v>
      </c>
      <c r="D897" t="inlineStr">
        <is>
          <t>GÄVLEBORGS LÄN</t>
        </is>
      </c>
      <c r="E897" t="inlineStr">
        <is>
          <t>HUDIKSVALL</t>
        </is>
      </c>
      <c r="F897" t="inlineStr">
        <is>
          <t>Holmen skog AB</t>
        </is>
      </c>
      <c r="G897" t="n">
        <v>2.2</v>
      </c>
      <c r="H897" t="n">
        <v>0</v>
      </c>
      <c r="I897" t="n">
        <v>0</v>
      </c>
      <c r="J897" t="n">
        <v>0</v>
      </c>
      <c r="K897" t="n">
        <v>0</v>
      </c>
      <c r="L897" t="n">
        <v>0</v>
      </c>
      <c r="M897" t="n">
        <v>0</v>
      </c>
      <c r="N897" t="n">
        <v>0</v>
      </c>
      <c r="O897" t="n">
        <v>0</v>
      </c>
      <c r="P897" t="n">
        <v>0</v>
      </c>
      <c r="Q897" t="n">
        <v>0</v>
      </c>
      <c r="R897" s="2" t="inlineStr"/>
    </row>
    <row r="898" ht="15" customHeight="1">
      <c r="A898" t="inlineStr">
        <is>
          <t>A 50689-2020</t>
        </is>
      </c>
      <c r="B898" s="1" t="n">
        <v>44111</v>
      </c>
      <c r="C898" s="1" t="n">
        <v>45911</v>
      </c>
      <c r="D898" t="inlineStr">
        <is>
          <t>GÄVLEBORGS LÄN</t>
        </is>
      </c>
      <c r="E898" t="inlineStr">
        <is>
          <t>LJUSDAL</t>
        </is>
      </c>
      <c r="F898" t="inlineStr">
        <is>
          <t>Sveaskog</t>
        </is>
      </c>
      <c r="G898" t="n">
        <v>0.8</v>
      </c>
      <c r="H898" t="n">
        <v>0</v>
      </c>
      <c r="I898" t="n">
        <v>0</v>
      </c>
      <c r="J898" t="n">
        <v>0</v>
      </c>
      <c r="K898" t="n">
        <v>0</v>
      </c>
      <c r="L898" t="n">
        <v>0</v>
      </c>
      <c r="M898" t="n">
        <v>0</v>
      </c>
      <c r="N898" t="n">
        <v>0</v>
      </c>
      <c r="O898" t="n">
        <v>0</v>
      </c>
      <c r="P898" t="n">
        <v>0</v>
      </c>
      <c r="Q898" t="n">
        <v>0</v>
      </c>
      <c r="R898" s="2" t="inlineStr"/>
    </row>
    <row r="899" ht="15" customHeight="1">
      <c r="A899" t="inlineStr">
        <is>
          <t>A 44574-2020</t>
        </is>
      </c>
      <c r="B899" s="1" t="n">
        <v>44085</v>
      </c>
      <c r="C899" s="1" t="n">
        <v>45911</v>
      </c>
      <c r="D899" t="inlineStr">
        <is>
          <t>GÄVLEBORGS LÄN</t>
        </is>
      </c>
      <c r="E899" t="inlineStr">
        <is>
          <t>HUDIKSVALL</t>
        </is>
      </c>
      <c r="G899" t="n">
        <v>1</v>
      </c>
      <c r="H899" t="n">
        <v>0</v>
      </c>
      <c r="I899" t="n">
        <v>0</v>
      </c>
      <c r="J899" t="n">
        <v>0</v>
      </c>
      <c r="K899" t="n">
        <v>0</v>
      </c>
      <c r="L899" t="n">
        <v>0</v>
      </c>
      <c r="M899" t="n">
        <v>0</v>
      </c>
      <c r="N899" t="n">
        <v>0</v>
      </c>
      <c r="O899" t="n">
        <v>0</v>
      </c>
      <c r="P899" t="n">
        <v>0</v>
      </c>
      <c r="Q899" t="n">
        <v>0</v>
      </c>
      <c r="R899" s="2" t="inlineStr"/>
    </row>
    <row r="900" ht="15" customHeight="1">
      <c r="A900" t="inlineStr">
        <is>
          <t>A 65806-2020</t>
        </is>
      </c>
      <c r="B900" s="1" t="n">
        <v>44174.59891203704</v>
      </c>
      <c r="C900" s="1" t="n">
        <v>45911</v>
      </c>
      <c r="D900" t="inlineStr">
        <is>
          <t>GÄVLEBORGS LÄN</t>
        </is>
      </c>
      <c r="E900" t="inlineStr">
        <is>
          <t>OVANÅKER</t>
        </is>
      </c>
      <c r="G900" t="n">
        <v>1</v>
      </c>
      <c r="H900" t="n">
        <v>0</v>
      </c>
      <c r="I900" t="n">
        <v>0</v>
      </c>
      <c r="J900" t="n">
        <v>0</v>
      </c>
      <c r="K900" t="n">
        <v>0</v>
      </c>
      <c r="L900" t="n">
        <v>0</v>
      </c>
      <c r="M900" t="n">
        <v>0</v>
      </c>
      <c r="N900" t="n">
        <v>0</v>
      </c>
      <c r="O900" t="n">
        <v>0</v>
      </c>
      <c r="P900" t="n">
        <v>0</v>
      </c>
      <c r="Q900" t="n">
        <v>0</v>
      </c>
      <c r="R900" s="2" t="inlineStr"/>
    </row>
    <row r="901" ht="15" customHeight="1">
      <c r="A901" t="inlineStr">
        <is>
          <t>A 47452-2020</t>
        </is>
      </c>
      <c r="B901" s="1" t="n">
        <v>44097</v>
      </c>
      <c r="C901" s="1" t="n">
        <v>45911</v>
      </c>
      <c r="D901" t="inlineStr">
        <is>
          <t>GÄVLEBORGS LÄN</t>
        </is>
      </c>
      <c r="E901" t="inlineStr">
        <is>
          <t>SANDVIKEN</t>
        </is>
      </c>
      <c r="F901" t="inlineStr">
        <is>
          <t>Sveaskog</t>
        </is>
      </c>
      <c r="G901" t="n">
        <v>6.1</v>
      </c>
      <c r="H901" t="n">
        <v>0</v>
      </c>
      <c r="I901" t="n">
        <v>0</v>
      </c>
      <c r="J901" t="n">
        <v>0</v>
      </c>
      <c r="K901" t="n">
        <v>0</v>
      </c>
      <c r="L901" t="n">
        <v>0</v>
      </c>
      <c r="M901" t="n">
        <v>0</v>
      </c>
      <c r="N901" t="n">
        <v>0</v>
      </c>
      <c r="O901" t="n">
        <v>0</v>
      </c>
      <c r="P901" t="n">
        <v>0</v>
      </c>
      <c r="Q901" t="n">
        <v>0</v>
      </c>
      <c r="R901" s="2" t="inlineStr"/>
    </row>
    <row r="902" ht="15" customHeight="1">
      <c r="A902" t="inlineStr">
        <is>
          <t>A 26940-2022</t>
        </is>
      </c>
      <c r="B902" s="1" t="n">
        <v>44740</v>
      </c>
      <c r="C902" s="1" t="n">
        <v>45911</v>
      </c>
      <c r="D902" t="inlineStr">
        <is>
          <t>GÄVLEBORGS LÄN</t>
        </is>
      </c>
      <c r="E902" t="inlineStr">
        <is>
          <t>SÖDERHAMN</t>
        </is>
      </c>
      <c r="G902" t="n">
        <v>0.3</v>
      </c>
      <c r="H902" t="n">
        <v>0</v>
      </c>
      <c r="I902" t="n">
        <v>0</v>
      </c>
      <c r="J902" t="n">
        <v>0</v>
      </c>
      <c r="K902" t="n">
        <v>0</v>
      </c>
      <c r="L902" t="n">
        <v>0</v>
      </c>
      <c r="M902" t="n">
        <v>0</v>
      </c>
      <c r="N902" t="n">
        <v>0</v>
      </c>
      <c r="O902" t="n">
        <v>0</v>
      </c>
      <c r="P902" t="n">
        <v>0</v>
      </c>
      <c r="Q902" t="n">
        <v>0</v>
      </c>
      <c r="R902" s="2" t="inlineStr"/>
    </row>
    <row r="903" ht="15" customHeight="1">
      <c r="A903" t="inlineStr">
        <is>
          <t>A 51809-2021</t>
        </is>
      </c>
      <c r="B903" s="1" t="n">
        <v>44462.64712962963</v>
      </c>
      <c r="C903" s="1" t="n">
        <v>45911</v>
      </c>
      <c r="D903" t="inlineStr">
        <is>
          <t>GÄVLEBORGS LÄN</t>
        </is>
      </c>
      <c r="E903" t="inlineStr">
        <is>
          <t>GÄVLE</t>
        </is>
      </c>
      <c r="G903" t="n">
        <v>2.3</v>
      </c>
      <c r="H903" t="n">
        <v>0</v>
      </c>
      <c r="I903" t="n">
        <v>0</v>
      </c>
      <c r="J903" t="n">
        <v>0</v>
      </c>
      <c r="K903" t="n">
        <v>0</v>
      </c>
      <c r="L903" t="n">
        <v>0</v>
      </c>
      <c r="M903" t="n">
        <v>0</v>
      </c>
      <c r="N903" t="n">
        <v>0</v>
      </c>
      <c r="O903" t="n">
        <v>0</v>
      </c>
      <c r="P903" t="n">
        <v>0</v>
      </c>
      <c r="Q903" t="n">
        <v>0</v>
      </c>
      <c r="R903" s="2" t="inlineStr"/>
    </row>
    <row r="904" ht="15" customHeight="1">
      <c r="A904" t="inlineStr">
        <is>
          <t>A 7425-2021</t>
        </is>
      </c>
      <c r="B904" s="1" t="n">
        <v>44239</v>
      </c>
      <c r="C904" s="1" t="n">
        <v>45911</v>
      </c>
      <c r="D904" t="inlineStr">
        <is>
          <t>GÄVLEBORGS LÄN</t>
        </is>
      </c>
      <c r="E904" t="inlineStr">
        <is>
          <t>OCKELBO</t>
        </is>
      </c>
      <c r="F904" t="inlineStr">
        <is>
          <t>Bergvik skog väst AB</t>
        </is>
      </c>
      <c r="G904" t="n">
        <v>5.7</v>
      </c>
      <c r="H904" t="n">
        <v>0</v>
      </c>
      <c r="I904" t="n">
        <v>0</v>
      </c>
      <c r="J904" t="n">
        <v>0</v>
      </c>
      <c r="K904" t="n">
        <v>0</v>
      </c>
      <c r="L904" t="n">
        <v>0</v>
      </c>
      <c r="M904" t="n">
        <v>0</v>
      </c>
      <c r="N904" t="n">
        <v>0</v>
      </c>
      <c r="O904" t="n">
        <v>0</v>
      </c>
      <c r="P904" t="n">
        <v>0</v>
      </c>
      <c r="Q904" t="n">
        <v>0</v>
      </c>
      <c r="R904" s="2" t="inlineStr"/>
    </row>
    <row r="905" ht="15" customHeight="1">
      <c r="A905" t="inlineStr">
        <is>
          <t>A 4421-2021</t>
        </is>
      </c>
      <c r="B905" s="1" t="n">
        <v>44224</v>
      </c>
      <c r="C905" s="1" t="n">
        <v>45911</v>
      </c>
      <c r="D905" t="inlineStr">
        <is>
          <t>GÄVLEBORGS LÄN</t>
        </is>
      </c>
      <c r="E905" t="inlineStr">
        <is>
          <t>BOLLNÄS</t>
        </is>
      </c>
      <c r="G905" t="n">
        <v>1.4</v>
      </c>
      <c r="H905" t="n">
        <v>0</v>
      </c>
      <c r="I905" t="n">
        <v>0</v>
      </c>
      <c r="J905" t="n">
        <v>0</v>
      </c>
      <c r="K905" t="n">
        <v>0</v>
      </c>
      <c r="L905" t="n">
        <v>0</v>
      </c>
      <c r="M905" t="n">
        <v>0</v>
      </c>
      <c r="N905" t="n">
        <v>0</v>
      </c>
      <c r="O905" t="n">
        <v>0</v>
      </c>
      <c r="P905" t="n">
        <v>0</v>
      </c>
      <c r="Q905" t="n">
        <v>0</v>
      </c>
      <c r="R905" s="2" t="inlineStr"/>
    </row>
    <row r="906" ht="15" customHeight="1">
      <c r="A906" t="inlineStr">
        <is>
          <t>A 59910-2020</t>
        </is>
      </c>
      <c r="B906" s="1" t="n">
        <v>44151</v>
      </c>
      <c r="C906" s="1" t="n">
        <v>45911</v>
      </c>
      <c r="D906" t="inlineStr">
        <is>
          <t>GÄVLEBORGS LÄN</t>
        </is>
      </c>
      <c r="E906" t="inlineStr">
        <is>
          <t>BOLLNÄS</t>
        </is>
      </c>
      <c r="G906" t="n">
        <v>1.5</v>
      </c>
      <c r="H906" t="n">
        <v>0</v>
      </c>
      <c r="I906" t="n">
        <v>0</v>
      </c>
      <c r="J906" t="n">
        <v>0</v>
      </c>
      <c r="K906" t="n">
        <v>0</v>
      </c>
      <c r="L906" t="n">
        <v>0</v>
      </c>
      <c r="M906" t="n">
        <v>0</v>
      </c>
      <c r="N906" t="n">
        <v>0</v>
      </c>
      <c r="O906" t="n">
        <v>0</v>
      </c>
      <c r="P906" t="n">
        <v>0</v>
      </c>
      <c r="Q906" t="n">
        <v>0</v>
      </c>
      <c r="R906" s="2" t="inlineStr"/>
    </row>
    <row r="907" ht="15" customHeight="1">
      <c r="A907" t="inlineStr">
        <is>
          <t>A 15824-2021</t>
        </is>
      </c>
      <c r="B907" s="1" t="n">
        <v>44286</v>
      </c>
      <c r="C907" s="1" t="n">
        <v>45911</v>
      </c>
      <c r="D907" t="inlineStr">
        <is>
          <t>GÄVLEBORGS LÄN</t>
        </is>
      </c>
      <c r="E907" t="inlineStr">
        <is>
          <t>GÄVLE</t>
        </is>
      </c>
      <c r="F907" t="inlineStr">
        <is>
          <t>Bergvik skog väst AB</t>
        </is>
      </c>
      <c r="G907" t="n">
        <v>3.9</v>
      </c>
      <c r="H907" t="n">
        <v>0</v>
      </c>
      <c r="I907" t="n">
        <v>0</v>
      </c>
      <c r="J907" t="n">
        <v>0</v>
      </c>
      <c r="K907" t="n">
        <v>0</v>
      </c>
      <c r="L907" t="n">
        <v>0</v>
      </c>
      <c r="M907" t="n">
        <v>0</v>
      </c>
      <c r="N907" t="n">
        <v>0</v>
      </c>
      <c r="O907" t="n">
        <v>0</v>
      </c>
      <c r="P907" t="n">
        <v>0</v>
      </c>
      <c r="Q907" t="n">
        <v>0</v>
      </c>
      <c r="R907" s="2" t="inlineStr"/>
    </row>
    <row r="908" ht="15" customHeight="1">
      <c r="A908" t="inlineStr">
        <is>
          <t>A 46352-2020</t>
        </is>
      </c>
      <c r="B908" s="1" t="n">
        <v>44092</v>
      </c>
      <c r="C908" s="1" t="n">
        <v>45911</v>
      </c>
      <c r="D908" t="inlineStr">
        <is>
          <t>GÄVLEBORGS LÄN</t>
        </is>
      </c>
      <c r="E908" t="inlineStr">
        <is>
          <t>HUDIKSVALL</t>
        </is>
      </c>
      <c r="G908" t="n">
        <v>0.9</v>
      </c>
      <c r="H908" t="n">
        <v>0</v>
      </c>
      <c r="I908" t="n">
        <v>0</v>
      </c>
      <c r="J908" t="n">
        <v>0</v>
      </c>
      <c r="K908" t="n">
        <v>0</v>
      </c>
      <c r="L908" t="n">
        <v>0</v>
      </c>
      <c r="M908" t="n">
        <v>0</v>
      </c>
      <c r="N908" t="n">
        <v>0</v>
      </c>
      <c r="O908" t="n">
        <v>0</v>
      </c>
      <c r="P908" t="n">
        <v>0</v>
      </c>
      <c r="Q908" t="n">
        <v>0</v>
      </c>
      <c r="R908" s="2" t="inlineStr"/>
    </row>
    <row r="909" ht="15" customHeight="1">
      <c r="A909" t="inlineStr">
        <is>
          <t>A 66274-2020</t>
        </is>
      </c>
      <c r="B909" s="1" t="n">
        <v>44176</v>
      </c>
      <c r="C909" s="1" t="n">
        <v>45911</v>
      </c>
      <c r="D909" t="inlineStr">
        <is>
          <t>GÄVLEBORGS LÄN</t>
        </is>
      </c>
      <c r="E909" t="inlineStr">
        <is>
          <t>OCKELBO</t>
        </is>
      </c>
      <c r="G909" t="n">
        <v>5.4</v>
      </c>
      <c r="H909" t="n">
        <v>0</v>
      </c>
      <c r="I909" t="n">
        <v>0</v>
      </c>
      <c r="J909" t="n">
        <v>0</v>
      </c>
      <c r="K909" t="n">
        <v>0</v>
      </c>
      <c r="L909" t="n">
        <v>0</v>
      </c>
      <c r="M909" t="n">
        <v>0</v>
      </c>
      <c r="N909" t="n">
        <v>0</v>
      </c>
      <c r="O909" t="n">
        <v>0</v>
      </c>
      <c r="P909" t="n">
        <v>0</v>
      </c>
      <c r="Q909" t="n">
        <v>0</v>
      </c>
      <c r="R909" s="2" t="inlineStr"/>
    </row>
    <row r="910" ht="15" customHeight="1">
      <c r="A910" t="inlineStr">
        <is>
          <t>A 65842-2020</t>
        </is>
      </c>
      <c r="B910" s="1" t="n">
        <v>44174</v>
      </c>
      <c r="C910" s="1" t="n">
        <v>45911</v>
      </c>
      <c r="D910" t="inlineStr">
        <is>
          <t>GÄVLEBORGS LÄN</t>
        </is>
      </c>
      <c r="E910" t="inlineStr">
        <is>
          <t>NORDANSTIG</t>
        </is>
      </c>
      <c r="G910" t="n">
        <v>3.1</v>
      </c>
      <c r="H910" t="n">
        <v>0</v>
      </c>
      <c r="I910" t="n">
        <v>0</v>
      </c>
      <c r="J910" t="n">
        <v>0</v>
      </c>
      <c r="K910" t="n">
        <v>0</v>
      </c>
      <c r="L910" t="n">
        <v>0</v>
      </c>
      <c r="M910" t="n">
        <v>0</v>
      </c>
      <c r="N910" t="n">
        <v>0</v>
      </c>
      <c r="O910" t="n">
        <v>0</v>
      </c>
      <c r="P910" t="n">
        <v>0</v>
      </c>
      <c r="Q910" t="n">
        <v>0</v>
      </c>
      <c r="R910" s="2" t="inlineStr"/>
    </row>
    <row r="911" ht="15" customHeight="1">
      <c r="A911" t="inlineStr">
        <is>
          <t>A 33568-2022</t>
        </is>
      </c>
      <c r="B911" s="1" t="n">
        <v>44789.41236111111</v>
      </c>
      <c r="C911" s="1" t="n">
        <v>45911</v>
      </c>
      <c r="D911" t="inlineStr">
        <is>
          <t>GÄVLEBORGS LÄN</t>
        </is>
      </c>
      <c r="E911" t="inlineStr">
        <is>
          <t>LJUSDAL</t>
        </is>
      </c>
      <c r="F911" t="inlineStr">
        <is>
          <t>Bergvik skog väst AB</t>
        </is>
      </c>
      <c r="G911" t="n">
        <v>1.1</v>
      </c>
      <c r="H911" t="n">
        <v>0</v>
      </c>
      <c r="I911" t="n">
        <v>0</v>
      </c>
      <c r="J911" t="n">
        <v>0</v>
      </c>
      <c r="K911" t="n">
        <v>0</v>
      </c>
      <c r="L911" t="n">
        <v>0</v>
      </c>
      <c r="M911" t="n">
        <v>0</v>
      </c>
      <c r="N911" t="n">
        <v>0</v>
      </c>
      <c r="O911" t="n">
        <v>0</v>
      </c>
      <c r="P911" t="n">
        <v>0</v>
      </c>
      <c r="Q911" t="n">
        <v>0</v>
      </c>
      <c r="R911" s="2" t="inlineStr"/>
    </row>
    <row r="912" ht="15" customHeight="1">
      <c r="A912" t="inlineStr">
        <is>
          <t>A 45652-2020</t>
        </is>
      </c>
      <c r="B912" s="1" t="n">
        <v>44090.48449074074</v>
      </c>
      <c r="C912" s="1" t="n">
        <v>45911</v>
      </c>
      <c r="D912" t="inlineStr">
        <is>
          <t>GÄVLEBORGS LÄN</t>
        </is>
      </c>
      <c r="E912" t="inlineStr">
        <is>
          <t>BOLLNÄS</t>
        </is>
      </c>
      <c r="G912" t="n">
        <v>1</v>
      </c>
      <c r="H912" t="n">
        <v>0</v>
      </c>
      <c r="I912" t="n">
        <v>0</v>
      </c>
      <c r="J912" t="n">
        <v>0</v>
      </c>
      <c r="K912" t="n">
        <v>0</v>
      </c>
      <c r="L912" t="n">
        <v>0</v>
      </c>
      <c r="M912" t="n">
        <v>0</v>
      </c>
      <c r="N912" t="n">
        <v>0</v>
      </c>
      <c r="O912" t="n">
        <v>0</v>
      </c>
      <c r="P912" t="n">
        <v>0</v>
      </c>
      <c r="Q912" t="n">
        <v>0</v>
      </c>
      <c r="R912" s="2" t="inlineStr"/>
    </row>
    <row r="913" ht="15" customHeight="1">
      <c r="A913" t="inlineStr">
        <is>
          <t>A 55314-2021</t>
        </is>
      </c>
      <c r="B913" s="1" t="n">
        <v>44475</v>
      </c>
      <c r="C913" s="1" t="n">
        <v>45911</v>
      </c>
      <c r="D913" t="inlineStr">
        <is>
          <t>GÄVLEBORGS LÄN</t>
        </is>
      </c>
      <c r="E913" t="inlineStr">
        <is>
          <t>NORDANSTIG</t>
        </is>
      </c>
      <c r="F913" t="inlineStr">
        <is>
          <t>Holmen skog AB</t>
        </is>
      </c>
      <c r="G913" t="n">
        <v>8.199999999999999</v>
      </c>
      <c r="H913" t="n">
        <v>0</v>
      </c>
      <c r="I913" t="n">
        <v>0</v>
      </c>
      <c r="J913" t="n">
        <v>0</v>
      </c>
      <c r="K913" t="n">
        <v>0</v>
      </c>
      <c r="L913" t="n">
        <v>0</v>
      </c>
      <c r="M913" t="n">
        <v>0</v>
      </c>
      <c r="N913" t="n">
        <v>0</v>
      </c>
      <c r="O913" t="n">
        <v>0</v>
      </c>
      <c r="P913" t="n">
        <v>0</v>
      </c>
      <c r="Q913" t="n">
        <v>0</v>
      </c>
      <c r="R913" s="2" t="inlineStr"/>
    </row>
    <row r="914" ht="15" customHeight="1">
      <c r="A914" t="inlineStr">
        <is>
          <t>A 51828-2020</t>
        </is>
      </c>
      <c r="B914" s="1" t="n">
        <v>44116</v>
      </c>
      <c r="C914" s="1" t="n">
        <v>45911</v>
      </c>
      <c r="D914" t="inlineStr">
        <is>
          <t>GÄVLEBORGS LÄN</t>
        </is>
      </c>
      <c r="E914" t="inlineStr">
        <is>
          <t>SANDVIKEN</t>
        </is>
      </c>
      <c r="G914" t="n">
        <v>2.4</v>
      </c>
      <c r="H914" t="n">
        <v>0</v>
      </c>
      <c r="I914" t="n">
        <v>0</v>
      </c>
      <c r="J914" t="n">
        <v>0</v>
      </c>
      <c r="K914" t="n">
        <v>0</v>
      </c>
      <c r="L914" t="n">
        <v>0</v>
      </c>
      <c r="M914" t="n">
        <v>0</v>
      </c>
      <c r="N914" t="n">
        <v>0</v>
      </c>
      <c r="O914" t="n">
        <v>0</v>
      </c>
      <c r="P914" t="n">
        <v>0</v>
      </c>
      <c r="Q914" t="n">
        <v>0</v>
      </c>
      <c r="R914" s="2" t="inlineStr"/>
    </row>
    <row r="915" ht="15" customHeight="1">
      <c r="A915" t="inlineStr">
        <is>
          <t>A 55336-2021</t>
        </is>
      </c>
      <c r="B915" s="1" t="n">
        <v>44475</v>
      </c>
      <c r="C915" s="1" t="n">
        <v>45911</v>
      </c>
      <c r="D915" t="inlineStr">
        <is>
          <t>GÄVLEBORGS LÄN</t>
        </is>
      </c>
      <c r="E915" t="inlineStr">
        <is>
          <t>HUDIKSVALL</t>
        </is>
      </c>
      <c r="G915" t="n">
        <v>2.5</v>
      </c>
      <c r="H915" t="n">
        <v>0</v>
      </c>
      <c r="I915" t="n">
        <v>0</v>
      </c>
      <c r="J915" t="n">
        <v>0</v>
      </c>
      <c r="K915" t="n">
        <v>0</v>
      </c>
      <c r="L915" t="n">
        <v>0</v>
      </c>
      <c r="M915" t="n">
        <v>0</v>
      </c>
      <c r="N915" t="n">
        <v>0</v>
      </c>
      <c r="O915" t="n">
        <v>0</v>
      </c>
      <c r="P915" t="n">
        <v>0</v>
      </c>
      <c r="Q915" t="n">
        <v>0</v>
      </c>
      <c r="R915" s="2" t="inlineStr"/>
    </row>
    <row r="916" ht="15" customHeight="1">
      <c r="A916" t="inlineStr">
        <is>
          <t>A 68245-2021</t>
        </is>
      </c>
      <c r="B916" s="1" t="n">
        <v>44526.60260416667</v>
      </c>
      <c r="C916" s="1" t="n">
        <v>45911</v>
      </c>
      <c r="D916" t="inlineStr">
        <is>
          <t>GÄVLEBORGS LÄN</t>
        </is>
      </c>
      <c r="E916" t="inlineStr">
        <is>
          <t>OVANÅKER</t>
        </is>
      </c>
      <c r="G916" t="n">
        <v>0.6</v>
      </c>
      <c r="H916" t="n">
        <v>0</v>
      </c>
      <c r="I916" t="n">
        <v>0</v>
      </c>
      <c r="J916" t="n">
        <v>0</v>
      </c>
      <c r="K916" t="n">
        <v>0</v>
      </c>
      <c r="L916" t="n">
        <v>0</v>
      </c>
      <c r="M916" t="n">
        <v>0</v>
      </c>
      <c r="N916" t="n">
        <v>0</v>
      </c>
      <c r="O916" t="n">
        <v>0</v>
      </c>
      <c r="P916" t="n">
        <v>0</v>
      </c>
      <c r="Q916" t="n">
        <v>0</v>
      </c>
      <c r="R916" s="2" t="inlineStr"/>
    </row>
    <row r="917" ht="15" customHeight="1">
      <c r="A917" t="inlineStr">
        <is>
          <t>A 68791-2020</t>
        </is>
      </c>
      <c r="B917" s="1" t="n">
        <v>44187</v>
      </c>
      <c r="C917" s="1" t="n">
        <v>45911</v>
      </c>
      <c r="D917" t="inlineStr">
        <is>
          <t>GÄVLEBORGS LÄN</t>
        </is>
      </c>
      <c r="E917" t="inlineStr">
        <is>
          <t>SANDVIKEN</t>
        </is>
      </c>
      <c r="G917" t="n">
        <v>0.8</v>
      </c>
      <c r="H917" t="n">
        <v>0</v>
      </c>
      <c r="I917" t="n">
        <v>0</v>
      </c>
      <c r="J917" t="n">
        <v>0</v>
      </c>
      <c r="K917" t="n">
        <v>0</v>
      </c>
      <c r="L917" t="n">
        <v>0</v>
      </c>
      <c r="M917" t="n">
        <v>0</v>
      </c>
      <c r="N917" t="n">
        <v>0</v>
      </c>
      <c r="O917" t="n">
        <v>0</v>
      </c>
      <c r="P917" t="n">
        <v>0</v>
      </c>
      <c r="Q917" t="n">
        <v>0</v>
      </c>
      <c r="R917" s="2" t="inlineStr"/>
    </row>
    <row r="918" ht="15" customHeight="1">
      <c r="A918" t="inlineStr">
        <is>
          <t>A 48432-2020</t>
        </is>
      </c>
      <c r="B918" s="1" t="n">
        <v>44102</v>
      </c>
      <c r="C918" s="1" t="n">
        <v>45911</v>
      </c>
      <c r="D918" t="inlineStr">
        <is>
          <t>GÄVLEBORGS LÄN</t>
        </is>
      </c>
      <c r="E918" t="inlineStr">
        <is>
          <t>HUDIKSVALL</t>
        </is>
      </c>
      <c r="G918" t="n">
        <v>4</v>
      </c>
      <c r="H918" t="n">
        <v>0</v>
      </c>
      <c r="I918" t="n">
        <v>0</v>
      </c>
      <c r="J918" t="n">
        <v>0</v>
      </c>
      <c r="K918" t="n">
        <v>0</v>
      </c>
      <c r="L918" t="n">
        <v>0</v>
      </c>
      <c r="M918" t="n">
        <v>0</v>
      </c>
      <c r="N918" t="n">
        <v>0</v>
      </c>
      <c r="O918" t="n">
        <v>0</v>
      </c>
      <c r="P918" t="n">
        <v>0</v>
      </c>
      <c r="Q918" t="n">
        <v>0</v>
      </c>
      <c r="R918" s="2" t="inlineStr"/>
    </row>
    <row r="919" ht="15" customHeight="1">
      <c r="A919" t="inlineStr">
        <is>
          <t>A 60720-2020</t>
        </is>
      </c>
      <c r="B919" s="1" t="n">
        <v>44153</v>
      </c>
      <c r="C919" s="1" t="n">
        <v>45911</v>
      </c>
      <c r="D919" t="inlineStr">
        <is>
          <t>GÄVLEBORGS LÄN</t>
        </is>
      </c>
      <c r="E919" t="inlineStr">
        <is>
          <t>BOLLNÄS</t>
        </is>
      </c>
      <c r="F919" t="inlineStr">
        <is>
          <t>Kommuner</t>
        </is>
      </c>
      <c r="G919" t="n">
        <v>4.3</v>
      </c>
      <c r="H919" t="n">
        <v>0</v>
      </c>
      <c r="I919" t="n">
        <v>0</v>
      </c>
      <c r="J919" t="n">
        <v>0</v>
      </c>
      <c r="K919" t="n">
        <v>0</v>
      </c>
      <c r="L919" t="n">
        <v>0</v>
      </c>
      <c r="M919" t="n">
        <v>0</v>
      </c>
      <c r="N919" t="n">
        <v>0</v>
      </c>
      <c r="O919" t="n">
        <v>0</v>
      </c>
      <c r="P919" t="n">
        <v>0</v>
      </c>
      <c r="Q919" t="n">
        <v>0</v>
      </c>
      <c r="R919" s="2" t="inlineStr"/>
    </row>
    <row r="920" ht="15" customHeight="1">
      <c r="A920" t="inlineStr">
        <is>
          <t>A 60743-2020</t>
        </is>
      </c>
      <c r="B920" s="1" t="n">
        <v>44153</v>
      </c>
      <c r="C920" s="1" t="n">
        <v>45911</v>
      </c>
      <c r="D920" t="inlineStr">
        <is>
          <t>GÄVLEBORGS LÄN</t>
        </is>
      </c>
      <c r="E920" t="inlineStr">
        <is>
          <t>OVANÅKER</t>
        </is>
      </c>
      <c r="G920" t="n">
        <v>0.7</v>
      </c>
      <c r="H920" t="n">
        <v>0</v>
      </c>
      <c r="I920" t="n">
        <v>0</v>
      </c>
      <c r="J920" t="n">
        <v>0</v>
      </c>
      <c r="K920" t="n">
        <v>0</v>
      </c>
      <c r="L920" t="n">
        <v>0</v>
      </c>
      <c r="M920" t="n">
        <v>0</v>
      </c>
      <c r="N920" t="n">
        <v>0</v>
      </c>
      <c r="O920" t="n">
        <v>0</v>
      </c>
      <c r="P920" t="n">
        <v>0</v>
      </c>
      <c r="Q920" t="n">
        <v>0</v>
      </c>
      <c r="R920" s="2" t="inlineStr"/>
    </row>
    <row r="921" ht="15" customHeight="1">
      <c r="A921" t="inlineStr">
        <is>
          <t>A 6983-2021</t>
        </is>
      </c>
      <c r="B921" s="1" t="n">
        <v>44237</v>
      </c>
      <c r="C921" s="1" t="n">
        <v>45911</v>
      </c>
      <c r="D921" t="inlineStr">
        <is>
          <t>GÄVLEBORGS LÄN</t>
        </is>
      </c>
      <c r="E921" t="inlineStr">
        <is>
          <t>NORDANSTIG</t>
        </is>
      </c>
      <c r="G921" t="n">
        <v>1.4</v>
      </c>
      <c r="H921" t="n">
        <v>0</v>
      </c>
      <c r="I921" t="n">
        <v>0</v>
      </c>
      <c r="J921" t="n">
        <v>0</v>
      </c>
      <c r="K921" t="n">
        <v>0</v>
      </c>
      <c r="L921" t="n">
        <v>0</v>
      </c>
      <c r="M921" t="n">
        <v>0</v>
      </c>
      <c r="N921" t="n">
        <v>0</v>
      </c>
      <c r="O921" t="n">
        <v>0</v>
      </c>
      <c r="P921" t="n">
        <v>0</v>
      </c>
      <c r="Q921" t="n">
        <v>0</v>
      </c>
      <c r="R921" s="2" t="inlineStr"/>
    </row>
    <row r="922" ht="15" customHeight="1">
      <c r="A922" t="inlineStr">
        <is>
          <t>A 237-2021</t>
        </is>
      </c>
      <c r="B922" s="1" t="n">
        <v>44200</v>
      </c>
      <c r="C922" s="1" t="n">
        <v>45911</v>
      </c>
      <c r="D922" t="inlineStr">
        <is>
          <t>GÄVLEBORGS LÄN</t>
        </is>
      </c>
      <c r="E922" t="inlineStr">
        <is>
          <t>SÖDERHAMN</t>
        </is>
      </c>
      <c r="G922" t="n">
        <v>2.8</v>
      </c>
      <c r="H922" t="n">
        <v>0</v>
      </c>
      <c r="I922" t="n">
        <v>0</v>
      </c>
      <c r="J922" t="n">
        <v>0</v>
      </c>
      <c r="K922" t="n">
        <v>0</v>
      </c>
      <c r="L922" t="n">
        <v>0</v>
      </c>
      <c r="M922" t="n">
        <v>0</v>
      </c>
      <c r="N922" t="n">
        <v>0</v>
      </c>
      <c r="O922" t="n">
        <v>0</v>
      </c>
      <c r="P922" t="n">
        <v>0</v>
      </c>
      <c r="Q922" t="n">
        <v>0</v>
      </c>
      <c r="R922" s="2" t="inlineStr"/>
    </row>
    <row r="923" ht="15" customHeight="1">
      <c r="A923" t="inlineStr">
        <is>
          <t>A 34939-2022</t>
        </is>
      </c>
      <c r="B923" s="1" t="n">
        <v>44796.62805555556</v>
      </c>
      <c r="C923" s="1" t="n">
        <v>45911</v>
      </c>
      <c r="D923" t="inlineStr">
        <is>
          <t>GÄVLEBORGS LÄN</t>
        </is>
      </c>
      <c r="E923" t="inlineStr">
        <is>
          <t>BOLLNÄS</t>
        </is>
      </c>
      <c r="G923" t="n">
        <v>0.9</v>
      </c>
      <c r="H923" t="n">
        <v>0</v>
      </c>
      <c r="I923" t="n">
        <v>0</v>
      </c>
      <c r="J923" t="n">
        <v>0</v>
      </c>
      <c r="K923" t="n">
        <v>0</v>
      </c>
      <c r="L923" t="n">
        <v>0</v>
      </c>
      <c r="M923" t="n">
        <v>0</v>
      </c>
      <c r="N923" t="n">
        <v>0</v>
      </c>
      <c r="O923" t="n">
        <v>0</v>
      </c>
      <c r="P923" t="n">
        <v>0</v>
      </c>
      <c r="Q923" t="n">
        <v>0</v>
      </c>
      <c r="R923" s="2" t="inlineStr"/>
    </row>
    <row r="924" ht="15" customHeight="1">
      <c r="A924" t="inlineStr">
        <is>
          <t>A 12226-2021</t>
        </is>
      </c>
      <c r="B924" s="1" t="n">
        <v>44266.68041666667</v>
      </c>
      <c r="C924" s="1" t="n">
        <v>45911</v>
      </c>
      <c r="D924" t="inlineStr">
        <is>
          <t>GÄVLEBORGS LÄN</t>
        </is>
      </c>
      <c r="E924" t="inlineStr">
        <is>
          <t>BOLLNÄS</t>
        </is>
      </c>
      <c r="G924" t="n">
        <v>3</v>
      </c>
      <c r="H924" t="n">
        <v>0</v>
      </c>
      <c r="I924" t="n">
        <v>0</v>
      </c>
      <c r="J924" t="n">
        <v>0</v>
      </c>
      <c r="K924" t="n">
        <v>0</v>
      </c>
      <c r="L924" t="n">
        <v>0</v>
      </c>
      <c r="M924" t="n">
        <v>0</v>
      </c>
      <c r="N924" t="n">
        <v>0</v>
      </c>
      <c r="O924" t="n">
        <v>0</v>
      </c>
      <c r="P924" t="n">
        <v>0</v>
      </c>
      <c r="Q924" t="n">
        <v>0</v>
      </c>
      <c r="R924" s="2" t="inlineStr"/>
    </row>
    <row r="925" ht="15" customHeight="1">
      <c r="A925" t="inlineStr">
        <is>
          <t>A 9738-2021</t>
        </is>
      </c>
      <c r="B925" s="1" t="n">
        <v>44252</v>
      </c>
      <c r="C925" s="1" t="n">
        <v>45911</v>
      </c>
      <c r="D925" t="inlineStr">
        <is>
          <t>GÄVLEBORGS LÄN</t>
        </is>
      </c>
      <c r="E925" t="inlineStr">
        <is>
          <t>GÄVLE</t>
        </is>
      </c>
      <c r="G925" t="n">
        <v>1</v>
      </c>
      <c r="H925" t="n">
        <v>0</v>
      </c>
      <c r="I925" t="n">
        <v>0</v>
      </c>
      <c r="J925" t="n">
        <v>0</v>
      </c>
      <c r="K925" t="n">
        <v>0</v>
      </c>
      <c r="L925" t="n">
        <v>0</v>
      </c>
      <c r="M925" t="n">
        <v>0</v>
      </c>
      <c r="N925" t="n">
        <v>0</v>
      </c>
      <c r="O925" t="n">
        <v>0</v>
      </c>
      <c r="P925" t="n">
        <v>0</v>
      </c>
      <c r="Q925" t="n">
        <v>0</v>
      </c>
      <c r="R925" s="2" t="inlineStr"/>
    </row>
    <row r="926" ht="15" customHeight="1">
      <c r="A926" t="inlineStr">
        <is>
          <t>A 2450-2021</t>
        </is>
      </c>
      <c r="B926" s="1" t="n">
        <v>44214</v>
      </c>
      <c r="C926" s="1" t="n">
        <v>45911</v>
      </c>
      <c r="D926" t="inlineStr">
        <is>
          <t>GÄVLEBORGS LÄN</t>
        </is>
      </c>
      <c r="E926" t="inlineStr">
        <is>
          <t>SÖDERHAMN</t>
        </is>
      </c>
      <c r="G926" t="n">
        <v>2.5</v>
      </c>
      <c r="H926" t="n">
        <v>0</v>
      </c>
      <c r="I926" t="n">
        <v>0</v>
      </c>
      <c r="J926" t="n">
        <v>0</v>
      </c>
      <c r="K926" t="n">
        <v>0</v>
      </c>
      <c r="L926" t="n">
        <v>0</v>
      </c>
      <c r="M926" t="n">
        <v>0</v>
      </c>
      <c r="N926" t="n">
        <v>0</v>
      </c>
      <c r="O926" t="n">
        <v>0</v>
      </c>
      <c r="P926" t="n">
        <v>0</v>
      </c>
      <c r="Q926" t="n">
        <v>0</v>
      </c>
      <c r="R926" s="2" t="inlineStr"/>
    </row>
    <row r="927" ht="15" customHeight="1">
      <c r="A927" t="inlineStr">
        <is>
          <t>A 16305-2021</t>
        </is>
      </c>
      <c r="B927" s="1" t="n">
        <v>44292</v>
      </c>
      <c r="C927" s="1" t="n">
        <v>45911</v>
      </c>
      <c r="D927" t="inlineStr">
        <is>
          <t>GÄVLEBORGS LÄN</t>
        </is>
      </c>
      <c r="E927" t="inlineStr">
        <is>
          <t>SÖDERHAMN</t>
        </is>
      </c>
      <c r="G927" t="n">
        <v>0.5</v>
      </c>
      <c r="H927" t="n">
        <v>0</v>
      </c>
      <c r="I927" t="n">
        <v>0</v>
      </c>
      <c r="J927" t="n">
        <v>0</v>
      </c>
      <c r="K927" t="n">
        <v>0</v>
      </c>
      <c r="L927" t="n">
        <v>0</v>
      </c>
      <c r="M927" t="n">
        <v>0</v>
      </c>
      <c r="N927" t="n">
        <v>0</v>
      </c>
      <c r="O927" t="n">
        <v>0</v>
      </c>
      <c r="P927" t="n">
        <v>0</v>
      </c>
      <c r="Q927" t="n">
        <v>0</v>
      </c>
      <c r="R927" s="2" t="inlineStr"/>
    </row>
    <row r="928" ht="15" customHeight="1">
      <c r="A928" t="inlineStr">
        <is>
          <t>A 70914-2021</t>
        </is>
      </c>
      <c r="B928" s="1" t="n">
        <v>44538.44221064815</v>
      </c>
      <c r="C928" s="1" t="n">
        <v>45911</v>
      </c>
      <c r="D928" t="inlineStr">
        <is>
          <t>GÄVLEBORGS LÄN</t>
        </is>
      </c>
      <c r="E928" t="inlineStr">
        <is>
          <t>BOLLNÄS</t>
        </is>
      </c>
      <c r="G928" t="n">
        <v>1.7</v>
      </c>
      <c r="H928" t="n">
        <v>0</v>
      </c>
      <c r="I928" t="n">
        <v>0</v>
      </c>
      <c r="J928" t="n">
        <v>0</v>
      </c>
      <c r="K928" t="n">
        <v>0</v>
      </c>
      <c r="L928" t="n">
        <v>0</v>
      </c>
      <c r="M928" t="n">
        <v>0</v>
      </c>
      <c r="N928" t="n">
        <v>0</v>
      </c>
      <c r="O928" t="n">
        <v>0</v>
      </c>
      <c r="P928" t="n">
        <v>0</v>
      </c>
      <c r="Q928" t="n">
        <v>0</v>
      </c>
      <c r="R928" s="2" t="inlineStr"/>
    </row>
    <row r="929" ht="15" customHeight="1">
      <c r="A929" t="inlineStr">
        <is>
          <t>A 50935-2021</t>
        </is>
      </c>
      <c r="B929" s="1" t="n">
        <v>44460</v>
      </c>
      <c r="C929" s="1" t="n">
        <v>45911</v>
      </c>
      <c r="D929" t="inlineStr">
        <is>
          <t>GÄVLEBORGS LÄN</t>
        </is>
      </c>
      <c r="E929" t="inlineStr">
        <is>
          <t>BOLLNÄS</t>
        </is>
      </c>
      <c r="G929" t="n">
        <v>3.1</v>
      </c>
      <c r="H929" t="n">
        <v>0</v>
      </c>
      <c r="I929" t="n">
        <v>0</v>
      </c>
      <c r="J929" t="n">
        <v>0</v>
      </c>
      <c r="K929" t="n">
        <v>0</v>
      </c>
      <c r="L929" t="n">
        <v>0</v>
      </c>
      <c r="M929" t="n">
        <v>0</v>
      </c>
      <c r="N929" t="n">
        <v>0</v>
      </c>
      <c r="O929" t="n">
        <v>0</v>
      </c>
      <c r="P929" t="n">
        <v>0</v>
      </c>
      <c r="Q929" t="n">
        <v>0</v>
      </c>
      <c r="R929" s="2" t="inlineStr"/>
    </row>
    <row r="930" ht="15" customHeight="1">
      <c r="A930" t="inlineStr">
        <is>
          <t>A 44777-2020</t>
        </is>
      </c>
      <c r="B930" s="1" t="n">
        <v>44085</v>
      </c>
      <c r="C930" s="1" t="n">
        <v>45911</v>
      </c>
      <c r="D930" t="inlineStr">
        <is>
          <t>GÄVLEBORGS LÄN</t>
        </is>
      </c>
      <c r="E930" t="inlineStr">
        <is>
          <t>LJUSDAL</t>
        </is>
      </c>
      <c r="F930" t="inlineStr">
        <is>
          <t>Sveaskog</t>
        </is>
      </c>
      <c r="G930" t="n">
        <v>1.5</v>
      </c>
      <c r="H930" t="n">
        <v>0</v>
      </c>
      <c r="I930" t="n">
        <v>0</v>
      </c>
      <c r="J930" t="n">
        <v>0</v>
      </c>
      <c r="K930" t="n">
        <v>0</v>
      </c>
      <c r="L930" t="n">
        <v>0</v>
      </c>
      <c r="M930" t="n">
        <v>0</v>
      </c>
      <c r="N930" t="n">
        <v>0</v>
      </c>
      <c r="O930" t="n">
        <v>0</v>
      </c>
      <c r="P930" t="n">
        <v>0</v>
      </c>
      <c r="Q930" t="n">
        <v>0</v>
      </c>
      <c r="R930" s="2" t="inlineStr"/>
    </row>
    <row r="931" ht="15" customHeight="1">
      <c r="A931" t="inlineStr">
        <is>
          <t>A 23629-2021</t>
        </is>
      </c>
      <c r="B931" s="1" t="n">
        <v>44334</v>
      </c>
      <c r="C931" s="1" t="n">
        <v>45911</v>
      </c>
      <c r="D931" t="inlineStr">
        <is>
          <t>GÄVLEBORGS LÄN</t>
        </is>
      </c>
      <c r="E931" t="inlineStr">
        <is>
          <t>OCKELBO</t>
        </is>
      </c>
      <c r="G931" t="n">
        <v>1.3</v>
      </c>
      <c r="H931" t="n">
        <v>0</v>
      </c>
      <c r="I931" t="n">
        <v>0</v>
      </c>
      <c r="J931" t="n">
        <v>0</v>
      </c>
      <c r="K931" t="n">
        <v>0</v>
      </c>
      <c r="L931" t="n">
        <v>0</v>
      </c>
      <c r="M931" t="n">
        <v>0</v>
      </c>
      <c r="N931" t="n">
        <v>0</v>
      </c>
      <c r="O931" t="n">
        <v>0</v>
      </c>
      <c r="P931" t="n">
        <v>0</v>
      </c>
      <c r="Q931" t="n">
        <v>0</v>
      </c>
      <c r="R931" s="2" t="inlineStr"/>
    </row>
    <row r="932" ht="15" customHeight="1">
      <c r="A932" t="inlineStr">
        <is>
          <t>A 44513-2021</t>
        </is>
      </c>
      <c r="B932" s="1" t="n">
        <v>44435.61856481482</v>
      </c>
      <c r="C932" s="1" t="n">
        <v>45911</v>
      </c>
      <c r="D932" t="inlineStr">
        <is>
          <t>GÄVLEBORGS LÄN</t>
        </is>
      </c>
      <c r="E932" t="inlineStr">
        <is>
          <t>NORDANSTIG</t>
        </is>
      </c>
      <c r="G932" t="n">
        <v>0.5</v>
      </c>
      <c r="H932" t="n">
        <v>0</v>
      </c>
      <c r="I932" t="n">
        <v>0</v>
      </c>
      <c r="J932" t="n">
        <v>0</v>
      </c>
      <c r="K932" t="n">
        <v>0</v>
      </c>
      <c r="L932" t="n">
        <v>0</v>
      </c>
      <c r="M932" t="n">
        <v>0</v>
      </c>
      <c r="N932" t="n">
        <v>0</v>
      </c>
      <c r="O932" t="n">
        <v>0</v>
      </c>
      <c r="P932" t="n">
        <v>0</v>
      </c>
      <c r="Q932" t="n">
        <v>0</v>
      </c>
      <c r="R932" s="2" t="inlineStr"/>
    </row>
    <row r="933" ht="15" customHeight="1">
      <c r="A933" t="inlineStr">
        <is>
          <t>A 10709-2021</t>
        </is>
      </c>
      <c r="B933" s="1" t="n">
        <v>44258</v>
      </c>
      <c r="C933" s="1" t="n">
        <v>45911</v>
      </c>
      <c r="D933" t="inlineStr">
        <is>
          <t>GÄVLEBORGS LÄN</t>
        </is>
      </c>
      <c r="E933" t="inlineStr">
        <is>
          <t>GÄVLE</t>
        </is>
      </c>
      <c r="G933" t="n">
        <v>0.6</v>
      </c>
      <c r="H933" t="n">
        <v>0</v>
      </c>
      <c r="I933" t="n">
        <v>0</v>
      </c>
      <c r="J933" t="n">
        <v>0</v>
      </c>
      <c r="K933" t="n">
        <v>0</v>
      </c>
      <c r="L933" t="n">
        <v>0</v>
      </c>
      <c r="M933" t="n">
        <v>0</v>
      </c>
      <c r="N933" t="n">
        <v>0</v>
      </c>
      <c r="O933" t="n">
        <v>0</v>
      </c>
      <c r="P933" t="n">
        <v>0</v>
      </c>
      <c r="Q933" t="n">
        <v>0</v>
      </c>
      <c r="R933" s="2" t="inlineStr"/>
    </row>
    <row r="934" ht="15" customHeight="1">
      <c r="A934" t="inlineStr">
        <is>
          <t>A 46288-2020</t>
        </is>
      </c>
      <c r="B934" s="1" t="n">
        <v>44092</v>
      </c>
      <c r="C934" s="1" t="n">
        <v>45911</v>
      </c>
      <c r="D934" t="inlineStr">
        <is>
          <t>GÄVLEBORGS LÄN</t>
        </is>
      </c>
      <c r="E934" t="inlineStr">
        <is>
          <t>LJUSDAL</t>
        </is>
      </c>
      <c r="F934" t="inlineStr">
        <is>
          <t>Holmen skog AB</t>
        </is>
      </c>
      <c r="G934" t="n">
        <v>2.5</v>
      </c>
      <c r="H934" t="n">
        <v>0</v>
      </c>
      <c r="I934" t="n">
        <v>0</v>
      </c>
      <c r="J934" t="n">
        <v>0</v>
      </c>
      <c r="K934" t="n">
        <v>0</v>
      </c>
      <c r="L934" t="n">
        <v>0</v>
      </c>
      <c r="M934" t="n">
        <v>0</v>
      </c>
      <c r="N934" t="n">
        <v>0</v>
      </c>
      <c r="O934" t="n">
        <v>0</v>
      </c>
      <c r="P934" t="n">
        <v>0</v>
      </c>
      <c r="Q934" t="n">
        <v>0</v>
      </c>
      <c r="R934" s="2" t="inlineStr"/>
    </row>
    <row r="935" ht="15" customHeight="1">
      <c r="A935" t="inlineStr">
        <is>
          <t>A 46334-2020</t>
        </is>
      </c>
      <c r="B935" s="1" t="n">
        <v>44092</v>
      </c>
      <c r="C935" s="1" t="n">
        <v>45911</v>
      </c>
      <c r="D935" t="inlineStr">
        <is>
          <t>GÄVLEBORGS LÄN</t>
        </is>
      </c>
      <c r="E935" t="inlineStr">
        <is>
          <t>NORDANSTIG</t>
        </is>
      </c>
      <c r="G935" t="n">
        <v>3</v>
      </c>
      <c r="H935" t="n">
        <v>0</v>
      </c>
      <c r="I935" t="n">
        <v>0</v>
      </c>
      <c r="J935" t="n">
        <v>0</v>
      </c>
      <c r="K935" t="n">
        <v>0</v>
      </c>
      <c r="L935" t="n">
        <v>0</v>
      </c>
      <c r="M935" t="n">
        <v>0</v>
      </c>
      <c r="N935" t="n">
        <v>0</v>
      </c>
      <c r="O935" t="n">
        <v>0</v>
      </c>
      <c r="P935" t="n">
        <v>0</v>
      </c>
      <c r="Q935" t="n">
        <v>0</v>
      </c>
      <c r="R935" s="2" t="inlineStr"/>
    </row>
    <row r="936" ht="15" customHeight="1">
      <c r="A936" t="inlineStr">
        <is>
          <t>A 70219-2021</t>
        </is>
      </c>
      <c r="B936" s="1" t="n">
        <v>44535</v>
      </c>
      <c r="C936" s="1" t="n">
        <v>45911</v>
      </c>
      <c r="D936" t="inlineStr">
        <is>
          <t>GÄVLEBORGS LÄN</t>
        </is>
      </c>
      <c r="E936" t="inlineStr">
        <is>
          <t>HUDIKSVALL</t>
        </is>
      </c>
      <c r="G936" t="n">
        <v>1.5</v>
      </c>
      <c r="H936" t="n">
        <v>0</v>
      </c>
      <c r="I936" t="n">
        <v>0</v>
      </c>
      <c r="J936" t="n">
        <v>0</v>
      </c>
      <c r="K936" t="n">
        <v>0</v>
      </c>
      <c r="L936" t="n">
        <v>0</v>
      </c>
      <c r="M936" t="n">
        <v>0</v>
      </c>
      <c r="N936" t="n">
        <v>0</v>
      </c>
      <c r="O936" t="n">
        <v>0</v>
      </c>
      <c r="P936" t="n">
        <v>0</v>
      </c>
      <c r="Q936" t="n">
        <v>0</v>
      </c>
      <c r="R936" s="2" t="inlineStr"/>
    </row>
    <row r="937" ht="15" customHeight="1">
      <c r="A937" t="inlineStr">
        <is>
          <t>A 55301-2020</t>
        </is>
      </c>
      <c r="B937" s="1" t="n">
        <v>44130</v>
      </c>
      <c r="C937" s="1" t="n">
        <v>45911</v>
      </c>
      <c r="D937" t="inlineStr">
        <is>
          <t>GÄVLEBORGS LÄN</t>
        </is>
      </c>
      <c r="E937" t="inlineStr">
        <is>
          <t>HOFORS</t>
        </is>
      </c>
      <c r="G937" t="n">
        <v>1.8</v>
      </c>
      <c r="H937" t="n">
        <v>0</v>
      </c>
      <c r="I937" t="n">
        <v>0</v>
      </c>
      <c r="J937" t="n">
        <v>0</v>
      </c>
      <c r="K937" t="n">
        <v>0</v>
      </c>
      <c r="L937" t="n">
        <v>0</v>
      </c>
      <c r="M937" t="n">
        <v>0</v>
      </c>
      <c r="N937" t="n">
        <v>0</v>
      </c>
      <c r="O937" t="n">
        <v>0</v>
      </c>
      <c r="P937" t="n">
        <v>0</v>
      </c>
      <c r="Q937" t="n">
        <v>0</v>
      </c>
      <c r="R937" s="2" t="inlineStr"/>
    </row>
    <row r="938" ht="15" customHeight="1">
      <c r="A938" t="inlineStr">
        <is>
          <t>A 55446-2020</t>
        </is>
      </c>
      <c r="B938" s="1" t="n">
        <v>44131</v>
      </c>
      <c r="C938" s="1" t="n">
        <v>45911</v>
      </c>
      <c r="D938" t="inlineStr">
        <is>
          <t>GÄVLEBORGS LÄN</t>
        </is>
      </c>
      <c r="E938" t="inlineStr">
        <is>
          <t>HUDIKSVALL</t>
        </is>
      </c>
      <c r="F938" t="inlineStr">
        <is>
          <t>Sveaskog</t>
        </is>
      </c>
      <c r="G938" t="n">
        <v>2.6</v>
      </c>
      <c r="H938" t="n">
        <v>0</v>
      </c>
      <c r="I938" t="n">
        <v>0</v>
      </c>
      <c r="J938" t="n">
        <v>0</v>
      </c>
      <c r="K938" t="n">
        <v>0</v>
      </c>
      <c r="L938" t="n">
        <v>0</v>
      </c>
      <c r="M938" t="n">
        <v>0</v>
      </c>
      <c r="N938" t="n">
        <v>0</v>
      </c>
      <c r="O938" t="n">
        <v>0</v>
      </c>
      <c r="P938" t="n">
        <v>0</v>
      </c>
      <c r="Q938" t="n">
        <v>0</v>
      </c>
      <c r="R938" s="2" t="inlineStr"/>
    </row>
    <row r="939" ht="15" customHeight="1">
      <c r="A939" t="inlineStr">
        <is>
          <t>A 24347-2022</t>
        </is>
      </c>
      <c r="B939" s="1" t="n">
        <v>44726</v>
      </c>
      <c r="C939" s="1" t="n">
        <v>45911</v>
      </c>
      <c r="D939" t="inlineStr">
        <is>
          <t>GÄVLEBORGS LÄN</t>
        </is>
      </c>
      <c r="E939" t="inlineStr">
        <is>
          <t>LJUSDAL</t>
        </is>
      </c>
      <c r="G939" t="n">
        <v>1.7</v>
      </c>
      <c r="H939" t="n">
        <v>0</v>
      </c>
      <c r="I939" t="n">
        <v>0</v>
      </c>
      <c r="J939" t="n">
        <v>0</v>
      </c>
      <c r="K939" t="n">
        <v>0</v>
      </c>
      <c r="L939" t="n">
        <v>0</v>
      </c>
      <c r="M939" t="n">
        <v>0</v>
      </c>
      <c r="N939" t="n">
        <v>0</v>
      </c>
      <c r="O939" t="n">
        <v>0</v>
      </c>
      <c r="P939" t="n">
        <v>0</v>
      </c>
      <c r="Q939" t="n">
        <v>0</v>
      </c>
      <c r="R939" s="2" t="inlineStr"/>
    </row>
    <row r="940" ht="15" customHeight="1">
      <c r="A940" t="inlineStr">
        <is>
          <t>A 62538-2021</t>
        </is>
      </c>
      <c r="B940" s="1" t="n">
        <v>44503.61028935185</v>
      </c>
      <c r="C940" s="1" t="n">
        <v>45911</v>
      </c>
      <c r="D940" t="inlineStr">
        <is>
          <t>GÄVLEBORGS LÄN</t>
        </is>
      </c>
      <c r="E940" t="inlineStr">
        <is>
          <t>SÖDERHAMN</t>
        </is>
      </c>
      <c r="G940" t="n">
        <v>0.7</v>
      </c>
      <c r="H940" t="n">
        <v>0</v>
      </c>
      <c r="I940" t="n">
        <v>0</v>
      </c>
      <c r="J940" t="n">
        <v>0</v>
      </c>
      <c r="K940" t="n">
        <v>0</v>
      </c>
      <c r="L940" t="n">
        <v>0</v>
      </c>
      <c r="M940" t="n">
        <v>0</v>
      </c>
      <c r="N940" t="n">
        <v>0</v>
      </c>
      <c r="O940" t="n">
        <v>0</v>
      </c>
      <c r="P940" t="n">
        <v>0</v>
      </c>
      <c r="Q940" t="n">
        <v>0</v>
      </c>
      <c r="R940" s="2" t="inlineStr"/>
    </row>
    <row r="941" ht="15" customHeight="1">
      <c r="A941" t="inlineStr">
        <is>
          <t>A 10851-2021</t>
        </is>
      </c>
      <c r="B941" s="1" t="n">
        <v>44259</v>
      </c>
      <c r="C941" s="1" t="n">
        <v>45911</v>
      </c>
      <c r="D941" t="inlineStr">
        <is>
          <t>GÄVLEBORGS LÄN</t>
        </is>
      </c>
      <c r="E941" t="inlineStr">
        <is>
          <t>HUDIKSVALL</t>
        </is>
      </c>
      <c r="G941" t="n">
        <v>1.4</v>
      </c>
      <c r="H941" t="n">
        <v>0</v>
      </c>
      <c r="I941" t="n">
        <v>0</v>
      </c>
      <c r="J941" t="n">
        <v>0</v>
      </c>
      <c r="K941" t="n">
        <v>0</v>
      </c>
      <c r="L941" t="n">
        <v>0</v>
      </c>
      <c r="M941" t="n">
        <v>0</v>
      </c>
      <c r="N941" t="n">
        <v>0</v>
      </c>
      <c r="O941" t="n">
        <v>0</v>
      </c>
      <c r="P941" t="n">
        <v>0</v>
      </c>
      <c r="Q941" t="n">
        <v>0</v>
      </c>
      <c r="R941" s="2" t="inlineStr"/>
    </row>
    <row r="942" ht="15" customHeight="1">
      <c r="A942" t="inlineStr">
        <is>
          <t>A 23955-2021</t>
        </is>
      </c>
      <c r="B942" s="1" t="n">
        <v>44335.66545138889</v>
      </c>
      <c r="C942" s="1" t="n">
        <v>45911</v>
      </c>
      <c r="D942" t="inlineStr">
        <is>
          <t>GÄVLEBORGS LÄN</t>
        </is>
      </c>
      <c r="E942" t="inlineStr">
        <is>
          <t>LJUSDAL</t>
        </is>
      </c>
      <c r="F942" t="inlineStr">
        <is>
          <t>Holmen skog AB</t>
        </is>
      </c>
      <c r="G942" t="n">
        <v>1.4</v>
      </c>
      <c r="H942" t="n">
        <v>0</v>
      </c>
      <c r="I942" t="n">
        <v>0</v>
      </c>
      <c r="J942" t="n">
        <v>0</v>
      </c>
      <c r="K942" t="n">
        <v>0</v>
      </c>
      <c r="L942" t="n">
        <v>0</v>
      </c>
      <c r="M942" t="n">
        <v>0</v>
      </c>
      <c r="N942" t="n">
        <v>0</v>
      </c>
      <c r="O942" t="n">
        <v>0</v>
      </c>
      <c r="P942" t="n">
        <v>0</v>
      </c>
      <c r="Q942" t="n">
        <v>0</v>
      </c>
      <c r="R942" s="2" t="inlineStr"/>
    </row>
    <row r="943" ht="15" customHeight="1">
      <c r="A943" t="inlineStr">
        <is>
          <t>A 51250-2021</t>
        </is>
      </c>
      <c r="B943" s="1" t="n">
        <v>44460</v>
      </c>
      <c r="C943" s="1" t="n">
        <v>45911</v>
      </c>
      <c r="D943" t="inlineStr">
        <is>
          <t>GÄVLEBORGS LÄN</t>
        </is>
      </c>
      <c r="E943" t="inlineStr">
        <is>
          <t>OCKELBO</t>
        </is>
      </c>
      <c r="G943" t="n">
        <v>4.5</v>
      </c>
      <c r="H943" t="n">
        <v>0</v>
      </c>
      <c r="I943" t="n">
        <v>0</v>
      </c>
      <c r="J943" t="n">
        <v>0</v>
      </c>
      <c r="K943" t="n">
        <v>0</v>
      </c>
      <c r="L943" t="n">
        <v>0</v>
      </c>
      <c r="M943" t="n">
        <v>0</v>
      </c>
      <c r="N943" t="n">
        <v>0</v>
      </c>
      <c r="O943" t="n">
        <v>0</v>
      </c>
      <c r="P943" t="n">
        <v>0</v>
      </c>
      <c r="Q943" t="n">
        <v>0</v>
      </c>
      <c r="R943" s="2" t="inlineStr"/>
    </row>
    <row r="944" ht="15" customHeight="1">
      <c r="A944" t="inlineStr">
        <is>
          <t>A 60040-2021</t>
        </is>
      </c>
      <c r="B944" s="1" t="n">
        <v>44495.32123842592</v>
      </c>
      <c r="C944" s="1" t="n">
        <v>45911</v>
      </c>
      <c r="D944" t="inlineStr">
        <is>
          <t>GÄVLEBORGS LÄN</t>
        </is>
      </c>
      <c r="E944" t="inlineStr">
        <is>
          <t>HUDIKSVALL</t>
        </is>
      </c>
      <c r="F944" t="inlineStr">
        <is>
          <t>Holmen skog AB</t>
        </is>
      </c>
      <c r="G944" t="n">
        <v>10.4</v>
      </c>
      <c r="H944" t="n">
        <v>0</v>
      </c>
      <c r="I944" t="n">
        <v>0</v>
      </c>
      <c r="J944" t="n">
        <v>0</v>
      </c>
      <c r="K944" t="n">
        <v>0</v>
      </c>
      <c r="L944" t="n">
        <v>0</v>
      </c>
      <c r="M944" t="n">
        <v>0</v>
      </c>
      <c r="N944" t="n">
        <v>0</v>
      </c>
      <c r="O944" t="n">
        <v>0</v>
      </c>
      <c r="P944" t="n">
        <v>0</v>
      </c>
      <c r="Q944" t="n">
        <v>0</v>
      </c>
      <c r="R944" s="2" t="inlineStr"/>
    </row>
    <row r="945" ht="15" customHeight="1">
      <c r="A945" t="inlineStr">
        <is>
          <t>A 7102-2022</t>
        </is>
      </c>
      <c r="B945" s="1" t="n">
        <v>44603.61780092592</v>
      </c>
      <c r="C945" s="1" t="n">
        <v>45911</v>
      </c>
      <c r="D945" t="inlineStr">
        <is>
          <t>GÄVLEBORGS LÄN</t>
        </is>
      </c>
      <c r="E945" t="inlineStr">
        <is>
          <t>BOLLNÄS</t>
        </is>
      </c>
      <c r="G945" t="n">
        <v>1.9</v>
      </c>
      <c r="H945" t="n">
        <v>0</v>
      </c>
      <c r="I945" t="n">
        <v>0</v>
      </c>
      <c r="J945" t="n">
        <v>0</v>
      </c>
      <c r="K945" t="n">
        <v>0</v>
      </c>
      <c r="L945" t="n">
        <v>0</v>
      </c>
      <c r="M945" t="n">
        <v>0</v>
      </c>
      <c r="N945" t="n">
        <v>0</v>
      </c>
      <c r="O945" t="n">
        <v>0</v>
      </c>
      <c r="P945" t="n">
        <v>0</v>
      </c>
      <c r="Q945" t="n">
        <v>0</v>
      </c>
      <c r="R945" s="2" t="inlineStr"/>
    </row>
    <row r="946" ht="15" customHeight="1">
      <c r="A946" t="inlineStr">
        <is>
          <t>A 15694-2022</t>
        </is>
      </c>
      <c r="B946" s="1" t="n">
        <v>44663.42211805555</v>
      </c>
      <c r="C946" s="1" t="n">
        <v>45911</v>
      </c>
      <c r="D946" t="inlineStr">
        <is>
          <t>GÄVLEBORGS LÄN</t>
        </is>
      </c>
      <c r="E946" t="inlineStr">
        <is>
          <t>OCKELBO</t>
        </is>
      </c>
      <c r="F946" t="inlineStr">
        <is>
          <t>Bergvik skog väst AB</t>
        </is>
      </c>
      <c r="G946" t="n">
        <v>2.5</v>
      </c>
      <c r="H946" t="n">
        <v>0</v>
      </c>
      <c r="I946" t="n">
        <v>0</v>
      </c>
      <c r="J946" t="n">
        <v>0</v>
      </c>
      <c r="K946" t="n">
        <v>0</v>
      </c>
      <c r="L946" t="n">
        <v>0</v>
      </c>
      <c r="M946" t="n">
        <v>0</v>
      </c>
      <c r="N946" t="n">
        <v>0</v>
      </c>
      <c r="O946" t="n">
        <v>0</v>
      </c>
      <c r="P946" t="n">
        <v>0</v>
      </c>
      <c r="Q946" t="n">
        <v>0</v>
      </c>
      <c r="R946" s="2" t="inlineStr"/>
    </row>
    <row r="947" ht="15" customHeight="1">
      <c r="A947" t="inlineStr">
        <is>
          <t>A 15704-2022</t>
        </is>
      </c>
      <c r="B947" s="1" t="n">
        <v>44663.44313657407</v>
      </c>
      <c r="C947" s="1" t="n">
        <v>45911</v>
      </c>
      <c r="D947" t="inlineStr">
        <is>
          <t>GÄVLEBORGS LÄN</t>
        </is>
      </c>
      <c r="E947" t="inlineStr">
        <is>
          <t>GÄVLE</t>
        </is>
      </c>
      <c r="G947" t="n">
        <v>0.5</v>
      </c>
      <c r="H947" t="n">
        <v>0</v>
      </c>
      <c r="I947" t="n">
        <v>0</v>
      </c>
      <c r="J947" t="n">
        <v>0</v>
      </c>
      <c r="K947" t="n">
        <v>0</v>
      </c>
      <c r="L947" t="n">
        <v>0</v>
      </c>
      <c r="M947" t="n">
        <v>0</v>
      </c>
      <c r="N947" t="n">
        <v>0</v>
      </c>
      <c r="O947" t="n">
        <v>0</v>
      </c>
      <c r="P947" t="n">
        <v>0</v>
      </c>
      <c r="Q947" t="n">
        <v>0</v>
      </c>
      <c r="R947" s="2" t="inlineStr"/>
    </row>
    <row r="948" ht="15" customHeight="1">
      <c r="A948" t="inlineStr">
        <is>
          <t>A 58198-2021</t>
        </is>
      </c>
      <c r="B948" s="1" t="n">
        <v>44487</v>
      </c>
      <c r="C948" s="1" t="n">
        <v>45911</v>
      </c>
      <c r="D948" t="inlineStr">
        <is>
          <t>GÄVLEBORGS LÄN</t>
        </is>
      </c>
      <c r="E948" t="inlineStr">
        <is>
          <t>SÖDERHAMN</t>
        </is>
      </c>
      <c r="G948" t="n">
        <v>2.6</v>
      </c>
      <c r="H948" t="n">
        <v>0</v>
      </c>
      <c r="I948" t="n">
        <v>0</v>
      </c>
      <c r="J948" t="n">
        <v>0</v>
      </c>
      <c r="K948" t="n">
        <v>0</v>
      </c>
      <c r="L948" t="n">
        <v>0</v>
      </c>
      <c r="M948" t="n">
        <v>0</v>
      </c>
      <c r="N948" t="n">
        <v>0</v>
      </c>
      <c r="O948" t="n">
        <v>0</v>
      </c>
      <c r="P948" t="n">
        <v>0</v>
      </c>
      <c r="Q948" t="n">
        <v>0</v>
      </c>
      <c r="R948" s="2" t="inlineStr"/>
    </row>
    <row r="949" ht="15" customHeight="1">
      <c r="A949" t="inlineStr">
        <is>
          <t>A 1634-2022</t>
        </is>
      </c>
      <c r="B949" s="1" t="n">
        <v>44573</v>
      </c>
      <c r="C949" s="1" t="n">
        <v>45911</v>
      </c>
      <c r="D949" t="inlineStr">
        <is>
          <t>GÄVLEBORGS LÄN</t>
        </is>
      </c>
      <c r="E949" t="inlineStr">
        <is>
          <t>GÄVLE</t>
        </is>
      </c>
      <c r="G949" t="n">
        <v>2.9</v>
      </c>
      <c r="H949" t="n">
        <v>0</v>
      </c>
      <c r="I949" t="n">
        <v>0</v>
      </c>
      <c r="J949" t="n">
        <v>0</v>
      </c>
      <c r="K949" t="n">
        <v>0</v>
      </c>
      <c r="L949" t="n">
        <v>0</v>
      </c>
      <c r="M949" t="n">
        <v>0</v>
      </c>
      <c r="N949" t="n">
        <v>0</v>
      </c>
      <c r="O949" t="n">
        <v>0</v>
      </c>
      <c r="P949" t="n">
        <v>0</v>
      </c>
      <c r="Q949" t="n">
        <v>0</v>
      </c>
      <c r="R949" s="2" t="inlineStr"/>
    </row>
    <row r="950" ht="15" customHeight="1">
      <c r="A950" t="inlineStr">
        <is>
          <t>A 54745-2020</t>
        </is>
      </c>
      <c r="B950" s="1" t="n">
        <v>44127</v>
      </c>
      <c r="C950" s="1" t="n">
        <v>45911</v>
      </c>
      <c r="D950" t="inlineStr">
        <is>
          <t>GÄVLEBORGS LÄN</t>
        </is>
      </c>
      <c r="E950" t="inlineStr">
        <is>
          <t>NORDANSTIG</t>
        </is>
      </c>
      <c r="G950" t="n">
        <v>0.7</v>
      </c>
      <c r="H950" t="n">
        <v>0</v>
      </c>
      <c r="I950" t="n">
        <v>0</v>
      </c>
      <c r="J950" t="n">
        <v>0</v>
      </c>
      <c r="K950" t="n">
        <v>0</v>
      </c>
      <c r="L950" t="n">
        <v>0</v>
      </c>
      <c r="M950" t="n">
        <v>0</v>
      </c>
      <c r="N950" t="n">
        <v>0</v>
      </c>
      <c r="O950" t="n">
        <v>0</v>
      </c>
      <c r="P950" t="n">
        <v>0</v>
      </c>
      <c r="Q950" t="n">
        <v>0</v>
      </c>
      <c r="R950" s="2" t="inlineStr"/>
    </row>
    <row r="951" ht="15" customHeight="1">
      <c r="A951" t="inlineStr">
        <is>
          <t>A 18983-2021</t>
        </is>
      </c>
      <c r="B951" s="1" t="n">
        <v>44308</v>
      </c>
      <c r="C951" s="1" t="n">
        <v>45911</v>
      </c>
      <c r="D951" t="inlineStr">
        <is>
          <t>GÄVLEBORGS LÄN</t>
        </is>
      </c>
      <c r="E951" t="inlineStr">
        <is>
          <t>OCKELBO</t>
        </is>
      </c>
      <c r="G951" t="n">
        <v>2.4</v>
      </c>
      <c r="H951" t="n">
        <v>0</v>
      </c>
      <c r="I951" t="n">
        <v>0</v>
      </c>
      <c r="J951" t="n">
        <v>0</v>
      </c>
      <c r="K951" t="n">
        <v>0</v>
      </c>
      <c r="L951" t="n">
        <v>0</v>
      </c>
      <c r="M951" t="n">
        <v>0</v>
      </c>
      <c r="N951" t="n">
        <v>0</v>
      </c>
      <c r="O951" t="n">
        <v>0</v>
      </c>
      <c r="P951" t="n">
        <v>0</v>
      </c>
      <c r="Q951" t="n">
        <v>0</v>
      </c>
      <c r="R951" s="2" t="inlineStr"/>
    </row>
    <row r="952" ht="15" customHeight="1">
      <c r="A952" t="inlineStr">
        <is>
          <t>A 15269-2022</t>
        </is>
      </c>
      <c r="B952" s="1" t="n">
        <v>44659.36878472222</v>
      </c>
      <c r="C952" s="1" t="n">
        <v>45911</v>
      </c>
      <c r="D952" t="inlineStr">
        <is>
          <t>GÄVLEBORGS LÄN</t>
        </is>
      </c>
      <c r="E952" t="inlineStr">
        <is>
          <t>BOLLNÄS</t>
        </is>
      </c>
      <c r="G952" t="n">
        <v>0.7</v>
      </c>
      <c r="H952" t="n">
        <v>0</v>
      </c>
      <c r="I952" t="n">
        <v>0</v>
      </c>
      <c r="J952" t="n">
        <v>0</v>
      </c>
      <c r="K952" t="n">
        <v>0</v>
      </c>
      <c r="L952" t="n">
        <v>0</v>
      </c>
      <c r="M952" t="n">
        <v>0</v>
      </c>
      <c r="N952" t="n">
        <v>0</v>
      </c>
      <c r="O952" t="n">
        <v>0</v>
      </c>
      <c r="P952" t="n">
        <v>0</v>
      </c>
      <c r="Q952" t="n">
        <v>0</v>
      </c>
      <c r="R952" s="2" t="inlineStr"/>
    </row>
    <row r="953" ht="15" customHeight="1">
      <c r="A953" t="inlineStr">
        <is>
          <t>A 40342-2022</t>
        </is>
      </c>
      <c r="B953" s="1" t="n">
        <v>44823.3633912037</v>
      </c>
      <c r="C953" s="1" t="n">
        <v>45911</v>
      </c>
      <c r="D953" t="inlineStr">
        <is>
          <t>GÄVLEBORGS LÄN</t>
        </is>
      </c>
      <c r="E953" t="inlineStr">
        <is>
          <t>NORDANSTIG</t>
        </is>
      </c>
      <c r="F953" t="inlineStr">
        <is>
          <t>Holmen skog AB</t>
        </is>
      </c>
      <c r="G953" t="n">
        <v>1.6</v>
      </c>
      <c r="H953" t="n">
        <v>0</v>
      </c>
      <c r="I953" t="n">
        <v>0</v>
      </c>
      <c r="J953" t="n">
        <v>0</v>
      </c>
      <c r="K953" t="n">
        <v>0</v>
      </c>
      <c r="L953" t="n">
        <v>0</v>
      </c>
      <c r="M953" t="n">
        <v>0</v>
      </c>
      <c r="N953" t="n">
        <v>0</v>
      </c>
      <c r="O953" t="n">
        <v>0</v>
      </c>
      <c r="P953" t="n">
        <v>0</v>
      </c>
      <c r="Q953" t="n">
        <v>0</v>
      </c>
      <c r="R953" s="2" t="inlineStr"/>
    </row>
    <row r="954" ht="15" customHeight="1">
      <c r="A954" t="inlineStr">
        <is>
          <t>A 44287-2022</t>
        </is>
      </c>
      <c r="B954" s="1" t="n">
        <v>44839.59350694445</v>
      </c>
      <c r="C954" s="1" t="n">
        <v>45911</v>
      </c>
      <c r="D954" t="inlineStr">
        <is>
          <t>GÄVLEBORGS LÄN</t>
        </is>
      </c>
      <c r="E954" t="inlineStr">
        <is>
          <t>HUDIKSVALL</t>
        </is>
      </c>
      <c r="F954" t="inlineStr">
        <is>
          <t>Holmen skog AB</t>
        </is>
      </c>
      <c r="G954" t="n">
        <v>1.7</v>
      </c>
      <c r="H954" t="n">
        <v>0</v>
      </c>
      <c r="I954" t="n">
        <v>0</v>
      </c>
      <c r="J954" t="n">
        <v>0</v>
      </c>
      <c r="K954" t="n">
        <v>0</v>
      </c>
      <c r="L954" t="n">
        <v>0</v>
      </c>
      <c r="M954" t="n">
        <v>0</v>
      </c>
      <c r="N954" t="n">
        <v>0</v>
      </c>
      <c r="O954" t="n">
        <v>0</v>
      </c>
      <c r="P954" t="n">
        <v>0</v>
      </c>
      <c r="Q954" t="n">
        <v>0</v>
      </c>
      <c r="R954" s="2" t="inlineStr"/>
    </row>
    <row r="955" ht="15" customHeight="1">
      <c r="A955" t="inlineStr">
        <is>
          <t>A 53673-2022</t>
        </is>
      </c>
      <c r="B955" s="1" t="n">
        <v>44879</v>
      </c>
      <c r="C955" s="1" t="n">
        <v>45911</v>
      </c>
      <c r="D955" t="inlineStr">
        <is>
          <t>GÄVLEBORGS LÄN</t>
        </is>
      </c>
      <c r="E955" t="inlineStr">
        <is>
          <t>NORDANSTIG</t>
        </is>
      </c>
      <c r="F955" t="inlineStr">
        <is>
          <t>SCA</t>
        </is>
      </c>
      <c r="G955" t="n">
        <v>2.1</v>
      </c>
      <c r="H955" t="n">
        <v>0</v>
      </c>
      <c r="I955" t="n">
        <v>0</v>
      </c>
      <c r="J955" t="n">
        <v>0</v>
      </c>
      <c r="K955" t="n">
        <v>0</v>
      </c>
      <c r="L955" t="n">
        <v>0</v>
      </c>
      <c r="M955" t="n">
        <v>0</v>
      </c>
      <c r="N955" t="n">
        <v>0</v>
      </c>
      <c r="O955" t="n">
        <v>0</v>
      </c>
      <c r="P955" t="n">
        <v>0</v>
      </c>
      <c r="Q955" t="n">
        <v>0</v>
      </c>
      <c r="R955" s="2" t="inlineStr"/>
    </row>
    <row r="956" ht="15" customHeight="1">
      <c r="A956" t="inlineStr">
        <is>
          <t>A 17487-2022</t>
        </is>
      </c>
      <c r="B956" s="1" t="n">
        <v>44679.46375</v>
      </c>
      <c r="C956" s="1" t="n">
        <v>45911</v>
      </c>
      <c r="D956" t="inlineStr">
        <is>
          <t>GÄVLEBORGS LÄN</t>
        </is>
      </c>
      <c r="E956" t="inlineStr">
        <is>
          <t>LJUSDAL</t>
        </is>
      </c>
      <c r="F956" t="inlineStr">
        <is>
          <t>Holmen skog AB</t>
        </is>
      </c>
      <c r="G956" t="n">
        <v>0.4</v>
      </c>
      <c r="H956" t="n">
        <v>0</v>
      </c>
      <c r="I956" t="n">
        <v>0</v>
      </c>
      <c r="J956" t="n">
        <v>0</v>
      </c>
      <c r="K956" t="n">
        <v>0</v>
      </c>
      <c r="L956" t="n">
        <v>0</v>
      </c>
      <c r="M956" t="n">
        <v>0</v>
      </c>
      <c r="N956" t="n">
        <v>0</v>
      </c>
      <c r="O956" t="n">
        <v>0</v>
      </c>
      <c r="P956" t="n">
        <v>0</v>
      </c>
      <c r="Q956" t="n">
        <v>0</v>
      </c>
      <c r="R956" s="2" t="inlineStr"/>
    </row>
    <row r="957" ht="15" customHeight="1">
      <c r="A957" t="inlineStr">
        <is>
          <t>A 65684-2020</t>
        </is>
      </c>
      <c r="B957" s="1" t="n">
        <v>44172</v>
      </c>
      <c r="C957" s="1" t="n">
        <v>45911</v>
      </c>
      <c r="D957" t="inlineStr">
        <is>
          <t>GÄVLEBORGS LÄN</t>
        </is>
      </c>
      <c r="E957" t="inlineStr">
        <is>
          <t>OCKELBO</t>
        </is>
      </c>
      <c r="G957" t="n">
        <v>2.8</v>
      </c>
      <c r="H957" t="n">
        <v>0</v>
      </c>
      <c r="I957" t="n">
        <v>0</v>
      </c>
      <c r="J957" t="n">
        <v>0</v>
      </c>
      <c r="K957" t="n">
        <v>0</v>
      </c>
      <c r="L957" t="n">
        <v>0</v>
      </c>
      <c r="M957" t="n">
        <v>0</v>
      </c>
      <c r="N957" t="n">
        <v>0</v>
      </c>
      <c r="O957" t="n">
        <v>0</v>
      </c>
      <c r="P957" t="n">
        <v>0</v>
      </c>
      <c r="Q957" t="n">
        <v>0</v>
      </c>
      <c r="R957" s="2" t="inlineStr"/>
      <c r="U957">
        <f>HYPERLINK("https://klasma.github.io/Logging_2101/knärot/A 65684-2020 karta knärot.png", "A 65684-2020")</f>
        <v/>
      </c>
      <c r="V957">
        <f>HYPERLINK("https://klasma.github.io/Logging_2101/klagomål/A 65684-2020 FSC-klagomål.docx", "A 65684-2020")</f>
        <v/>
      </c>
      <c r="W957">
        <f>HYPERLINK("https://klasma.github.io/Logging_2101/klagomålsmail/A 65684-2020 FSC-klagomål mail.docx", "A 65684-2020")</f>
        <v/>
      </c>
      <c r="X957">
        <f>HYPERLINK("https://klasma.github.io/Logging_2101/tillsyn/A 65684-2020 tillsynsbegäran.docx", "A 65684-2020")</f>
        <v/>
      </c>
      <c r="Y957">
        <f>HYPERLINK("https://klasma.github.io/Logging_2101/tillsynsmail/A 65684-2020 tillsynsbegäran mail.docx", "A 65684-2020")</f>
        <v/>
      </c>
    </row>
    <row r="958" ht="15" customHeight="1">
      <c r="A958" t="inlineStr">
        <is>
          <t>A 54393-2022</t>
        </is>
      </c>
      <c r="B958" s="1" t="n">
        <v>44882.52832175926</v>
      </c>
      <c r="C958" s="1" t="n">
        <v>45911</v>
      </c>
      <c r="D958" t="inlineStr">
        <is>
          <t>GÄVLEBORGS LÄN</t>
        </is>
      </c>
      <c r="E958" t="inlineStr">
        <is>
          <t>GÄVLE</t>
        </is>
      </c>
      <c r="G958" t="n">
        <v>0.9</v>
      </c>
      <c r="H958" t="n">
        <v>0</v>
      </c>
      <c r="I958" t="n">
        <v>0</v>
      </c>
      <c r="J958" t="n">
        <v>0</v>
      </c>
      <c r="K958" t="n">
        <v>0</v>
      </c>
      <c r="L958" t="n">
        <v>0</v>
      </c>
      <c r="M958" t="n">
        <v>0</v>
      </c>
      <c r="N958" t="n">
        <v>0</v>
      </c>
      <c r="O958" t="n">
        <v>0</v>
      </c>
      <c r="P958" t="n">
        <v>0</v>
      </c>
      <c r="Q958" t="n">
        <v>0</v>
      </c>
      <c r="R958" s="2" t="inlineStr"/>
    </row>
    <row r="959" ht="15" customHeight="1">
      <c r="A959" t="inlineStr">
        <is>
          <t>A 38824-2022</t>
        </is>
      </c>
      <c r="B959" s="1" t="n">
        <v>44816.48034722222</v>
      </c>
      <c r="C959" s="1" t="n">
        <v>45911</v>
      </c>
      <c r="D959" t="inlineStr">
        <is>
          <t>GÄVLEBORGS LÄN</t>
        </is>
      </c>
      <c r="E959" t="inlineStr">
        <is>
          <t>LJUSDAL</t>
        </is>
      </c>
      <c r="F959" t="inlineStr">
        <is>
          <t>Holmen skog AB</t>
        </is>
      </c>
      <c r="G959" t="n">
        <v>3.6</v>
      </c>
      <c r="H959" t="n">
        <v>0</v>
      </c>
      <c r="I959" t="n">
        <v>0</v>
      </c>
      <c r="J959" t="n">
        <v>0</v>
      </c>
      <c r="K959" t="n">
        <v>0</v>
      </c>
      <c r="L959" t="n">
        <v>0</v>
      </c>
      <c r="M959" t="n">
        <v>0</v>
      </c>
      <c r="N959" t="n">
        <v>0</v>
      </c>
      <c r="O959" t="n">
        <v>0</v>
      </c>
      <c r="P959" t="n">
        <v>0</v>
      </c>
      <c r="Q959" t="n">
        <v>0</v>
      </c>
      <c r="R959" s="2" t="inlineStr"/>
    </row>
    <row r="960" ht="15" customHeight="1">
      <c r="A960" t="inlineStr">
        <is>
          <t>A 23881-2022</t>
        </is>
      </c>
      <c r="B960" s="1" t="n">
        <v>44722.5656712963</v>
      </c>
      <c r="C960" s="1" t="n">
        <v>45911</v>
      </c>
      <c r="D960" t="inlineStr">
        <is>
          <t>GÄVLEBORGS LÄN</t>
        </is>
      </c>
      <c r="E960" t="inlineStr">
        <is>
          <t>NORDANSTIG</t>
        </is>
      </c>
      <c r="F960" t="inlineStr">
        <is>
          <t>Holmen skog AB</t>
        </is>
      </c>
      <c r="G960" t="n">
        <v>1.4</v>
      </c>
      <c r="H960" t="n">
        <v>0</v>
      </c>
      <c r="I960" t="n">
        <v>0</v>
      </c>
      <c r="J960" t="n">
        <v>0</v>
      </c>
      <c r="K960" t="n">
        <v>0</v>
      </c>
      <c r="L960" t="n">
        <v>0</v>
      </c>
      <c r="M960" t="n">
        <v>0</v>
      </c>
      <c r="N960" t="n">
        <v>0</v>
      </c>
      <c r="O960" t="n">
        <v>0</v>
      </c>
      <c r="P960" t="n">
        <v>0</v>
      </c>
      <c r="Q960" t="n">
        <v>0</v>
      </c>
      <c r="R960" s="2" t="inlineStr"/>
    </row>
    <row r="961" ht="15" customHeight="1">
      <c r="A961" t="inlineStr">
        <is>
          <t>A 15173-2021</t>
        </is>
      </c>
      <c r="B961" s="1" t="n">
        <v>44284</v>
      </c>
      <c r="C961" s="1" t="n">
        <v>45911</v>
      </c>
      <c r="D961" t="inlineStr">
        <is>
          <t>GÄVLEBORGS LÄN</t>
        </is>
      </c>
      <c r="E961" t="inlineStr">
        <is>
          <t>NORDANSTIG</t>
        </is>
      </c>
      <c r="G961" t="n">
        <v>1.4</v>
      </c>
      <c r="H961" t="n">
        <v>0</v>
      </c>
      <c r="I961" t="n">
        <v>0</v>
      </c>
      <c r="J961" t="n">
        <v>0</v>
      </c>
      <c r="K961" t="n">
        <v>0</v>
      </c>
      <c r="L961" t="n">
        <v>0</v>
      </c>
      <c r="M961" t="n">
        <v>0</v>
      </c>
      <c r="N961" t="n">
        <v>0</v>
      </c>
      <c r="O961" t="n">
        <v>0</v>
      </c>
      <c r="P961" t="n">
        <v>0</v>
      </c>
      <c r="Q961" t="n">
        <v>0</v>
      </c>
      <c r="R961" s="2" t="inlineStr"/>
    </row>
    <row r="962" ht="15" customHeight="1">
      <c r="A962" t="inlineStr">
        <is>
          <t>A 16646-2022</t>
        </is>
      </c>
      <c r="B962" s="1" t="n">
        <v>44672.65672453704</v>
      </c>
      <c r="C962" s="1" t="n">
        <v>45911</v>
      </c>
      <c r="D962" t="inlineStr">
        <is>
          <t>GÄVLEBORGS LÄN</t>
        </is>
      </c>
      <c r="E962" t="inlineStr">
        <is>
          <t>BOLLNÄS</t>
        </is>
      </c>
      <c r="G962" t="n">
        <v>0.5</v>
      </c>
      <c r="H962" t="n">
        <v>0</v>
      </c>
      <c r="I962" t="n">
        <v>0</v>
      </c>
      <c r="J962" t="n">
        <v>0</v>
      </c>
      <c r="K962" t="n">
        <v>0</v>
      </c>
      <c r="L962" t="n">
        <v>0</v>
      </c>
      <c r="M962" t="n">
        <v>0</v>
      </c>
      <c r="N962" t="n">
        <v>0</v>
      </c>
      <c r="O962" t="n">
        <v>0</v>
      </c>
      <c r="P962" t="n">
        <v>0</v>
      </c>
      <c r="Q962" t="n">
        <v>0</v>
      </c>
      <c r="R962" s="2" t="inlineStr"/>
    </row>
    <row r="963" ht="15" customHeight="1">
      <c r="A963" t="inlineStr">
        <is>
          <t>A 46975-2021</t>
        </is>
      </c>
      <c r="B963" s="1" t="n">
        <v>44446.55512731482</v>
      </c>
      <c r="C963" s="1" t="n">
        <v>45911</v>
      </c>
      <c r="D963" t="inlineStr">
        <is>
          <t>GÄVLEBORGS LÄN</t>
        </is>
      </c>
      <c r="E963" t="inlineStr">
        <is>
          <t>SÖDERHAMN</t>
        </is>
      </c>
      <c r="G963" t="n">
        <v>1.1</v>
      </c>
      <c r="H963" t="n">
        <v>0</v>
      </c>
      <c r="I963" t="n">
        <v>0</v>
      </c>
      <c r="J963" t="n">
        <v>0</v>
      </c>
      <c r="K963" t="n">
        <v>0</v>
      </c>
      <c r="L963" t="n">
        <v>0</v>
      </c>
      <c r="M963" t="n">
        <v>0</v>
      </c>
      <c r="N963" t="n">
        <v>0</v>
      </c>
      <c r="O963" t="n">
        <v>0</v>
      </c>
      <c r="P963" t="n">
        <v>0</v>
      </c>
      <c r="Q963" t="n">
        <v>0</v>
      </c>
      <c r="R963" s="2" t="inlineStr"/>
    </row>
    <row r="964" ht="15" customHeight="1">
      <c r="A964" t="inlineStr">
        <is>
          <t>A 54706-2022</t>
        </is>
      </c>
      <c r="B964" s="1" t="n">
        <v>44883</v>
      </c>
      <c r="C964" s="1" t="n">
        <v>45911</v>
      </c>
      <c r="D964" t="inlineStr">
        <is>
          <t>GÄVLEBORGS LÄN</t>
        </is>
      </c>
      <c r="E964" t="inlineStr">
        <is>
          <t>HUDIKSVALL</t>
        </is>
      </c>
      <c r="G964" t="n">
        <v>1.8</v>
      </c>
      <c r="H964" t="n">
        <v>0</v>
      </c>
      <c r="I964" t="n">
        <v>0</v>
      </c>
      <c r="J964" t="n">
        <v>0</v>
      </c>
      <c r="K964" t="n">
        <v>0</v>
      </c>
      <c r="L964" t="n">
        <v>0</v>
      </c>
      <c r="M964" t="n">
        <v>0</v>
      </c>
      <c r="N964" t="n">
        <v>0</v>
      </c>
      <c r="O964" t="n">
        <v>0</v>
      </c>
      <c r="P964" t="n">
        <v>0</v>
      </c>
      <c r="Q964" t="n">
        <v>0</v>
      </c>
      <c r="R964" s="2" t="inlineStr"/>
    </row>
    <row r="965" ht="15" customHeight="1">
      <c r="A965" t="inlineStr">
        <is>
          <t>A 54731-2022</t>
        </is>
      </c>
      <c r="B965" s="1" t="n">
        <v>44883</v>
      </c>
      <c r="C965" s="1" t="n">
        <v>45911</v>
      </c>
      <c r="D965" t="inlineStr">
        <is>
          <t>GÄVLEBORGS LÄN</t>
        </is>
      </c>
      <c r="E965" t="inlineStr">
        <is>
          <t>OVANÅKER</t>
        </is>
      </c>
      <c r="G965" t="n">
        <v>21.8</v>
      </c>
      <c r="H965" t="n">
        <v>0</v>
      </c>
      <c r="I965" t="n">
        <v>0</v>
      </c>
      <c r="J965" t="n">
        <v>0</v>
      </c>
      <c r="K965" t="n">
        <v>0</v>
      </c>
      <c r="L965" t="n">
        <v>0</v>
      </c>
      <c r="M965" t="n">
        <v>0</v>
      </c>
      <c r="N965" t="n">
        <v>0</v>
      </c>
      <c r="O965" t="n">
        <v>0</v>
      </c>
      <c r="P965" t="n">
        <v>0</v>
      </c>
      <c r="Q965" t="n">
        <v>0</v>
      </c>
      <c r="R965" s="2" t="inlineStr"/>
    </row>
    <row r="966" ht="15" customHeight="1">
      <c r="A966" t="inlineStr">
        <is>
          <t>A 54897-2022</t>
        </is>
      </c>
      <c r="B966" s="1" t="n">
        <v>44886.37402777778</v>
      </c>
      <c r="C966" s="1" t="n">
        <v>45911</v>
      </c>
      <c r="D966" t="inlineStr">
        <is>
          <t>GÄVLEBORGS LÄN</t>
        </is>
      </c>
      <c r="E966" t="inlineStr">
        <is>
          <t>BOLLNÄS</t>
        </is>
      </c>
      <c r="G966" t="n">
        <v>1</v>
      </c>
      <c r="H966" t="n">
        <v>0</v>
      </c>
      <c r="I966" t="n">
        <v>0</v>
      </c>
      <c r="J966" t="n">
        <v>0</v>
      </c>
      <c r="K966" t="n">
        <v>0</v>
      </c>
      <c r="L966" t="n">
        <v>0</v>
      </c>
      <c r="M966" t="n">
        <v>0</v>
      </c>
      <c r="N966" t="n">
        <v>0</v>
      </c>
      <c r="O966" t="n">
        <v>0</v>
      </c>
      <c r="P966" t="n">
        <v>0</v>
      </c>
      <c r="Q966" t="n">
        <v>0</v>
      </c>
      <c r="R966" s="2" t="inlineStr"/>
    </row>
    <row r="967" ht="15" customHeight="1">
      <c r="A967" t="inlineStr">
        <is>
          <t>A 50235-2022</t>
        </is>
      </c>
      <c r="B967" s="1" t="n">
        <v>44865.66157407407</v>
      </c>
      <c r="C967" s="1" t="n">
        <v>45911</v>
      </c>
      <c r="D967" t="inlineStr">
        <is>
          <t>GÄVLEBORGS LÄN</t>
        </is>
      </c>
      <c r="E967" t="inlineStr">
        <is>
          <t>HUDIKSVALL</t>
        </is>
      </c>
      <c r="G967" t="n">
        <v>0.5</v>
      </c>
      <c r="H967" t="n">
        <v>0</v>
      </c>
      <c r="I967" t="n">
        <v>0</v>
      </c>
      <c r="J967" t="n">
        <v>0</v>
      </c>
      <c r="K967" t="n">
        <v>0</v>
      </c>
      <c r="L967" t="n">
        <v>0</v>
      </c>
      <c r="M967" t="n">
        <v>0</v>
      </c>
      <c r="N967" t="n">
        <v>0</v>
      </c>
      <c r="O967" t="n">
        <v>0</v>
      </c>
      <c r="P967" t="n">
        <v>0</v>
      </c>
      <c r="Q967" t="n">
        <v>0</v>
      </c>
      <c r="R967" s="2" t="inlineStr"/>
    </row>
    <row r="968" ht="15" customHeight="1">
      <c r="A968" t="inlineStr">
        <is>
          <t>A 52780-2021</t>
        </is>
      </c>
      <c r="B968" s="1" t="n">
        <v>44467.35469907407</v>
      </c>
      <c r="C968" s="1" t="n">
        <v>45911</v>
      </c>
      <c r="D968" t="inlineStr">
        <is>
          <t>GÄVLEBORGS LÄN</t>
        </is>
      </c>
      <c r="E968" t="inlineStr">
        <is>
          <t>LJUSDAL</t>
        </is>
      </c>
      <c r="F968" t="inlineStr">
        <is>
          <t>Sveaskog</t>
        </is>
      </c>
      <c r="G968" t="n">
        <v>2.4</v>
      </c>
      <c r="H968" t="n">
        <v>0</v>
      </c>
      <c r="I968" t="n">
        <v>0</v>
      </c>
      <c r="J968" t="n">
        <v>0</v>
      </c>
      <c r="K968" t="n">
        <v>0</v>
      </c>
      <c r="L968" t="n">
        <v>0</v>
      </c>
      <c r="M968" t="n">
        <v>0</v>
      </c>
      <c r="N968" t="n">
        <v>0</v>
      </c>
      <c r="O968" t="n">
        <v>0</v>
      </c>
      <c r="P968" t="n">
        <v>0</v>
      </c>
      <c r="Q968" t="n">
        <v>0</v>
      </c>
      <c r="R968" s="2" t="inlineStr"/>
    </row>
    <row r="969" ht="15" customHeight="1">
      <c r="A969" t="inlineStr">
        <is>
          <t>A 52784-2021</t>
        </is>
      </c>
      <c r="B969" s="1" t="n">
        <v>44467.35965277778</v>
      </c>
      <c r="C969" s="1" t="n">
        <v>45911</v>
      </c>
      <c r="D969" t="inlineStr">
        <is>
          <t>GÄVLEBORGS LÄN</t>
        </is>
      </c>
      <c r="E969" t="inlineStr">
        <is>
          <t>BOLLNÄS</t>
        </is>
      </c>
      <c r="F969" t="inlineStr">
        <is>
          <t>Sveaskog</t>
        </is>
      </c>
      <c r="G969" t="n">
        <v>2.1</v>
      </c>
      <c r="H969" t="n">
        <v>0</v>
      </c>
      <c r="I969" t="n">
        <v>0</v>
      </c>
      <c r="J969" t="n">
        <v>0</v>
      </c>
      <c r="K969" t="n">
        <v>0</v>
      </c>
      <c r="L969" t="n">
        <v>0</v>
      </c>
      <c r="M969" t="n">
        <v>0</v>
      </c>
      <c r="N969" t="n">
        <v>0</v>
      </c>
      <c r="O969" t="n">
        <v>0</v>
      </c>
      <c r="P969" t="n">
        <v>0</v>
      </c>
      <c r="Q969" t="n">
        <v>0</v>
      </c>
      <c r="R969" s="2" t="inlineStr"/>
    </row>
    <row r="970" ht="15" customHeight="1">
      <c r="A970" t="inlineStr">
        <is>
          <t>A 62875-2021</t>
        </is>
      </c>
      <c r="B970" s="1" t="n">
        <v>44504.60092592592</v>
      </c>
      <c r="C970" s="1" t="n">
        <v>45911</v>
      </c>
      <c r="D970" t="inlineStr">
        <is>
          <t>GÄVLEBORGS LÄN</t>
        </is>
      </c>
      <c r="E970" t="inlineStr">
        <is>
          <t>HOFORS</t>
        </is>
      </c>
      <c r="G970" t="n">
        <v>1.5</v>
      </c>
      <c r="H970" t="n">
        <v>0</v>
      </c>
      <c r="I970" t="n">
        <v>0</v>
      </c>
      <c r="J970" t="n">
        <v>0</v>
      </c>
      <c r="K970" t="n">
        <v>0</v>
      </c>
      <c r="L970" t="n">
        <v>0</v>
      </c>
      <c r="M970" t="n">
        <v>0</v>
      </c>
      <c r="N970" t="n">
        <v>0</v>
      </c>
      <c r="O970" t="n">
        <v>0</v>
      </c>
      <c r="P970" t="n">
        <v>0</v>
      </c>
      <c r="Q970" t="n">
        <v>0</v>
      </c>
      <c r="R970" s="2" t="inlineStr"/>
    </row>
    <row r="971" ht="15" customHeight="1">
      <c r="A971" t="inlineStr">
        <is>
          <t>A 46256-2022</t>
        </is>
      </c>
      <c r="B971" s="1" t="n">
        <v>44847</v>
      </c>
      <c r="C971" s="1" t="n">
        <v>45911</v>
      </c>
      <c r="D971" t="inlineStr">
        <is>
          <t>GÄVLEBORGS LÄN</t>
        </is>
      </c>
      <c r="E971" t="inlineStr">
        <is>
          <t>LJUSDAL</t>
        </is>
      </c>
      <c r="F971" t="inlineStr">
        <is>
          <t>Holmen skog AB</t>
        </is>
      </c>
      <c r="G971" t="n">
        <v>2.5</v>
      </c>
      <c r="H971" t="n">
        <v>0</v>
      </c>
      <c r="I971" t="n">
        <v>0</v>
      </c>
      <c r="J971" t="n">
        <v>0</v>
      </c>
      <c r="K971" t="n">
        <v>0</v>
      </c>
      <c r="L971" t="n">
        <v>0</v>
      </c>
      <c r="M971" t="n">
        <v>0</v>
      </c>
      <c r="N971" t="n">
        <v>0</v>
      </c>
      <c r="O971" t="n">
        <v>0</v>
      </c>
      <c r="P971" t="n">
        <v>0</v>
      </c>
      <c r="Q971" t="n">
        <v>0</v>
      </c>
      <c r="R971" s="2" t="inlineStr"/>
    </row>
    <row r="972" ht="15" customHeight="1">
      <c r="A972" t="inlineStr">
        <is>
          <t>A 42629-2022</t>
        </is>
      </c>
      <c r="B972" s="1" t="n">
        <v>44831.92733796296</v>
      </c>
      <c r="C972" s="1" t="n">
        <v>45911</v>
      </c>
      <c r="D972" t="inlineStr">
        <is>
          <t>GÄVLEBORGS LÄN</t>
        </is>
      </c>
      <c r="E972" t="inlineStr">
        <is>
          <t>NORDANSTIG</t>
        </is>
      </c>
      <c r="G972" t="n">
        <v>4.5</v>
      </c>
      <c r="H972" t="n">
        <v>0</v>
      </c>
      <c r="I972" t="n">
        <v>0</v>
      </c>
      <c r="J972" t="n">
        <v>0</v>
      </c>
      <c r="K972" t="n">
        <v>0</v>
      </c>
      <c r="L972" t="n">
        <v>0</v>
      </c>
      <c r="M972" t="n">
        <v>0</v>
      </c>
      <c r="N972" t="n">
        <v>0</v>
      </c>
      <c r="O972" t="n">
        <v>0</v>
      </c>
      <c r="P972" t="n">
        <v>0</v>
      </c>
      <c r="Q972" t="n">
        <v>0</v>
      </c>
      <c r="R972" s="2" t="inlineStr"/>
    </row>
    <row r="973" ht="15" customHeight="1">
      <c r="A973" t="inlineStr">
        <is>
          <t>A 46302-2022</t>
        </is>
      </c>
      <c r="B973" s="1" t="n">
        <v>44847</v>
      </c>
      <c r="C973" s="1" t="n">
        <v>45911</v>
      </c>
      <c r="D973" t="inlineStr">
        <is>
          <t>GÄVLEBORGS LÄN</t>
        </is>
      </c>
      <c r="E973" t="inlineStr">
        <is>
          <t>SÖDERHAMN</t>
        </is>
      </c>
      <c r="G973" t="n">
        <v>0.4</v>
      </c>
      <c r="H973" t="n">
        <v>0</v>
      </c>
      <c r="I973" t="n">
        <v>0</v>
      </c>
      <c r="J973" t="n">
        <v>0</v>
      </c>
      <c r="K973" t="n">
        <v>0</v>
      </c>
      <c r="L973" t="n">
        <v>0</v>
      </c>
      <c r="M973" t="n">
        <v>0</v>
      </c>
      <c r="N973" t="n">
        <v>0</v>
      </c>
      <c r="O973" t="n">
        <v>0</v>
      </c>
      <c r="P973" t="n">
        <v>0</v>
      </c>
      <c r="Q973" t="n">
        <v>0</v>
      </c>
      <c r="R973" s="2" t="inlineStr"/>
    </row>
    <row r="974" ht="15" customHeight="1">
      <c r="A974" t="inlineStr">
        <is>
          <t>A 38800-2022</t>
        </is>
      </c>
      <c r="B974" s="1" t="n">
        <v>44816.44962962963</v>
      </c>
      <c r="C974" s="1" t="n">
        <v>45911</v>
      </c>
      <c r="D974" t="inlineStr">
        <is>
          <t>GÄVLEBORGS LÄN</t>
        </is>
      </c>
      <c r="E974" t="inlineStr">
        <is>
          <t>NORDANSTIG</t>
        </is>
      </c>
      <c r="F974" t="inlineStr">
        <is>
          <t>Holmen skog AB</t>
        </is>
      </c>
      <c r="G974" t="n">
        <v>0.8</v>
      </c>
      <c r="H974" t="n">
        <v>0</v>
      </c>
      <c r="I974" t="n">
        <v>0</v>
      </c>
      <c r="J974" t="n">
        <v>0</v>
      </c>
      <c r="K974" t="n">
        <v>0</v>
      </c>
      <c r="L974" t="n">
        <v>0</v>
      </c>
      <c r="M974" t="n">
        <v>0</v>
      </c>
      <c r="N974" t="n">
        <v>0</v>
      </c>
      <c r="O974" t="n">
        <v>0</v>
      </c>
      <c r="P974" t="n">
        <v>0</v>
      </c>
      <c r="Q974" t="n">
        <v>0</v>
      </c>
      <c r="R974" s="2" t="inlineStr"/>
    </row>
    <row r="975" ht="15" customHeight="1">
      <c r="A975" t="inlineStr">
        <is>
          <t>A 42404-2022</t>
        </is>
      </c>
      <c r="B975" s="1" t="n">
        <v>44831.43390046297</v>
      </c>
      <c r="C975" s="1" t="n">
        <v>45911</v>
      </c>
      <c r="D975" t="inlineStr">
        <is>
          <t>GÄVLEBORGS LÄN</t>
        </is>
      </c>
      <c r="E975" t="inlineStr">
        <is>
          <t>NORDANSTIG</t>
        </is>
      </c>
      <c r="F975" t="inlineStr">
        <is>
          <t>Holmen skog AB</t>
        </is>
      </c>
      <c r="G975" t="n">
        <v>4.6</v>
      </c>
      <c r="H975" t="n">
        <v>0</v>
      </c>
      <c r="I975" t="n">
        <v>0</v>
      </c>
      <c r="J975" t="n">
        <v>0</v>
      </c>
      <c r="K975" t="n">
        <v>0</v>
      </c>
      <c r="L975" t="n">
        <v>0</v>
      </c>
      <c r="M975" t="n">
        <v>0</v>
      </c>
      <c r="N975" t="n">
        <v>0</v>
      </c>
      <c r="O975" t="n">
        <v>0</v>
      </c>
      <c r="P975" t="n">
        <v>0</v>
      </c>
      <c r="Q975" t="n">
        <v>0</v>
      </c>
      <c r="R975" s="2" t="inlineStr"/>
    </row>
    <row r="976" ht="15" customHeight="1">
      <c r="A976" t="inlineStr">
        <is>
          <t>A 48381-2022</t>
        </is>
      </c>
      <c r="B976" s="1" t="n">
        <v>44858.59162037037</v>
      </c>
      <c r="C976" s="1" t="n">
        <v>45911</v>
      </c>
      <c r="D976" t="inlineStr">
        <is>
          <t>GÄVLEBORGS LÄN</t>
        </is>
      </c>
      <c r="E976" t="inlineStr">
        <is>
          <t>OCKELBO</t>
        </is>
      </c>
      <c r="F976" t="inlineStr">
        <is>
          <t>Bergvik skog väst AB</t>
        </is>
      </c>
      <c r="G976" t="n">
        <v>1.1</v>
      </c>
      <c r="H976" t="n">
        <v>0</v>
      </c>
      <c r="I976" t="n">
        <v>0</v>
      </c>
      <c r="J976" t="n">
        <v>0</v>
      </c>
      <c r="K976" t="n">
        <v>0</v>
      </c>
      <c r="L976" t="n">
        <v>0</v>
      </c>
      <c r="M976" t="n">
        <v>0</v>
      </c>
      <c r="N976" t="n">
        <v>0</v>
      </c>
      <c r="O976" t="n">
        <v>0</v>
      </c>
      <c r="P976" t="n">
        <v>0</v>
      </c>
      <c r="Q976" t="n">
        <v>0</v>
      </c>
      <c r="R976" s="2" t="inlineStr"/>
    </row>
    <row r="977" ht="15" customHeight="1">
      <c r="A977" t="inlineStr">
        <is>
          <t>A 51038-2022</t>
        </is>
      </c>
      <c r="B977" s="1" t="n">
        <v>44868.31685185185</v>
      </c>
      <c r="C977" s="1" t="n">
        <v>45911</v>
      </c>
      <c r="D977" t="inlineStr">
        <is>
          <t>GÄVLEBORGS LÄN</t>
        </is>
      </c>
      <c r="E977" t="inlineStr">
        <is>
          <t>BOLLNÄS</t>
        </is>
      </c>
      <c r="G977" t="n">
        <v>3.8</v>
      </c>
      <c r="H977" t="n">
        <v>0</v>
      </c>
      <c r="I977" t="n">
        <v>0</v>
      </c>
      <c r="J977" t="n">
        <v>0</v>
      </c>
      <c r="K977" t="n">
        <v>0</v>
      </c>
      <c r="L977" t="n">
        <v>0</v>
      </c>
      <c r="M977" t="n">
        <v>0</v>
      </c>
      <c r="N977" t="n">
        <v>0</v>
      </c>
      <c r="O977" t="n">
        <v>0</v>
      </c>
      <c r="P977" t="n">
        <v>0</v>
      </c>
      <c r="Q977" t="n">
        <v>0</v>
      </c>
      <c r="R977" s="2" t="inlineStr"/>
    </row>
    <row r="978" ht="15" customHeight="1">
      <c r="A978" t="inlineStr">
        <is>
          <t>A 59270-2020</t>
        </is>
      </c>
      <c r="B978" s="1" t="n">
        <v>44147</v>
      </c>
      <c r="C978" s="1" t="n">
        <v>45911</v>
      </c>
      <c r="D978" t="inlineStr">
        <is>
          <t>GÄVLEBORGS LÄN</t>
        </is>
      </c>
      <c r="E978" t="inlineStr">
        <is>
          <t>SÖDERHAMN</t>
        </is>
      </c>
      <c r="G978" t="n">
        <v>1.1</v>
      </c>
      <c r="H978" t="n">
        <v>0</v>
      </c>
      <c r="I978" t="n">
        <v>0</v>
      </c>
      <c r="J978" t="n">
        <v>0</v>
      </c>
      <c r="K978" t="n">
        <v>0</v>
      </c>
      <c r="L978" t="n">
        <v>0</v>
      </c>
      <c r="M978" t="n">
        <v>0</v>
      </c>
      <c r="N978" t="n">
        <v>0</v>
      </c>
      <c r="O978" t="n">
        <v>0</v>
      </c>
      <c r="P978" t="n">
        <v>0</v>
      </c>
      <c r="Q978" t="n">
        <v>0</v>
      </c>
      <c r="R978" s="2" t="inlineStr"/>
    </row>
    <row r="979" ht="15" customHeight="1">
      <c r="A979" t="inlineStr">
        <is>
          <t>A 54434-2020</t>
        </is>
      </c>
      <c r="B979" s="1" t="n">
        <v>44126</v>
      </c>
      <c r="C979" s="1" t="n">
        <v>45911</v>
      </c>
      <c r="D979" t="inlineStr">
        <is>
          <t>GÄVLEBORGS LÄN</t>
        </is>
      </c>
      <c r="E979" t="inlineStr">
        <is>
          <t>HUDIKSVALL</t>
        </is>
      </c>
      <c r="G979" t="n">
        <v>1</v>
      </c>
      <c r="H979" t="n">
        <v>0</v>
      </c>
      <c r="I979" t="n">
        <v>0</v>
      </c>
      <c r="J979" t="n">
        <v>0</v>
      </c>
      <c r="K979" t="n">
        <v>0</v>
      </c>
      <c r="L979" t="n">
        <v>0</v>
      </c>
      <c r="M979" t="n">
        <v>0</v>
      </c>
      <c r="N979" t="n">
        <v>0</v>
      </c>
      <c r="O979" t="n">
        <v>0</v>
      </c>
      <c r="P979" t="n">
        <v>0</v>
      </c>
      <c r="Q979" t="n">
        <v>0</v>
      </c>
      <c r="R979" s="2" t="inlineStr"/>
    </row>
    <row r="980" ht="15" customHeight="1">
      <c r="A980" t="inlineStr">
        <is>
          <t>A 40575-2022</t>
        </is>
      </c>
      <c r="B980" s="1" t="n">
        <v>44823</v>
      </c>
      <c r="C980" s="1" t="n">
        <v>45911</v>
      </c>
      <c r="D980" t="inlineStr">
        <is>
          <t>GÄVLEBORGS LÄN</t>
        </is>
      </c>
      <c r="E980" t="inlineStr">
        <is>
          <t>SÖDERHAMN</t>
        </is>
      </c>
      <c r="G980" t="n">
        <v>1.4</v>
      </c>
      <c r="H980" t="n">
        <v>0</v>
      </c>
      <c r="I980" t="n">
        <v>0</v>
      </c>
      <c r="J980" t="n">
        <v>0</v>
      </c>
      <c r="K980" t="n">
        <v>0</v>
      </c>
      <c r="L980" t="n">
        <v>0</v>
      </c>
      <c r="M980" t="n">
        <v>0</v>
      </c>
      <c r="N980" t="n">
        <v>0</v>
      </c>
      <c r="O980" t="n">
        <v>0</v>
      </c>
      <c r="P980" t="n">
        <v>0</v>
      </c>
      <c r="Q980" t="n">
        <v>0</v>
      </c>
      <c r="R980" s="2" t="inlineStr"/>
    </row>
    <row r="981" ht="15" customHeight="1">
      <c r="A981" t="inlineStr">
        <is>
          <t>A 65259-2020</t>
        </is>
      </c>
      <c r="B981" s="1" t="n">
        <v>44172</v>
      </c>
      <c r="C981" s="1" t="n">
        <v>45911</v>
      </c>
      <c r="D981" t="inlineStr">
        <is>
          <t>GÄVLEBORGS LÄN</t>
        </is>
      </c>
      <c r="E981" t="inlineStr">
        <is>
          <t>NORDANSTIG</t>
        </is>
      </c>
      <c r="F981" t="inlineStr">
        <is>
          <t>SCA</t>
        </is>
      </c>
      <c r="G981" t="n">
        <v>1.8</v>
      </c>
      <c r="H981" t="n">
        <v>0</v>
      </c>
      <c r="I981" t="n">
        <v>0</v>
      </c>
      <c r="J981" t="n">
        <v>0</v>
      </c>
      <c r="K981" t="n">
        <v>0</v>
      </c>
      <c r="L981" t="n">
        <v>0</v>
      </c>
      <c r="M981" t="n">
        <v>0</v>
      </c>
      <c r="N981" t="n">
        <v>0</v>
      </c>
      <c r="O981" t="n">
        <v>0</v>
      </c>
      <c r="P981" t="n">
        <v>0</v>
      </c>
      <c r="Q981" t="n">
        <v>0</v>
      </c>
      <c r="R981" s="2" t="inlineStr"/>
    </row>
    <row r="982" ht="15" customHeight="1">
      <c r="A982" t="inlineStr">
        <is>
          <t>A 1204-2021</t>
        </is>
      </c>
      <c r="B982" s="1" t="n">
        <v>44208</v>
      </c>
      <c r="C982" s="1" t="n">
        <v>45911</v>
      </c>
      <c r="D982" t="inlineStr">
        <is>
          <t>GÄVLEBORGS LÄN</t>
        </is>
      </c>
      <c r="E982" t="inlineStr">
        <is>
          <t>BOLLNÄS</t>
        </is>
      </c>
      <c r="F982" t="inlineStr">
        <is>
          <t>Bergvik skog väst AB</t>
        </is>
      </c>
      <c r="G982" t="n">
        <v>0.9</v>
      </c>
      <c r="H982" t="n">
        <v>0</v>
      </c>
      <c r="I982" t="n">
        <v>0</v>
      </c>
      <c r="J982" t="n">
        <v>0</v>
      </c>
      <c r="K982" t="n">
        <v>0</v>
      </c>
      <c r="L982" t="n">
        <v>0</v>
      </c>
      <c r="M982" t="n">
        <v>0</v>
      </c>
      <c r="N982" t="n">
        <v>0</v>
      </c>
      <c r="O982" t="n">
        <v>0</v>
      </c>
      <c r="P982" t="n">
        <v>0</v>
      </c>
      <c r="Q982" t="n">
        <v>0</v>
      </c>
      <c r="R982" s="2" t="inlineStr"/>
    </row>
    <row r="983" ht="15" customHeight="1">
      <c r="A983" t="inlineStr">
        <is>
          <t>A 60075-2020</t>
        </is>
      </c>
      <c r="B983" s="1" t="n">
        <v>44152</v>
      </c>
      <c r="C983" s="1" t="n">
        <v>45911</v>
      </c>
      <c r="D983" t="inlineStr">
        <is>
          <t>GÄVLEBORGS LÄN</t>
        </is>
      </c>
      <c r="E983" t="inlineStr">
        <is>
          <t>BOLLNÄS</t>
        </is>
      </c>
      <c r="F983" t="inlineStr">
        <is>
          <t>Bergvik skog väst AB</t>
        </is>
      </c>
      <c r="G983" t="n">
        <v>0.6</v>
      </c>
      <c r="H983" t="n">
        <v>0</v>
      </c>
      <c r="I983" t="n">
        <v>0</v>
      </c>
      <c r="J983" t="n">
        <v>0</v>
      </c>
      <c r="K983" t="n">
        <v>0</v>
      </c>
      <c r="L983" t="n">
        <v>0</v>
      </c>
      <c r="M983" t="n">
        <v>0</v>
      </c>
      <c r="N983" t="n">
        <v>0</v>
      </c>
      <c r="O983" t="n">
        <v>0</v>
      </c>
      <c r="P983" t="n">
        <v>0</v>
      </c>
      <c r="Q983" t="n">
        <v>0</v>
      </c>
      <c r="R983" s="2" t="inlineStr"/>
    </row>
    <row r="984" ht="15" customHeight="1">
      <c r="A984" t="inlineStr">
        <is>
          <t>A 62033-2020</t>
        </is>
      </c>
      <c r="B984" s="1" t="n">
        <v>44159</v>
      </c>
      <c r="C984" s="1" t="n">
        <v>45911</v>
      </c>
      <c r="D984" t="inlineStr">
        <is>
          <t>GÄVLEBORGS LÄN</t>
        </is>
      </c>
      <c r="E984" t="inlineStr">
        <is>
          <t>OVANÅKER</t>
        </is>
      </c>
      <c r="G984" t="n">
        <v>0.6</v>
      </c>
      <c r="H984" t="n">
        <v>0</v>
      </c>
      <c r="I984" t="n">
        <v>0</v>
      </c>
      <c r="J984" t="n">
        <v>0</v>
      </c>
      <c r="K984" t="n">
        <v>0</v>
      </c>
      <c r="L984" t="n">
        <v>0</v>
      </c>
      <c r="M984" t="n">
        <v>0</v>
      </c>
      <c r="N984" t="n">
        <v>0</v>
      </c>
      <c r="O984" t="n">
        <v>0</v>
      </c>
      <c r="P984" t="n">
        <v>0</v>
      </c>
      <c r="Q984" t="n">
        <v>0</v>
      </c>
      <c r="R984" s="2" t="inlineStr"/>
    </row>
    <row r="985" ht="15" customHeight="1">
      <c r="A985" t="inlineStr">
        <is>
          <t>A 22206-2021</t>
        </is>
      </c>
      <c r="B985" s="1" t="n">
        <v>44326</v>
      </c>
      <c r="C985" s="1" t="n">
        <v>45911</v>
      </c>
      <c r="D985" t="inlineStr">
        <is>
          <t>GÄVLEBORGS LÄN</t>
        </is>
      </c>
      <c r="E985" t="inlineStr">
        <is>
          <t>LJUSDAL</t>
        </is>
      </c>
      <c r="G985" t="n">
        <v>1.6</v>
      </c>
      <c r="H985" t="n">
        <v>0</v>
      </c>
      <c r="I985" t="n">
        <v>0</v>
      </c>
      <c r="J985" t="n">
        <v>0</v>
      </c>
      <c r="K985" t="n">
        <v>0</v>
      </c>
      <c r="L985" t="n">
        <v>0</v>
      </c>
      <c r="M985" t="n">
        <v>0</v>
      </c>
      <c r="N985" t="n">
        <v>0</v>
      </c>
      <c r="O985" t="n">
        <v>0</v>
      </c>
      <c r="P985" t="n">
        <v>0</v>
      </c>
      <c r="Q985" t="n">
        <v>0</v>
      </c>
      <c r="R985" s="2" t="inlineStr"/>
    </row>
    <row r="986" ht="15" customHeight="1">
      <c r="A986" t="inlineStr">
        <is>
          <t>A 52628-2022</t>
        </is>
      </c>
      <c r="B986" s="1" t="n">
        <v>44874.69761574074</v>
      </c>
      <c r="C986" s="1" t="n">
        <v>45911</v>
      </c>
      <c r="D986" t="inlineStr">
        <is>
          <t>GÄVLEBORGS LÄN</t>
        </is>
      </c>
      <c r="E986" t="inlineStr">
        <is>
          <t>SANDVIKEN</t>
        </is>
      </c>
      <c r="F986" t="inlineStr">
        <is>
          <t>Sveaskog</t>
        </is>
      </c>
      <c r="G986" t="n">
        <v>3.3</v>
      </c>
      <c r="H986" t="n">
        <v>0</v>
      </c>
      <c r="I986" t="n">
        <v>0</v>
      </c>
      <c r="J986" t="n">
        <v>0</v>
      </c>
      <c r="K986" t="n">
        <v>0</v>
      </c>
      <c r="L986" t="n">
        <v>0</v>
      </c>
      <c r="M986" t="n">
        <v>0</v>
      </c>
      <c r="N986" t="n">
        <v>0</v>
      </c>
      <c r="O986" t="n">
        <v>0</v>
      </c>
      <c r="P986" t="n">
        <v>0</v>
      </c>
      <c r="Q986" t="n">
        <v>0</v>
      </c>
      <c r="R986" s="2" t="inlineStr"/>
    </row>
    <row r="987" ht="15" customHeight="1">
      <c r="A987" t="inlineStr">
        <is>
          <t>A 63783-2021</t>
        </is>
      </c>
      <c r="B987" s="1" t="n">
        <v>44509.50847222222</v>
      </c>
      <c r="C987" s="1" t="n">
        <v>45911</v>
      </c>
      <c r="D987" t="inlineStr">
        <is>
          <t>GÄVLEBORGS LÄN</t>
        </is>
      </c>
      <c r="E987" t="inlineStr">
        <is>
          <t>HUDIKSVALL</t>
        </is>
      </c>
      <c r="G987" t="n">
        <v>1.2</v>
      </c>
      <c r="H987" t="n">
        <v>0</v>
      </c>
      <c r="I987" t="n">
        <v>0</v>
      </c>
      <c r="J987" t="n">
        <v>0</v>
      </c>
      <c r="K987" t="n">
        <v>0</v>
      </c>
      <c r="L987" t="n">
        <v>0</v>
      </c>
      <c r="M987" t="n">
        <v>0</v>
      </c>
      <c r="N987" t="n">
        <v>0</v>
      </c>
      <c r="O987" t="n">
        <v>0</v>
      </c>
      <c r="P987" t="n">
        <v>0</v>
      </c>
      <c r="Q987" t="n">
        <v>0</v>
      </c>
      <c r="R987" s="2" t="inlineStr"/>
    </row>
    <row r="988" ht="15" customHeight="1">
      <c r="A988" t="inlineStr">
        <is>
          <t>A 64117-2020</t>
        </is>
      </c>
      <c r="B988" s="1" t="n">
        <v>44167</v>
      </c>
      <c r="C988" s="1" t="n">
        <v>45911</v>
      </c>
      <c r="D988" t="inlineStr">
        <is>
          <t>GÄVLEBORGS LÄN</t>
        </is>
      </c>
      <c r="E988" t="inlineStr">
        <is>
          <t>OVANÅKER</t>
        </is>
      </c>
      <c r="G988" t="n">
        <v>0.4</v>
      </c>
      <c r="H988" t="n">
        <v>0</v>
      </c>
      <c r="I988" t="n">
        <v>0</v>
      </c>
      <c r="J988" t="n">
        <v>0</v>
      </c>
      <c r="K988" t="n">
        <v>0</v>
      </c>
      <c r="L988" t="n">
        <v>0</v>
      </c>
      <c r="M988" t="n">
        <v>0</v>
      </c>
      <c r="N988" t="n">
        <v>0</v>
      </c>
      <c r="O988" t="n">
        <v>0</v>
      </c>
      <c r="P988" t="n">
        <v>0</v>
      </c>
      <c r="Q988" t="n">
        <v>0</v>
      </c>
      <c r="R988" s="2" t="inlineStr"/>
    </row>
    <row r="989" ht="15" customHeight="1">
      <c r="A989" t="inlineStr">
        <is>
          <t>A 534-2022</t>
        </is>
      </c>
      <c r="B989" s="1" t="n">
        <v>44566.60619212963</v>
      </c>
      <c r="C989" s="1" t="n">
        <v>45911</v>
      </c>
      <c r="D989" t="inlineStr">
        <is>
          <t>GÄVLEBORGS LÄN</t>
        </is>
      </c>
      <c r="E989" t="inlineStr">
        <is>
          <t>BOLLNÄS</t>
        </is>
      </c>
      <c r="G989" t="n">
        <v>2.5</v>
      </c>
      <c r="H989" t="n">
        <v>0</v>
      </c>
      <c r="I989" t="n">
        <v>0</v>
      </c>
      <c r="J989" t="n">
        <v>0</v>
      </c>
      <c r="K989" t="n">
        <v>0</v>
      </c>
      <c r="L989" t="n">
        <v>0</v>
      </c>
      <c r="M989" t="n">
        <v>0</v>
      </c>
      <c r="N989" t="n">
        <v>0</v>
      </c>
      <c r="O989" t="n">
        <v>0</v>
      </c>
      <c r="P989" t="n">
        <v>0</v>
      </c>
      <c r="Q989" t="n">
        <v>0</v>
      </c>
      <c r="R989" s="2" t="inlineStr"/>
    </row>
    <row r="990" ht="15" customHeight="1">
      <c r="A990" t="inlineStr">
        <is>
          <t>A 52226-2022</t>
        </is>
      </c>
      <c r="B990" s="1" t="n">
        <v>44873</v>
      </c>
      <c r="C990" s="1" t="n">
        <v>45911</v>
      </c>
      <c r="D990" t="inlineStr">
        <is>
          <t>GÄVLEBORGS LÄN</t>
        </is>
      </c>
      <c r="E990" t="inlineStr">
        <is>
          <t>LJUSDAL</t>
        </is>
      </c>
      <c r="G990" t="n">
        <v>0.6</v>
      </c>
      <c r="H990" t="n">
        <v>0</v>
      </c>
      <c r="I990" t="n">
        <v>0</v>
      </c>
      <c r="J990" t="n">
        <v>0</v>
      </c>
      <c r="K990" t="n">
        <v>0</v>
      </c>
      <c r="L990" t="n">
        <v>0</v>
      </c>
      <c r="M990" t="n">
        <v>0</v>
      </c>
      <c r="N990" t="n">
        <v>0</v>
      </c>
      <c r="O990" t="n">
        <v>0</v>
      </c>
      <c r="P990" t="n">
        <v>0</v>
      </c>
      <c r="Q990" t="n">
        <v>0</v>
      </c>
      <c r="R990" s="2" t="inlineStr"/>
    </row>
    <row r="991" ht="15" customHeight="1">
      <c r="A991" t="inlineStr">
        <is>
          <t>A 54398-2022</t>
        </is>
      </c>
      <c r="B991" s="1" t="n">
        <v>44882.53259259259</v>
      </c>
      <c r="C991" s="1" t="n">
        <v>45911</v>
      </c>
      <c r="D991" t="inlineStr">
        <is>
          <t>GÄVLEBORGS LÄN</t>
        </is>
      </c>
      <c r="E991" t="inlineStr">
        <is>
          <t>BOLLNÄS</t>
        </is>
      </c>
      <c r="G991" t="n">
        <v>0.5</v>
      </c>
      <c r="H991" t="n">
        <v>0</v>
      </c>
      <c r="I991" t="n">
        <v>0</v>
      </c>
      <c r="J991" t="n">
        <v>0</v>
      </c>
      <c r="K991" t="n">
        <v>0</v>
      </c>
      <c r="L991" t="n">
        <v>0</v>
      </c>
      <c r="M991" t="n">
        <v>0</v>
      </c>
      <c r="N991" t="n">
        <v>0</v>
      </c>
      <c r="O991" t="n">
        <v>0</v>
      </c>
      <c r="P991" t="n">
        <v>0</v>
      </c>
      <c r="Q991" t="n">
        <v>0</v>
      </c>
      <c r="R991" s="2" t="inlineStr"/>
    </row>
    <row r="992" ht="15" customHeight="1">
      <c r="A992" t="inlineStr">
        <is>
          <t>A 46961-2022</t>
        </is>
      </c>
      <c r="B992" s="1" t="n">
        <v>44851.94770833333</v>
      </c>
      <c r="C992" s="1" t="n">
        <v>45911</v>
      </c>
      <c r="D992" t="inlineStr">
        <is>
          <t>GÄVLEBORGS LÄN</t>
        </is>
      </c>
      <c r="E992" t="inlineStr">
        <is>
          <t>BOLLNÄS</t>
        </is>
      </c>
      <c r="F992" t="inlineStr">
        <is>
          <t>Bergvik skog väst AB</t>
        </is>
      </c>
      <c r="G992" t="n">
        <v>0.4</v>
      </c>
      <c r="H992" t="n">
        <v>0</v>
      </c>
      <c r="I992" t="n">
        <v>0</v>
      </c>
      <c r="J992" t="n">
        <v>0</v>
      </c>
      <c r="K992" t="n">
        <v>0</v>
      </c>
      <c r="L992" t="n">
        <v>0</v>
      </c>
      <c r="M992" t="n">
        <v>0</v>
      </c>
      <c r="N992" t="n">
        <v>0</v>
      </c>
      <c r="O992" t="n">
        <v>0</v>
      </c>
      <c r="P992" t="n">
        <v>0</v>
      </c>
      <c r="Q992" t="n">
        <v>0</v>
      </c>
      <c r="R992" s="2" t="inlineStr"/>
    </row>
    <row r="993" ht="15" customHeight="1">
      <c r="A993" t="inlineStr">
        <is>
          <t>A 62146-2020</t>
        </is>
      </c>
      <c r="B993" s="1" t="n">
        <v>44159</v>
      </c>
      <c r="C993" s="1" t="n">
        <v>45911</v>
      </c>
      <c r="D993" t="inlineStr">
        <is>
          <t>GÄVLEBORGS LÄN</t>
        </is>
      </c>
      <c r="E993" t="inlineStr">
        <is>
          <t>SÖDERHAMN</t>
        </is>
      </c>
      <c r="G993" t="n">
        <v>0.6</v>
      </c>
      <c r="H993" t="n">
        <v>0</v>
      </c>
      <c r="I993" t="n">
        <v>0</v>
      </c>
      <c r="J993" t="n">
        <v>0</v>
      </c>
      <c r="K993" t="n">
        <v>0</v>
      </c>
      <c r="L993" t="n">
        <v>0</v>
      </c>
      <c r="M993" t="n">
        <v>0</v>
      </c>
      <c r="N993" t="n">
        <v>0</v>
      </c>
      <c r="O993" t="n">
        <v>0</v>
      </c>
      <c r="P993" t="n">
        <v>0</v>
      </c>
      <c r="Q993" t="n">
        <v>0</v>
      </c>
      <c r="R993" s="2" t="inlineStr"/>
    </row>
    <row r="994" ht="15" customHeight="1">
      <c r="A994" t="inlineStr">
        <is>
          <t>A 7592-2022</t>
        </is>
      </c>
      <c r="B994" s="1" t="n">
        <v>44607.63438657407</v>
      </c>
      <c r="C994" s="1" t="n">
        <v>45911</v>
      </c>
      <c r="D994" t="inlineStr">
        <is>
          <t>GÄVLEBORGS LÄN</t>
        </is>
      </c>
      <c r="E994" t="inlineStr">
        <is>
          <t>LJUSDAL</t>
        </is>
      </c>
      <c r="F994" t="inlineStr">
        <is>
          <t>Holmen skog AB</t>
        </is>
      </c>
      <c r="G994" t="n">
        <v>1.1</v>
      </c>
      <c r="H994" t="n">
        <v>0</v>
      </c>
      <c r="I994" t="n">
        <v>0</v>
      </c>
      <c r="J994" t="n">
        <v>0</v>
      </c>
      <c r="K994" t="n">
        <v>0</v>
      </c>
      <c r="L994" t="n">
        <v>0</v>
      </c>
      <c r="M994" t="n">
        <v>0</v>
      </c>
      <c r="N994" t="n">
        <v>0</v>
      </c>
      <c r="O994" t="n">
        <v>0</v>
      </c>
      <c r="P994" t="n">
        <v>0</v>
      </c>
      <c r="Q994" t="n">
        <v>0</v>
      </c>
      <c r="R994" s="2" t="inlineStr"/>
    </row>
    <row r="995" ht="15" customHeight="1">
      <c r="A995" t="inlineStr">
        <is>
          <t>A 8038-2021</t>
        </is>
      </c>
      <c r="B995" s="1" t="n">
        <v>44243.60890046296</v>
      </c>
      <c r="C995" s="1" t="n">
        <v>45911</v>
      </c>
      <c r="D995" t="inlineStr">
        <is>
          <t>GÄVLEBORGS LÄN</t>
        </is>
      </c>
      <c r="E995" t="inlineStr">
        <is>
          <t>BOLLNÄS</t>
        </is>
      </c>
      <c r="G995" t="n">
        <v>1.6</v>
      </c>
      <c r="H995" t="n">
        <v>0</v>
      </c>
      <c r="I995" t="n">
        <v>0</v>
      </c>
      <c r="J995" t="n">
        <v>0</v>
      </c>
      <c r="K995" t="n">
        <v>0</v>
      </c>
      <c r="L995" t="n">
        <v>0</v>
      </c>
      <c r="M995" t="n">
        <v>0</v>
      </c>
      <c r="N995" t="n">
        <v>0</v>
      </c>
      <c r="O995" t="n">
        <v>0</v>
      </c>
      <c r="P995" t="n">
        <v>0</v>
      </c>
      <c r="Q995" t="n">
        <v>0</v>
      </c>
      <c r="R995" s="2" t="inlineStr"/>
    </row>
    <row r="996" ht="15" customHeight="1">
      <c r="A996" t="inlineStr">
        <is>
          <t>A 59213-2020</t>
        </is>
      </c>
      <c r="B996" s="1" t="n">
        <v>44147</v>
      </c>
      <c r="C996" s="1" t="n">
        <v>45911</v>
      </c>
      <c r="D996" t="inlineStr">
        <is>
          <t>GÄVLEBORGS LÄN</t>
        </is>
      </c>
      <c r="E996" t="inlineStr">
        <is>
          <t>NORDANSTIG</t>
        </is>
      </c>
      <c r="F996" t="inlineStr">
        <is>
          <t>Holmen skog AB</t>
        </is>
      </c>
      <c r="G996" t="n">
        <v>2.6</v>
      </c>
      <c r="H996" t="n">
        <v>0</v>
      </c>
      <c r="I996" t="n">
        <v>0</v>
      </c>
      <c r="J996" t="n">
        <v>0</v>
      </c>
      <c r="K996" t="n">
        <v>0</v>
      </c>
      <c r="L996" t="n">
        <v>0</v>
      </c>
      <c r="M996" t="n">
        <v>0</v>
      </c>
      <c r="N996" t="n">
        <v>0</v>
      </c>
      <c r="O996" t="n">
        <v>0</v>
      </c>
      <c r="P996" t="n">
        <v>0</v>
      </c>
      <c r="Q996" t="n">
        <v>0</v>
      </c>
      <c r="R996" s="2" t="inlineStr"/>
    </row>
    <row r="997" ht="15" customHeight="1">
      <c r="A997" t="inlineStr">
        <is>
          <t>A 486-2022</t>
        </is>
      </c>
      <c r="B997" s="1" t="n">
        <v>44566</v>
      </c>
      <c r="C997" s="1" t="n">
        <v>45911</v>
      </c>
      <c r="D997" t="inlineStr">
        <is>
          <t>GÄVLEBORGS LÄN</t>
        </is>
      </c>
      <c r="E997" t="inlineStr">
        <is>
          <t>HUDIKSVALL</t>
        </is>
      </c>
      <c r="G997" t="n">
        <v>3.5</v>
      </c>
      <c r="H997" t="n">
        <v>0</v>
      </c>
      <c r="I997" t="n">
        <v>0</v>
      </c>
      <c r="J997" t="n">
        <v>0</v>
      </c>
      <c r="K997" t="n">
        <v>0</v>
      </c>
      <c r="L997" t="n">
        <v>0</v>
      </c>
      <c r="M997" t="n">
        <v>0</v>
      </c>
      <c r="N997" t="n">
        <v>0</v>
      </c>
      <c r="O997" t="n">
        <v>0</v>
      </c>
      <c r="P997" t="n">
        <v>0</v>
      </c>
      <c r="Q997" t="n">
        <v>0</v>
      </c>
      <c r="R997" s="2" t="inlineStr"/>
    </row>
    <row r="998" ht="15" customHeight="1">
      <c r="A998" t="inlineStr">
        <is>
          <t>A 29858-2021</t>
        </is>
      </c>
      <c r="B998" s="1" t="n">
        <v>44362</v>
      </c>
      <c r="C998" s="1" t="n">
        <v>45911</v>
      </c>
      <c r="D998" t="inlineStr">
        <is>
          <t>GÄVLEBORGS LÄN</t>
        </is>
      </c>
      <c r="E998" t="inlineStr">
        <is>
          <t>HUDIKSVALL</t>
        </is>
      </c>
      <c r="F998" t="inlineStr">
        <is>
          <t>Holmen skog AB</t>
        </is>
      </c>
      <c r="G998" t="n">
        <v>8.1</v>
      </c>
      <c r="H998" t="n">
        <v>0</v>
      </c>
      <c r="I998" t="n">
        <v>0</v>
      </c>
      <c r="J998" t="n">
        <v>0</v>
      </c>
      <c r="K998" t="n">
        <v>0</v>
      </c>
      <c r="L998" t="n">
        <v>0</v>
      </c>
      <c r="M998" t="n">
        <v>0</v>
      </c>
      <c r="N998" t="n">
        <v>0</v>
      </c>
      <c r="O998" t="n">
        <v>0</v>
      </c>
      <c r="P998" t="n">
        <v>0</v>
      </c>
      <c r="Q998" t="n">
        <v>0</v>
      </c>
      <c r="R998" s="2" t="inlineStr"/>
    </row>
    <row r="999" ht="15" customHeight="1">
      <c r="A999" t="inlineStr">
        <is>
          <t>A 64289-2020</t>
        </is>
      </c>
      <c r="B999" s="1" t="n">
        <v>44168</v>
      </c>
      <c r="C999" s="1" t="n">
        <v>45911</v>
      </c>
      <c r="D999" t="inlineStr">
        <is>
          <t>GÄVLEBORGS LÄN</t>
        </is>
      </c>
      <c r="E999" t="inlineStr">
        <is>
          <t>OCKELBO</t>
        </is>
      </c>
      <c r="G999" t="n">
        <v>1</v>
      </c>
      <c r="H999" t="n">
        <v>0</v>
      </c>
      <c r="I999" t="n">
        <v>0</v>
      </c>
      <c r="J999" t="n">
        <v>0</v>
      </c>
      <c r="K999" t="n">
        <v>0</v>
      </c>
      <c r="L999" t="n">
        <v>0</v>
      </c>
      <c r="M999" t="n">
        <v>0</v>
      </c>
      <c r="N999" t="n">
        <v>0</v>
      </c>
      <c r="O999" t="n">
        <v>0</v>
      </c>
      <c r="P999" t="n">
        <v>0</v>
      </c>
      <c r="Q999" t="n">
        <v>0</v>
      </c>
      <c r="R999" s="2" t="inlineStr"/>
    </row>
    <row r="1000" ht="15" customHeight="1">
      <c r="A1000" t="inlineStr">
        <is>
          <t>A 24894-2021</t>
        </is>
      </c>
      <c r="B1000" s="1" t="n">
        <v>44341</v>
      </c>
      <c r="C1000" s="1" t="n">
        <v>45911</v>
      </c>
      <c r="D1000" t="inlineStr">
        <is>
          <t>GÄVLEBORGS LÄN</t>
        </is>
      </c>
      <c r="E1000" t="inlineStr">
        <is>
          <t>LJUSDAL</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15876-2022</t>
        </is>
      </c>
      <c r="B1001" s="1" t="n">
        <v>44664.47868055556</v>
      </c>
      <c r="C1001" s="1" t="n">
        <v>45911</v>
      </c>
      <c r="D1001" t="inlineStr">
        <is>
          <t>GÄVLEBORGS LÄN</t>
        </is>
      </c>
      <c r="E1001" t="inlineStr">
        <is>
          <t>HUDIKSVALL</t>
        </is>
      </c>
      <c r="F1001" t="inlineStr">
        <is>
          <t>Holmen skog AB</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41663-2021</t>
        </is>
      </c>
      <c r="B1002" s="1" t="n">
        <v>44425</v>
      </c>
      <c r="C1002" s="1" t="n">
        <v>45911</v>
      </c>
      <c r="D1002" t="inlineStr">
        <is>
          <t>GÄVLEBORGS LÄN</t>
        </is>
      </c>
      <c r="E1002" t="inlineStr">
        <is>
          <t>LJUSDAL</t>
        </is>
      </c>
      <c r="F1002" t="inlineStr">
        <is>
          <t>Sveaskog</t>
        </is>
      </c>
      <c r="G1002" t="n">
        <v>8.9</v>
      </c>
      <c r="H1002" t="n">
        <v>0</v>
      </c>
      <c r="I1002" t="n">
        <v>0</v>
      </c>
      <c r="J1002" t="n">
        <v>0</v>
      </c>
      <c r="K1002" t="n">
        <v>0</v>
      </c>
      <c r="L1002" t="n">
        <v>0</v>
      </c>
      <c r="M1002" t="n">
        <v>0</v>
      </c>
      <c r="N1002" t="n">
        <v>0</v>
      </c>
      <c r="O1002" t="n">
        <v>0</v>
      </c>
      <c r="P1002" t="n">
        <v>0</v>
      </c>
      <c r="Q1002" t="n">
        <v>0</v>
      </c>
      <c r="R1002" s="2" t="inlineStr"/>
    </row>
    <row r="1003" ht="15" customHeight="1">
      <c r="A1003" t="inlineStr">
        <is>
          <t>A 10100-2021</t>
        </is>
      </c>
      <c r="B1003" s="1" t="n">
        <v>44256</v>
      </c>
      <c r="C1003" s="1" t="n">
        <v>45911</v>
      </c>
      <c r="D1003" t="inlineStr">
        <is>
          <t>GÄVLEBORGS LÄN</t>
        </is>
      </c>
      <c r="E1003" t="inlineStr">
        <is>
          <t>OCKELBO</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69185-2020</t>
        </is>
      </c>
      <c r="B1004" s="1" t="n">
        <v>44190</v>
      </c>
      <c r="C1004" s="1" t="n">
        <v>45911</v>
      </c>
      <c r="D1004" t="inlineStr">
        <is>
          <t>GÄVLEBORGS LÄN</t>
        </is>
      </c>
      <c r="E1004" t="inlineStr">
        <is>
          <t>NORDANSTIG</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45494-2022</t>
        </is>
      </c>
      <c r="B1005" s="1" t="n">
        <v>44841</v>
      </c>
      <c r="C1005" s="1" t="n">
        <v>45911</v>
      </c>
      <c r="D1005" t="inlineStr">
        <is>
          <t>GÄVLEBORGS LÄN</t>
        </is>
      </c>
      <c r="E1005" t="inlineStr">
        <is>
          <t>SÖDERHAMN</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7529-2021</t>
        </is>
      </c>
      <c r="B1006" s="1" t="n">
        <v>44239</v>
      </c>
      <c r="C1006" s="1" t="n">
        <v>45911</v>
      </c>
      <c r="D1006" t="inlineStr">
        <is>
          <t>GÄVLEBORGS LÄN</t>
        </is>
      </c>
      <c r="E1006" t="inlineStr">
        <is>
          <t>HUDIKSVALL</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54546-2022</t>
        </is>
      </c>
      <c r="B1007" s="1" t="n">
        <v>44882.82246527778</v>
      </c>
      <c r="C1007" s="1" t="n">
        <v>45911</v>
      </c>
      <c r="D1007" t="inlineStr">
        <is>
          <t>GÄVLEBORGS LÄN</t>
        </is>
      </c>
      <c r="E1007" t="inlineStr">
        <is>
          <t>BOLLNÄS</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51853-2022</t>
        </is>
      </c>
      <c r="B1008" s="1" t="n">
        <v>44872</v>
      </c>
      <c r="C1008" s="1" t="n">
        <v>45911</v>
      </c>
      <c r="D1008" t="inlineStr">
        <is>
          <t>GÄVLEBORGS LÄN</t>
        </is>
      </c>
      <c r="E1008" t="inlineStr">
        <is>
          <t>LJUSDAL</t>
        </is>
      </c>
      <c r="F1008" t="inlineStr">
        <is>
          <t>Bergvik skog väst AB</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18350-2021</t>
        </is>
      </c>
      <c r="B1009" s="1" t="n">
        <v>44305</v>
      </c>
      <c r="C1009" s="1" t="n">
        <v>45911</v>
      </c>
      <c r="D1009" t="inlineStr">
        <is>
          <t>GÄVLEBORGS LÄN</t>
        </is>
      </c>
      <c r="E1009" t="inlineStr">
        <is>
          <t>OVANÅKER</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68382-2020</t>
        </is>
      </c>
      <c r="B1010" s="1" t="n">
        <v>44186</v>
      </c>
      <c r="C1010" s="1" t="n">
        <v>45911</v>
      </c>
      <c r="D1010" t="inlineStr">
        <is>
          <t>GÄVLEBORGS LÄN</t>
        </is>
      </c>
      <c r="E1010" t="inlineStr">
        <is>
          <t>BOLLNÄS</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15982-2021</t>
        </is>
      </c>
      <c r="B1011" s="1" t="n">
        <v>44287</v>
      </c>
      <c r="C1011" s="1" t="n">
        <v>45911</v>
      </c>
      <c r="D1011" t="inlineStr">
        <is>
          <t>GÄVLEBORGS LÄN</t>
        </is>
      </c>
      <c r="E1011" t="inlineStr">
        <is>
          <t>NORDANSTIG</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13401-2022</t>
        </is>
      </c>
      <c r="B1012" s="1" t="n">
        <v>44645.52770833333</v>
      </c>
      <c r="C1012" s="1" t="n">
        <v>45911</v>
      </c>
      <c r="D1012" t="inlineStr">
        <is>
          <t>GÄVLEBORGS LÄN</t>
        </is>
      </c>
      <c r="E1012" t="inlineStr">
        <is>
          <t>BOLLNÄS</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52276-2022</t>
        </is>
      </c>
      <c r="B1013" s="1" t="n">
        <v>44873.65104166666</v>
      </c>
      <c r="C1013" s="1" t="n">
        <v>45911</v>
      </c>
      <c r="D1013" t="inlineStr">
        <is>
          <t>GÄVLEBORGS LÄN</t>
        </is>
      </c>
      <c r="E1013" t="inlineStr">
        <is>
          <t>SANDVIKEN</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25446-2021</t>
        </is>
      </c>
      <c r="B1014" s="1" t="n">
        <v>44342.67332175926</v>
      </c>
      <c r="C1014" s="1" t="n">
        <v>45911</v>
      </c>
      <c r="D1014" t="inlineStr">
        <is>
          <t>GÄVLEBORGS LÄN</t>
        </is>
      </c>
      <c r="E1014" t="inlineStr">
        <is>
          <t>GÄVLE</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25494-2021</t>
        </is>
      </c>
      <c r="B1015" s="1" t="n">
        <v>44342.92086805555</v>
      </c>
      <c r="C1015" s="1" t="n">
        <v>45911</v>
      </c>
      <c r="D1015" t="inlineStr">
        <is>
          <t>GÄVLEBORGS LÄN</t>
        </is>
      </c>
      <c r="E1015" t="inlineStr">
        <is>
          <t>LJUSDAL</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53850-2020</t>
        </is>
      </c>
      <c r="B1016" s="1" t="n">
        <v>44125</v>
      </c>
      <c r="C1016" s="1" t="n">
        <v>45911</v>
      </c>
      <c r="D1016" t="inlineStr">
        <is>
          <t>GÄVLEBORGS LÄN</t>
        </is>
      </c>
      <c r="E1016" t="inlineStr">
        <is>
          <t>LJUSDAL</t>
        </is>
      </c>
      <c r="F1016" t="inlineStr">
        <is>
          <t>Sveaskog</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18078-2021</t>
        </is>
      </c>
      <c r="B1017" s="1" t="n">
        <v>44302.45065972222</v>
      </c>
      <c r="C1017" s="1" t="n">
        <v>45911</v>
      </c>
      <c r="D1017" t="inlineStr">
        <is>
          <t>GÄVLEBORGS LÄN</t>
        </is>
      </c>
      <c r="E1017" t="inlineStr">
        <is>
          <t>LJUSDAL</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19143-2022</t>
        </is>
      </c>
      <c r="B1018" s="1" t="n">
        <v>44691.62394675926</v>
      </c>
      <c r="C1018" s="1" t="n">
        <v>45911</v>
      </c>
      <c r="D1018" t="inlineStr">
        <is>
          <t>GÄVLEBORGS LÄN</t>
        </is>
      </c>
      <c r="E1018" t="inlineStr">
        <is>
          <t>BOLLNÄS</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21436-2022</t>
        </is>
      </c>
      <c r="B1019" s="1" t="n">
        <v>44706.34598379629</v>
      </c>
      <c r="C1019" s="1" t="n">
        <v>45911</v>
      </c>
      <c r="D1019" t="inlineStr">
        <is>
          <t>GÄVLEBORGS LÄN</t>
        </is>
      </c>
      <c r="E1019" t="inlineStr">
        <is>
          <t>HUDIKSVALL</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11189-2022</t>
        </is>
      </c>
      <c r="B1020" s="1" t="n">
        <v>44629</v>
      </c>
      <c r="C1020" s="1" t="n">
        <v>45911</v>
      </c>
      <c r="D1020" t="inlineStr">
        <is>
          <t>GÄVLEBORGS LÄN</t>
        </is>
      </c>
      <c r="E1020" t="inlineStr">
        <is>
          <t>GÄVLE</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3401-2021</t>
        </is>
      </c>
      <c r="B1021" s="1" t="n">
        <v>44218</v>
      </c>
      <c r="C1021" s="1" t="n">
        <v>45911</v>
      </c>
      <c r="D1021" t="inlineStr">
        <is>
          <t>GÄVLEBORGS LÄN</t>
        </is>
      </c>
      <c r="E1021" t="inlineStr">
        <is>
          <t>SÖDERHAMN</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55489-2021</t>
        </is>
      </c>
      <c r="B1022" s="1" t="n">
        <v>44475.61556712963</v>
      </c>
      <c r="C1022" s="1" t="n">
        <v>45911</v>
      </c>
      <c r="D1022" t="inlineStr">
        <is>
          <t>GÄVLEBORGS LÄN</t>
        </is>
      </c>
      <c r="E1022" t="inlineStr">
        <is>
          <t>HUDIKSVALL</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45584-2021</t>
        </is>
      </c>
      <c r="B1023" s="1" t="n">
        <v>44440.6995949074</v>
      </c>
      <c r="C1023" s="1" t="n">
        <v>45911</v>
      </c>
      <c r="D1023" t="inlineStr">
        <is>
          <t>GÄVLEBORGS LÄN</t>
        </is>
      </c>
      <c r="E1023" t="inlineStr">
        <is>
          <t>LJUSDAL</t>
        </is>
      </c>
      <c r="F1023" t="inlineStr">
        <is>
          <t>Holmen skog AB</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21709-2021</t>
        </is>
      </c>
      <c r="B1024" s="1" t="n">
        <v>44322</v>
      </c>
      <c r="C1024" s="1" t="n">
        <v>45911</v>
      </c>
      <c r="D1024" t="inlineStr">
        <is>
          <t>GÄVLEBORGS LÄN</t>
        </is>
      </c>
      <c r="E1024" t="inlineStr">
        <is>
          <t>OVANÅKER</t>
        </is>
      </c>
      <c r="F1024" t="inlineStr">
        <is>
          <t>Bergvik skog väst AB</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47036-2020</t>
        </is>
      </c>
      <c r="B1025" s="1" t="n">
        <v>44096</v>
      </c>
      <c r="C1025" s="1" t="n">
        <v>45911</v>
      </c>
      <c r="D1025" t="inlineStr">
        <is>
          <t>GÄVLEBORGS LÄN</t>
        </is>
      </c>
      <c r="E1025" t="inlineStr">
        <is>
          <t>OVANÅKER</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16344-2022</t>
        </is>
      </c>
      <c r="B1026" s="1" t="n">
        <v>44670</v>
      </c>
      <c r="C1026" s="1" t="n">
        <v>45911</v>
      </c>
      <c r="D1026" t="inlineStr">
        <is>
          <t>GÄVLEBORGS LÄN</t>
        </is>
      </c>
      <c r="E1026" t="inlineStr">
        <is>
          <t>HUDIKSVALL</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18496-2021</t>
        </is>
      </c>
      <c r="B1027" s="1" t="n">
        <v>44306.39076388889</v>
      </c>
      <c r="C1027" s="1" t="n">
        <v>45911</v>
      </c>
      <c r="D1027" t="inlineStr">
        <is>
          <t>GÄVLEBORGS LÄN</t>
        </is>
      </c>
      <c r="E1027" t="inlineStr">
        <is>
          <t>SANDVIKEN</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64706-2021</t>
        </is>
      </c>
      <c r="B1028" s="1" t="n">
        <v>44512</v>
      </c>
      <c r="C1028" s="1" t="n">
        <v>45911</v>
      </c>
      <c r="D1028" t="inlineStr">
        <is>
          <t>GÄVLEBORGS LÄN</t>
        </is>
      </c>
      <c r="E1028" t="inlineStr">
        <is>
          <t>HOFORS</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17555-2021</t>
        </is>
      </c>
      <c r="B1029" s="1" t="n">
        <v>44299.64576388889</v>
      </c>
      <c r="C1029" s="1" t="n">
        <v>45911</v>
      </c>
      <c r="D1029" t="inlineStr">
        <is>
          <t>GÄVLEBORGS LÄN</t>
        </is>
      </c>
      <c r="E1029" t="inlineStr">
        <is>
          <t>BOLLNÄS</t>
        </is>
      </c>
      <c r="G1029" t="n">
        <v>6.1</v>
      </c>
      <c r="H1029" t="n">
        <v>0</v>
      </c>
      <c r="I1029" t="n">
        <v>0</v>
      </c>
      <c r="J1029" t="n">
        <v>0</v>
      </c>
      <c r="K1029" t="n">
        <v>0</v>
      </c>
      <c r="L1029" t="n">
        <v>0</v>
      </c>
      <c r="M1029" t="n">
        <v>0</v>
      </c>
      <c r="N1029" t="n">
        <v>0</v>
      </c>
      <c r="O1029" t="n">
        <v>0</v>
      </c>
      <c r="P1029" t="n">
        <v>0</v>
      </c>
      <c r="Q1029" t="n">
        <v>0</v>
      </c>
      <c r="R1029" s="2" t="inlineStr"/>
    </row>
    <row r="1030" ht="15" customHeight="1">
      <c r="A1030" t="inlineStr">
        <is>
          <t>A 29933-2022</t>
        </is>
      </c>
      <c r="B1030" s="1" t="n">
        <v>44756.58375</v>
      </c>
      <c r="C1030" s="1" t="n">
        <v>45911</v>
      </c>
      <c r="D1030" t="inlineStr">
        <is>
          <t>GÄVLEBORGS LÄN</t>
        </is>
      </c>
      <c r="E1030" t="inlineStr">
        <is>
          <t>GÄVLE</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29949-2022</t>
        </is>
      </c>
      <c r="B1031" s="1" t="n">
        <v>44756.62429398148</v>
      </c>
      <c r="C1031" s="1" t="n">
        <v>45911</v>
      </c>
      <c r="D1031" t="inlineStr">
        <is>
          <t>GÄVLEBORGS LÄN</t>
        </is>
      </c>
      <c r="E1031" t="inlineStr">
        <is>
          <t>LJUSDAL</t>
        </is>
      </c>
      <c r="F1031" t="inlineStr">
        <is>
          <t>Sveaskog</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24162-2021</t>
        </is>
      </c>
      <c r="B1032" s="1" t="n">
        <v>44336.60556712963</v>
      </c>
      <c r="C1032" s="1" t="n">
        <v>45911</v>
      </c>
      <c r="D1032" t="inlineStr">
        <is>
          <t>GÄVLEBORGS LÄN</t>
        </is>
      </c>
      <c r="E1032" t="inlineStr">
        <is>
          <t>HUDIKSVALL</t>
        </is>
      </c>
      <c r="F1032" t="inlineStr">
        <is>
          <t>Holmen skog AB</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18151-2021</t>
        </is>
      </c>
      <c r="B1033" s="1" t="n">
        <v>44302</v>
      </c>
      <c r="C1033" s="1" t="n">
        <v>45911</v>
      </c>
      <c r="D1033" t="inlineStr">
        <is>
          <t>GÄVLEBORGS LÄN</t>
        </is>
      </c>
      <c r="E1033" t="inlineStr">
        <is>
          <t>LJUSDAL</t>
        </is>
      </c>
      <c r="F1033" t="inlineStr">
        <is>
          <t>Sveaskog</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19496-2021</t>
        </is>
      </c>
      <c r="B1034" s="1" t="n">
        <v>44312</v>
      </c>
      <c r="C1034" s="1" t="n">
        <v>45911</v>
      </c>
      <c r="D1034" t="inlineStr">
        <is>
          <t>GÄVLEBORGS LÄN</t>
        </is>
      </c>
      <c r="E1034" t="inlineStr">
        <is>
          <t>NORDANSTIG</t>
        </is>
      </c>
      <c r="G1034" t="n">
        <v>5.5</v>
      </c>
      <c r="H1034" t="n">
        <v>0</v>
      </c>
      <c r="I1034" t="n">
        <v>0</v>
      </c>
      <c r="J1034" t="n">
        <v>0</v>
      </c>
      <c r="K1034" t="n">
        <v>0</v>
      </c>
      <c r="L1034" t="n">
        <v>0</v>
      </c>
      <c r="M1034" t="n">
        <v>0</v>
      </c>
      <c r="N1034" t="n">
        <v>0</v>
      </c>
      <c r="O1034" t="n">
        <v>0</v>
      </c>
      <c r="P1034" t="n">
        <v>0</v>
      </c>
      <c r="Q1034" t="n">
        <v>0</v>
      </c>
      <c r="R1034" s="2" t="inlineStr"/>
    </row>
    <row r="1035" ht="15" customHeight="1">
      <c r="A1035" t="inlineStr">
        <is>
          <t>A 62044-2020</t>
        </is>
      </c>
      <c r="B1035" s="1" t="n">
        <v>44158</v>
      </c>
      <c r="C1035" s="1" t="n">
        <v>45911</v>
      </c>
      <c r="D1035" t="inlineStr">
        <is>
          <t>GÄVLEBORGS LÄN</t>
        </is>
      </c>
      <c r="E1035" t="inlineStr">
        <is>
          <t>SÖDERHAMN</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16923-2022</t>
        </is>
      </c>
      <c r="B1036" s="1" t="n">
        <v>44676.44880787037</v>
      </c>
      <c r="C1036" s="1" t="n">
        <v>45911</v>
      </c>
      <c r="D1036" t="inlineStr">
        <is>
          <t>GÄVLEBORGS LÄN</t>
        </is>
      </c>
      <c r="E1036" t="inlineStr">
        <is>
          <t>BOLLNÄS</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30615-2022</t>
        </is>
      </c>
      <c r="B1037" s="1" t="n">
        <v>44763</v>
      </c>
      <c r="C1037" s="1" t="n">
        <v>45911</v>
      </c>
      <c r="D1037" t="inlineStr">
        <is>
          <t>GÄVLEBORGS LÄN</t>
        </is>
      </c>
      <c r="E1037" t="inlineStr">
        <is>
          <t>BOLLNÄS</t>
        </is>
      </c>
      <c r="G1037" t="n">
        <v>0.2</v>
      </c>
      <c r="H1037" t="n">
        <v>0</v>
      </c>
      <c r="I1037" t="n">
        <v>0</v>
      </c>
      <c r="J1037" t="n">
        <v>0</v>
      </c>
      <c r="K1037" t="n">
        <v>0</v>
      </c>
      <c r="L1037" t="n">
        <v>0</v>
      </c>
      <c r="M1037" t="n">
        <v>0</v>
      </c>
      <c r="N1037" t="n">
        <v>0</v>
      </c>
      <c r="O1037" t="n">
        <v>0</v>
      </c>
      <c r="P1037" t="n">
        <v>0</v>
      </c>
      <c r="Q1037" t="n">
        <v>0</v>
      </c>
      <c r="R1037" s="2" t="inlineStr"/>
    </row>
    <row r="1038" ht="15" customHeight="1">
      <c r="A1038" t="inlineStr">
        <is>
          <t>A 7925-2021</t>
        </is>
      </c>
      <c r="B1038" s="1" t="n">
        <v>44243</v>
      </c>
      <c r="C1038" s="1" t="n">
        <v>45911</v>
      </c>
      <c r="D1038" t="inlineStr">
        <is>
          <t>GÄVLEBORGS LÄN</t>
        </is>
      </c>
      <c r="E1038" t="inlineStr">
        <is>
          <t>LJUSDAL</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22239-2021</t>
        </is>
      </c>
      <c r="B1039" s="1" t="n">
        <v>44326</v>
      </c>
      <c r="C1039" s="1" t="n">
        <v>45911</v>
      </c>
      <c r="D1039" t="inlineStr">
        <is>
          <t>GÄVLEBORGS LÄN</t>
        </is>
      </c>
      <c r="E1039" t="inlineStr">
        <is>
          <t>LJUSDAL</t>
        </is>
      </c>
      <c r="G1039" t="n">
        <v>13.9</v>
      </c>
      <c r="H1039" t="n">
        <v>0</v>
      </c>
      <c r="I1039" t="n">
        <v>0</v>
      </c>
      <c r="J1039" t="n">
        <v>0</v>
      </c>
      <c r="K1039" t="n">
        <v>0</v>
      </c>
      <c r="L1039" t="n">
        <v>0</v>
      </c>
      <c r="M1039" t="n">
        <v>0</v>
      </c>
      <c r="N1039" t="n">
        <v>0</v>
      </c>
      <c r="O1039" t="n">
        <v>0</v>
      </c>
      <c r="P1039" t="n">
        <v>0</v>
      </c>
      <c r="Q1039" t="n">
        <v>0</v>
      </c>
      <c r="R1039" s="2" t="inlineStr"/>
    </row>
    <row r="1040" ht="15" customHeight="1">
      <c r="A1040" t="inlineStr">
        <is>
          <t>A 57535-2020</t>
        </is>
      </c>
      <c r="B1040" s="1" t="n">
        <v>44140</v>
      </c>
      <c r="C1040" s="1" t="n">
        <v>45911</v>
      </c>
      <c r="D1040" t="inlineStr">
        <is>
          <t>GÄVLEBORGS LÄN</t>
        </is>
      </c>
      <c r="E1040" t="inlineStr">
        <is>
          <t>GÄVLE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64843-2021</t>
        </is>
      </c>
      <c r="B1041" s="1" t="n">
        <v>44512.56739583334</v>
      </c>
      <c r="C1041" s="1" t="n">
        <v>45911</v>
      </c>
      <c r="D1041" t="inlineStr">
        <is>
          <t>GÄVLEBORGS LÄN</t>
        </is>
      </c>
      <c r="E1041" t="inlineStr">
        <is>
          <t>OVANÅKER</t>
        </is>
      </c>
      <c r="F1041" t="inlineStr">
        <is>
          <t>Bergvik skog väst AB</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64685-2020</t>
        </is>
      </c>
      <c r="B1042" s="1" t="n">
        <v>44169</v>
      </c>
      <c r="C1042" s="1" t="n">
        <v>45911</v>
      </c>
      <c r="D1042" t="inlineStr">
        <is>
          <t>GÄVLEBORGS LÄN</t>
        </is>
      </c>
      <c r="E1042" t="inlineStr">
        <is>
          <t>BOLLNÄS</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26715-2021</t>
        </is>
      </c>
      <c r="B1043" s="1" t="n">
        <v>44349.36012731482</v>
      </c>
      <c r="C1043" s="1" t="n">
        <v>45911</v>
      </c>
      <c r="D1043" t="inlineStr">
        <is>
          <t>GÄVLEBORGS LÄN</t>
        </is>
      </c>
      <c r="E1043" t="inlineStr">
        <is>
          <t>LJUSDAL</t>
        </is>
      </c>
      <c r="F1043" t="inlineStr">
        <is>
          <t>Sveaskog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27083-2021</t>
        </is>
      </c>
      <c r="B1044" s="1" t="n">
        <v>44350.48465277778</v>
      </c>
      <c r="C1044" s="1" t="n">
        <v>45911</v>
      </c>
      <c r="D1044" t="inlineStr">
        <is>
          <t>GÄVLEBORGS LÄN</t>
        </is>
      </c>
      <c r="E1044" t="inlineStr">
        <is>
          <t>HUDIKSVALL</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16532-2021</t>
        </is>
      </c>
      <c r="B1045" s="1" t="n">
        <v>44293.66891203704</v>
      </c>
      <c r="C1045" s="1" t="n">
        <v>45911</v>
      </c>
      <c r="D1045" t="inlineStr">
        <is>
          <t>GÄVLEBORGS LÄN</t>
        </is>
      </c>
      <c r="E1045" t="inlineStr">
        <is>
          <t>SÖDERHAMN</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26782-2021</t>
        </is>
      </c>
      <c r="B1046" s="1" t="n">
        <v>44349</v>
      </c>
      <c r="C1046" s="1" t="n">
        <v>45911</v>
      </c>
      <c r="D1046" t="inlineStr">
        <is>
          <t>GÄVLEBORGS LÄN</t>
        </is>
      </c>
      <c r="E1046" t="inlineStr">
        <is>
          <t>HUDIKSVALL</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52756-2022</t>
        </is>
      </c>
      <c r="B1047" s="1" t="n">
        <v>44875</v>
      </c>
      <c r="C1047" s="1" t="n">
        <v>45911</v>
      </c>
      <c r="D1047" t="inlineStr">
        <is>
          <t>GÄVLEBORGS LÄN</t>
        </is>
      </c>
      <c r="E1047" t="inlineStr">
        <is>
          <t>BOLLNÄS</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26269-2021</t>
        </is>
      </c>
      <c r="B1048" s="1" t="n">
        <v>44347.50230324074</v>
      </c>
      <c r="C1048" s="1" t="n">
        <v>45911</v>
      </c>
      <c r="D1048" t="inlineStr">
        <is>
          <t>GÄVLEBORGS LÄN</t>
        </is>
      </c>
      <c r="E1048" t="inlineStr">
        <is>
          <t>OVANÅKER</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38447-2022</t>
        </is>
      </c>
      <c r="B1049" s="1" t="n">
        <v>44813.51212962963</v>
      </c>
      <c r="C1049" s="1" t="n">
        <v>45911</v>
      </c>
      <c r="D1049" t="inlineStr">
        <is>
          <t>GÄVLEBORGS LÄN</t>
        </is>
      </c>
      <c r="E1049" t="inlineStr">
        <is>
          <t>GÄVLE</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34462-2021</t>
        </is>
      </c>
      <c r="B1050" s="1" t="n">
        <v>44381</v>
      </c>
      <c r="C1050" s="1" t="n">
        <v>45911</v>
      </c>
      <c r="D1050" t="inlineStr">
        <is>
          <t>GÄVLEBORGS LÄN</t>
        </is>
      </c>
      <c r="E1050" t="inlineStr">
        <is>
          <t>BOLLNÄS</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16931-2021</t>
        </is>
      </c>
      <c r="B1051" s="1" t="n">
        <v>44295</v>
      </c>
      <c r="C1051" s="1" t="n">
        <v>45911</v>
      </c>
      <c r="D1051" t="inlineStr">
        <is>
          <t>GÄVLEBORGS LÄN</t>
        </is>
      </c>
      <c r="E1051" t="inlineStr">
        <is>
          <t>GÄVLE</t>
        </is>
      </c>
      <c r="F1051" t="inlineStr">
        <is>
          <t>Kyrkan</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59629-2021</t>
        </is>
      </c>
      <c r="B1052" s="1" t="n">
        <v>44492</v>
      </c>
      <c r="C1052" s="1" t="n">
        <v>45911</v>
      </c>
      <c r="D1052" t="inlineStr">
        <is>
          <t>GÄVLEBORGS LÄN</t>
        </is>
      </c>
      <c r="E1052" t="inlineStr">
        <is>
          <t>OCKELBO</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55082-2021</t>
        </is>
      </c>
      <c r="B1053" s="1" t="n">
        <v>44474.65907407407</v>
      </c>
      <c r="C1053" s="1" t="n">
        <v>45911</v>
      </c>
      <c r="D1053" t="inlineStr">
        <is>
          <t>GÄVLEBORGS LÄN</t>
        </is>
      </c>
      <c r="E1053" t="inlineStr">
        <is>
          <t>SANDVIKEN</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38348-2022</t>
        </is>
      </c>
      <c r="B1054" s="1" t="n">
        <v>44812.63510416666</v>
      </c>
      <c r="C1054" s="1" t="n">
        <v>45911</v>
      </c>
      <c r="D1054" t="inlineStr">
        <is>
          <t>GÄVLEBORGS LÄN</t>
        </is>
      </c>
      <c r="E1054" t="inlineStr">
        <is>
          <t>NORDANSTIG</t>
        </is>
      </c>
      <c r="F1054" t="inlineStr">
        <is>
          <t>Holmen skog AB</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27276-2022</t>
        </is>
      </c>
      <c r="B1055" s="1" t="n">
        <v>44741.92570601852</v>
      </c>
      <c r="C1055" s="1" t="n">
        <v>45911</v>
      </c>
      <c r="D1055" t="inlineStr">
        <is>
          <t>GÄVLEBORGS LÄN</t>
        </is>
      </c>
      <c r="E1055" t="inlineStr">
        <is>
          <t>NORDANSTIG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45992-2021</t>
        </is>
      </c>
      <c r="B1056" s="1" t="n">
        <v>44441</v>
      </c>
      <c r="C1056" s="1" t="n">
        <v>45911</v>
      </c>
      <c r="D1056" t="inlineStr">
        <is>
          <t>GÄVLEBORGS LÄN</t>
        </is>
      </c>
      <c r="E1056" t="inlineStr">
        <is>
          <t>SANDVIKEN</t>
        </is>
      </c>
      <c r="F1056" t="inlineStr">
        <is>
          <t>Sveaskog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65837-2020</t>
        </is>
      </c>
      <c r="B1057" s="1" t="n">
        <v>44174</v>
      </c>
      <c r="C1057" s="1" t="n">
        <v>45911</v>
      </c>
      <c r="D1057" t="inlineStr">
        <is>
          <t>GÄVLEBORGS LÄN</t>
        </is>
      </c>
      <c r="E1057" t="inlineStr">
        <is>
          <t>HUDIKSVALL</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40787-2022</t>
        </is>
      </c>
      <c r="B1058" s="1" t="n">
        <v>44824</v>
      </c>
      <c r="C1058" s="1" t="n">
        <v>45911</v>
      </c>
      <c r="D1058" t="inlineStr">
        <is>
          <t>GÄVLEBORGS LÄN</t>
        </is>
      </c>
      <c r="E1058" t="inlineStr">
        <is>
          <t>LJUSDAL</t>
        </is>
      </c>
      <c r="F1058" t="inlineStr">
        <is>
          <t>Holmen skog AB</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29479-2021</t>
        </is>
      </c>
      <c r="B1059" s="1" t="n">
        <v>44361.63824074074</v>
      </c>
      <c r="C1059" s="1" t="n">
        <v>45911</v>
      </c>
      <c r="D1059" t="inlineStr">
        <is>
          <t>GÄVLEBORGS LÄN</t>
        </is>
      </c>
      <c r="E1059" t="inlineStr">
        <is>
          <t>LJUSDAL</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66611-2020</t>
        </is>
      </c>
      <c r="B1060" s="1" t="n">
        <v>44179</v>
      </c>
      <c r="C1060" s="1" t="n">
        <v>45911</v>
      </c>
      <c r="D1060" t="inlineStr">
        <is>
          <t>GÄVLEBORGS LÄN</t>
        </is>
      </c>
      <c r="E1060" t="inlineStr">
        <is>
          <t>OCKELBO</t>
        </is>
      </c>
      <c r="F1060" t="inlineStr">
        <is>
          <t>Bergvik skog väst AB</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64120-2021</t>
        </is>
      </c>
      <c r="B1061" s="1" t="n">
        <v>44510</v>
      </c>
      <c r="C1061" s="1" t="n">
        <v>45911</v>
      </c>
      <c r="D1061" t="inlineStr">
        <is>
          <t>GÄVLEBORGS LÄN</t>
        </is>
      </c>
      <c r="E1061" t="inlineStr">
        <is>
          <t>LJUSDAL</t>
        </is>
      </c>
      <c r="F1061" t="inlineStr">
        <is>
          <t>Kommuner</t>
        </is>
      </c>
      <c r="G1061" t="n">
        <v>7.3</v>
      </c>
      <c r="H1061" t="n">
        <v>0</v>
      </c>
      <c r="I1061" t="n">
        <v>0</v>
      </c>
      <c r="J1061" t="n">
        <v>0</v>
      </c>
      <c r="K1061" t="n">
        <v>0</v>
      </c>
      <c r="L1061" t="n">
        <v>0</v>
      </c>
      <c r="M1061" t="n">
        <v>0</v>
      </c>
      <c r="N1061" t="n">
        <v>0</v>
      </c>
      <c r="O1061" t="n">
        <v>0</v>
      </c>
      <c r="P1061" t="n">
        <v>0</v>
      </c>
      <c r="Q1061" t="n">
        <v>0</v>
      </c>
      <c r="R1061" s="2" t="inlineStr"/>
    </row>
    <row r="1062" ht="15" customHeight="1">
      <c r="A1062" t="inlineStr">
        <is>
          <t>A 69086-2020</t>
        </is>
      </c>
      <c r="B1062" s="1" t="n">
        <v>44188.50596064814</v>
      </c>
      <c r="C1062" s="1" t="n">
        <v>45911</v>
      </c>
      <c r="D1062" t="inlineStr">
        <is>
          <t>GÄVLEBORGS LÄN</t>
        </is>
      </c>
      <c r="E1062" t="inlineStr">
        <is>
          <t>NORDANSTIG</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60737-2020</t>
        </is>
      </c>
      <c r="B1063" s="1" t="n">
        <v>44153</v>
      </c>
      <c r="C1063" s="1" t="n">
        <v>45911</v>
      </c>
      <c r="D1063" t="inlineStr">
        <is>
          <t>GÄVLEBORGS LÄN</t>
        </is>
      </c>
      <c r="E1063" t="inlineStr">
        <is>
          <t>HUDIKSVALL</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43077-2022</t>
        </is>
      </c>
      <c r="B1064" s="1" t="n">
        <v>44833</v>
      </c>
      <c r="C1064" s="1" t="n">
        <v>45911</v>
      </c>
      <c r="D1064" t="inlineStr">
        <is>
          <t>GÄVLEBORGS LÄN</t>
        </is>
      </c>
      <c r="E1064" t="inlineStr">
        <is>
          <t>LJUSDAL</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33605-2021</t>
        </is>
      </c>
      <c r="B1065" s="1" t="n">
        <v>44378.32232638889</v>
      </c>
      <c r="C1065" s="1" t="n">
        <v>45911</v>
      </c>
      <c r="D1065" t="inlineStr">
        <is>
          <t>GÄVLEBORGS LÄN</t>
        </is>
      </c>
      <c r="E1065" t="inlineStr">
        <is>
          <t>LJUSDAL</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40431-2021</t>
        </is>
      </c>
      <c r="B1066" s="1" t="n">
        <v>44419.68258101852</v>
      </c>
      <c r="C1066" s="1" t="n">
        <v>45911</v>
      </c>
      <c r="D1066" t="inlineStr">
        <is>
          <t>GÄVLEBORGS LÄN</t>
        </is>
      </c>
      <c r="E1066" t="inlineStr">
        <is>
          <t>LJUSDAL</t>
        </is>
      </c>
      <c r="F1066" t="inlineStr">
        <is>
          <t>Holmen skog AB</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34286-2021</t>
        </is>
      </c>
      <c r="B1067" s="1" t="n">
        <v>44379</v>
      </c>
      <c r="C1067" s="1" t="n">
        <v>45911</v>
      </c>
      <c r="D1067" t="inlineStr">
        <is>
          <t>GÄVLEBORGS LÄN</t>
        </is>
      </c>
      <c r="E1067" t="inlineStr">
        <is>
          <t>NORDANSTIG</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26158-2021</t>
        </is>
      </c>
      <c r="B1068" s="1" t="n">
        <v>44347</v>
      </c>
      <c r="C1068" s="1" t="n">
        <v>45911</v>
      </c>
      <c r="D1068" t="inlineStr">
        <is>
          <t>GÄVLEBORGS LÄN</t>
        </is>
      </c>
      <c r="E1068" t="inlineStr">
        <is>
          <t>BOLLNÄS</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58690-2020</t>
        </is>
      </c>
      <c r="B1069" s="1" t="n">
        <v>44146</v>
      </c>
      <c r="C1069" s="1" t="n">
        <v>45911</v>
      </c>
      <c r="D1069" t="inlineStr">
        <is>
          <t>GÄVLEBORGS LÄN</t>
        </is>
      </c>
      <c r="E1069" t="inlineStr">
        <is>
          <t>GÄVLE</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50876-2022</t>
        </is>
      </c>
      <c r="B1070" s="1" t="n">
        <v>44867.57646990741</v>
      </c>
      <c r="C1070" s="1" t="n">
        <v>45911</v>
      </c>
      <c r="D1070" t="inlineStr">
        <is>
          <t>GÄVLEBORGS LÄN</t>
        </is>
      </c>
      <c r="E1070" t="inlineStr">
        <is>
          <t>SÖDERHAMN</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64284-2020</t>
        </is>
      </c>
      <c r="B1071" s="1" t="n">
        <v>44168</v>
      </c>
      <c r="C1071" s="1" t="n">
        <v>45911</v>
      </c>
      <c r="D1071" t="inlineStr">
        <is>
          <t>GÄVLEBORGS LÄN</t>
        </is>
      </c>
      <c r="E1071" t="inlineStr">
        <is>
          <t>OCKELBO</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30591-2022</t>
        </is>
      </c>
      <c r="B1072" s="1" t="n">
        <v>44762.69137731481</v>
      </c>
      <c r="C1072" s="1" t="n">
        <v>45911</v>
      </c>
      <c r="D1072" t="inlineStr">
        <is>
          <t>GÄVLEBORGS LÄN</t>
        </is>
      </c>
      <c r="E1072" t="inlineStr">
        <is>
          <t>HUDIKSVALL</t>
        </is>
      </c>
      <c r="F1072" t="inlineStr">
        <is>
          <t>Sveaskog</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42325-2022</t>
        </is>
      </c>
      <c r="B1073" s="1" t="n">
        <v>44831.34217592593</v>
      </c>
      <c r="C1073" s="1" t="n">
        <v>45911</v>
      </c>
      <c r="D1073" t="inlineStr">
        <is>
          <t>GÄVLEBORGS LÄN</t>
        </is>
      </c>
      <c r="E1073" t="inlineStr">
        <is>
          <t>BOLLNÄS</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69304-2020</t>
        </is>
      </c>
      <c r="B1074" s="1" t="n">
        <v>44188</v>
      </c>
      <c r="C1074" s="1" t="n">
        <v>45911</v>
      </c>
      <c r="D1074" t="inlineStr">
        <is>
          <t>GÄVLEBORGS LÄN</t>
        </is>
      </c>
      <c r="E1074" t="inlineStr">
        <is>
          <t>OVANÅKER</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47720-2022</t>
        </is>
      </c>
      <c r="B1075" s="1" t="n">
        <v>44854</v>
      </c>
      <c r="C1075" s="1" t="n">
        <v>45911</v>
      </c>
      <c r="D1075" t="inlineStr">
        <is>
          <t>GÄVLEBORGS LÄN</t>
        </is>
      </c>
      <c r="E1075" t="inlineStr">
        <is>
          <t>SANDVIKEN</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47723-2022</t>
        </is>
      </c>
      <c r="B1076" s="1" t="n">
        <v>44854</v>
      </c>
      <c r="C1076" s="1" t="n">
        <v>45911</v>
      </c>
      <c r="D1076" t="inlineStr">
        <is>
          <t>GÄVLEBORGS LÄN</t>
        </is>
      </c>
      <c r="E1076" t="inlineStr">
        <is>
          <t>BOLLNÄS</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214-2021</t>
        </is>
      </c>
      <c r="B1077" s="1" t="n">
        <v>44200</v>
      </c>
      <c r="C1077" s="1" t="n">
        <v>45911</v>
      </c>
      <c r="D1077" t="inlineStr">
        <is>
          <t>GÄVLEBORGS LÄN</t>
        </is>
      </c>
      <c r="E1077" t="inlineStr">
        <is>
          <t>BOLLNÄS</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72594-2021</t>
        </is>
      </c>
      <c r="B1078" s="1" t="n">
        <v>44546.48967592593</v>
      </c>
      <c r="C1078" s="1" t="n">
        <v>45911</v>
      </c>
      <c r="D1078" t="inlineStr">
        <is>
          <t>GÄVLEBORGS LÄN</t>
        </is>
      </c>
      <c r="E1078" t="inlineStr">
        <is>
          <t>NORDANSTIG</t>
        </is>
      </c>
      <c r="G1078" t="n">
        <v>5.7</v>
      </c>
      <c r="H1078" t="n">
        <v>0</v>
      </c>
      <c r="I1078" t="n">
        <v>0</v>
      </c>
      <c r="J1078" t="n">
        <v>0</v>
      </c>
      <c r="K1078" t="n">
        <v>0</v>
      </c>
      <c r="L1078" t="n">
        <v>0</v>
      </c>
      <c r="M1078" t="n">
        <v>0</v>
      </c>
      <c r="N1078" t="n">
        <v>0</v>
      </c>
      <c r="O1078" t="n">
        <v>0</v>
      </c>
      <c r="P1078" t="n">
        <v>0</v>
      </c>
      <c r="Q1078" t="n">
        <v>0</v>
      </c>
      <c r="R1078" s="2" t="inlineStr"/>
    </row>
    <row r="1079" ht="15" customHeight="1">
      <c r="A1079" t="inlineStr">
        <is>
          <t>A 72645-2021</t>
        </is>
      </c>
      <c r="B1079" s="1" t="n">
        <v>44546</v>
      </c>
      <c r="C1079" s="1" t="n">
        <v>45911</v>
      </c>
      <c r="D1079" t="inlineStr">
        <is>
          <t>GÄVLEBORGS LÄN</t>
        </is>
      </c>
      <c r="E1079" t="inlineStr">
        <is>
          <t>SÖDERHAMN</t>
        </is>
      </c>
      <c r="G1079" t="n">
        <v>3.9</v>
      </c>
      <c r="H1079" t="n">
        <v>0</v>
      </c>
      <c r="I1079" t="n">
        <v>0</v>
      </c>
      <c r="J1079" t="n">
        <v>0</v>
      </c>
      <c r="K1079" t="n">
        <v>0</v>
      </c>
      <c r="L1079" t="n">
        <v>0</v>
      </c>
      <c r="M1079" t="n">
        <v>0</v>
      </c>
      <c r="N1079" t="n">
        <v>0</v>
      </c>
      <c r="O1079" t="n">
        <v>0</v>
      </c>
      <c r="P1079" t="n">
        <v>0</v>
      </c>
      <c r="Q1079" t="n">
        <v>0</v>
      </c>
      <c r="R1079" s="2" t="inlineStr"/>
    </row>
    <row r="1080" ht="15" customHeight="1">
      <c r="A1080" t="inlineStr">
        <is>
          <t>A 50811-2021</t>
        </is>
      </c>
      <c r="B1080" s="1" t="n">
        <v>44460</v>
      </c>
      <c r="C1080" s="1" t="n">
        <v>45911</v>
      </c>
      <c r="D1080" t="inlineStr">
        <is>
          <t>GÄVLEBORGS LÄN</t>
        </is>
      </c>
      <c r="E1080" t="inlineStr">
        <is>
          <t>NORDANSTIG</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1520-2021</t>
        </is>
      </c>
      <c r="B1081" s="1" t="n">
        <v>44209</v>
      </c>
      <c r="C1081" s="1" t="n">
        <v>45911</v>
      </c>
      <c r="D1081" t="inlineStr">
        <is>
          <t>GÄVLEBORGS LÄN</t>
        </is>
      </c>
      <c r="E1081" t="inlineStr">
        <is>
          <t>BOLLNÄS</t>
        </is>
      </c>
      <c r="F1081" t="inlineStr">
        <is>
          <t>Bergvik skog väst AB</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48811-2022</t>
        </is>
      </c>
      <c r="B1082" s="1" t="n">
        <v>44859</v>
      </c>
      <c r="C1082" s="1" t="n">
        <v>45911</v>
      </c>
      <c r="D1082" t="inlineStr">
        <is>
          <t>GÄVLEBORGS LÄN</t>
        </is>
      </c>
      <c r="E1082" t="inlineStr">
        <is>
          <t>OVANÅKER</t>
        </is>
      </c>
      <c r="F1082" t="inlineStr">
        <is>
          <t>Bergvik skog väst AB</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8881-2021</t>
        </is>
      </c>
      <c r="B1083" s="1" t="n">
        <v>44247</v>
      </c>
      <c r="C1083" s="1" t="n">
        <v>45911</v>
      </c>
      <c r="D1083" t="inlineStr">
        <is>
          <t>GÄVLEBORGS LÄN</t>
        </is>
      </c>
      <c r="E1083" t="inlineStr">
        <is>
          <t>SANDVIKEN</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44585-2021</t>
        </is>
      </c>
      <c r="B1084" s="1" t="n">
        <v>44435</v>
      </c>
      <c r="C1084" s="1" t="n">
        <v>45911</v>
      </c>
      <c r="D1084" t="inlineStr">
        <is>
          <t>GÄVLEBORGS LÄN</t>
        </is>
      </c>
      <c r="E1084" t="inlineStr">
        <is>
          <t>OVANÅKER</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29263-2022</t>
        </is>
      </c>
      <c r="B1085" s="1" t="n">
        <v>44750.65607638889</v>
      </c>
      <c r="C1085" s="1" t="n">
        <v>45911</v>
      </c>
      <c r="D1085" t="inlineStr">
        <is>
          <t>GÄVLEBORGS LÄN</t>
        </is>
      </c>
      <c r="E1085" t="inlineStr">
        <is>
          <t>LJUSDAL</t>
        </is>
      </c>
      <c r="F1085" t="inlineStr">
        <is>
          <t>Holmen skog AB</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34854-2021</t>
        </is>
      </c>
      <c r="B1086" s="1" t="n">
        <v>44383</v>
      </c>
      <c r="C1086" s="1" t="n">
        <v>45911</v>
      </c>
      <c r="D1086" t="inlineStr">
        <is>
          <t>GÄVLEBORGS LÄN</t>
        </is>
      </c>
      <c r="E1086" t="inlineStr">
        <is>
          <t>OCKELBO</t>
        </is>
      </c>
      <c r="F1086" t="inlineStr">
        <is>
          <t>Bergvik skog väst AB</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37705-2021</t>
        </is>
      </c>
      <c r="B1087" s="1" t="n">
        <v>44400.55195601852</v>
      </c>
      <c r="C1087" s="1" t="n">
        <v>45911</v>
      </c>
      <c r="D1087" t="inlineStr">
        <is>
          <t>GÄVLEBORGS LÄN</t>
        </is>
      </c>
      <c r="E1087" t="inlineStr">
        <is>
          <t>OCKELBO</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480-2022</t>
        </is>
      </c>
      <c r="B1088" s="1" t="n">
        <v>44566</v>
      </c>
      <c r="C1088" s="1" t="n">
        <v>45911</v>
      </c>
      <c r="D1088" t="inlineStr">
        <is>
          <t>GÄVLEBORGS LÄN</t>
        </is>
      </c>
      <c r="E1088" t="inlineStr">
        <is>
          <t>HUDIKSVALL</t>
        </is>
      </c>
      <c r="G1088" t="n">
        <v>4.9</v>
      </c>
      <c r="H1088" t="n">
        <v>0</v>
      </c>
      <c r="I1088" t="n">
        <v>0</v>
      </c>
      <c r="J1088" t="n">
        <v>0</v>
      </c>
      <c r="K1088" t="n">
        <v>0</v>
      </c>
      <c r="L1088" t="n">
        <v>0</v>
      </c>
      <c r="M1088" t="n">
        <v>0</v>
      </c>
      <c r="N1088" t="n">
        <v>0</v>
      </c>
      <c r="O1088" t="n">
        <v>0</v>
      </c>
      <c r="P1088" t="n">
        <v>0</v>
      </c>
      <c r="Q1088" t="n">
        <v>0</v>
      </c>
      <c r="R1088" s="2" t="inlineStr"/>
    </row>
    <row r="1089" ht="15" customHeight="1">
      <c r="A1089" t="inlineStr">
        <is>
          <t>A 49653-2020</t>
        </is>
      </c>
      <c r="B1089" s="1" t="n">
        <v>44106.46587962963</v>
      </c>
      <c r="C1089" s="1" t="n">
        <v>45911</v>
      </c>
      <c r="D1089" t="inlineStr">
        <is>
          <t>GÄVLEBORGS LÄN</t>
        </is>
      </c>
      <c r="E1089" t="inlineStr">
        <is>
          <t>BOLLNÄS</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37694-2021</t>
        </is>
      </c>
      <c r="B1090" s="1" t="n">
        <v>44400.50061342592</v>
      </c>
      <c r="C1090" s="1" t="n">
        <v>45911</v>
      </c>
      <c r="D1090" t="inlineStr">
        <is>
          <t>GÄVLEBORGS LÄN</t>
        </is>
      </c>
      <c r="E1090" t="inlineStr">
        <is>
          <t>OCKELBO</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1842-2021</t>
        </is>
      </c>
      <c r="B1091" s="1" t="n">
        <v>44210</v>
      </c>
      <c r="C1091" s="1" t="n">
        <v>45911</v>
      </c>
      <c r="D1091" t="inlineStr">
        <is>
          <t>GÄVLEBORGS LÄN</t>
        </is>
      </c>
      <c r="E1091" t="inlineStr">
        <is>
          <t>HUDIKSVALL</t>
        </is>
      </c>
      <c r="F1091" t="inlineStr">
        <is>
          <t>Holmen skog AB</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11821-2021</t>
        </is>
      </c>
      <c r="B1092" s="1" t="n">
        <v>44265.56106481481</v>
      </c>
      <c r="C1092" s="1" t="n">
        <v>45911</v>
      </c>
      <c r="D1092" t="inlineStr">
        <is>
          <t>GÄVLEBORGS LÄN</t>
        </is>
      </c>
      <c r="E1092" t="inlineStr">
        <is>
          <t>SÖDERHAMN</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37900-2021</t>
        </is>
      </c>
      <c r="B1093" s="1" t="n">
        <v>44403.56305555555</v>
      </c>
      <c r="C1093" s="1" t="n">
        <v>45911</v>
      </c>
      <c r="D1093" t="inlineStr">
        <is>
          <t>GÄVLEBORGS LÄN</t>
        </is>
      </c>
      <c r="E1093" t="inlineStr">
        <is>
          <t>HUDIKSVALL</t>
        </is>
      </c>
      <c r="F1093" t="inlineStr">
        <is>
          <t>Holmen skog AB</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59659-2020</t>
        </is>
      </c>
      <c r="B1094" s="1" t="n">
        <v>44151</v>
      </c>
      <c r="C1094" s="1" t="n">
        <v>45911</v>
      </c>
      <c r="D1094" t="inlineStr">
        <is>
          <t>GÄVLEBORGS LÄN</t>
        </is>
      </c>
      <c r="E1094" t="inlineStr">
        <is>
          <t>HUDIKSVALL</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53381-2020</t>
        </is>
      </c>
      <c r="B1095" s="1" t="n">
        <v>44123</v>
      </c>
      <c r="C1095" s="1" t="n">
        <v>45911</v>
      </c>
      <c r="D1095" t="inlineStr">
        <is>
          <t>GÄVLEBORGS LÄN</t>
        </is>
      </c>
      <c r="E1095" t="inlineStr">
        <is>
          <t>OCKELBO</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8572-2021</t>
        </is>
      </c>
      <c r="B1096" s="1" t="n">
        <v>44244</v>
      </c>
      <c r="C1096" s="1" t="n">
        <v>45911</v>
      </c>
      <c r="D1096" t="inlineStr">
        <is>
          <t>GÄVLEBORGS LÄN</t>
        </is>
      </c>
      <c r="E1096" t="inlineStr">
        <is>
          <t>HUDIKSVALL</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31923-2021</t>
        </is>
      </c>
      <c r="B1097" s="1" t="n">
        <v>44370.48982638889</v>
      </c>
      <c r="C1097" s="1" t="n">
        <v>45911</v>
      </c>
      <c r="D1097" t="inlineStr">
        <is>
          <t>GÄVLEBORGS LÄN</t>
        </is>
      </c>
      <c r="E1097" t="inlineStr">
        <is>
          <t>NORDANSTIG</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31961-2021</t>
        </is>
      </c>
      <c r="B1098" s="1" t="n">
        <v>44370.56376157407</v>
      </c>
      <c r="C1098" s="1" t="n">
        <v>45911</v>
      </c>
      <c r="D1098" t="inlineStr">
        <is>
          <t>GÄVLEBORGS LÄN</t>
        </is>
      </c>
      <c r="E1098" t="inlineStr">
        <is>
          <t>LJUSDAL</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62650-2021</t>
        </is>
      </c>
      <c r="B1099" s="1" t="n">
        <v>44503.92040509259</v>
      </c>
      <c r="C1099" s="1" t="n">
        <v>45911</v>
      </c>
      <c r="D1099" t="inlineStr">
        <is>
          <t>GÄVLEBORGS LÄN</t>
        </is>
      </c>
      <c r="E1099" t="inlineStr">
        <is>
          <t>LJUSDAL</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64720-2021</t>
        </is>
      </c>
      <c r="B1100" s="1" t="n">
        <v>44512.376875</v>
      </c>
      <c r="C1100" s="1" t="n">
        <v>45911</v>
      </c>
      <c r="D1100" t="inlineStr">
        <is>
          <t>GÄVLEBORGS LÄN</t>
        </is>
      </c>
      <c r="E1100" t="inlineStr">
        <is>
          <t>SANDVIKEN</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62321-2021</t>
        </is>
      </c>
      <c r="B1101" s="1" t="n">
        <v>44503</v>
      </c>
      <c r="C1101" s="1" t="n">
        <v>45911</v>
      </c>
      <c r="D1101" t="inlineStr">
        <is>
          <t>GÄVLEBORGS LÄN</t>
        </is>
      </c>
      <c r="E1101" t="inlineStr">
        <is>
          <t>HUDIKSVALL</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54496-2021</t>
        </is>
      </c>
      <c r="B1102" s="1" t="n">
        <v>44473.50452546297</v>
      </c>
      <c r="C1102" s="1" t="n">
        <v>45911</v>
      </c>
      <c r="D1102" t="inlineStr">
        <is>
          <t>GÄVLEBORGS LÄN</t>
        </is>
      </c>
      <c r="E1102" t="inlineStr">
        <is>
          <t>NORDANSTIG</t>
        </is>
      </c>
      <c r="F1102" t="inlineStr">
        <is>
          <t>Holmen skog AB</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20089-2021</t>
        </is>
      </c>
      <c r="B1103" s="1" t="n">
        <v>44314.43032407408</v>
      </c>
      <c r="C1103" s="1" t="n">
        <v>45911</v>
      </c>
      <c r="D1103" t="inlineStr">
        <is>
          <t>GÄVLEBORGS LÄN</t>
        </is>
      </c>
      <c r="E1103" t="inlineStr">
        <is>
          <t>OVANÅKER</t>
        </is>
      </c>
      <c r="F1103" t="inlineStr">
        <is>
          <t>Sveaskog</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20095-2021</t>
        </is>
      </c>
      <c r="B1104" s="1" t="n">
        <v>44314</v>
      </c>
      <c r="C1104" s="1" t="n">
        <v>45911</v>
      </c>
      <c r="D1104" t="inlineStr">
        <is>
          <t>GÄVLEBORGS LÄN</t>
        </is>
      </c>
      <c r="E1104" t="inlineStr">
        <is>
          <t>OVANÅKER</t>
        </is>
      </c>
      <c r="F1104" t="inlineStr">
        <is>
          <t>Sveaskog</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12330-2021</t>
        </is>
      </c>
      <c r="B1105" s="1" t="n">
        <v>44267</v>
      </c>
      <c r="C1105" s="1" t="n">
        <v>45911</v>
      </c>
      <c r="D1105" t="inlineStr">
        <is>
          <t>GÄVLEBORGS LÄN</t>
        </is>
      </c>
      <c r="E1105" t="inlineStr">
        <is>
          <t>LJUSDAL</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69057-2021</t>
        </is>
      </c>
      <c r="B1106" s="1" t="n">
        <v>44530.64190972222</v>
      </c>
      <c r="C1106" s="1" t="n">
        <v>45911</v>
      </c>
      <c r="D1106" t="inlineStr">
        <is>
          <t>GÄVLEBORGS LÄN</t>
        </is>
      </c>
      <c r="E1106" t="inlineStr">
        <is>
          <t>LJUSDAL</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49068-2021</t>
        </is>
      </c>
      <c r="B1107" s="1" t="n">
        <v>44453.61233796296</v>
      </c>
      <c r="C1107" s="1" t="n">
        <v>45911</v>
      </c>
      <c r="D1107" t="inlineStr">
        <is>
          <t>GÄVLEBORGS LÄN</t>
        </is>
      </c>
      <c r="E1107" t="inlineStr">
        <is>
          <t>LJUSDAL</t>
        </is>
      </c>
      <c r="F1107" t="inlineStr">
        <is>
          <t>Holmen skog AB</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42553-2021</t>
        </is>
      </c>
      <c r="B1108" s="1" t="n">
        <v>44427</v>
      </c>
      <c r="C1108" s="1" t="n">
        <v>45911</v>
      </c>
      <c r="D1108" t="inlineStr">
        <is>
          <t>GÄVLEBORGS LÄN</t>
        </is>
      </c>
      <c r="E1108" t="inlineStr">
        <is>
          <t>LJUSDAL</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54570-2021</t>
        </is>
      </c>
      <c r="B1109" s="1" t="n">
        <v>44473.57443287037</v>
      </c>
      <c r="C1109" s="1" t="n">
        <v>45911</v>
      </c>
      <c r="D1109" t="inlineStr">
        <is>
          <t>GÄVLEBORGS LÄN</t>
        </is>
      </c>
      <c r="E1109" t="inlineStr">
        <is>
          <t>NORDANSTIG</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62111-2021</t>
        </is>
      </c>
      <c r="B1110" s="1" t="n">
        <v>44502.64059027778</v>
      </c>
      <c r="C1110" s="1" t="n">
        <v>45911</v>
      </c>
      <c r="D1110" t="inlineStr">
        <is>
          <t>GÄVLEBORGS LÄN</t>
        </is>
      </c>
      <c r="E1110" t="inlineStr">
        <is>
          <t>NORDANSTIG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49991-2020</t>
        </is>
      </c>
      <c r="B1111" s="1" t="n">
        <v>44109</v>
      </c>
      <c r="C1111" s="1" t="n">
        <v>45911</v>
      </c>
      <c r="D1111" t="inlineStr">
        <is>
          <t>GÄVLEBORGS LÄN</t>
        </is>
      </c>
      <c r="E1111" t="inlineStr">
        <is>
          <t>OVANÅKER</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16699-2021</t>
        </is>
      </c>
      <c r="B1112" s="1" t="n">
        <v>44294</v>
      </c>
      <c r="C1112" s="1" t="n">
        <v>45911</v>
      </c>
      <c r="D1112" t="inlineStr">
        <is>
          <t>GÄVLEBORGS LÄN</t>
        </is>
      </c>
      <c r="E1112" t="inlineStr">
        <is>
          <t>LJUSDAL</t>
        </is>
      </c>
      <c r="F1112" t="inlineStr">
        <is>
          <t>Kyrkan</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11051-2021</t>
        </is>
      </c>
      <c r="B1113" s="1" t="n">
        <v>44260.5655787037</v>
      </c>
      <c r="C1113" s="1" t="n">
        <v>45911</v>
      </c>
      <c r="D1113" t="inlineStr">
        <is>
          <t>GÄVLEBORGS LÄN</t>
        </is>
      </c>
      <c r="E1113" t="inlineStr">
        <is>
          <t>HUDIKSVALL</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14246-2022</t>
        </is>
      </c>
      <c r="B1114" s="1" t="n">
        <v>44651.68858796296</v>
      </c>
      <c r="C1114" s="1" t="n">
        <v>45911</v>
      </c>
      <c r="D1114" t="inlineStr">
        <is>
          <t>GÄVLEBORGS LÄN</t>
        </is>
      </c>
      <c r="E1114" t="inlineStr">
        <is>
          <t>NORDANSTIG</t>
        </is>
      </c>
      <c r="F1114" t="inlineStr">
        <is>
          <t>Holmen skog AB</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53258-2022</t>
        </is>
      </c>
      <c r="B1115" s="1" t="n">
        <v>44876</v>
      </c>
      <c r="C1115" s="1" t="n">
        <v>45911</v>
      </c>
      <c r="D1115" t="inlineStr">
        <is>
          <t>GÄVLEBORGS LÄN</t>
        </is>
      </c>
      <c r="E1115" t="inlineStr">
        <is>
          <t>SANDVIKEN</t>
        </is>
      </c>
      <c r="F1115" t="inlineStr">
        <is>
          <t>Sveaskog</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48547-2021</t>
        </is>
      </c>
      <c r="B1116" s="1" t="n">
        <v>44452.45461805556</v>
      </c>
      <c r="C1116" s="1" t="n">
        <v>45911</v>
      </c>
      <c r="D1116" t="inlineStr">
        <is>
          <t>GÄVLEBORGS LÄN</t>
        </is>
      </c>
      <c r="E1116" t="inlineStr">
        <is>
          <t>BOLLNÄS</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46419-2021</t>
        </is>
      </c>
      <c r="B1117" s="1" t="n">
        <v>44445.30451388889</v>
      </c>
      <c r="C1117" s="1" t="n">
        <v>45911</v>
      </c>
      <c r="D1117" t="inlineStr">
        <is>
          <t>GÄVLEBORGS LÄN</t>
        </is>
      </c>
      <c r="E1117" t="inlineStr">
        <is>
          <t>LJUSDAL</t>
        </is>
      </c>
      <c r="F1117" t="inlineStr">
        <is>
          <t>Sveaskog</t>
        </is>
      </c>
      <c r="G1117" t="n">
        <v>6.5</v>
      </c>
      <c r="H1117" t="n">
        <v>0</v>
      </c>
      <c r="I1117" t="n">
        <v>0</v>
      </c>
      <c r="J1117" t="n">
        <v>0</v>
      </c>
      <c r="K1117" t="n">
        <v>0</v>
      </c>
      <c r="L1117" t="n">
        <v>0</v>
      </c>
      <c r="M1117" t="n">
        <v>0</v>
      </c>
      <c r="N1117" t="n">
        <v>0</v>
      </c>
      <c r="O1117" t="n">
        <v>0</v>
      </c>
      <c r="P1117" t="n">
        <v>0</v>
      </c>
      <c r="Q1117" t="n">
        <v>0</v>
      </c>
      <c r="R1117" s="2" t="inlineStr"/>
    </row>
    <row r="1118" ht="15" customHeight="1">
      <c r="A1118" t="inlineStr">
        <is>
          <t>A 67146-2020</t>
        </is>
      </c>
      <c r="B1118" s="1" t="n">
        <v>44180</v>
      </c>
      <c r="C1118" s="1" t="n">
        <v>45911</v>
      </c>
      <c r="D1118" t="inlineStr">
        <is>
          <t>GÄVLEBORGS LÄN</t>
        </is>
      </c>
      <c r="E1118" t="inlineStr">
        <is>
          <t>HUDIKSVALL</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67152-2020</t>
        </is>
      </c>
      <c r="B1119" s="1" t="n">
        <v>44180</v>
      </c>
      <c r="C1119" s="1" t="n">
        <v>45911</v>
      </c>
      <c r="D1119" t="inlineStr">
        <is>
          <t>GÄVLEBORGS LÄN</t>
        </is>
      </c>
      <c r="E1119" t="inlineStr">
        <is>
          <t>HUDIKSVALL</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63951-2020</t>
        </is>
      </c>
      <c r="B1120" s="1" t="n">
        <v>44167</v>
      </c>
      <c r="C1120" s="1" t="n">
        <v>45911</v>
      </c>
      <c r="D1120" t="inlineStr">
        <is>
          <t>GÄVLEBORGS LÄN</t>
        </is>
      </c>
      <c r="E1120" t="inlineStr">
        <is>
          <t>HOFORS</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51121-2022</t>
        </is>
      </c>
      <c r="B1121" s="1" t="n">
        <v>44868.46837962963</v>
      </c>
      <c r="C1121" s="1" t="n">
        <v>45911</v>
      </c>
      <c r="D1121" t="inlineStr">
        <is>
          <t>GÄVLEBORGS LÄN</t>
        </is>
      </c>
      <c r="E1121" t="inlineStr">
        <is>
          <t>LJUSDAL</t>
        </is>
      </c>
      <c r="F1121" t="inlineStr">
        <is>
          <t>Sveaskog</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17656-2021</t>
        </is>
      </c>
      <c r="B1122" s="1" t="n">
        <v>44300</v>
      </c>
      <c r="C1122" s="1" t="n">
        <v>45911</v>
      </c>
      <c r="D1122" t="inlineStr">
        <is>
          <t>GÄVLEBORGS LÄN</t>
        </is>
      </c>
      <c r="E1122" t="inlineStr">
        <is>
          <t>GÄVLE</t>
        </is>
      </c>
      <c r="F1122" t="inlineStr">
        <is>
          <t>Bergvik skog väst AB</t>
        </is>
      </c>
      <c r="G1122" t="n">
        <v>0.2</v>
      </c>
      <c r="H1122" t="n">
        <v>0</v>
      </c>
      <c r="I1122" t="n">
        <v>0</v>
      </c>
      <c r="J1122" t="n">
        <v>0</v>
      </c>
      <c r="K1122" t="n">
        <v>0</v>
      </c>
      <c r="L1122" t="n">
        <v>0</v>
      </c>
      <c r="M1122" t="n">
        <v>0</v>
      </c>
      <c r="N1122" t="n">
        <v>0</v>
      </c>
      <c r="O1122" t="n">
        <v>0</v>
      </c>
      <c r="P1122" t="n">
        <v>0</v>
      </c>
      <c r="Q1122" t="n">
        <v>0</v>
      </c>
      <c r="R1122" s="2" t="inlineStr"/>
    </row>
    <row r="1123" ht="15" customHeight="1">
      <c r="A1123" t="inlineStr">
        <is>
          <t>A 46651-2021</t>
        </is>
      </c>
      <c r="B1123" s="1" t="n">
        <v>44445</v>
      </c>
      <c r="C1123" s="1" t="n">
        <v>45911</v>
      </c>
      <c r="D1123" t="inlineStr">
        <is>
          <t>GÄVLEBORGS LÄN</t>
        </is>
      </c>
      <c r="E1123" t="inlineStr">
        <is>
          <t>LJUSDAL</t>
        </is>
      </c>
      <c r="F1123" t="inlineStr">
        <is>
          <t>Holmen skog AB</t>
        </is>
      </c>
      <c r="G1123" t="n">
        <v>6.2</v>
      </c>
      <c r="H1123" t="n">
        <v>0</v>
      </c>
      <c r="I1123" t="n">
        <v>0</v>
      </c>
      <c r="J1123" t="n">
        <v>0</v>
      </c>
      <c r="K1123" t="n">
        <v>0</v>
      </c>
      <c r="L1123" t="n">
        <v>0</v>
      </c>
      <c r="M1123" t="n">
        <v>0</v>
      </c>
      <c r="N1123" t="n">
        <v>0</v>
      </c>
      <c r="O1123" t="n">
        <v>0</v>
      </c>
      <c r="P1123" t="n">
        <v>0</v>
      </c>
      <c r="Q1123" t="n">
        <v>0</v>
      </c>
      <c r="R1123" s="2" t="inlineStr"/>
    </row>
    <row r="1124" ht="15" customHeight="1">
      <c r="A1124" t="inlineStr">
        <is>
          <t>A 48664-2022</t>
        </is>
      </c>
      <c r="B1124" s="1" t="n">
        <v>44859</v>
      </c>
      <c r="C1124" s="1" t="n">
        <v>45911</v>
      </c>
      <c r="D1124" t="inlineStr">
        <is>
          <t>GÄVLEBORGS LÄN</t>
        </is>
      </c>
      <c r="E1124" t="inlineStr">
        <is>
          <t>BOLLNÄS</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66120-2021</t>
        </is>
      </c>
      <c r="B1125" s="1" t="n">
        <v>44517</v>
      </c>
      <c r="C1125" s="1" t="n">
        <v>45911</v>
      </c>
      <c r="D1125" t="inlineStr">
        <is>
          <t>GÄVLEBORGS LÄN</t>
        </is>
      </c>
      <c r="E1125" t="inlineStr">
        <is>
          <t>BOLLNÄS</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66128-2021</t>
        </is>
      </c>
      <c r="B1126" s="1" t="n">
        <v>44517</v>
      </c>
      <c r="C1126" s="1" t="n">
        <v>45911</v>
      </c>
      <c r="D1126" t="inlineStr">
        <is>
          <t>GÄVLEBORGS LÄN</t>
        </is>
      </c>
      <c r="E1126" t="inlineStr">
        <is>
          <t>BOLLNÄS</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66129-2021</t>
        </is>
      </c>
      <c r="B1127" s="1" t="n">
        <v>44517</v>
      </c>
      <c r="C1127" s="1" t="n">
        <v>45911</v>
      </c>
      <c r="D1127" t="inlineStr">
        <is>
          <t>GÄVLEBORGS LÄN</t>
        </is>
      </c>
      <c r="E1127" t="inlineStr">
        <is>
          <t>BOLLNÄS</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11923-2022</t>
        </is>
      </c>
      <c r="B1128" s="1" t="n">
        <v>44635.50788194445</v>
      </c>
      <c r="C1128" s="1" t="n">
        <v>45911</v>
      </c>
      <c r="D1128" t="inlineStr">
        <is>
          <t>GÄVLEBORGS LÄN</t>
        </is>
      </c>
      <c r="E1128" t="inlineStr">
        <is>
          <t>SANDVIKEN</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16459-2022</t>
        </is>
      </c>
      <c r="B1129" s="1" t="n">
        <v>44671.58972222222</v>
      </c>
      <c r="C1129" s="1" t="n">
        <v>45911</v>
      </c>
      <c r="D1129" t="inlineStr">
        <is>
          <t>GÄVLEBORGS LÄN</t>
        </is>
      </c>
      <c r="E1129" t="inlineStr">
        <is>
          <t>GÄVLE</t>
        </is>
      </c>
      <c r="F1129" t="inlineStr">
        <is>
          <t>Bergvik skog öst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16469-2022</t>
        </is>
      </c>
      <c r="B1130" s="1" t="n">
        <v>44671.61422453704</v>
      </c>
      <c r="C1130" s="1" t="n">
        <v>45911</v>
      </c>
      <c r="D1130" t="inlineStr">
        <is>
          <t>GÄVLEBORGS LÄN</t>
        </is>
      </c>
      <c r="E1130" t="inlineStr">
        <is>
          <t>GÄVLE</t>
        </is>
      </c>
      <c r="F1130" t="inlineStr">
        <is>
          <t>Bergvik skog öst AB</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52948-2021</t>
        </is>
      </c>
      <c r="B1131" s="1" t="n">
        <v>44467</v>
      </c>
      <c r="C1131" s="1" t="n">
        <v>45911</v>
      </c>
      <c r="D1131" t="inlineStr">
        <is>
          <t>GÄVLEBORGS LÄN</t>
        </is>
      </c>
      <c r="E1131" t="inlineStr">
        <is>
          <t>LJUSDAL</t>
        </is>
      </c>
      <c r="F1131" t="inlineStr">
        <is>
          <t>Holmen skog AB</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46592-2022</t>
        </is>
      </c>
      <c r="B1132" s="1" t="n">
        <v>44848.71773148148</v>
      </c>
      <c r="C1132" s="1" t="n">
        <v>45911</v>
      </c>
      <c r="D1132" t="inlineStr">
        <is>
          <t>GÄVLEBORGS LÄN</t>
        </is>
      </c>
      <c r="E1132" t="inlineStr">
        <is>
          <t>NORDANSTIG</t>
        </is>
      </c>
      <c r="F1132" t="inlineStr">
        <is>
          <t>Holmen skog AB</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22019-2022</t>
        </is>
      </c>
      <c r="B1133" s="1" t="n">
        <v>44711</v>
      </c>
      <c r="C1133" s="1" t="n">
        <v>45911</v>
      </c>
      <c r="D1133" t="inlineStr">
        <is>
          <t>GÄVLEBORGS LÄN</t>
        </is>
      </c>
      <c r="E1133" t="inlineStr">
        <is>
          <t>SÖDERHAMN</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22035-2022</t>
        </is>
      </c>
      <c r="B1134" s="1" t="n">
        <v>44711.63396990741</v>
      </c>
      <c r="C1134" s="1" t="n">
        <v>45911</v>
      </c>
      <c r="D1134" t="inlineStr">
        <is>
          <t>GÄVLEBORGS LÄN</t>
        </is>
      </c>
      <c r="E1134" t="inlineStr">
        <is>
          <t>OCKELBO</t>
        </is>
      </c>
      <c r="F1134" t="inlineStr">
        <is>
          <t>Bergvik skog väst AB</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59107-2020</t>
        </is>
      </c>
      <c r="B1135" s="1" t="n">
        <v>44147</v>
      </c>
      <c r="C1135" s="1" t="n">
        <v>45911</v>
      </c>
      <c r="D1135" t="inlineStr">
        <is>
          <t>GÄVLEBORGS LÄN</t>
        </is>
      </c>
      <c r="E1135" t="inlineStr">
        <is>
          <t>BOLLNÄS</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45273-2021</t>
        </is>
      </c>
      <c r="B1136" s="1" t="n">
        <v>44439.64582175926</v>
      </c>
      <c r="C1136" s="1" t="n">
        <v>45911</v>
      </c>
      <c r="D1136" t="inlineStr">
        <is>
          <t>GÄVLEBORGS LÄN</t>
        </is>
      </c>
      <c r="E1136" t="inlineStr">
        <is>
          <t>OVANÅKER</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45366-2021</t>
        </is>
      </c>
      <c r="B1137" s="1" t="n">
        <v>44440.27297453704</v>
      </c>
      <c r="C1137" s="1" t="n">
        <v>45911</v>
      </c>
      <c r="D1137" t="inlineStr">
        <is>
          <t>GÄVLEBORGS LÄN</t>
        </is>
      </c>
      <c r="E1137" t="inlineStr">
        <is>
          <t>LJUSDAL</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70573-2021</t>
        </is>
      </c>
      <c r="B1138" s="1" t="n">
        <v>44537.35547453703</v>
      </c>
      <c r="C1138" s="1" t="n">
        <v>45911</v>
      </c>
      <c r="D1138" t="inlineStr">
        <is>
          <t>GÄVLEBORGS LÄN</t>
        </is>
      </c>
      <c r="E1138" t="inlineStr">
        <is>
          <t>OVANÅKER</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5825-2022</t>
        </is>
      </c>
      <c r="B1139" s="1" t="n">
        <v>44596</v>
      </c>
      <c r="C1139" s="1" t="n">
        <v>45911</v>
      </c>
      <c r="D1139" t="inlineStr">
        <is>
          <t>GÄVLEBORGS LÄN</t>
        </is>
      </c>
      <c r="E1139" t="inlineStr">
        <is>
          <t>SANDVIKEN</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25312-2021</t>
        </is>
      </c>
      <c r="B1140" s="1" t="n">
        <v>44342.53046296296</v>
      </c>
      <c r="C1140" s="1" t="n">
        <v>45911</v>
      </c>
      <c r="D1140" t="inlineStr">
        <is>
          <t>GÄVLEBORGS LÄN</t>
        </is>
      </c>
      <c r="E1140" t="inlineStr">
        <is>
          <t>GÄVLE</t>
        </is>
      </c>
      <c r="F1140" t="inlineStr">
        <is>
          <t>Bergvik skog öst AB</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47157-2020</t>
        </is>
      </c>
      <c r="B1141" s="1" t="n">
        <v>44097</v>
      </c>
      <c r="C1141" s="1" t="n">
        <v>45911</v>
      </c>
      <c r="D1141" t="inlineStr">
        <is>
          <t>GÄVLEBORGS LÄN</t>
        </is>
      </c>
      <c r="E1141" t="inlineStr">
        <is>
          <t>SÖDERHAMN</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52614-2021</t>
        </is>
      </c>
      <c r="B1142" s="1" t="n">
        <v>44466.60356481482</v>
      </c>
      <c r="C1142" s="1" t="n">
        <v>45911</v>
      </c>
      <c r="D1142" t="inlineStr">
        <is>
          <t>GÄVLEBORGS LÄN</t>
        </is>
      </c>
      <c r="E1142" t="inlineStr">
        <is>
          <t>OVANÅKER</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60717-2020</t>
        </is>
      </c>
      <c r="B1143" s="1" t="n">
        <v>44153</v>
      </c>
      <c r="C1143" s="1" t="n">
        <v>45911</v>
      </c>
      <c r="D1143" t="inlineStr">
        <is>
          <t>GÄVLEBORGS LÄN</t>
        </is>
      </c>
      <c r="E1143" t="inlineStr">
        <is>
          <t>BOLLNÄS</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60726-2020</t>
        </is>
      </c>
      <c r="B1144" s="1" t="n">
        <v>44153</v>
      </c>
      <c r="C1144" s="1" t="n">
        <v>45911</v>
      </c>
      <c r="D1144" t="inlineStr">
        <is>
          <t>GÄVLEBORGS LÄN</t>
        </is>
      </c>
      <c r="E1144" t="inlineStr">
        <is>
          <t>BOLLNÄS</t>
        </is>
      </c>
      <c r="F1144" t="inlineStr">
        <is>
          <t>Kommuner</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52886-2020</t>
        </is>
      </c>
      <c r="B1145" s="1" t="n">
        <v>44119</v>
      </c>
      <c r="C1145" s="1" t="n">
        <v>45911</v>
      </c>
      <c r="D1145" t="inlineStr">
        <is>
          <t>GÄVLEBORGS LÄN</t>
        </is>
      </c>
      <c r="E1145" t="inlineStr">
        <is>
          <t>SÖDERHAMN</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54699-2020</t>
        </is>
      </c>
      <c r="B1146" s="1" t="n">
        <v>44127</v>
      </c>
      <c r="C1146" s="1" t="n">
        <v>45911</v>
      </c>
      <c r="D1146" t="inlineStr">
        <is>
          <t>GÄVLEBORGS LÄN</t>
        </is>
      </c>
      <c r="E1146" t="inlineStr">
        <is>
          <t>BOLLNÄS</t>
        </is>
      </c>
      <c r="G1146" t="n">
        <v>6.6</v>
      </c>
      <c r="H1146" t="n">
        <v>0</v>
      </c>
      <c r="I1146" t="n">
        <v>0</v>
      </c>
      <c r="J1146" t="n">
        <v>0</v>
      </c>
      <c r="K1146" t="n">
        <v>0</v>
      </c>
      <c r="L1146" t="n">
        <v>0</v>
      </c>
      <c r="M1146" t="n">
        <v>0</v>
      </c>
      <c r="N1146" t="n">
        <v>0</v>
      </c>
      <c r="O1146" t="n">
        <v>0</v>
      </c>
      <c r="P1146" t="n">
        <v>0</v>
      </c>
      <c r="Q1146" t="n">
        <v>0</v>
      </c>
      <c r="R1146" s="2" t="inlineStr"/>
    </row>
    <row r="1147" ht="15" customHeight="1">
      <c r="A1147" t="inlineStr">
        <is>
          <t>A 64556-2021</t>
        </is>
      </c>
      <c r="B1147" s="1" t="n">
        <v>44511</v>
      </c>
      <c r="C1147" s="1" t="n">
        <v>45911</v>
      </c>
      <c r="D1147" t="inlineStr">
        <is>
          <t>GÄVLEBORGS LÄN</t>
        </is>
      </c>
      <c r="E1147" t="inlineStr">
        <is>
          <t>LJUSDAL</t>
        </is>
      </c>
      <c r="F1147" t="inlineStr">
        <is>
          <t>Holmen skog AB</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50389-2021</t>
        </is>
      </c>
      <c r="B1148" s="1" t="n">
        <v>44459.46950231482</v>
      </c>
      <c r="C1148" s="1" t="n">
        <v>45911</v>
      </c>
      <c r="D1148" t="inlineStr">
        <is>
          <t>GÄVLEBORGS LÄN</t>
        </is>
      </c>
      <c r="E1148" t="inlineStr">
        <is>
          <t>GÄVLE</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72080-2021</t>
        </is>
      </c>
      <c r="B1149" s="1" t="n">
        <v>44544.51302083334</v>
      </c>
      <c r="C1149" s="1" t="n">
        <v>45911</v>
      </c>
      <c r="D1149" t="inlineStr">
        <is>
          <t>GÄVLEBORGS LÄN</t>
        </is>
      </c>
      <c r="E1149" t="inlineStr">
        <is>
          <t>NORDANSTIG</t>
        </is>
      </c>
      <c r="F1149" t="inlineStr">
        <is>
          <t>Holmen skog AB</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62191-2020</t>
        </is>
      </c>
      <c r="B1150" s="1" t="n">
        <v>44159</v>
      </c>
      <c r="C1150" s="1" t="n">
        <v>45911</v>
      </c>
      <c r="D1150" t="inlineStr">
        <is>
          <t>GÄVLEBORGS LÄN</t>
        </is>
      </c>
      <c r="E1150" t="inlineStr">
        <is>
          <t>LJUSDAL</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32774-2021</t>
        </is>
      </c>
      <c r="B1151" s="1" t="n">
        <v>44375.57163194445</v>
      </c>
      <c r="C1151" s="1" t="n">
        <v>45911</v>
      </c>
      <c r="D1151" t="inlineStr">
        <is>
          <t>GÄVLEBORGS LÄN</t>
        </is>
      </c>
      <c r="E1151" t="inlineStr">
        <is>
          <t>LJUSDAL</t>
        </is>
      </c>
      <c r="F1151" t="inlineStr">
        <is>
          <t>Holmen skog AB</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5610-2022</t>
        </is>
      </c>
      <c r="B1152" s="1" t="n">
        <v>44595.69634259259</v>
      </c>
      <c r="C1152" s="1" t="n">
        <v>45911</v>
      </c>
      <c r="D1152" t="inlineStr">
        <is>
          <t>GÄVLEBORGS LÄN</t>
        </is>
      </c>
      <c r="E1152" t="inlineStr">
        <is>
          <t>SANDVIKEN</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55848-2020</t>
        </is>
      </c>
      <c r="B1153" s="1" t="n">
        <v>44132</v>
      </c>
      <c r="C1153" s="1" t="n">
        <v>45911</v>
      </c>
      <c r="D1153" t="inlineStr">
        <is>
          <t>GÄVLEBORGS LÄN</t>
        </is>
      </c>
      <c r="E1153" t="inlineStr">
        <is>
          <t>SANDVIKEN</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51223-2021</t>
        </is>
      </c>
      <c r="B1154" s="1" t="n">
        <v>44461</v>
      </c>
      <c r="C1154" s="1" t="n">
        <v>45911</v>
      </c>
      <c r="D1154" t="inlineStr">
        <is>
          <t>GÄVLEBORGS LÄN</t>
        </is>
      </c>
      <c r="E1154" t="inlineStr">
        <is>
          <t>NORDANSTIG</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60405-2021</t>
        </is>
      </c>
      <c r="B1155" s="1" t="n">
        <v>44496</v>
      </c>
      <c r="C1155" s="1" t="n">
        <v>45911</v>
      </c>
      <c r="D1155" t="inlineStr">
        <is>
          <t>GÄVLEBORGS LÄN</t>
        </is>
      </c>
      <c r="E1155" t="inlineStr">
        <is>
          <t>SANDVIKEN</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63656-2021</t>
        </is>
      </c>
      <c r="B1156" s="1" t="n">
        <v>44509.35530092593</v>
      </c>
      <c r="C1156" s="1" t="n">
        <v>45911</v>
      </c>
      <c r="D1156" t="inlineStr">
        <is>
          <t>GÄVLEBORGS LÄN</t>
        </is>
      </c>
      <c r="E1156" t="inlineStr">
        <is>
          <t>NORDANSTIG</t>
        </is>
      </c>
      <c r="F1156" t="inlineStr">
        <is>
          <t>Holmen skog AB</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49928-2021</t>
        </is>
      </c>
      <c r="B1157" s="1" t="n">
        <v>44455</v>
      </c>
      <c r="C1157" s="1" t="n">
        <v>45911</v>
      </c>
      <c r="D1157" t="inlineStr">
        <is>
          <t>GÄVLEBORGS LÄN</t>
        </is>
      </c>
      <c r="E1157" t="inlineStr">
        <is>
          <t>HUDIKSVALL</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31691-2021</t>
        </is>
      </c>
      <c r="B1158" s="1" t="n">
        <v>44369.69809027778</v>
      </c>
      <c r="C1158" s="1" t="n">
        <v>45911</v>
      </c>
      <c r="D1158" t="inlineStr">
        <is>
          <t>GÄVLEBORGS LÄN</t>
        </is>
      </c>
      <c r="E1158" t="inlineStr">
        <is>
          <t>BOLLNÄS</t>
        </is>
      </c>
      <c r="F1158" t="inlineStr">
        <is>
          <t>Sveaskog</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58731-2021</t>
        </is>
      </c>
      <c r="B1159" s="1" t="n">
        <v>44489</v>
      </c>
      <c r="C1159" s="1" t="n">
        <v>45911</v>
      </c>
      <c r="D1159" t="inlineStr">
        <is>
          <t>GÄVLEBORGS LÄN</t>
        </is>
      </c>
      <c r="E1159" t="inlineStr">
        <is>
          <t>LJUSDAL</t>
        </is>
      </c>
      <c r="F1159" t="inlineStr">
        <is>
          <t>Holmen skog AB</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64654-2020</t>
        </is>
      </c>
      <c r="B1160" s="1" t="n">
        <v>44169</v>
      </c>
      <c r="C1160" s="1" t="n">
        <v>45911</v>
      </c>
      <c r="D1160" t="inlineStr">
        <is>
          <t>GÄVLEBORGS LÄN</t>
        </is>
      </c>
      <c r="E1160" t="inlineStr">
        <is>
          <t>OVANÅKER</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26547-2022</t>
        </is>
      </c>
      <c r="B1161" s="1" t="n">
        <v>44739</v>
      </c>
      <c r="C1161" s="1" t="n">
        <v>45911</v>
      </c>
      <c r="D1161" t="inlineStr">
        <is>
          <t>GÄVLEBORGS LÄN</t>
        </is>
      </c>
      <c r="E1161" t="inlineStr">
        <is>
          <t>NORDANSTIG</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59129-2021</t>
        </is>
      </c>
      <c r="B1162" s="1" t="n">
        <v>44490</v>
      </c>
      <c r="C1162" s="1" t="n">
        <v>45911</v>
      </c>
      <c r="D1162" t="inlineStr">
        <is>
          <t>GÄVLEBORGS LÄN</t>
        </is>
      </c>
      <c r="E1162" t="inlineStr">
        <is>
          <t>LJUSDAL</t>
        </is>
      </c>
      <c r="F1162" t="inlineStr">
        <is>
          <t>Sveaskog</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62475-2020</t>
        </is>
      </c>
      <c r="B1163" s="1" t="n">
        <v>44160</v>
      </c>
      <c r="C1163" s="1" t="n">
        <v>45911</v>
      </c>
      <c r="D1163" t="inlineStr">
        <is>
          <t>GÄVLEBORGS LÄN</t>
        </is>
      </c>
      <c r="E1163" t="inlineStr">
        <is>
          <t>HOFORS</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36000-2021</t>
        </is>
      </c>
      <c r="B1164" s="1" t="n">
        <v>44389</v>
      </c>
      <c r="C1164" s="1" t="n">
        <v>45911</v>
      </c>
      <c r="D1164" t="inlineStr">
        <is>
          <t>GÄVLEBORGS LÄN</t>
        </is>
      </c>
      <c r="E1164" t="inlineStr">
        <is>
          <t>BOLLNÄS</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55298-2021</t>
        </is>
      </c>
      <c r="B1165" s="1" t="n">
        <v>44475.44704861111</v>
      </c>
      <c r="C1165" s="1" t="n">
        <v>45911</v>
      </c>
      <c r="D1165" t="inlineStr">
        <is>
          <t>GÄVLEBORGS LÄN</t>
        </is>
      </c>
      <c r="E1165" t="inlineStr">
        <is>
          <t>OVANÅKER</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62424-2021</t>
        </is>
      </c>
      <c r="B1166" s="1" t="n">
        <v>44503.49143518518</v>
      </c>
      <c r="C1166" s="1" t="n">
        <v>45911</v>
      </c>
      <c r="D1166" t="inlineStr">
        <is>
          <t>GÄVLEBORGS LÄN</t>
        </is>
      </c>
      <c r="E1166" t="inlineStr">
        <is>
          <t>LJUSDAL</t>
        </is>
      </c>
      <c r="F1166" t="inlineStr">
        <is>
          <t>Holmen skog AB</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53071-2020</t>
        </is>
      </c>
      <c r="B1167" s="1" t="n">
        <v>44120</v>
      </c>
      <c r="C1167" s="1" t="n">
        <v>45911</v>
      </c>
      <c r="D1167" t="inlineStr">
        <is>
          <t>GÄVLEBORGS LÄN</t>
        </is>
      </c>
      <c r="E1167" t="inlineStr">
        <is>
          <t>LJUSDAL</t>
        </is>
      </c>
      <c r="F1167" t="inlineStr">
        <is>
          <t>Sveaskog</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56136-2021</t>
        </is>
      </c>
      <c r="B1168" s="1" t="n">
        <v>44477</v>
      </c>
      <c r="C1168" s="1" t="n">
        <v>45911</v>
      </c>
      <c r="D1168" t="inlineStr">
        <is>
          <t>GÄVLEBORGS LÄN</t>
        </is>
      </c>
      <c r="E1168" t="inlineStr">
        <is>
          <t>HUDIKSVALL</t>
        </is>
      </c>
      <c r="F1168" t="inlineStr">
        <is>
          <t>Kommuner</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55766-2020</t>
        </is>
      </c>
      <c r="B1169" s="1" t="n">
        <v>44132</v>
      </c>
      <c r="C1169" s="1" t="n">
        <v>45911</v>
      </c>
      <c r="D1169" t="inlineStr">
        <is>
          <t>GÄVLEBORGS LÄN</t>
        </is>
      </c>
      <c r="E1169" t="inlineStr">
        <is>
          <t>NORDANSTIG</t>
        </is>
      </c>
      <c r="F1169" t="inlineStr">
        <is>
          <t>Holmen skog AB</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19233-2022</t>
        </is>
      </c>
      <c r="B1170" s="1" t="n">
        <v>44692</v>
      </c>
      <c r="C1170" s="1" t="n">
        <v>45911</v>
      </c>
      <c r="D1170" t="inlineStr">
        <is>
          <t>GÄVLEBORGS LÄN</t>
        </is>
      </c>
      <c r="E1170" t="inlineStr">
        <is>
          <t>NORDANSTIG</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34522-2021</t>
        </is>
      </c>
      <c r="B1171" s="1" t="n">
        <v>44382</v>
      </c>
      <c r="C1171" s="1" t="n">
        <v>45911</v>
      </c>
      <c r="D1171" t="inlineStr">
        <is>
          <t>GÄVLEBORGS LÄN</t>
        </is>
      </c>
      <c r="E1171" t="inlineStr">
        <is>
          <t>LJUSDAL</t>
        </is>
      </c>
      <c r="F1171" t="inlineStr">
        <is>
          <t>Bergvik skog väst AB</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8769-2022</t>
        </is>
      </c>
      <c r="B1172" s="1" t="n">
        <v>44614.38916666667</v>
      </c>
      <c r="C1172" s="1" t="n">
        <v>45911</v>
      </c>
      <c r="D1172" t="inlineStr">
        <is>
          <t>GÄVLEBORGS LÄN</t>
        </is>
      </c>
      <c r="E1172" t="inlineStr">
        <is>
          <t>OVANÅKER</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3098-2022</t>
        </is>
      </c>
      <c r="B1173" s="1" t="n">
        <v>44582</v>
      </c>
      <c r="C1173" s="1" t="n">
        <v>45911</v>
      </c>
      <c r="D1173" t="inlineStr">
        <is>
          <t>GÄVLEBORGS LÄN</t>
        </is>
      </c>
      <c r="E1173" t="inlineStr">
        <is>
          <t>LJUSDAL</t>
        </is>
      </c>
      <c r="G1173" t="n">
        <v>0.1</v>
      </c>
      <c r="H1173" t="n">
        <v>0</v>
      </c>
      <c r="I1173" t="n">
        <v>0</v>
      </c>
      <c r="J1173" t="n">
        <v>0</v>
      </c>
      <c r="K1173" t="n">
        <v>0</v>
      </c>
      <c r="L1173" t="n">
        <v>0</v>
      </c>
      <c r="M1173" t="n">
        <v>0</v>
      </c>
      <c r="N1173" t="n">
        <v>0</v>
      </c>
      <c r="O1173" t="n">
        <v>0</v>
      </c>
      <c r="P1173" t="n">
        <v>0</v>
      </c>
      <c r="Q1173" t="n">
        <v>0</v>
      </c>
      <c r="R1173" s="2" t="inlineStr"/>
    </row>
    <row r="1174" ht="15" customHeight="1">
      <c r="A1174" t="inlineStr">
        <is>
          <t>A 64044-2020</t>
        </is>
      </c>
      <c r="B1174" s="1" t="n">
        <v>44167</v>
      </c>
      <c r="C1174" s="1" t="n">
        <v>45911</v>
      </c>
      <c r="D1174" t="inlineStr">
        <is>
          <t>GÄVLEBORGS LÄN</t>
        </is>
      </c>
      <c r="E1174" t="inlineStr">
        <is>
          <t>OVANÅKER</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34797-2021</t>
        </is>
      </c>
      <c r="B1175" s="1" t="n">
        <v>44383.30501157408</v>
      </c>
      <c r="C1175" s="1" t="n">
        <v>45911</v>
      </c>
      <c r="D1175" t="inlineStr">
        <is>
          <t>GÄVLEBORGS LÄN</t>
        </is>
      </c>
      <c r="E1175" t="inlineStr">
        <is>
          <t>OCKELBO</t>
        </is>
      </c>
      <c r="F1175" t="inlineStr">
        <is>
          <t>Bergvik skog väst AB</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13406-2022</t>
        </is>
      </c>
      <c r="B1176" s="1" t="n">
        <v>44645.53327546296</v>
      </c>
      <c r="C1176" s="1" t="n">
        <v>45911</v>
      </c>
      <c r="D1176" t="inlineStr">
        <is>
          <t>GÄVLEBORGS LÄN</t>
        </is>
      </c>
      <c r="E1176" t="inlineStr">
        <is>
          <t>BOLLNÄS</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13407-2022</t>
        </is>
      </c>
      <c r="B1177" s="1" t="n">
        <v>44645.53493055556</v>
      </c>
      <c r="C1177" s="1" t="n">
        <v>45911</v>
      </c>
      <c r="D1177" t="inlineStr">
        <is>
          <t>GÄVLEBORGS LÄN</t>
        </is>
      </c>
      <c r="E1177" t="inlineStr">
        <is>
          <t>BOLLNÄS</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44654-2021</t>
        </is>
      </c>
      <c r="B1178" s="1" t="n">
        <v>44437</v>
      </c>
      <c r="C1178" s="1" t="n">
        <v>45911</v>
      </c>
      <c r="D1178" t="inlineStr">
        <is>
          <t>GÄVLEBORGS LÄN</t>
        </is>
      </c>
      <c r="E1178" t="inlineStr">
        <is>
          <t>GÄVLE</t>
        </is>
      </c>
      <c r="G1178" t="n">
        <v>0.1</v>
      </c>
      <c r="H1178" t="n">
        <v>0</v>
      </c>
      <c r="I1178" t="n">
        <v>0</v>
      </c>
      <c r="J1178" t="n">
        <v>0</v>
      </c>
      <c r="K1178" t="n">
        <v>0</v>
      </c>
      <c r="L1178" t="n">
        <v>0</v>
      </c>
      <c r="M1178" t="n">
        <v>0</v>
      </c>
      <c r="N1178" t="n">
        <v>0</v>
      </c>
      <c r="O1178" t="n">
        <v>0</v>
      </c>
      <c r="P1178" t="n">
        <v>0</v>
      </c>
      <c r="Q1178" t="n">
        <v>0</v>
      </c>
      <c r="R1178" s="2" t="inlineStr"/>
    </row>
    <row r="1179" ht="15" customHeight="1">
      <c r="A1179" t="inlineStr">
        <is>
          <t>A 35461-2022</t>
        </is>
      </c>
      <c r="B1179" s="1" t="n">
        <v>44798.71696759259</v>
      </c>
      <c r="C1179" s="1" t="n">
        <v>45911</v>
      </c>
      <c r="D1179" t="inlineStr">
        <is>
          <t>GÄVLEBORGS LÄN</t>
        </is>
      </c>
      <c r="E1179" t="inlineStr">
        <is>
          <t>LJUSDAL</t>
        </is>
      </c>
      <c r="F1179" t="inlineStr">
        <is>
          <t>Holmen skog AB</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35467-2022</t>
        </is>
      </c>
      <c r="B1180" s="1" t="n">
        <v>44798</v>
      </c>
      <c r="C1180" s="1" t="n">
        <v>45911</v>
      </c>
      <c r="D1180" t="inlineStr">
        <is>
          <t>GÄVLEBORGS LÄN</t>
        </is>
      </c>
      <c r="E1180" t="inlineStr">
        <is>
          <t>LJUSDAL</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19182-2022</t>
        </is>
      </c>
      <c r="B1181" s="1" t="n">
        <v>44691.71042824074</v>
      </c>
      <c r="C1181" s="1" t="n">
        <v>45911</v>
      </c>
      <c r="D1181" t="inlineStr">
        <is>
          <t>GÄVLEBORGS LÄN</t>
        </is>
      </c>
      <c r="E1181" t="inlineStr">
        <is>
          <t>NORDANSTIG</t>
        </is>
      </c>
      <c r="F1181" t="inlineStr">
        <is>
          <t>Holmen skog AB</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14394-2022</t>
        </is>
      </c>
      <c r="B1182" s="1" t="n">
        <v>44652.56049768518</v>
      </c>
      <c r="C1182" s="1" t="n">
        <v>45911</v>
      </c>
      <c r="D1182" t="inlineStr">
        <is>
          <t>GÄVLEBORGS LÄN</t>
        </is>
      </c>
      <c r="E1182" t="inlineStr">
        <is>
          <t>HUDIKSVALL</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14409-2022</t>
        </is>
      </c>
      <c r="B1183" s="1" t="n">
        <v>44652.64380787037</v>
      </c>
      <c r="C1183" s="1" t="n">
        <v>45911</v>
      </c>
      <c r="D1183" t="inlineStr">
        <is>
          <t>GÄVLEBORGS LÄN</t>
        </is>
      </c>
      <c r="E1183" t="inlineStr">
        <is>
          <t>HUDIKSVALL</t>
        </is>
      </c>
      <c r="G1183" t="n">
        <v>23.2</v>
      </c>
      <c r="H1183" t="n">
        <v>0</v>
      </c>
      <c r="I1183" t="n">
        <v>0</v>
      </c>
      <c r="J1183" t="n">
        <v>0</v>
      </c>
      <c r="K1183" t="n">
        <v>0</v>
      </c>
      <c r="L1183" t="n">
        <v>0</v>
      </c>
      <c r="M1183" t="n">
        <v>0</v>
      </c>
      <c r="N1183" t="n">
        <v>0</v>
      </c>
      <c r="O1183" t="n">
        <v>0</v>
      </c>
      <c r="P1183" t="n">
        <v>0</v>
      </c>
      <c r="Q1183" t="n">
        <v>0</v>
      </c>
      <c r="R1183" s="2" t="inlineStr"/>
    </row>
    <row r="1184" ht="15" customHeight="1">
      <c r="A1184" t="inlineStr">
        <is>
          <t>A 64633-2021</t>
        </is>
      </c>
      <c r="B1184" s="1" t="n">
        <v>44511.92282407408</v>
      </c>
      <c r="C1184" s="1" t="n">
        <v>45911</v>
      </c>
      <c r="D1184" t="inlineStr">
        <is>
          <t>GÄVLEBORGS LÄN</t>
        </is>
      </c>
      <c r="E1184" t="inlineStr">
        <is>
          <t>BOLLNÄS</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12207-2021</t>
        </is>
      </c>
      <c r="B1185" s="1" t="n">
        <v>44266.65435185185</v>
      </c>
      <c r="C1185" s="1" t="n">
        <v>45911</v>
      </c>
      <c r="D1185" t="inlineStr">
        <is>
          <t>GÄVLEBORGS LÄN</t>
        </is>
      </c>
      <c r="E1185" t="inlineStr">
        <is>
          <t>OVANÅKER</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35387-2022</t>
        </is>
      </c>
      <c r="B1186" s="1" t="n">
        <v>44798.59079861111</v>
      </c>
      <c r="C1186" s="1" t="n">
        <v>45911</v>
      </c>
      <c r="D1186" t="inlineStr">
        <is>
          <t>GÄVLEBORGS LÄN</t>
        </is>
      </c>
      <c r="E1186" t="inlineStr">
        <is>
          <t>LJUSDAL</t>
        </is>
      </c>
      <c r="F1186" t="inlineStr">
        <is>
          <t>Sveaskog</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59154-2020</t>
        </is>
      </c>
      <c r="B1187" s="1" t="n">
        <v>44147</v>
      </c>
      <c r="C1187" s="1" t="n">
        <v>45911</v>
      </c>
      <c r="D1187" t="inlineStr">
        <is>
          <t>GÄVLEBORGS LÄN</t>
        </is>
      </c>
      <c r="E1187" t="inlineStr">
        <is>
          <t>BOLLNÄS</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38341-2022</t>
        </is>
      </c>
      <c r="B1188" s="1" t="n">
        <v>44812.61805555555</v>
      </c>
      <c r="C1188" s="1" t="n">
        <v>45911</v>
      </c>
      <c r="D1188" t="inlineStr">
        <is>
          <t>GÄVLEBORGS LÄN</t>
        </is>
      </c>
      <c r="E1188" t="inlineStr">
        <is>
          <t>HUDIKSVALL</t>
        </is>
      </c>
      <c r="F1188" t="inlineStr">
        <is>
          <t>Holmen skog AB</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35129-2022</t>
        </is>
      </c>
      <c r="B1189" s="1" t="n">
        <v>44797.47615740741</v>
      </c>
      <c r="C1189" s="1" t="n">
        <v>45911</v>
      </c>
      <c r="D1189" t="inlineStr">
        <is>
          <t>GÄVLEBORGS LÄN</t>
        </is>
      </c>
      <c r="E1189" t="inlineStr">
        <is>
          <t>NORDANSTIG</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19308-2022</t>
        </is>
      </c>
      <c r="B1190" s="1" t="n">
        <v>44692.55635416666</v>
      </c>
      <c r="C1190" s="1" t="n">
        <v>45911</v>
      </c>
      <c r="D1190" t="inlineStr">
        <is>
          <t>GÄVLEBORGS LÄN</t>
        </is>
      </c>
      <c r="E1190" t="inlineStr">
        <is>
          <t>OVANÅKER</t>
        </is>
      </c>
      <c r="F1190" t="inlineStr">
        <is>
          <t>Sveaskog</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50278-2021</t>
        </is>
      </c>
      <c r="B1191" s="1" t="n">
        <v>44456</v>
      </c>
      <c r="C1191" s="1" t="n">
        <v>45911</v>
      </c>
      <c r="D1191" t="inlineStr">
        <is>
          <t>GÄVLEBORGS LÄN</t>
        </is>
      </c>
      <c r="E1191" t="inlineStr">
        <is>
          <t>HOFORS</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45367-2021</t>
        </is>
      </c>
      <c r="B1192" s="1" t="n">
        <v>44440.27378472222</v>
      </c>
      <c r="C1192" s="1" t="n">
        <v>45911</v>
      </c>
      <c r="D1192" t="inlineStr">
        <is>
          <t>GÄVLEBORGS LÄN</t>
        </is>
      </c>
      <c r="E1192" t="inlineStr">
        <is>
          <t>LJUSDAL</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45368-2021</t>
        </is>
      </c>
      <c r="B1193" s="1" t="n">
        <v>44440</v>
      </c>
      <c r="C1193" s="1" t="n">
        <v>45911</v>
      </c>
      <c r="D1193" t="inlineStr">
        <is>
          <t>GÄVLEBORGS LÄN</t>
        </is>
      </c>
      <c r="E1193" t="inlineStr">
        <is>
          <t>LJUSDAL</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16985-2021</t>
        </is>
      </c>
      <c r="B1194" s="1" t="n">
        <v>44295.6012962963</v>
      </c>
      <c r="C1194" s="1" t="n">
        <v>45911</v>
      </c>
      <c r="D1194" t="inlineStr">
        <is>
          <t>GÄVLEBORGS LÄN</t>
        </is>
      </c>
      <c r="E1194" t="inlineStr">
        <is>
          <t>HOFORS</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56410-2021</t>
        </is>
      </c>
      <c r="B1195" s="1" t="n">
        <v>44480.46203703704</v>
      </c>
      <c r="C1195" s="1" t="n">
        <v>45911</v>
      </c>
      <c r="D1195" t="inlineStr">
        <is>
          <t>GÄVLEBORGS LÄN</t>
        </is>
      </c>
      <c r="E1195" t="inlineStr">
        <is>
          <t>BOLLNÄS</t>
        </is>
      </c>
      <c r="F1195" t="inlineStr">
        <is>
          <t>Bergvik skog väst AB</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39052-2021</t>
        </is>
      </c>
      <c r="B1196" s="1" t="n">
        <v>44412.52725694444</v>
      </c>
      <c r="C1196" s="1" t="n">
        <v>45911</v>
      </c>
      <c r="D1196" t="inlineStr">
        <is>
          <t>GÄVLEBORGS LÄN</t>
        </is>
      </c>
      <c r="E1196" t="inlineStr">
        <is>
          <t>NORDANSTIG</t>
        </is>
      </c>
      <c r="F1196" t="inlineStr">
        <is>
          <t>Holmen skog AB</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20022-2022</t>
        </is>
      </c>
      <c r="B1197" s="1" t="n">
        <v>44697</v>
      </c>
      <c r="C1197" s="1" t="n">
        <v>45911</v>
      </c>
      <c r="D1197" t="inlineStr">
        <is>
          <t>GÄVLEBORGS LÄN</t>
        </is>
      </c>
      <c r="E1197" t="inlineStr">
        <is>
          <t>HUDIKSVALL</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45272-2021</t>
        </is>
      </c>
      <c r="B1198" s="1" t="n">
        <v>44439.64534722222</v>
      </c>
      <c r="C1198" s="1" t="n">
        <v>45911</v>
      </c>
      <c r="D1198" t="inlineStr">
        <is>
          <t>GÄVLEBORGS LÄN</t>
        </is>
      </c>
      <c r="E1198" t="inlineStr">
        <is>
          <t>NORDANSTIG</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21869-2022</t>
        </is>
      </c>
      <c r="B1199" s="1" t="n">
        <v>44711</v>
      </c>
      <c r="C1199" s="1" t="n">
        <v>45911</v>
      </c>
      <c r="D1199" t="inlineStr">
        <is>
          <t>GÄVLEBORGS LÄN</t>
        </is>
      </c>
      <c r="E1199" t="inlineStr">
        <is>
          <t>NORDANSTIG</t>
        </is>
      </c>
      <c r="F1199" t="inlineStr">
        <is>
          <t>Holmen skog AB</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71973-2021</t>
        </is>
      </c>
      <c r="B1200" s="1" t="n">
        <v>44544</v>
      </c>
      <c r="C1200" s="1" t="n">
        <v>45911</v>
      </c>
      <c r="D1200" t="inlineStr">
        <is>
          <t>GÄVLEBORGS LÄN</t>
        </is>
      </c>
      <c r="E1200" t="inlineStr">
        <is>
          <t>NORDANSTIG</t>
        </is>
      </c>
      <c r="F1200" t="inlineStr">
        <is>
          <t>Holmen skog AB</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72102-2021</t>
        </is>
      </c>
      <c r="B1201" s="1" t="n">
        <v>44544.54862268519</v>
      </c>
      <c r="C1201" s="1" t="n">
        <v>45911</v>
      </c>
      <c r="D1201" t="inlineStr">
        <is>
          <t>GÄVLEBORGS LÄN</t>
        </is>
      </c>
      <c r="E1201" t="inlineStr">
        <is>
          <t>NORDANSTIG</t>
        </is>
      </c>
      <c r="F1201" t="inlineStr">
        <is>
          <t>Holmen skog AB</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11172-2022</t>
        </is>
      </c>
      <c r="B1202" s="1" t="n">
        <v>44629.44729166666</v>
      </c>
      <c r="C1202" s="1" t="n">
        <v>45911</v>
      </c>
      <c r="D1202" t="inlineStr">
        <is>
          <t>GÄVLEBORGS LÄN</t>
        </is>
      </c>
      <c r="E1202" t="inlineStr">
        <is>
          <t>HUDIKSVALL</t>
        </is>
      </c>
      <c r="F1202" t="inlineStr">
        <is>
          <t>Holmen skog AB</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45522-2021</t>
        </is>
      </c>
      <c r="B1203" s="1" t="n">
        <v>44440</v>
      </c>
      <c r="C1203" s="1" t="n">
        <v>45911</v>
      </c>
      <c r="D1203" t="inlineStr">
        <is>
          <t>GÄVLEBORGS LÄN</t>
        </is>
      </c>
      <c r="E1203" t="inlineStr">
        <is>
          <t>OCKELBO</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54136-2020</t>
        </is>
      </c>
      <c r="B1204" s="1" t="n">
        <v>44125</v>
      </c>
      <c r="C1204" s="1" t="n">
        <v>45911</v>
      </c>
      <c r="D1204" t="inlineStr">
        <is>
          <t>GÄVLEBORGS LÄN</t>
        </is>
      </c>
      <c r="E1204" t="inlineStr">
        <is>
          <t>LJUSDAL</t>
        </is>
      </c>
      <c r="F1204" t="inlineStr">
        <is>
          <t>Sveaskog</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17322-2022</t>
        </is>
      </c>
      <c r="B1205" s="1" t="n">
        <v>44678</v>
      </c>
      <c r="C1205" s="1" t="n">
        <v>45911</v>
      </c>
      <c r="D1205" t="inlineStr">
        <is>
          <t>GÄVLEBORGS LÄN</t>
        </is>
      </c>
      <c r="E1205" t="inlineStr">
        <is>
          <t>HUDIKSVALL</t>
        </is>
      </c>
      <c r="F1205" t="inlineStr">
        <is>
          <t>Holmen skog AB</t>
        </is>
      </c>
      <c r="G1205" t="n">
        <v>5.3</v>
      </c>
      <c r="H1205" t="n">
        <v>0</v>
      </c>
      <c r="I1205" t="n">
        <v>0</v>
      </c>
      <c r="J1205" t="n">
        <v>0</v>
      </c>
      <c r="K1205" t="n">
        <v>0</v>
      </c>
      <c r="L1205" t="n">
        <v>0</v>
      </c>
      <c r="M1205" t="n">
        <v>0</v>
      </c>
      <c r="N1205" t="n">
        <v>0</v>
      </c>
      <c r="O1205" t="n">
        <v>0</v>
      </c>
      <c r="P1205" t="n">
        <v>0</v>
      </c>
      <c r="Q1205" t="n">
        <v>0</v>
      </c>
      <c r="R1205" s="2" t="inlineStr"/>
    </row>
    <row r="1206" ht="15" customHeight="1">
      <c r="A1206" t="inlineStr">
        <is>
          <t>A 19343-2022</t>
        </is>
      </c>
      <c r="B1206" s="1" t="n">
        <v>44692.64663194444</v>
      </c>
      <c r="C1206" s="1" t="n">
        <v>45911</v>
      </c>
      <c r="D1206" t="inlineStr">
        <is>
          <t>GÄVLEBORGS LÄN</t>
        </is>
      </c>
      <c r="E1206" t="inlineStr">
        <is>
          <t>HUDIKSVALL</t>
        </is>
      </c>
      <c r="F1206" t="inlineStr">
        <is>
          <t>Holmen skog AB</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19346-2022</t>
        </is>
      </c>
      <c r="B1207" s="1" t="n">
        <v>44692.64946759259</v>
      </c>
      <c r="C1207" s="1" t="n">
        <v>45911</v>
      </c>
      <c r="D1207" t="inlineStr">
        <is>
          <t>GÄVLEBORGS LÄN</t>
        </is>
      </c>
      <c r="E1207" t="inlineStr">
        <is>
          <t>HUDIKSVALL</t>
        </is>
      </c>
      <c r="F1207" t="inlineStr">
        <is>
          <t>Holmen skog AB</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8281-2022</t>
        </is>
      </c>
      <c r="B1208" s="1" t="n">
        <v>44610</v>
      </c>
      <c r="C1208" s="1" t="n">
        <v>45911</v>
      </c>
      <c r="D1208" t="inlineStr">
        <is>
          <t>GÄVLEBORGS LÄN</t>
        </is>
      </c>
      <c r="E1208" t="inlineStr">
        <is>
          <t>HUDIKSVALL</t>
        </is>
      </c>
      <c r="G1208" t="n">
        <v>13.9</v>
      </c>
      <c r="H1208" t="n">
        <v>0</v>
      </c>
      <c r="I1208" t="n">
        <v>0</v>
      </c>
      <c r="J1208" t="n">
        <v>0</v>
      </c>
      <c r="K1208" t="n">
        <v>0</v>
      </c>
      <c r="L1208" t="n">
        <v>0</v>
      </c>
      <c r="M1208" t="n">
        <v>0</v>
      </c>
      <c r="N1208" t="n">
        <v>0</v>
      </c>
      <c r="O1208" t="n">
        <v>0</v>
      </c>
      <c r="P1208" t="n">
        <v>0</v>
      </c>
      <c r="Q1208" t="n">
        <v>0</v>
      </c>
      <c r="R1208" s="2" t="inlineStr"/>
    </row>
    <row r="1209" ht="15" customHeight="1">
      <c r="A1209" t="inlineStr">
        <is>
          <t>A 24597-2021</t>
        </is>
      </c>
      <c r="B1209" s="1" t="n">
        <v>44340.32287037037</v>
      </c>
      <c r="C1209" s="1" t="n">
        <v>45911</v>
      </c>
      <c r="D1209" t="inlineStr">
        <is>
          <t>GÄVLEBORGS LÄN</t>
        </is>
      </c>
      <c r="E1209" t="inlineStr">
        <is>
          <t>SÖDERHAMN</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27539-2022</t>
        </is>
      </c>
      <c r="B1210" s="1" t="n">
        <v>44742.7009375</v>
      </c>
      <c r="C1210" s="1" t="n">
        <v>45911</v>
      </c>
      <c r="D1210" t="inlineStr">
        <is>
          <t>GÄVLEBORGS LÄN</t>
        </is>
      </c>
      <c r="E1210" t="inlineStr">
        <is>
          <t>LJUSDAL</t>
        </is>
      </c>
      <c r="F1210" t="inlineStr">
        <is>
          <t>Holmen skog AB</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53853-2020</t>
        </is>
      </c>
      <c r="B1211" s="1" t="n">
        <v>44125</v>
      </c>
      <c r="C1211" s="1" t="n">
        <v>45911</v>
      </c>
      <c r="D1211" t="inlineStr">
        <is>
          <t>GÄVLEBORGS LÄN</t>
        </is>
      </c>
      <c r="E1211" t="inlineStr">
        <is>
          <t>BOLLNÄS</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12371-2021</t>
        </is>
      </c>
      <c r="B1212" s="1" t="n">
        <v>44267</v>
      </c>
      <c r="C1212" s="1" t="n">
        <v>45911</v>
      </c>
      <c r="D1212" t="inlineStr">
        <is>
          <t>GÄVLEBORGS LÄN</t>
        </is>
      </c>
      <c r="E1212" t="inlineStr">
        <is>
          <t>OCKELBO</t>
        </is>
      </c>
      <c r="F1212" t="inlineStr">
        <is>
          <t>Bergvik skog väst AB</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31237-2022</t>
        </is>
      </c>
      <c r="B1213" s="1" t="n">
        <v>44771.48913194444</v>
      </c>
      <c r="C1213" s="1" t="n">
        <v>45911</v>
      </c>
      <c r="D1213" t="inlineStr">
        <is>
          <t>GÄVLEBORGS LÄN</t>
        </is>
      </c>
      <c r="E1213" t="inlineStr">
        <is>
          <t>BOLLNÄS</t>
        </is>
      </c>
      <c r="G1213" t="n">
        <v>13.5</v>
      </c>
      <c r="H1213" t="n">
        <v>0</v>
      </c>
      <c r="I1213" t="n">
        <v>0</v>
      </c>
      <c r="J1213" t="n">
        <v>0</v>
      </c>
      <c r="K1213" t="n">
        <v>0</v>
      </c>
      <c r="L1213" t="n">
        <v>0</v>
      </c>
      <c r="M1213" t="n">
        <v>0</v>
      </c>
      <c r="N1213" t="n">
        <v>0</v>
      </c>
      <c r="O1213" t="n">
        <v>0</v>
      </c>
      <c r="P1213" t="n">
        <v>0</v>
      </c>
      <c r="Q1213" t="n">
        <v>0</v>
      </c>
      <c r="R1213" s="2" t="inlineStr"/>
    </row>
    <row r="1214" ht="15" customHeight="1">
      <c r="A1214" t="inlineStr">
        <is>
          <t>A 54158-2021</t>
        </is>
      </c>
      <c r="B1214" s="1" t="n">
        <v>44470</v>
      </c>
      <c r="C1214" s="1" t="n">
        <v>45911</v>
      </c>
      <c r="D1214" t="inlineStr">
        <is>
          <t>GÄVLEBORGS LÄN</t>
        </is>
      </c>
      <c r="E1214" t="inlineStr">
        <is>
          <t>LJUSDAL</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59573-2020</t>
        </is>
      </c>
      <c r="B1215" s="1" t="n">
        <v>44148</v>
      </c>
      <c r="C1215" s="1" t="n">
        <v>45911</v>
      </c>
      <c r="D1215" t="inlineStr">
        <is>
          <t>GÄVLEBORGS LÄN</t>
        </is>
      </c>
      <c r="E1215" t="inlineStr">
        <is>
          <t>BOLLNÄS</t>
        </is>
      </c>
      <c r="F1215" t="inlineStr">
        <is>
          <t>Bergvik skog väst AB</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5294-2022</t>
        </is>
      </c>
      <c r="B1216" s="1" t="n">
        <v>44594.62877314815</v>
      </c>
      <c r="C1216" s="1" t="n">
        <v>45911</v>
      </c>
      <c r="D1216" t="inlineStr">
        <is>
          <t>GÄVLEBORGS LÄN</t>
        </is>
      </c>
      <c r="E1216" t="inlineStr">
        <is>
          <t>NORDANSTIG</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56686-2021</t>
        </is>
      </c>
      <c r="B1217" s="1" t="n">
        <v>44481.36178240741</v>
      </c>
      <c r="C1217" s="1" t="n">
        <v>45911</v>
      </c>
      <c r="D1217" t="inlineStr">
        <is>
          <t>GÄVLEBORGS LÄN</t>
        </is>
      </c>
      <c r="E1217" t="inlineStr">
        <is>
          <t>BOLLNÄS</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10883-2021</t>
        </is>
      </c>
      <c r="B1218" s="1" t="n">
        <v>44259</v>
      </c>
      <c r="C1218" s="1" t="n">
        <v>45911</v>
      </c>
      <c r="D1218" t="inlineStr">
        <is>
          <t>GÄVLEBORGS LÄN</t>
        </is>
      </c>
      <c r="E1218" t="inlineStr">
        <is>
          <t>LJUSDAL</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47589-2022</t>
        </is>
      </c>
      <c r="B1219" s="1" t="n">
        <v>44853.97255787037</v>
      </c>
      <c r="C1219" s="1" t="n">
        <v>45911</v>
      </c>
      <c r="D1219" t="inlineStr">
        <is>
          <t>GÄVLEBORGS LÄN</t>
        </is>
      </c>
      <c r="E1219" t="inlineStr">
        <is>
          <t>NORDANSTIG</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38296-2022</t>
        </is>
      </c>
      <c r="B1220" s="1" t="n">
        <v>44812.56363425926</v>
      </c>
      <c r="C1220" s="1" t="n">
        <v>45911</v>
      </c>
      <c r="D1220" t="inlineStr">
        <is>
          <t>GÄVLEBORGS LÄN</t>
        </is>
      </c>
      <c r="E1220" t="inlineStr">
        <is>
          <t>HUDIKSVALL</t>
        </is>
      </c>
      <c r="F1220" t="inlineStr">
        <is>
          <t>Holmen skog AB</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13738-2022</t>
        </is>
      </c>
      <c r="B1221" s="1" t="n">
        <v>44649</v>
      </c>
      <c r="C1221" s="1" t="n">
        <v>45911</v>
      </c>
      <c r="D1221" t="inlineStr">
        <is>
          <t>GÄVLEBORGS LÄN</t>
        </is>
      </c>
      <c r="E1221" t="inlineStr">
        <is>
          <t>HUDIKSVALL</t>
        </is>
      </c>
      <c r="G1221" t="n">
        <v>6.3</v>
      </c>
      <c r="H1221" t="n">
        <v>0</v>
      </c>
      <c r="I1221" t="n">
        <v>0</v>
      </c>
      <c r="J1221" t="n">
        <v>0</v>
      </c>
      <c r="K1221" t="n">
        <v>0</v>
      </c>
      <c r="L1221" t="n">
        <v>0</v>
      </c>
      <c r="M1221" t="n">
        <v>0</v>
      </c>
      <c r="N1221" t="n">
        <v>0</v>
      </c>
      <c r="O1221" t="n">
        <v>0</v>
      </c>
      <c r="P1221" t="n">
        <v>0</v>
      </c>
      <c r="Q1221" t="n">
        <v>0</v>
      </c>
      <c r="R1221" s="2" t="inlineStr"/>
    </row>
    <row r="1222" ht="15" customHeight="1">
      <c r="A1222" t="inlineStr">
        <is>
          <t>A 57072-2021</t>
        </is>
      </c>
      <c r="B1222" s="1" t="n">
        <v>44482.57189814815</v>
      </c>
      <c r="C1222" s="1" t="n">
        <v>45911</v>
      </c>
      <c r="D1222" t="inlineStr">
        <is>
          <t>GÄVLEBORGS LÄN</t>
        </is>
      </c>
      <c r="E1222" t="inlineStr">
        <is>
          <t>LJUSDAL</t>
        </is>
      </c>
      <c r="F1222" t="inlineStr">
        <is>
          <t>Holmen skog AB</t>
        </is>
      </c>
      <c r="G1222" t="n">
        <v>6.3</v>
      </c>
      <c r="H1222" t="n">
        <v>0</v>
      </c>
      <c r="I1222" t="n">
        <v>0</v>
      </c>
      <c r="J1222" t="n">
        <v>0</v>
      </c>
      <c r="K1222" t="n">
        <v>0</v>
      </c>
      <c r="L1222" t="n">
        <v>0</v>
      </c>
      <c r="M1222" t="n">
        <v>0</v>
      </c>
      <c r="N1222" t="n">
        <v>0</v>
      </c>
      <c r="O1222" t="n">
        <v>0</v>
      </c>
      <c r="P1222" t="n">
        <v>0</v>
      </c>
      <c r="Q1222" t="n">
        <v>0</v>
      </c>
      <c r="R1222" s="2" t="inlineStr"/>
    </row>
    <row r="1223" ht="15" customHeight="1">
      <c r="A1223" t="inlineStr">
        <is>
          <t>A 17983-2021</t>
        </is>
      </c>
      <c r="B1223" s="1" t="n">
        <v>44301.67956018518</v>
      </c>
      <c r="C1223" s="1" t="n">
        <v>45911</v>
      </c>
      <c r="D1223" t="inlineStr">
        <is>
          <t>GÄVLEBORGS LÄN</t>
        </is>
      </c>
      <c r="E1223" t="inlineStr">
        <is>
          <t>NORDANSTIG</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61616-2021</t>
        </is>
      </c>
      <c r="B1224" s="1" t="n">
        <v>44501.48219907407</v>
      </c>
      <c r="C1224" s="1" t="n">
        <v>45911</v>
      </c>
      <c r="D1224" t="inlineStr">
        <is>
          <t>GÄVLEBORGS LÄN</t>
        </is>
      </c>
      <c r="E1224" t="inlineStr">
        <is>
          <t>SANDVIKEN</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18039-2021</t>
        </is>
      </c>
      <c r="B1225" s="1" t="n">
        <v>44302.38584490741</v>
      </c>
      <c r="C1225" s="1" t="n">
        <v>45911</v>
      </c>
      <c r="D1225" t="inlineStr">
        <is>
          <t>GÄVLEBORGS LÄN</t>
        </is>
      </c>
      <c r="E1225" t="inlineStr">
        <is>
          <t>LJUSDAL</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13807-2022</t>
        </is>
      </c>
      <c r="B1226" s="1" t="n">
        <v>44649</v>
      </c>
      <c r="C1226" s="1" t="n">
        <v>45911</v>
      </c>
      <c r="D1226" t="inlineStr">
        <is>
          <t>GÄVLEBORGS LÄN</t>
        </is>
      </c>
      <c r="E1226" t="inlineStr">
        <is>
          <t>HOFORS</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13816-2022</t>
        </is>
      </c>
      <c r="B1227" s="1" t="n">
        <v>44649.60190972222</v>
      </c>
      <c r="C1227" s="1" t="n">
        <v>45911</v>
      </c>
      <c r="D1227" t="inlineStr">
        <is>
          <t>GÄVLEBORGS LÄN</t>
        </is>
      </c>
      <c r="E1227" t="inlineStr">
        <is>
          <t>HUDIKSVALL</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13819-2022</t>
        </is>
      </c>
      <c r="B1228" s="1" t="n">
        <v>44649.60987268519</v>
      </c>
      <c r="C1228" s="1" t="n">
        <v>45911</v>
      </c>
      <c r="D1228" t="inlineStr">
        <is>
          <t>GÄVLEBORGS LÄN</t>
        </is>
      </c>
      <c r="E1228" t="inlineStr">
        <is>
          <t>HUDIKSVALL</t>
        </is>
      </c>
      <c r="F1228" t="inlineStr">
        <is>
          <t>Holmen skog AB</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28231-2022</t>
        </is>
      </c>
      <c r="B1229" s="1" t="n">
        <v>44746.66461805555</v>
      </c>
      <c r="C1229" s="1" t="n">
        <v>45911</v>
      </c>
      <c r="D1229" t="inlineStr">
        <is>
          <t>GÄVLEBORGS LÄN</t>
        </is>
      </c>
      <c r="E1229" t="inlineStr">
        <is>
          <t>OVANÅKER</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48443-2021</t>
        </is>
      </c>
      <c r="B1230" s="1" t="n">
        <v>44452</v>
      </c>
      <c r="C1230" s="1" t="n">
        <v>45911</v>
      </c>
      <c r="D1230" t="inlineStr">
        <is>
          <t>GÄVLEBORGS LÄN</t>
        </is>
      </c>
      <c r="E1230" t="inlineStr">
        <is>
          <t>BOLLNÄS</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29062-2021</t>
        </is>
      </c>
      <c r="B1231" s="1" t="n">
        <v>44358</v>
      </c>
      <c r="C1231" s="1" t="n">
        <v>45911</v>
      </c>
      <c r="D1231" t="inlineStr">
        <is>
          <t>GÄVLEBORGS LÄN</t>
        </is>
      </c>
      <c r="E1231" t="inlineStr">
        <is>
          <t>LJUSDAL</t>
        </is>
      </c>
      <c r="F1231" t="inlineStr">
        <is>
          <t>Bergvik skog väst AB</t>
        </is>
      </c>
      <c r="G1231" t="n">
        <v>10.8</v>
      </c>
      <c r="H1231" t="n">
        <v>0</v>
      </c>
      <c r="I1231" t="n">
        <v>0</v>
      </c>
      <c r="J1231" t="n">
        <v>0</v>
      </c>
      <c r="K1231" t="n">
        <v>0</v>
      </c>
      <c r="L1231" t="n">
        <v>0</v>
      </c>
      <c r="M1231" t="n">
        <v>0</v>
      </c>
      <c r="N1231" t="n">
        <v>0</v>
      </c>
      <c r="O1231" t="n">
        <v>0</v>
      </c>
      <c r="P1231" t="n">
        <v>0</v>
      </c>
      <c r="Q1231" t="n">
        <v>0</v>
      </c>
      <c r="R1231" s="2" t="inlineStr"/>
    </row>
    <row r="1232" ht="15" customHeight="1">
      <c r="A1232" t="inlineStr">
        <is>
          <t>A 66590-2021</t>
        </is>
      </c>
      <c r="B1232" s="1" t="n">
        <v>44519.46857638889</v>
      </c>
      <c r="C1232" s="1" t="n">
        <v>45911</v>
      </c>
      <c r="D1232" t="inlineStr">
        <is>
          <t>GÄVLEBORGS LÄN</t>
        </is>
      </c>
      <c r="E1232" t="inlineStr">
        <is>
          <t>SANDVIKEN</t>
        </is>
      </c>
      <c r="G1232" t="n">
        <v>7.2</v>
      </c>
      <c r="H1232" t="n">
        <v>0</v>
      </c>
      <c r="I1232" t="n">
        <v>0</v>
      </c>
      <c r="J1232" t="n">
        <v>0</v>
      </c>
      <c r="K1232" t="n">
        <v>0</v>
      </c>
      <c r="L1232" t="n">
        <v>0</v>
      </c>
      <c r="M1232" t="n">
        <v>0</v>
      </c>
      <c r="N1232" t="n">
        <v>0</v>
      </c>
      <c r="O1232" t="n">
        <v>0</v>
      </c>
      <c r="P1232" t="n">
        <v>0</v>
      </c>
      <c r="Q1232" t="n">
        <v>0</v>
      </c>
      <c r="R1232" s="2" t="inlineStr"/>
    </row>
    <row r="1233" ht="15" customHeight="1">
      <c r="A1233" t="inlineStr">
        <is>
          <t>A 63963-2020</t>
        </is>
      </c>
      <c r="B1233" s="1" t="n">
        <v>44167</v>
      </c>
      <c r="C1233" s="1" t="n">
        <v>45911</v>
      </c>
      <c r="D1233" t="inlineStr">
        <is>
          <t>GÄVLEBORGS LÄN</t>
        </is>
      </c>
      <c r="E1233" t="inlineStr">
        <is>
          <t>OVANÅKER</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58385-2021</t>
        </is>
      </c>
      <c r="B1234" s="1" t="n">
        <v>44488.47545138889</v>
      </c>
      <c r="C1234" s="1" t="n">
        <v>45911</v>
      </c>
      <c r="D1234" t="inlineStr">
        <is>
          <t>GÄVLEBORGS LÄN</t>
        </is>
      </c>
      <c r="E1234" t="inlineStr">
        <is>
          <t>LJUSDAL</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51519-2022</t>
        </is>
      </c>
      <c r="B1235" s="1" t="n">
        <v>44869.66986111111</v>
      </c>
      <c r="C1235" s="1" t="n">
        <v>45911</v>
      </c>
      <c r="D1235" t="inlineStr">
        <is>
          <t>GÄVLEBORGS LÄN</t>
        </is>
      </c>
      <c r="E1235" t="inlineStr">
        <is>
          <t>LJUSDAL</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21696-2021</t>
        </is>
      </c>
      <c r="B1236" s="1" t="n">
        <v>44322.4402662037</v>
      </c>
      <c r="C1236" s="1" t="n">
        <v>45911</v>
      </c>
      <c r="D1236" t="inlineStr">
        <is>
          <t>GÄVLEBORGS LÄN</t>
        </is>
      </c>
      <c r="E1236" t="inlineStr">
        <is>
          <t>LJUSDAL</t>
        </is>
      </c>
      <c r="F1236" t="inlineStr">
        <is>
          <t>Sveaskog</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25002-2022</t>
        </is>
      </c>
      <c r="B1237" s="1" t="n">
        <v>44728</v>
      </c>
      <c r="C1237" s="1" t="n">
        <v>45911</v>
      </c>
      <c r="D1237" t="inlineStr">
        <is>
          <t>GÄVLEBORGS LÄN</t>
        </is>
      </c>
      <c r="E1237" t="inlineStr">
        <is>
          <t>NORDANSTIG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21708-2021</t>
        </is>
      </c>
      <c r="B1238" s="1" t="n">
        <v>44322.47003472222</v>
      </c>
      <c r="C1238" s="1" t="n">
        <v>45911</v>
      </c>
      <c r="D1238" t="inlineStr">
        <is>
          <t>GÄVLEBORGS LÄN</t>
        </is>
      </c>
      <c r="E1238" t="inlineStr">
        <is>
          <t>LJUSDAL</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42959-2022</t>
        </is>
      </c>
      <c r="B1239" s="1" t="n">
        <v>44833.41351851852</v>
      </c>
      <c r="C1239" s="1" t="n">
        <v>45911</v>
      </c>
      <c r="D1239" t="inlineStr">
        <is>
          <t>GÄVLEBORGS LÄN</t>
        </is>
      </c>
      <c r="E1239" t="inlineStr">
        <is>
          <t>LJUSDAL</t>
        </is>
      </c>
      <c r="F1239" t="inlineStr">
        <is>
          <t>Bergvik skog väst AB</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33109-2022</t>
        </is>
      </c>
      <c r="B1240" s="1" t="n">
        <v>44785.50188657407</v>
      </c>
      <c r="C1240" s="1" t="n">
        <v>45911</v>
      </c>
      <c r="D1240" t="inlineStr">
        <is>
          <t>GÄVLEBORGS LÄN</t>
        </is>
      </c>
      <c r="E1240" t="inlineStr">
        <is>
          <t>NORDANSTIG</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23707-2021</t>
        </is>
      </c>
      <c r="B1241" s="1" t="n">
        <v>44334.68707175926</v>
      </c>
      <c r="C1241" s="1" t="n">
        <v>45911</v>
      </c>
      <c r="D1241" t="inlineStr">
        <is>
          <t>GÄVLEBORGS LÄN</t>
        </is>
      </c>
      <c r="E1241" t="inlineStr">
        <is>
          <t>OCKELBO</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53445-2022</t>
        </is>
      </c>
      <c r="B1242" s="1" t="n">
        <v>44879.48770833333</v>
      </c>
      <c r="C1242" s="1" t="n">
        <v>45911</v>
      </c>
      <c r="D1242" t="inlineStr">
        <is>
          <t>GÄVLEBORGS LÄN</t>
        </is>
      </c>
      <c r="E1242" t="inlineStr">
        <is>
          <t>OVANÅKER</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44257-2021</t>
        </is>
      </c>
      <c r="B1243" s="1" t="n">
        <v>44435</v>
      </c>
      <c r="C1243" s="1" t="n">
        <v>45911</v>
      </c>
      <c r="D1243" t="inlineStr">
        <is>
          <t>GÄVLEBORGS LÄN</t>
        </is>
      </c>
      <c r="E1243" t="inlineStr">
        <is>
          <t>LJUSDAL</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15725-2022</t>
        </is>
      </c>
      <c r="B1244" s="1" t="n">
        <v>44663.49115740741</v>
      </c>
      <c r="C1244" s="1" t="n">
        <v>45911</v>
      </c>
      <c r="D1244" t="inlineStr">
        <is>
          <t>GÄVLEBORGS LÄN</t>
        </is>
      </c>
      <c r="E1244" t="inlineStr">
        <is>
          <t>SÖDERHAMN</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35811-2021</t>
        </is>
      </c>
      <c r="B1245" s="1" t="n">
        <v>44386</v>
      </c>
      <c r="C1245" s="1" t="n">
        <v>45911</v>
      </c>
      <c r="D1245" t="inlineStr">
        <is>
          <t>GÄVLEBORGS LÄN</t>
        </is>
      </c>
      <c r="E1245" t="inlineStr">
        <is>
          <t>HUDIKSVALL</t>
        </is>
      </c>
      <c r="G1245" t="n">
        <v>4.4</v>
      </c>
      <c r="H1245" t="n">
        <v>0</v>
      </c>
      <c r="I1245" t="n">
        <v>0</v>
      </c>
      <c r="J1245" t="n">
        <v>0</v>
      </c>
      <c r="K1245" t="n">
        <v>0</v>
      </c>
      <c r="L1245" t="n">
        <v>0</v>
      </c>
      <c r="M1245" t="n">
        <v>0</v>
      </c>
      <c r="N1245" t="n">
        <v>0</v>
      </c>
      <c r="O1245" t="n">
        <v>0</v>
      </c>
      <c r="P1245" t="n">
        <v>0</v>
      </c>
      <c r="Q1245" t="n">
        <v>0</v>
      </c>
      <c r="R1245" s="2" t="inlineStr"/>
    </row>
    <row r="1246" ht="15" customHeight="1">
      <c r="A1246" t="inlineStr">
        <is>
          <t>A 27695-2022</t>
        </is>
      </c>
      <c r="B1246" s="1" t="n">
        <v>44743.45225694445</v>
      </c>
      <c r="C1246" s="1" t="n">
        <v>45911</v>
      </c>
      <c r="D1246" t="inlineStr">
        <is>
          <t>GÄVLEBORGS LÄN</t>
        </is>
      </c>
      <c r="E1246" t="inlineStr">
        <is>
          <t>NORDANSTIG</t>
        </is>
      </c>
      <c r="F1246" t="inlineStr">
        <is>
          <t>Holmen skog AB</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11020-2021</t>
        </is>
      </c>
      <c r="B1247" s="1" t="n">
        <v>44260</v>
      </c>
      <c r="C1247" s="1" t="n">
        <v>45911</v>
      </c>
      <c r="D1247" t="inlineStr">
        <is>
          <t>GÄVLEBORGS LÄN</t>
        </is>
      </c>
      <c r="E1247" t="inlineStr">
        <is>
          <t>GÄVLE</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30152-2022</t>
        </is>
      </c>
      <c r="B1248" s="1" t="n">
        <v>44757.508125</v>
      </c>
      <c r="C1248" s="1" t="n">
        <v>45911</v>
      </c>
      <c r="D1248" t="inlineStr">
        <is>
          <t>GÄVLEBORGS LÄN</t>
        </is>
      </c>
      <c r="E1248" t="inlineStr">
        <is>
          <t>BOLLNÄS</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15748-2022</t>
        </is>
      </c>
      <c r="B1249" s="1" t="n">
        <v>44663.55478009259</v>
      </c>
      <c r="C1249" s="1" t="n">
        <v>45911</v>
      </c>
      <c r="D1249" t="inlineStr">
        <is>
          <t>GÄVLEBORGS LÄN</t>
        </is>
      </c>
      <c r="E1249" t="inlineStr">
        <is>
          <t>SÖDERHAMN</t>
        </is>
      </c>
      <c r="G1249" t="n">
        <v>10.3</v>
      </c>
      <c r="H1249" t="n">
        <v>0</v>
      </c>
      <c r="I1249" t="n">
        <v>0</v>
      </c>
      <c r="J1249" t="n">
        <v>0</v>
      </c>
      <c r="K1249" t="n">
        <v>0</v>
      </c>
      <c r="L1249" t="n">
        <v>0</v>
      </c>
      <c r="M1249" t="n">
        <v>0</v>
      </c>
      <c r="N1249" t="n">
        <v>0</v>
      </c>
      <c r="O1249" t="n">
        <v>0</v>
      </c>
      <c r="P1249" t="n">
        <v>0</v>
      </c>
      <c r="Q1249" t="n">
        <v>0</v>
      </c>
      <c r="R1249" s="2" t="inlineStr"/>
    </row>
    <row r="1250" ht="15" customHeight="1">
      <c r="A1250" t="inlineStr">
        <is>
          <t>A 45528-2022</t>
        </is>
      </c>
      <c r="B1250" s="1" t="n">
        <v>44845.46920138889</v>
      </c>
      <c r="C1250" s="1" t="n">
        <v>45911</v>
      </c>
      <c r="D1250" t="inlineStr">
        <is>
          <t>GÄVLEBORGS LÄN</t>
        </is>
      </c>
      <c r="E1250" t="inlineStr">
        <is>
          <t>OVANÅKER</t>
        </is>
      </c>
      <c r="F1250" t="inlineStr">
        <is>
          <t>Sveaskog</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30112-2021</t>
        </is>
      </c>
      <c r="B1251" s="1" t="n">
        <v>44363</v>
      </c>
      <c r="C1251" s="1" t="n">
        <v>45911</v>
      </c>
      <c r="D1251" t="inlineStr">
        <is>
          <t>GÄVLEBORGS LÄN</t>
        </is>
      </c>
      <c r="E1251" t="inlineStr">
        <is>
          <t>LJUSDAL</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60626-2021</t>
        </is>
      </c>
      <c r="B1252" s="1" t="n">
        <v>44496</v>
      </c>
      <c r="C1252" s="1" t="n">
        <v>45911</v>
      </c>
      <c r="D1252" t="inlineStr">
        <is>
          <t>GÄVLEBORGS LÄN</t>
        </is>
      </c>
      <c r="E1252" t="inlineStr">
        <is>
          <t>HUDIKSVALL</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30813-2021</t>
        </is>
      </c>
      <c r="B1253" s="1" t="n">
        <v>44365</v>
      </c>
      <c r="C1253" s="1" t="n">
        <v>45911</v>
      </c>
      <c r="D1253" t="inlineStr">
        <is>
          <t>GÄVLEBORGS LÄN</t>
        </is>
      </c>
      <c r="E1253" t="inlineStr">
        <is>
          <t>BOLLNÄS</t>
        </is>
      </c>
      <c r="F1253" t="inlineStr">
        <is>
          <t>Sveaskog</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72464-2021</t>
        </is>
      </c>
      <c r="B1254" s="1" t="n">
        <v>44545.73892361111</v>
      </c>
      <c r="C1254" s="1" t="n">
        <v>45911</v>
      </c>
      <c r="D1254" t="inlineStr">
        <is>
          <t>GÄVLEBORGS LÄN</t>
        </is>
      </c>
      <c r="E1254" t="inlineStr">
        <is>
          <t>LJUSDAL</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66345-2021</t>
        </is>
      </c>
      <c r="B1255" s="1" t="n">
        <v>44518.5616087963</v>
      </c>
      <c r="C1255" s="1" t="n">
        <v>45911</v>
      </c>
      <c r="D1255" t="inlineStr">
        <is>
          <t>GÄVLEBORGS LÄN</t>
        </is>
      </c>
      <c r="E1255" t="inlineStr">
        <is>
          <t>SANDVIKEN</t>
        </is>
      </c>
      <c r="G1255" t="n">
        <v>7</v>
      </c>
      <c r="H1255" t="n">
        <v>0</v>
      </c>
      <c r="I1255" t="n">
        <v>0</v>
      </c>
      <c r="J1255" t="n">
        <v>0</v>
      </c>
      <c r="K1255" t="n">
        <v>0</v>
      </c>
      <c r="L1255" t="n">
        <v>0</v>
      </c>
      <c r="M1255" t="n">
        <v>0</v>
      </c>
      <c r="N1255" t="n">
        <v>0</v>
      </c>
      <c r="O1255" t="n">
        <v>0</v>
      </c>
      <c r="P1255" t="n">
        <v>0</v>
      </c>
      <c r="Q1255" t="n">
        <v>0</v>
      </c>
      <c r="R1255" s="2" t="inlineStr"/>
    </row>
    <row r="1256" ht="15" customHeight="1">
      <c r="A1256" t="inlineStr">
        <is>
          <t>A 72150-2021</t>
        </is>
      </c>
      <c r="B1256" s="1" t="n">
        <v>44544</v>
      </c>
      <c r="C1256" s="1" t="n">
        <v>45911</v>
      </c>
      <c r="D1256" t="inlineStr">
        <is>
          <t>GÄVLEBORGS LÄN</t>
        </is>
      </c>
      <c r="E1256" t="inlineStr">
        <is>
          <t>LJUSDAL</t>
        </is>
      </c>
      <c r="F1256" t="inlineStr">
        <is>
          <t>Holmen skog AB</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65-2022</t>
        </is>
      </c>
      <c r="B1257" s="1" t="n">
        <v>44564.46445601852</v>
      </c>
      <c r="C1257" s="1" t="n">
        <v>45911</v>
      </c>
      <c r="D1257" t="inlineStr">
        <is>
          <t>GÄVLEBORGS LÄN</t>
        </is>
      </c>
      <c r="E1257" t="inlineStr">
        <is>
          <t>OVANÅKER</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4349-2022</t>
        </is>
      </c>
      <c r="B1258" s="1" t="n">
        <v>44589.32091435185</v>
      </c>
      <c r="C1258" s="1" t="n">
        <v>45911</v>
      </c>
      <c r="D1258" t="inlineStr">
        <is>
          <t>GÄVLEBORGS LÄN</t>
        </is>
      </c>
      <c r="E1258" t="inlineStr">
        <is>
          <t>GÄVLE</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58434-2021</t>
        </is>
      </c>
      <c r="B1259" s="1" t="n">
        <v>44488</v>
      </c>
      <c r="C1259" s="1" t="n">
        <v>45911</v>
      </c>
      <c r="D1259" t="inlineStr">
        <is>
          <t>GÄVLEBORGS LÄN</t>
        </is>
      </c>
      <c r="E1259" t="inlineStr">
        <is>
          <t>BOLLNÄS</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59271-2020</t>
        </is>
      </c>
      <c r="B1260" s="1" t="n">
        <v>44147.68422453704</v>
      </c>
      <c r="C1260" s="1" t="n">
        <v>45911</v>
      </c>
      <c r="D1260" t="inlineStr">
        <is>
          <t>GÄVLEBORGS LÄN</t>
        </is>
      </c>
      <c r="E1260" t="inlineStr">
        <is>
          <t>SÖDERHAMN</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45134-2021</t>
        </is>
      </c>
      <c r="B1261" s="1" t="n">
        <v>44439</v>
      </c>
      <c r="C1261" s="1" t="n">
        <v>45911</v>
      </c>
      <c r="D1261" t="inlineStr">
        <is>
          <t>GÄVLEBORGS LÄN</t>
        </is>
      </c>
      <c r="E1261" t="inlineStr">
        <is>
          <t>GÄVLE</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34893-2022</t>
        </is>
      </c>
      <c r="B1262" s="1" t="n">
        <v>44796</v>
      </c>
      <c r="C1262" s="1" t="n">
        <v>45911</v>
      </c>
      <c r="D1262" t="inlineStr">
        <is>
          <t>GÄVLEBORGS LÄN</t>
        </is>
      </c>
      <c r="E1262" t="inlineStr">
        <is>
          <t>BOLLNÄS</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33609-2021</t>
        </is>
      </c>
      <c r="B1263" s="1" t="n">
        <v>44378</v>
      </c>
      <c r="C1263" s="1" t="n">
        <v>45911</v>
      </c>
      <c r="D1263" t="inlineStr">
        <is>
          <t>GÄVLEBORGS LÄN</t>
        </is>
      </c>
      <c r="E1263" t="inlineStr">
        <is>
          <t>LJUSDAL</t>
        </is>
      </c>
      <c r="F1263" t="inlineStr">
        <is>
          <t>Sveaskog</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24996-2022</t>
        </is>
      </c>
      <c r="B1264" s="1" t="n">
        <v>44728.92789351852</v>
      </c>
      <c r="C1264" s="1" t="n">
        <v>45911</v>
      </c>
      <c r="D1264" t="inlineStr">
        <is>
          <t>GÄVLEBORGS LÄN</t>
        </is>
      </c>
      <c r="E1264" t="inlineStr">
        <is>
          <t>NORDANSTIG</t>
        </is>
      </c>
      <c r="G1264" t="n">
        <v>8.1</v>
      </c>
      <c r="H1264" t="n">
        <v>0</v>
      </c>
      <c r="I1264" t="n">
        <v>0</v>
      </c>
      <c r="J1264" t="n">
        <v>0</v>
      </c>
      <c r="K1264" t="n">
        <v>0</v>
      </c>
      <c r="L1264" t="n">
        <v>0</v>
      </c>
      <c r="M1264" t="n">
        <v>0</v>
      </c>
      <c r="N1264" t="n">
        <v>0</v>
      </c>
      <c r="O1264" t="n">
        <v>0</v>
      </c>
      <c r="P1264" t="n">
        <v>0</v>
      </c>
      <c r="Q1264" t="n">
        <v>0</v>
      </c>
      <c r="R1264" s="2" t="inlineStr"/>
    </row>
    <row r="1265" ht="15" customHeight="1">
      <c r="A1265" t="inlineStr">
        <is>
          <t>A 44765-2022</t>
        </is>
      </c>
      <c r="B1265" s="1" t="n">
        <v>44840.95450231482</v>
      </c>
      <c r="C1265" s="1" t="n">
        <v>45911</v>
      </c>
      <c r="D1265" t="inlineStr">
        <is>
          <t>GÄVLEBORGS LÄN</t>
        </is>
      </c>
      <c r="E1265" t="inlineStr">
        <is>
          <t>NORDANSTIG</t>
        </is>
      </c>
      <c r="F1265" t="inlineStr">
        <is>
          <t>SCA</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30668-2021</t>
        </is>
      </c>
      <c r="B1266" s="1" t="n">
        <v>44365.38498842593</v>
      </c>
      <c r="C1266" s="1" t="n">
        <v>45911</v>
      </c>
      <c r="D1266" t="inlineStr">
        <is>
          <t>GÄVLEBORGS LÄN</t>
        </is>
      </c>
      <c r="E1266" t="inlineStr">
        <is>
          <t>LJUSDAL</t>
        </is>
      </c>
      <c r="G1266" t="n">
        <v>7.6</v>
      </c>
      <c r="H1266" t="n">
        <v>0</v>
      </c>
      <c r="I1266" t="n">
        <v>0</v>
      </c>
      <c r="J1266" t="n">
        <v>0</v>
      </c>
      <c r="K1266" t="n">
        <v>0</v>
      </c>
      <c r="L1266" t="n">
        <v>0</v>
      </c>
      <c r="M1266" t="n">
        <v>0</v>
      </c>
      <c r="N1266" t="n">
        <v>0</v>
      </c>
      <c r="O1266" t="n">
        <v>0</v>
      </c>
      <c r="P1266" t="n">
        <v>0</v>
      </c>
      <c r="Q1266" t="n">
        <v>0</v>
      </c>
      <c r="R1266" s="2" t="inlineStr"/>
    </row>
    <row r="1267" ht="15" customHeight="1">
      <c r="A1267" t="inlineStr">
        <is>
          <t>A 30779-2022</t>
        </is>
      </c>
      <c r="B1267" s="1" t="n">
        <v>44764.59569444445</v>
      </c>
      <c r="C1267" s="1" t="n">
        <v>45911</v>
      </c>
      <c r="D1267" t="inlineStr">
        <is>
          <t>GÄVLEBORGS LÄN</t>
        </is>
      </c>
      <c r="E1267" t="inlineStr">
        <is>
          <t>NORDANSTIG</t>
        </is>
      </c>
      <c r="F1267" t="inlineStr">
        <is>
          <t>Holmen skog AB</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21871-2022</t>
        </is>
      </c>
      <c r="B1268" s="1" t="n">
        <v>44711.39554398148</v>
      </c>
      <c r="C1268" s="1" t="n">
        <v>45911</v>
      </c>
      <c r="D1268" t="inlineStr">
        <is>
          <t>GÄVLEBORGS LÄN</t>
        </is>
      </c>
      <c r="E1268" t="inlineStr">
        <is>
          <t>NORDANSTIG</t>
        </is>
      </c>
      <c r="G1268" t="n">
        <v>8.800000000000001</v>
      </c>
      <c r="H1268" t="n">
        <v>0</v>
      </c>
      <c r="I1268" t="n">
        <v>0</v>
      </c>
      <c r="J1268" t="n">
        <v>0</v>
      </c>
      <c r="K1268" t="n">
        <v>0</v>
      </c>
      <c r="L1268" t="n">
        <v>0</v>
      </c>
      <c r="M1268" t="n">
        <v>0</v>
      </c>
      <c r="N1268" t="n">
        <v>0</v>
      </c>
      <c r="O1268" t="n">
        <v>0</v>
      </c>
      <c r="P1268" t="n">
        <v>0</v>
      </c>
      <c r="Q1268" t="n">
        <v>0</v>
      </c>
      <c r="R1268" s="2" t="inlineStr"/>
    </row>
    <row r="1269" ht="15" customHeight="1">
      <c r="A1269" t="inlineStr">
        <is>
          <t>A 39913-2021</t>
        </is>
      </c>
      <c r="B1269" s="1" t="n">
        <v>44417</v>
      </c>
      <c r="C1269" s="1" t="n">
        <v>45911</v>
      </c>
      <c r="D1269" t="inlineStr">
        <is>
          <t>GÄVLEBORGS LÄN</t>
        </is>
      </c>
      <c r="E1269" t="inlineStr">
        <is>
          <t>SÖDERHAMN</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21877-2022</t>
        </is>
      </c>
      <c r="B1270" s="1" t="n">
        <v>44711</v>
      </c>
      <c r="C1270" s="1" t="n">
        <v>45911</v>
      </c>
      <c r="D1270" t="inlineStr">
        <is>
          <t>GÄVLEBORGS LÄN</t>
        </is>
      </c>
      <c r="E1270" t="inlineStr">
        <is>
          <t>HUDIKSVALL</t>
        </is>
      </c>
      <c r="F1270" t="inlineStr">
        <is>
          <t>Holmen skog AB</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65907-2021</t>
        </is>
      </c>
      <c r="B1271" s="1" t="n">
        <v>44517</v>
      </c>
      <c r="C1271" s="1" t="n">
        <v>45911</v>
      </c>
      <c r="D1271" t="inlineStr">
        <is>
          <t>GÄVLEBORGS LÄN</t>
        </is>
      </c>
      <c r="E1271" t="inlineStr">
        <is>
          <t>HUDIKSVALL</t>
        </is>
      </c>
      <c r="F1271" t="inlineStr">
        <is>
          <t>Holmen skog AB</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69127-2021</t>
        </is>
      </c>
      <c r="B1272" s="1" t="n">
        <v>44530.92103009259</v>
      </c>
      <c r="C1272" s="1" t="n">
        <v>45911</v>
      </c>
      <c r="D1272" t="inlineStr">
        <is>
          <t>GÄVLEBORGS LÄN</t>
        </is>
      </c>
      <c r="E1272" t="inlineStr">
        <is>
          <t>NORDANSTIG</t>
        </is>
      </c>
      <c r="G1272" t="n">
        <v>7.8</v>
      </c>
      <c r="H1272" t="n">
        <v>0</v>
      </c>
      <c r="I1272" t="n">
        <v>0</v>
      </c>
      <c r="J1272" t="n">
        <v>0</v>
      </c>
      <c r="K1272" t="n">
        <v>0</v>
      </c>
      <c r="L1272" t="n">
        <v>0</v>
      </c>
      <c r="M1272" t="n">
        <v>0</v>
      </c>
      <c r="N1272" t="n">
        <v>0</v>
      </c>
      <c r="O1272" t="n">
        <v>0</v>
      </c>
      <c r="P1272" t="n">
        <v>0</v>
      </c>
      <c r="Q1272" t="n">
        <v>0</v>
      </c>
      <c r="R1272" s="2" t="inlineStr"/>
    </row>
    <row r="1273" ht="15" customHeight="1">
      <c r="A1273" t="inlineStr">
        <is>
          <t>A 29480-2021</t>
        </is>
      </c>
      <c r="B1273" s="1" t="n">
        <v>44361.63996527778</v>
      </c>
      <c r="C1273" s="1" t="n">
        <v>45911</v>
      </c>
      <c r="D1273" t="inlineStr">
        <is>
          <t>GÄVLEBORGS LÄN</t>
        </is>
      </c>
      <c r="E1273" t="inlineStr">
        <is>
          <t>LJUSDAL</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57658-2021</t>
        </is>
      </c>
      <c r="B1274" s="1" t="n">
        <v>44484</v>
      </c>
      <c r="C1274" s="1" t="n">
        <v>45911</v>
      </c>
      <c r="D1274" t="inlineStr">
        <is>
          <t>GÄVLEBORGS LÄN</t>
        </is>
      </c>
      <c r="E1274" t="inlineStr">
        <is>
          <t>HUDIKSVALL</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23925-2022</t>
        </is>
      </c>
      <c r="B1275" s="1" t="n">
        <v>44722</v>
      </c>
      <c r="C1275" s="1" t="n">
        <v>45911</v>
      </c>
      <c r="D1275" t="inlineStr">
        <is>
          <t>GÄVLEBORGS LÄN</t>
        </is>
      </c>
      <c r="E1275" t="inlineStr">
        <is>
          <t>BOLLNÄS</t>
        </is>
      </c>
      <c r="G1275" t="n">
        <v>0.1</v>
      </c>
      <c r="H1275" t="n">
        <v>0</v>
      </c>
      <c r="I1275" t="n">
        <v>0</v>
      </c>
      <c r="J1275" t="n">
        <v>0</v>
      </c>
      <c r="K1275" t="n">
        <v>0</v>
      </c>
      <c r="L1275" t="n">
        <v>0</v>
      </c>
      <c r="M1275" t="n">
        <v>0</v>
      </c>
      <c r="N1275" t="n">
        <v>0</v>
      </c>
      <c r="O1275" t="n">
        <v>0</v>
      </c>
      <c r="P1275" t="n">
        <v>0</v>
      </c>
      <c r="Q1275" t="n">
        <v>0</v>
      </c>
      <c r="R1275" s="2" t="inlineStr"/>
    </row>
    <row r="1276" ht="15" customHeight="1">
      <c r="A1276" t="inlineStr">
        <is>
          <t>A 22027-2022</t>
        </is>
      </c>
      <c r="B1276" s="1" t="n">
        <v>44711.6125462963</v>
      </c>
      <c r="C1276" s="1" t="n">
        <v>45911</v>
      </c>
      <c r="D1276" t="inlineStr">
        <is>
          <t>GÄVLEBORGS LÄN</t>
        </is>
      </c>
      <c r="E1276" t="inlineStr">
        <is>
          <t>NORDANSTIG</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29437-2021</t>
        </is>
      </c>
      <c r="B1277" s="1" t="n">
        <v>44361.58487268518</v>
      </c>
      <c r="C1277" s="1" t="n">
        <v>45911</v>
      </c>
      <c r="D1277" t="inlineStr">
        <is>
          <t>GÄVLEBORGS LÄN</t>
        </is>
      </c>
      <c r="E1277" t="inlineStr">
        <is>
          <t>OCKELBO</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29450-2021</t>
        </is>
      </c>
      <c r="B1278" s="1" t="n">
        <v>44361</v>
      </c>
      <c r="C1278" s="1" t="n">
        <v>45911</v>
      </c>
      <c r="D1278" t="inlineStr">
        <is>
          <t>GÄVLEBORGS LÄN</t>
        </is>
      </c>
      <c r="E1278" t="inlineStr">
        <is>
          <t>HUDIKSVALL</t>
        </is>
      </c>
      <c r="F1278" t="inlineStr">
        <is>
          <t>Holmen skog AB</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63621-2021</t>
        </is>
      </c>
      <c r="B1279" s="1" t="n">
        <v>44509</v>
      </c>
      <c r="C1279" s="1" t="n">
        <v>45911</v>
      </c>
      <c r="D1279" t="inlineStr">
        <is>
          <t>GÄVLEBORGS LÄN</t>
        </is>
      </c>
      <c r="E1279" t="inlineStr">
        <is>
          <t>SANDVIKEN</t>
        </is>
      </c>
      <c r="F1279" t="inlineStr">
        <is>
          <t>Kommuner</t>
        </is>
      </c>
      <c r="G1279" t="n">
        <v>18.3</v>
      </c>
      <c r="H1279" t="n">
        <v>0</v>
      </c>
      <c r="I1279" t="n">
        <v>0</v>
      </c>
      <c r="J1279" t="n">
        <v>0</v>
      </c>
      <c r="K1279" t="n">
        <v>0</v>
      </c>
      <c r="L1279" t="n">
        <v>0</v>
      </c>
      <c r="M1279" t="n">
        <v>0</v>
      </c>
      <c r="N1279" t="n">
        <v>0</v>
      </c>
      <c r="O1279" t="n">
        <v>0</v>
      </c>
      <c r="P1279" t="n">
        <v>0</v>
      </c>
      <c r="Q1279" t="n">
        <v>0</v>
      </c>
      <c r="R1279" s="2" t="inlineStr"/>
    </row>
    <row r="1280" ht="15" customHeight="1">
      <c r="A1280" t="inlineStr">
        <is>
          <t>A 62450-2021</t>
        </is>
      </c>
      <c r="B1280" s="1" t="n">
        <v>44503</v>
      </c>
      <c r="C1280" s="1" t="n">
        <v>45911</v>
      </c>
      <c r="D1280" t="inlineStr">
        <is>
          <t>GÄVLEBORGS LÄN</t>
        </is>
      </c>
      <c r="E1280" t="inlineStr">
        <is>
          <t>NORDANSTIG</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69001-2021</t>
        </is>
      </c>
      <c r="B1281" s="1" t="n">
        <v>44530</v>
      </c>
      <c r="C1281" s="1" t="n">
        <v>45911</v>
      </c>
      <c r="D1281" t="inlineStr">
        <is>
          <t>GÄVLEBORGS LÄN</t>
        </is>
      </c>
      <c r="E1281" t="inlineStr">
        <is>
          <t>OVANÅKER</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40593-2022</t>
        </is>
      </c>
      <c r="B1282" s="1" t="n">
        <v>44823.83914351852</v>
      </c>
      <c r="C1282" s="1" t="n">
        <v>45911</v>
      </c>
      <c r="D1282" t="inlineStr">
        <is>
          <t>GÄVLEBORGS LÄN</t>
        </is>
      </c>
      <c r="E1282" t="inlineStr">
        <is>
          <t>HUDIKSVALL</t>
        </is>
      </c>
      <c r="F1282" t="inlineStr">
        <is>
          <t>Holmen skog AB</t>
        </is>
      </c>
      <c r="G1282" t="n">
        <v>15.3</v>
      </c>
      <c r="H1282" t="n">
        <v>0</v>
      </c>
      <c r="I1282" t="n">
        <v>0</v>
      </c>
      <c r="J1282" t="n">
        <v>0</v>
      </c>
      <c r="K1282" t="n">
        <v>0</v>
      </c>
      <c r="L1282" t="n">
        <v>0</v>
      </c>
      <c r="M1282" t="n">
        <v>0</v>
      </c>
      <c r="N1282" t="n">
        <v>0</v>
      </c>
      <c r="O1282" t="n">
        <v>0</v>
      </c>
      <c r="P1282" t="n">
        <v>0</v>
      </c>
      <c r="Q1282" t="n">
        <v>0</v>
      </c>
      <c r="R1282" s="2" t="inlineStr"/>
    </row>
    <row r="1283" ht="15" customHeight="1">
      <c r="A1283" t="inlineStr">
        <is>
          <t>A 47718-2022</t>
        </is>
      </c>
      <c r="B1283" s="1" t="n">
        <v>44854.60716435185</v>
      </c>
      <c r="C1283" s="1" t="n">
        <v>45911</v>
      </c>
      <c r="D1283" t="inlineStr">
        <is>
          <t>GÄVLEBORGS LÄN</t>
        </is>
      </c>
      <c r="E1283" t="inlineStr">
        <is>
          <t>SANDVIKEN</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66468-2020</t>
        </is>
      </c>
      <c r="B1284" s="1" t="n">
        <v>44176</v>
      </c>
      <c r="C1284" s="1" t="n">
        <v>45911</v>
      </c>
      <c r="D1284" t="inlineStr">
        <is>
          <t>GÄVLEBORGS LÄN</t>
        </is>
      </c>
      <c r="E1284" t="inlineStr">
        <is>
          <t>HUDIKSVALL</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44092-2022</t>
        </is>
      </c>
      <c r="B1285" s="1" t="n">
        <v>44839</v>
      </c>
      <c r="C1285" s="1" t="n">
        <v>45911</v>
      </c>
      <c r="D1285" t="inlineStr">
        <is>
          <t>GÄVLEBORGS LÄN</t>
        </is>
      </c>
      <c r="E1285" t="inlineStr">
        <is>
          <t>OVANÅKER</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51573-2020</t>
        </is>
      </c>
      <c r="B1286" s="1" t="n">
        <v>44113</v>
      </c>
      <c r="C1286" s="1" t="n">
        <v>45911</v>
      </c>
      <c r="D1286" t="inlineStr">
        <is>
          <t>GÄVLEBORGS LÄN</t>
        </is>
      </c>
      <c r="E1286" t="inlineStr">
        <is>
          <t>SANDVIKEN</t>
        </is>
      </c>
      <c r="G1286" t="n">
        <v>10.1</v>
      </c>
      <c r="H1286" t="n">
        <v>0</v>
      </c>
      <c r="I1286" t="n">
        <v>0</v>
      </c>
      <c r="J1286" t="n">
        <v>0</v>
      </c>
      <c r="K1286" t="n">
        <v>0</v>
      </c>
      <c r="L1286" t="n">
        <v>0</v>
      </c>
      <c r="M1286" t="n">
        <v>0</v>
      </c>
      <c r="N1286" t="n">
        <v>0</v>
      </c>
      <c r="O1286" t="n">
        <v>0</v>
      </c>
      <c r="P1286" t="n">
        <v>0</v>
      </c>
      <c r="Q1286" t="n">
        <v>0</v>
      </c>
      <c r="R1286" s="2" t="inlineStr"/>
    </row>
    <row r="1287" ht="15" customHeight="1">
      <c r="A1287" t="inlineStr">
        <is>
          <t>A 25632-2022</t>
        </is>
      </c>
      <c r="B1287" s="1" t="n">
        <v>44732.92746527777</v>
      </c>
      <c r="C1287" s="1" t="n">
        <v>45911</v>
      </c>
      <c r="D1287" t="inlineStr">
        <is>
          <t>GÄVLEBORGS LÄN</t>
        </is>
      </c>
      <c r="E1287" t="inlineStr">
        <is>
          <t>BOLLNÄS</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31801-2021</t>
        </is>
      </c>
      <c r="B1288" s="1" t="n">
        <v>44370</v>
      </c>
      <c r="C1288" s="1" t="n">
        <v>45911</v>
      </c>
      <c r="D1288" t="inlineStr">
        <is>
          <t>GÄVLEBORGS LÄN</t>
        </is>
      </c>
      <c r="E1288" t="inlineStr">
        <is>
          <t>BOLLNÄS</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39228-2022</t>
        </is>
      </c>
      <c r="B1289" s="1" t="n">
        <v>44817.58592592592</v>
      </c>
      <c r="C1289" s="1" t="n">
        <v>45911</v>
      </c>
      <c r="D1289" t="inlineStr">
        <is>
          <t>GÄVLEBORGS LÄN</t>
        </is>
      </c>
      <c r="E1289" t="inlineStr">
        <is>
          <t>LJUSDAL</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39258-2022</t>
        </is>
      </c>
      <c r="B1290" s="1" t="n">
        <v>44817.62399305555</v>
      </c>
      <c r="C1290" s="1" t="n">
        <v>45911</v>
      </c>
      <c r="D1290" t="inlineStr">
        <is>
          <t>GÄVLEBORGS LÄN</t>
        </is>
      </c>
      <c r="E1290" t="inlineStr">
        <is>
          <t>HUDIKSVALL</t>
        </is>
      </c>
      <c r="F1290" t="inlineStr">
        <is>
          <t>Holmen skog AB</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35890-2022</t>
        </is>
      </c>
      <c r="B1291" s="1" t="n">
        <v>44802.47668981482</v>
      </c>
      <c r="C1291" s="1" t="n">
        <v>45911</v>
      </c>
      <c r="D1291" t="inlineStr">
        <is>
          <t>GÄVLEBORGS LÄN</t>
        </is>
      </c>
      <c r="E1291" t="inlineStr">
        <is>
          <t>LJUSDAL</t>
        </is>
      </c>
      <c r="F1291" t="inlineStr">
        <is>
          <t>Bergvik skog väst AB</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575-2022</t>
        </is>
      </c>
      <c r="B1292" s="1" t="n">
        <v>44566.92070601852</v>
      </c>
      <c r="C1292" s="1" t="n">
        <v>45911</v>
      </c>
      <c r="D1292" t="inlineStr">
        <is>
          <t>GÄVLEBORGS LÄN</t>
        </is>
      </c>
      <c r="E1292" t="inlineStr">
        <is>
          <t>NORDANSTIG</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47739-2021</t>
        </is>
      </c>
      <c r="B1293" s="1" t="n">
        <v>44448</v>
      </c>
      <c r="C1293" s="1" t="n">
        <v>45911</v>
      </c>
      <c r="D1293" t="inlineStr">
        <is>
          <t>GÄVLEBORGS LÄN</t>
        </is>
      </c>
      <c r="E1293" t="inlineStr">
        <is>
          <t>GÄVLE</t>
        </is>
      </c>
      <c r="G1293" t="n">
        <v>5.9</v>
      </c>
      <c r="H1293" t="n">
        <v>0</v>
      </c>
      <c r="I1293" t="n">
        <v>0</v>
      </c>
      <c r="J1293" t="n">
        <v>0</v>
      </c>
      <c r="K1293" t="n">
        <v>0</v>
      </c>
      <c r="L1293" t="n">
        <v>0</v>
      </c>
      <c r="M1293" t="n">
        <v>0</v>
      </c>
      <c r="N1293" t="n">
        <v>0</v>
      </c>
      <c r="O1293" t="n">
        <v>0</v>
      </c>
      <c r="P1293" t="n">
        <v>0</v>
      </c>
      <c r="Q1293" t="n">
        <v>0</v>
      </c>
      <c r="R1293" s="2" t="inlineStr"/>
    </row>
    <row r="1294" ht="15" customHeight="1">
      <c r="A1294" t="inlineStr">
        <is>
          <t>A 748-2021</t>
        </is>
      </c>
      <c r="B1294" s="1" t="n">
        <v>44204</v>
      </c>
      <c r="C1294" s="1" t="n">
        <v>45911</v>
      </c>
      <c r="D1294" t="inlineStr">
        <is>
          <t>GÄVLEBORGS LÄN</t>
        </is>
      </c>
      <c r="E1294" t="inlineStr">
        <is>
          <t>OVANÅKER</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32282-2021</t>
        </is>
      </c>
      <c r="B1295" s="1" t="n">
        <v>44371.49859953704</v>
      </c>
      <c r="C1295" s="1" t="n">
        <v>45911</v>
      </c>
      <c r="D1295" t="inlineStr">
        <is>
          <t>GÄVLEBORGS LÄN</t>
        </is>
      </c>
      <c r="E1295" t="inlineStr">
        <is>
          <t>OCKELBO</t>
        </is>
      </c>
      <c r="F1295" t="inlineStr">
        <is>
          <t>Bergvik skog väst AB</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4277-2021</t>
        </is>
      </c>
      <c r="B1296" s="1" t="n">
        <v>44223</v>
      </c>
      <c r="C1296" s="1" t="n">
        <v>45911</v>
      </c>
      <c r="D1296" t="inlineStr">
        <is>
          <t>GÄVLEBORGS LÄN</t>
        </is>
      </c>
      <c r="E1296" t="inlineStr">
        <is>
          <t>GÄVLE</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32749-2022</t>
        </is>
      </c>
      <c r="B1297" s="1" t="n">
        <v>44783.73983796296</v>
      </c>
      <c r="C1297" s="1" t="n">
        <v>45911</v>
      </c>
      <c r="D1297" t="inlineStr">
        <is>
          <t>GÄVLEBORGS LÄN</t>
        </is>
      </c>
      <c r="E1297" t="inlineStr">
        <is>
          <t>SÖDERHAMN</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13734-2022</t>
        </is>
      </c>
      <c r="B1298" s="1" t="n">
        <v>44649</v>
      </c>
      <c r="C1298" s="1" t="n">
        <v>45911</v>
      </c>
      <c r="D1298" t="inlineStr">
        <is>
          <t>GÄVLEBORGS LÄN</t>
        </is>
      </c>
      <c r="E1298" t="inlineStr">
        <is>
          <t>HUDIKSVALL</t>
        </is>
      </c>
      <c r="G1298" t="n">
        <v>7.7</v>
      </c>
      <c r="H1298" t="n">
        <v>0</v>
      </c>
      <c r="I1298" t="n">
        <v>0</v>
      </c>
      <c r="J1298" t="n">
        <v>0</v>
      </c>
      <c r="K1298" t="n">
        <v>0</v>
      </c>
      <c r="L1298" t="n">
        <v>0</v>
      </c>
      <c r="M1298" t="n">
        <v>0</v>
      </c>
      <c r="N1298" t="n">
        <v>0</v>
      </c>
      <c r="O1298" t="n">
        <v>0</v>
      </c>
      <c r="P1298" t="n">
        <v>0</v>
      </c>
      <c r="Q1298" t="n">
        <v>0</v>
      </c>
      <c r="R1298" s="2" t="inlineStr"/>
    </row>
    <row r="1299" ht="15" customHeight="1">
      <c r="A1299" t="inlineStr">
        <is>
          <t>A 30166-2022</t>
        </is>
      </c>
      <c r="B1299" s="1" t="n">
        <v>44757.56145833333</v>
      </c>
      <c r="C1299" s="1" t="n">
        <v>45911</v>
      </c>
      <c r="D1299" t="inlineStr">
        <is>
          <t>GÄVLEBORGS LÄN</t>
        </is>
      </c>
      <c r="E1299" t="inlineStr">
        <is>
          <t>OVANÅKER</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46123-2021</t>
        </is>
      </c>
      <c r="B1300" s="1" t="n">
        <v>44442.38140046296</v>
      </c>
      <c r="C1300" s="1" t="n">
        <v>45911</v>
      </c>
      <c r="D1300" t="inlineStr">
        <is>
          <t>GÄVLEBORGS LÄN</t>
        </is>
      </c>
      <c r="E1300" t="inlineStr">
        <is>
          <t>LJUSDAL</t>
        </is>
      </c>
      <c r="F1300" t="inlineStr">
        <is>
          <t>Sveaskog</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4045-2021</t>
        </is>
      </c>
      <c r="B1301" s="1" t="n">
        <v>44218</v>
      </c>
      <c r="C1301" s="1" t="n">
        <v>45911</v>
      </c>
      <c r="D1301" t="inlineStr">
        <is>
          <t>GÄVLEBORGS LÄN</t>
        </is>
      </c>
      <c r="E1301" t="inlineStr">
        <is>
          <t>SÖDERHAMN</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54388-2022</t>
        </is>
      </c>
      <c r="B1302" s="1" t="n">
        <v>44882</v>
      </c>
      <c r="C1302" s="1" t="n">
        <v>45911</v>
      </c>
      <c r="D1302" t="inlineStr">
        <is>
          <t>GÄVLEBORGS LÄN</t>
        </is>
      </c>
      <c r="E1302" t="inlineStr">
        <is>
          <t>GÄVLE</t>
        </is>
      </c>
      <c r="G1302" t="n">
        <v>4.7</v>
      </c>
      <c r="H1302" t="n">
        <v>0</v>
      </c>
      <c r="I1302" t="n">
        <v>0</v>
      </c>
      <c r="J1302" t="n">
        <v>0</v>
      </c>
      <c r="K1302" t="n">
        <v>0</v>
      </c>
      <c r="L1302" t="n">
        <v>0</v>
      </c>
      <c r="M1302" t="n">
        <v>0</v>
      </c>
      <c r="N1302" t="n">
        <v>0</v>
      </c>
      <c r="O1302" t="n">
        <v>0</v>
      </c>
      <c r="P1302" t="n">
        <v>0</v>
      </c>
      <c r="Q1302" t="n">
        <v>0</v>
      </c>
      <c r="R1302" s="2" t="inlineStr"/>
    </row>
    <row r="1303" ht="15" customHeight="1">
      <c r="A1303" t="inlineStr">
        <is>
          <t>A 46925-2020</t>
        </is>
      </c>
      <c r="B1303" s="1" t="n">
        <v>44096</v>
      </c>
      <c r="C1303" s="1" t="n">
        <v>45911</v>
      </c>
      <c r="D1303" t="inlineStr">
        <is>
          <t>GÄVLEBORGS LÄN</t>
        </is>
      </c>
      <c r="E1303" t="inlineStr">
        <is>
          <t>GÄVLE</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46940-2020</t>
        </is>
      </c>
      <c r="B1304" s="1" t="n">
        <v>44096</v>
      </c>
      <c r="C1304" s="1" t="n">
        <v>45911</v>
      </c>
      <c r="D1304" t="inlineStr">
        <is>
          <t>GÄVLEBORGS LÄN</t>
        </is>
      </c>
      <c r="E1304" t="inlineStr">
        <is>
          <t>SANDVIKEN</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35278-2021</t>
        </is>
      </c>
      <c r="B1305" s="1" t="n">
        <v>44384.64277777778</v>
      </c>
      <c r="C1305" s="1" t="n">
        <v>45911</v>
      </c>
      <c r="D1305" t="inlineStr">
        <is>
          <t>GÄVLEBORGS LÄN</t>
        </is>
      </c>
      <c r="E1305" t="inlineStr">
        <is>
          <t>OVANÅKER</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45268-2020</t>
        </is>
      </c>
      <c r="B1306" s="1" t="n">
        <v>44089</v>
      </c>
      <c r="C1306" s="1" t="n">
        <v>45911</v>
      </c>
      <c r="D1306" t="inlineStr">
        <is>
          <t>GÄVLEBORGS LÄN</t>
        </is>
      </c>
      <c r="E1306" t="inlineStr">
        <is>
          <t>OVANÅKER</t>
        </is>
      </c>
      <c r="F1306" t="inlineStr">
        <is>
          <t>Sveaskog</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29267-2022</t>
        </is>
      </c>
      <c r="B1307" s="1" t="n">
        <v>44750.66155092593</v>
      </c>
      <c r="C1307" s="1" t="n">
        <v>45911</v>
      </c>
      <c r="D1307" t="inlineStr">
        <is>
          <t>GÄVLEBORGS LÄN</t>
        </is>
      </c>
      <c r="E1307" t="inlineStr">
        <is>
          <t>LJUSDAL</t>
        </is>
      </c>
      <c r="F1307" t="inlineStr">
        <is>
          <t>Holmen skog AB</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31694-2021</t>
        </is>
      </c>
      <c r="B1308" s="1" t="n">
        <v>44369.70108796296</v>
      </c>
      <c r="C1308" s="1" t="n">
        <v>45911</v>
      </c>
      <c r="D1308" t="inlineStr">
        <is>
          <t>GÄVLEBORGS LÄN</t>
        </is>
      </c>
      <c r="E1308" t="inlineStr">
        <is>
          <t>BOLLNÄS</t>
        </is>
      </c>
      <c r="F1308" t="inlineStr">
        <is>
          <t>Sveaskog</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67475-2020</t>
        </is>
      </c>
      <c r="B1309" s="1" t="n">
        <v>44181.63351851852</v>
      </c>
      <c r="C1309" s="1" t="n">
        <v>45911</v>
      </c>
      <c r="D1309" t="inlineStr">
        <is>
          <t>GÄVLEBORGS LÄN</t>
        </is>
      </c>
      <c r="E1309" t="inlineStr">
        <is>
          <t>OVANÅKER</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66986-2021</t>
        </is>
      </c>
      <c r="B1310" s="1" t="n">
        <v>44522</v>
      </c>
      <c r="C1310" s="1" t="n">
        <v>45911</v>
      </c>
      <c r="D1310" t="inlineStr">
        <is>
          <t>GÄVLEBORGS LÄN</t>
        </is>
      </c>
      <c r="E1310" t="inlineStr">
        <is>
          <t>BOLLNÄS</t>
        </is>
      </c>
      <c r="F1310" t="inlineStr">
        <is>
          <t>Kommuner</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48451-2021</t>
        </is>
      </c>
      <c r="B1311" s="1" t="n">
        <v>44452</v>
      </c>
      <c r="C1311" s="1" t="n">
        <v>45911</v>
      </c>
      <c r="D1311" t="inlineStr">
        <is>
          <t>GÄVLEBORGS LÄN</t>
        </is>
      </c>
      <c r="E1311" t="inlineStr">
        <is>
          <t>BOLLNÄS</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44181-2022</t>
        </is>
      </c>
      <c r="B1312" s="1" t="n">
        <v>44839.45443287037</v>
      </c>
      <c r="C1312" s="1" t="n">
        <v>45911</v>
      </c>
      <c r="D1312" t="inlineStr">
        <is>
          <t>GÄVLEBORGS LÄN</t>
        </is>
      </c>
      <c r="E1312" t="inlineStr">
        <is>
          <t>HUDIKSVALL</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40462-2022</t>
        </is>
      </c>
      <c r="B1313" s="1" t="n">
        <v>44823</v>
      </c>
      <c r="C1313" s="1" t="n">
        <v>45911</v>
      </c>
      <c r="D1313" t="inlineStr">
        <is>
          <t>GÄVLEBORGS LÄN</t>
        </is>
      </c>
      <c r="E1313" t="inlineStr">
        <is>
          <t>SÖDERHAMN</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31967-2021</t>
        </is>
      </c>
      <c r="B1314" s="1" t="n">
        <v>44370.57430555556</v>
      </c>
      <c r="C1314" s="1" t="n">
        <v>45911</v>
      </c>
      <c r="D1314" t="inlineStr">
        <is>
          <t>GÄVLEBORGS LÄN</t>
        </is>
      </c>
      <c r="E1314" t="inlineStr">
        <is>
          <t>HUDIKSVALL</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9287-2021</t>
        </is>
      </c>
      <c r="B1315" s="1" t="n">
        <v>44250</v>
      </c>
      <c r="C1315" s="1" t="n">
        <v>45911</v>
      </c>
      <c r="D1315" t="inlineStr">
        <is>
          <t>GÄVLEBORGS LÄN</t>
        </is>
      </c>
      <c r="E1315" t="inlineStr">
        <is>
          <t>OCKELBO</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23957-2022</t>
        </is>
      </c>
      <c r="B1316" s="1" t="n">
        <v>44722.68072916667</v>
      </c>
      <c r="C1316" s="1" t="n">
        <v>45911</v>
      </c>
      <c r="D1316" t="inlineStr">
        <is>
          <t>GÄVLEBORGS LÄN</t>
        </is>
      </c>
      <c r="E1316" t="inlineStr">
        <is>
          <t>LJUSDAL</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8081-2022</t>
        </is>
      </c>
      <c r="B1317" s="1" t="n">
        <v>44609.51679398148</v>
      </c>
      <c r="C1317" s="1" t="n">
        <v>45911</v>
      </c>
      <c r="D1317" t="inlineStr">
        <is>
          <t>GÄVLEBORGS LÄN</t>
        </is>
      </c>
      <c r="E1317" t="inlineStr">
        <is>
          <t>HUDIKSVALL</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331-2022</t>
        </is>
      </c>
      <c r="B1318" s="1" t="n">
        <v>44565.58488425926</v>
      </c>
      <c r="C1318" s="1" t="n">
        <v>45911</v>
      </c>
      <c r="D1318" t="inlineStr">
        <is>
          <t>GÄVLEBORGS LÄN</t>
        </is>
      </c>
      <c r="E1318" t="inlineStr">
        <is>
          <t>LJUSDAL</t>
        </is>
      </c>
      <c r="F1318" t="inlineStr">
        <is>
          <t>Holmen skog AB</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69627-2020</t>
        </is>
      </c>
      <c r="B1319" s="1" t="n">
        <v>44195</v>
      </c>
      <c r="C1319" s="1" t="n">
        <v>45911</v>
      </c>
      <c r="D1319" t="inlineStr">
        <is>
          <t>GÄVLEBORGS LÄN</t>
        </is>
      </c>
      <c r="E1319" t="inlineStr">
        <is>
          <t>BOLLNÄS</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1530-2022</t>
        </is>
      </c>
      <c r="B1320" s="1" t="n">
        <v>44573.57800925926</v>
      </c>
      <c r="C1320" s="1" t="n">
        <v>45911</v>
      </c>
      <c r="D1320" t="inlineStr">
        <is>
          <t>GÄVLEBORGS LÄN</t>
        </is>
      </c>
      <c r="E1320" t="inlineStr">
        <is>
          <t>OVANÅKER</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52990-2021</t>
        </is>
      </c>
      <c r="B1321" s="1" t="n">
        <v>44467.63489583333</v>
      </c>
      <c r="C1321" s="1" t="n">
        <v>45911</v>
      </c>
      <c r="D1321" t="inlineStr">
        <is>
          <t>GÄVLEBORGS LÄN</t>
        </is>
      </c>
      <c r="E1321" t="inlineStr">
        <is>
          <t>NORDANSTIG</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31642-2021</t>
        </is>
      </c>
      <c r="B1322" s="1" t="n">
        <v>44369</v>
      </c>
      <c r="C1322" s="1" t="n">
        <v>45911</v>
      </c>
      <c r="D1322" t="inlineStr">
        <is>
          <t>GÄVLEBORGS LÄN</t>
        </is>
      </c>
      <c r="E1322" t="inlineStr">
        <is>
          <t>HUDIKSVALL</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24763-2022</t>
        </is>
      </c>
      <c r="B1323" s="1" t="n">
        <v>44728</v>
      </c>
      <c r="C1323" s="1" t="n">
        <v>45911</v>
      </c>
      <c r="D1323" t="inlineStr">
        <is>
          <t>GÄVLEBORGS LÄN</t>
        </is>
      </c>
      <c r="E1323" t="inlineStr">
        <is>
          <t>BOLLNÄS</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60085-2020</t>
        </is>
      </c>
      <c r="B1324" s="1" t="n">
        <v>44152</v>
      </c>
      <c r="C1324" s="1" t="n">
        <v>45911</v>
      </c>
      <c r="D1324" t="inlineStr">
        <is>
          <t>GÄVLEBORGS LÄN</t>
        </is>
      </c>
      <c r="E1324" t="inlineStr">
        <is>
          <t>NORDANSTIG</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68787-2020</t>
        </is>
      </c>
      <c r="B1325" s="1" t="n">
        <v>44187.47744212963</v>
      </c>
      <c r="C1325" s="1" t="n">
        <v>45911</v>
      </c>
      <c r="D1325" t="inlineStr">
        <is>
          <t>GÄVLEBORGS LÄN</t>
        </is>
      </c>
      <c r="E1325" t="inlineStr">
        <is>
          <t>SANDVIKEN</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63128-2020</t>
        </is>
      </c>
      <c r="B1326" s="1" t="n">
        <v>44162</v>
      </c>
      <c r="C1326" s="1" t="n">
        <v>45911</v>
      </c>
      <c r="D1326" t="inlineStr">
        <is>
          <t>GÄVLEBORGS LÄN</t>
        </is>
      </c>
      <c r="E1326" t="inlineStr">
        <is>
          <t>OVANÅKER</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8133-2022</t>
        </is>
      </c>
      <c r="B1327" s="1" t="n">
        <v>44609.6027662037</v>
      </c>
      <c r="C1327" s="1" t="n">
        <v>45911</v>
      </c>
      <c r="D1327" t="inlineStr">
        <is>
          <t>GÄVLEBORGS LÄN</t>
        </is>
      </c>
      <c r="E1327" t="inlineStr">
        <is>
          <t>HUDIKSVALL</t>
        </is>
      </c>
      <c r="G1327" t="n">
        <v>4</v>
      </c>
      <c r="H1327" t="n">
        <v>0</v>
      </c>
      <c r="I1327" t="n">
        <v>0</v>
      </c>
      <c r="J1327" t="n">
        <v>0</v>
      </c>
      <c r="K1327" t="n">
        <v>0</v>
      </c>
      <c r="L1327" t="n">
        <v>0</v>
      </c>
      <c r="M1327" t="n">
        <v>0</v>
      </c>
      <c r="N1327" t="n">
        <v>0</v>
      </c>
      <c r="O1327" t="n">
        <v>0</v>
      </c>
      <c r="P1327" t="n">
        <v>0</v>
      </c>
      <c r="Q1327" t="n">
        <v>0</v>
      </c>
      <c r="R1327" s="2" t="inlineStr"/>
    </row>
    <row r="1328" ht="15" customHeight="1">
      <c r="A1328" t="inlineStr">
        <is>
          <t>A 52947-2022</t>
        </is>
      </c>
      <c r="B1328" s="1" t="n">
        <v>44875.65561342592</v>
      </c>
      <c r="C1328" s="1" t="n">
        <v>45911</v>
      </c>
      <c r="D1328" t="inlineStr">
        <is>
          <t>GÄVLEBORGS LÄN</t>
        </is>
      </c>
      <c r="E1328" t="inlineStr">
        <is>
          <t>HUDIKSVALL</t>
        </is>
      </c>
      <c r="F1328" t="inlineStr">
        <is>
          <t>Holmen skog AB</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11393-2021</t>
        </is>
      </c>
      <c r="B1329" s="1" t="n">
        <v>44263.6728125</v>
      </c>
      <c r="C1329" s="1" t="n">
        <v>45911</v>
      </c>
      <c r="D1329" t="inlineStr">
        <is>
          <t>GÄVLEBORGS LÄN</t>
        </is>
      </c>
      <c r="E1329" t="inlineStr">
        <is>
          <t>BOLLNÄS</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55148-2022</t>
        </is>
      </c>
      <c r="B1330" s="1" t="n">
        <v>44886.67486111111</v>
      </c>
      <c r="C1330" s="1" t="n">
        <v>45911</v>
      </c>
      <c r="D1330" t="inlineStr">
        <is>
          <t>GÄVLEBORGS LÄN</t>
        </is>
      </c>
      <c r="E1330" t="inlineStr">
        <is>
          <t>SANDVIKEN</t>
        </is>
      </c>
      <c r="F1330" t="inlineStr">
        <is>
          <t>Sveaskog</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47556-2020</t>
        </is>
      </c>
      <c r="B1331" s="1" t="n">
        <v>44098.4515625</v>
      </c>
      <c r="C1331" s="1" t="n">
        <v>45911</v>
      </c>
      <c r="D1331" t="inlineStr">
        <is>
          <t>GÄVLEBORGS LÄN</t>
        </is>
      </c>
      <c r="E1331" t="inlineStr">
        <is>
          <t>HUDIKSVALL</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33799-2021</t>
        </is>
      </c>
      <c r="B1332" s="1" t="n">
        <v>44378</v>
      </c>
      <c r="C1332" s="1" t="n">
        <v>45911</v>
      </c>
      <c r="D1332" t="inlineStr">
        <is>
          <t>GÄVLEBORGS LÄN</t>
        </is>
      </c>
      <c r="E1332" t="inlineStr">
        <is>
          <t>HUDIKSVALL</t>
        </is>
      </c>
      <c r="F1332" t="inlineStr">
        <is>
          <t>Holmen skog AB</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33377-2022</t>
        </is>
      </c>
      <c r="B1333" s="1" t="n">
        <v>44788.54135416666</v>
      </c>
      <c r="C1333" s="1" t="n">
        <v>45911</v>
      </c>
      <c r="D1333" t="inlineStr">
        <is>
          <t>GÄVLEBORGS LÄN</t>
        </is>
      </c>
      <c r="E1333" t="inlineStr">
        <is>
          <t>NORDANSTIG</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46646-2020</t>
        </is>
      </c>
      <c r="B1334" s="1" t="n">
        <v>44095</v>
      </c>
      <c r="C1334" s="1" t="n">
        <v>45911</v>
      </c>
      <c r="D1334" t="inlineStr">
        <is>
          <t>GÄVLEBORGS LÄN</t>
        </is>
      </c>
      <c r="E1334" t="inlineStr">
        <is>
          <t>NORDANSTIG</t>
        </is>
      </c>
      <c r="F1334" t="inlineStr">
        <is>
          <t>Holmen skog AB</t>
        </is>
      </c>
      <c r="G1334" t="n">
        <v>3.8</v>
      </c>
      <c r="H1334" t="n">
        <v>0</v>
      </c>
      <c r="I1334" t="n">
        <v>0</v>
      </c>
      <c r="J1334" t="n">
        <v>0</v>
      </c>
      <c r="K1334" t="n">
        <v>0</v>
      </c>
      <c r="L1334" t="n">
        <v>0</v>
      </c>
      <c r="M1334" t="n">
        <v>0</v>
      </c>
      <c r="N1334" t="n">
        <v>0</v>
      </c>
      <c r="O1334" t="n">
        <v>0</v>
      </c>
      <c r="P1334" t="n">
        <v>0</v>
      </c>
      <c r="Q1334" t="n">
        <v>0</v>
      </c>
      <c r="R1334" s="2" t="inlineStr"/>
    </row>
    <row r="1335" ht="15" customHeight="1">
      <c r="A1335" t="inlineStr">
        <is>
          <t>A 66825-2021</t>
        </is>
      </c>
      <c r="B1335" s="1" t="n">
        <v>44522.40350694444</v>
      </c>
      <c r="C1335" s="1" t="n">
        <v>45911</v>
      </c>
      <c r="D1335" t="inlineStr">
        <is>
          <t>GÄVLEBORGS LÄN</t>
        </is>
      </c>
      <c r="E1335" t="inlineStr">
        <is>
          <t>OCKELBO</t>
        </is>
      </c>
      <c r="F1335" t="inlineStr">
        <is>
          <t>Bergvik skog väst AB</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72711-2021</t>
        </is>
      </c>
      <c r="B1336" s="1" t="n">
        <v>44546.67815972222</v>
      </c>
      <c r="C1336" s="1" t="n">
        <v>45911</v>
      </c>
      <c r="D1336" t="inlineStr">
        <is>
          <t>GÄVLEBORGS LÄN</t>
        </is>
      </c>
      <c r="E1336" t="inlineStr">
        <is>
          <t>LJUSDAL</t>
        </is>
      </c>
      <c r="F1336" t="inlineStr">
        <is>
          <t>Sveaskog</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51256-2020</t>
        </is>
      </c>
      <c r="B1337" s="1" t="n">
        <v>44112</v>
      </c>
      <c r="C1337" s="1" t="n">
        <v>45911</v>
      </c>
      <c r="D1337" t="inlineStr">
        <is>
          <t>GÄVLEBORGS LÄN</t>
        </is>
      </c>
      <c r="E1337" t="inlineStr">
        <is>
          <t>LJUSDAL</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33086-2022</t>
        </is>
      </c>
      <c r="B1338" s="1" t="n">
        <v>44785.455</v>
      </c>
      <c r="C1338" s="1" t="n">
        <v>45911</v>
      </c>
      <c r="D1338" t="inlineStr">
        <is>
          <t>GÄVLEBORGS LÄN</t>
        </is>
      </c>
      <c r="E1338" t="inlineStr">
        <is>
          <t>BOLLNÄS</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13901-2021</t>
        </is>
      </c>
      <c r="B1339" s="1" t="n">
        <v>44277</v>
      </c>
      <c r="C1339" s="1" t="n">
        <v>45911</v>
      </c>
      <c r="D1339" t="inlineStr">
        <is>
          <t>GÄVLEBORGS LÄN</t>
        </is>
      </c>
      <c r="E1339" t="inlineStr">
        <is>
          <t>OVANÅKER</t>
        </is>
      </c>
      <c r="F1339" t="inlineStr">
        <is>
          <t>Bergvik skog väst AB</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66458-2020</t>
        </is>
      </c>
      <c r="B1340" s="1" t="n">
        <v>44176.70523148148</v>
      </c>
      <c r="C1340" s="1" t="n">
        <v>45911</v>
      </c>
      <c r="D1340" t="inlineStr">
        <is>
          <t>GÄVLEBORGS LÄN</t>
        </is>
      </c>
      <c r="E1340" t="inlineStr">
        <is>
          <t>SÖDERHAMN</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72435-2021</t>
        </is>
      </c>
      <c r="B1341" s="1" t="n">
        <v>44545</v>
      </c>
      <c r="C1341" s="1" t="n">
        <v>45911</v>
      </c>
      <c r="D1341" t="inlineStr">
        <is>
          <t>GÄVLEBORGS LÄN</t>
        </is>
      </c>
      <c r="E1341" t="inlineStr">
        <is>
          <t>NORDANSTIG</t>
        </is>
      </c>
      <c r="G1341" t="n">
        <v>0.1</v>
      </c>
      <c r="H1341" t="n">
        <v>0</v>
      </c>
      <c r="I1341" t="n">
        <v>0</v>
      </c>
      <c r="J1341" t="n">
        <v>0</v>
      </c>
      <c r="K1341" t="n">
        <v>0</v>
      </c>
      <c r="L1341" t="n">
        <v>0</v>
      </c>
      <c r="M1341" t="n">
        <v>0</v>
      </c>
      <c r="N1341" t="n">
        <v>0</v>
      </c>
      <c r="O1341" t="n">
        <v>0</v>
      </c>
      <c r="P1341" t="n">
        <v>0</v>
      </c>
      <c r="Q1341" t="n">
        <v>0</v>
      </c>
      <c r="R1341" s="2" t="inlineStr"/>
    </row>
    <row r="1342" ht="15" customHeight="1">
      <c r="A1342" t="inlineStr">
        <is>
          <t>A 41246-2022</t>
        </is>
      </c>
      <c r="B1342" s="1" t="n">
        <v>44826</v>
      </c>
      <c r="C1342" s="1" t="n">
        <v>45911</v>
      </c>
      <c r="D1342" t="inlineStr">
        <is>
          <t>GÄVLEBORGS LÄN</t>
        </is>
      </c>
      <c r="E1342" t="inlineStr">
        <is>
          <t>SÖDERHAMN</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54380-2021</t>
        </is>
      </c>
      <c r="B1343" s="1" t="n">
        <v>44473</v>
      </c>
      <c r="C1343" s="1" t="n">
        <v>45911</v>
      </c>
      <c r="D1343" t="inlineStr">
        <is>
          <t>GÄVLEBORGS LÄN</t>
        </is>
      </c>
      <c r="E1343" t="inlineStr">
        <is>
          <t>HUDIKSVALL</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73725-2021</t>
        </is>
      </c>
      <c r="B1344" s="1" t="n">
        <v>44552.54694444445</v>
      </c>
      <c r="C1344" s="1" t="n">
        <v>45911</v>
      </c>
      <c r="D1344" t="inlineStr">
        <is>
          <t>GÄVLEBORGS LÄN</t>
        </is>
      </c>
      <c r="E1344" t="inlineStr">
        <is>
          <t>NORDANSTIG</t>
        </is>
      </c>
      <c r="F1344" t="inlineStr">
        <is>
          <t>Holmen skog AB</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65030-2021</t>
        </is>
      </c>
      <c r="B1345" s="1" t="n">
        <v>44515.32060185185</v>
      </c>
      <c r="C1345" s="1" t="n">
        <v>45911</v>
      </c>
      <c r="D1345" t="inlineStr">
        <is>
          <t>GÄVLEBORGS LÄN</t>
        </is>
      </c>
      <c r="E1345" t="inlineStr">
        <is>
          <t>BOLLNÄS</t>
        </is>
      </c>
      <c r="F1345" t="inlineStr">
        <is>
          <t>Bergvik skog väst AB</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1408-2021</t>
        </is>
      </c>
      <c r="B1346" s="1" t="n">
        <v>44208</v>
      </c>
      <c r="C1346" s="1" t="n">
        <v>45911</v>
      </c>
      <c r="D1346" t="inlineStr">
        <is>
          <t>GÄVLEBORGS LÄN</t>
        </is>
      </c>
      <c r="E1346" t="inlineStr">
        <is>
          <t>BOLLNÄS</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33626-2022</t>
        </is>
      </c>
      <c r="B1347" s="1" t="n">
        <v>44789</v>
      </c>
      <c r="C1347" s="1" t="n">
        <v>45911</v>
      </c>
      <c r="D1347" t="inlineStr">
        <is>
          <t>GÄVLEBORGS LÄN</t>
        </is>
      </c>
      <c r="E1347" t="inlineStr">
        <is>
          <t>LJUSDAL</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5430-2022</t>
        </is>
      </c>
      <c r="B1348" s="1" t="n">
        <v>44595</v>
      </c>
      <c r="C1348" s="1" t="n">
        <v>45911</v>
      </c>
      <c r="D1348" t="inlineStr">
        <is>
          <t>GÄVLEBORGS LÄN</t>
        </is>
      </c>
      <c r="E1348" t="inlineStr">
        <is>
          <t>SANDVIKEN</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19776-2021</t>
        </is>
      </c>
      <c r="B1349" s="1" t="n">
        <v>44313</v>
      </c>
      <c r="C1349" s="1" t="n">
        <v>45911</v>
      </c>
      <c r="D1349" t="inlineStr">
        <is>
          <t>GÄVLEBORGS LÄN</t>
        </is>
      </c>
      <c r="E1349" t="inlineStr">
        <is>
          <t>OCKELBO</t>
        </is>
      </c>
      <c r="F1349" t="inlineStr">
        <is>
          <t>Bergvik skog väst AB</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32018-2021</t>
        </is>
      </c>
      <c r="B1350" s="1" t="n">
        <v>44370.63998842592</v>
      </c>
      <c r="C1350" s="1" t="n">
        <v>45911</v>
      </c>
      <c r="D1350" t="inlineStr">
        <is>
          <t>GÄVLEBORGS LÄN</t>
        </is>
      </c>
      <c r="E1350" t="inlineStr">
        <is>
          <t>GÄVLE</t>
        </is>
      </c>
      <c r="F1350" t="inlineStr">
        <is>
          <t>Bergvik skog öst AB</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48124-2020</t>
        </is>
      </c>
      <c r="B1351" s="1" t="n">
        <v>44102</v>
      </c>
      <c r="C1351" s="1" t="n">
        <v>45911</v>
      </c>
      <c r="D1351" t="inlineStr">
        <is>
          <t>GÄVLEBORGS LÄN</t>
        </is>
      </c>
      <c r="E1351" t="inlineStr">
        <is>
          <t>OVANÅKER</t>
        </is>
      </c>
      <c r="F1351" t="inlineStr">
        <is>
          <t>Bergvik skog väst AB</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12648-2021</t>
        </is>
      </c>
      <c r="B1352" s="1" t="n">
        <v>44270.48195601852</v>
      </c>
      <c r="C1352" s="1" t="n">
        <v>45911</v>
      </c>
      <c r="D1352" t="inlineStr">
        <is>
          <t>GÄVLEBORGS LÄN</t>
        </is>
      </c>
      <c r="E1352" t="inlineStr">
        <is>
          <t>LJUSDAL</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17544-2021</t>
        </is>
      </c>
      <c r="B1353" s="1" t="n">
        <v>44299</v>
      </c>
      <c r="C1353" s="1" t="n">
        <v>45911</v>
      </c>
      <c r="D1353" t="inlineStr">
        <is>
          <t>GÄVLEBORGS LÄN</t>
        </is>
      </c>
      <c r="E1353" t="inlineStr">
        <is>
          <t>SANDVIKEN</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35251-2021</t>
        </is>
      </c>
      <c r="B1354" s="1" t="n">
        <v>44384</v>
      </c>
      <c r="C1354" s="1" t="n">
        <v>45911</v>
      </c>
      <c r="D1354" t="inlineStr">
        <is>
          <t>GÄVLEBORGS LÄN</t>
        </is>
      </c>
      <c r="E1354" t="inlineStr">
        <is>
          <t>SÖDERHAMN</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13259-2021</t>
        </is>
      </c>
      <c r="B1355" s="1" t="n">
        <v>44272.65707175926</v>
      </c>
      <c r="C1355" s="1" t="n">
        <v>45911</v>
      </c>
      <c r="D1355" t="inlineStr">
        <is>
          <t>GÄVLEBORGS LÄN</t>
        </is>
      </c>
      <c r="E1355" t="inlineStr">
        <is>
          <t>GÄVLE</t>
        </is>
      </c>
      <c r="F1355" t="inlineStr">
        <is>
          <t>Bergvik skog öst AB</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35859-2021</t>
        </is>
      </c>
      <c r="B1356" s="1" t="n">
        <v>44386</v>
      </c>
      <c r="C1356" s="1" t="n">
        <v>45911</v>
      </c>
      <c r="D1356" t="inlineStr">
        <is>
          <t>GÄVLEBORGS LÄN</t>
        </is>
      </c>
      <c r="E1356" t="inlineStr">
        <is>
          <t>NORDANSTIG</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13995-2022</t>
        </is>
      </c>
      <c r="B1357" s="1" t="n">
        <v>44650</v>
      </c>
      <c r="C1357" s="1" t="n">
        <v>45911</v>
      </c>
      <c r="D1357" t="inlineStr">
        <is>
          <t>GÄVLEBORGS LÄN</t>
        </is>
      </c>
      <c r="E1357" t="inlineStr">
        <is>
          <t>OVANÅKER</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70473-2021</t>
        </is>
      </c>
      <c r="B1358" s="1" t="n">
        <v>44536</v>
      </c>
      <c r="C1358" s="1" t="n">
        <v>45911</v>
      </c>
      <c r="D1358" t="inlineStr">
        <is>
          <t>GÄVLEBORGS LÄN</t>
        </is>
      </c>
      <c r="E1358" t="inlineStr">
        <is>
          <t>BOLLNÄS</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34709-2022</t>
        </is>
      </c>
      <c r="B1359" s="1" t="n">
        <v>44795.57931712963</v>
      </c>
      <c r="C1359" s="1" t="n">
        <v>45911</v>
      </c>
      <c r="D1359" t="inlineStr">
        <is>
          <t>GÄVLEBORGS LÄN</t>
        </is>
      </c>
      <c r="E1359" t="inlineStr">
        <is>
          <t>OCKELBO</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54475-2020</t>
        </is>
      </c>
      <c r="B1360" s="1" t="n">
        <v>44126</v>
      </c>
      <c r="C1360" s="1" t="n">
        <v>45911</v>
      </c>
      <c r="D1360" t="inlineStr">
        <is>
          <t>GÄVLEBORGS LÄN</t>
        </is>
      </c>
      <c r="E1360" t="inlineStr">
        <is>
          <t>LJUSDAL</t>
        </is>
      </c>
      <c r="F1360" t="inlineStr">
        <is>
          <t>Bergvik skog väst AB</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63877-2020</t>
        </is>
      </c>
      <c r="B1361" s="1" t="n">
        <v>44166</v>
      </c>
      <c r="C1361" s="1" t="n">
        <v>45911</v>
      </c>
      <c r="D1361" t="inlineStr">
        <is>
          <t>GÄVLEBORGS LÄN</t>
        </is>
      </c>
      <c r="E1361" t="inlineStr">
        <is>
          <t>BOLLNÄS</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46854-2021</t>
        </is>
      </c>
      <c r="B1362" s="1" t="n">
        <v>44446.38486111111</v>
      </c>
      <c r="C1362" s="1" t="n">
        <v>45911</v>
      </c>
      <c r="D1362" t="inlineStr">
        <is>
          <t>GÄVLEBORGS LÄN</t>
        </is>
      </c>
      <c r="E1362" t="inlineStr">
        <is>
          <t>SANDVIKEN</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44256-2021</t>
        </is>
      </c>
      <c r="B1363" s="1" t="n">
        <v>44435.24907407408</v>
      </c>
      <c r="C1363" s="1" t="n">
        <v>45911</v>
      </c>
      <c r="D1363" t="inlineStr">
        <is>
          <t>GÄVLEBORGS LÄN</t>
        </is>
      </c>
      <c r="E1363" t="inlineStr">
        <is>
          <t>LJUSDAL</t>
        </is>
      </c>
      <c r="F1363" t="inlineStr">
        <is>
          <t>Sveaskog</t>
        </is>
      </c>
      <c r="G1363" t="n">
        <v>6.1</v>
      </c>
      <c r="H1363" t="n">
        <v>0</v>
      </c>
      <c r="I1363" t="n">
        <v>0</v>
      </c>
      <c r="J1363" t="n">
        <v>0</v>
      </c>
      <c r="K1363" t="n">
        <v>0</v>
      </c>
      <c r="L1363" t="n">
        <v>0</v>
      </c>
      <c r="M1363" t="n">
        <v>0</v>
      </c>
      <c r="N1363" t="n">
        <v>0</v>
      </c>
      <c r="O1363" t="n">
        <v>0</v>
      </c>
      <c r="P1363" t="n">
        <v>0</v>
      </c>
      <c r="Q1363" t="n">
        <v>0</v>
      </c>
      <c r="R1363" s="2" t="inlineStr"/>
    </row>
    <row r="1364" ht="15" customHeight="1">
      <c r="A1364" t="inlineStr">
        <is>
          <t>A 65563-2020</t>
        </is>
      </c>
      <c r="B1364" s="1" t="n">
        <v>44173</v>
      </c>
      <c r="C1364" s="1" t="n">
        <v>45911</v>
      </c>
      <c r="D1364" t="inlineStr">
        <is>
          <t>GÄVLEBORGS LÄN</t>
        </is>
      </c>
      <c r="E1364" t="inlineStr">
        <is>
          <t>HUDIKSVALL</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13402-2022</t>
        </is>
      </c>
      <c r="B1365" s="1" t="n">
        <v>44645.52859953704</v>
      </c>
      <c r="C1365" s="1" t="n">
        <v>45911</v>
      </c>
      <c r="D1365" t="inlineStr">
        <is>
          <t>GÄVLEBORGS LÄN</t>
        </is>
      </c>
      <c r="E1365" t="inlineStr">
        <is>
          <t>BOLLNÄS</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43936-2022</t>
        </is>
      </c>
      <c r="B1366" s="1" t="n">
        <v>44838</v>
      </c>
      <c r="C1366" s="1" t="n">
        <v>45911</v>
      </c>
      <c r="D1366" t="inlineStr">
        <is>
          <t>GÄVLEBORGS LÄN</t>
        </is>
      </c>
      <c r="E1366" t="inlineStr">
        <is>
          <t>SÖDERHAMN</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17342-2022</t>
        </is>
      </c>
      <c r="B1367" s="1" t="n">
        <v>44678.54438657407</v>
      </c>
      <c r="C1367" s="1" t="n">
        <v>45911</v>
      </c>
      <c r="D1367" t="inlineStr">
        <is>
          <t>GÄVLEBORGS LÄN</t>
        </is>
      </c>
      <c r="E1367" t="inlineStr">
        <is>
          <t>HUDIKSVALL</t>
        </is>
      </c>
      <c r="F1367" t="inlineStr">
        <is>
          <t>Holmen skog AB</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53467-2020</t>
        </is>
      </c>
      <c r="B1368" s="1" t="n">
        <v>44123</v>
      </c>
      <c r="C1368" s="1" t="n">
        <v>45911</v>
      </c>
      <c r="D1368" t="inlineStr">
        <is>
          <t>GÄVLEBORGS LÄN</t>
        </is>
      </c>
      <c r="E1368" t="inlineStr">
        <is>
          <t>HUDIKSVALL</t>
        </is>
      </c>
      <c r="F1368" t="inlineStr">
        <is>
          <t>Holmen skog AB</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62505-2021</t>
        </is>
      </c>
      <c r="B1369" s="1" t="n">
        <v>44503.58114583333</v>
      </c>
      <c r="C1369" s="1" t="n">
        <v>45911</v>
      </c>
      <c r="D1369" t="inlineStr">
        <is>
          <t>GÄVLEBORGS LÄN</t>
        </is>
      </c>
      <c r="E1369" t="inlineStr">
        <is>
          <t>LJUSDAL</t>
        </is>
      </c>
      <c r="F1369" t="inlineStr">
        <is>
          <t>Holmen skog AB</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61760-2020</t>
        </is>
      </c>
      <c r="B1370" s="1" t="n">
        <v>44158</v>
      </c>
      <c r="C1370" s="1" t="n">
        <v>45911</v>
      </c>
      <c r="D1370" t="inlineStr">
        <is>
          <t>GÄVLEBORGS LÄN</t>
        </is>
      </c>
      <c r="E1370" t="inlineStr">
        <is>
          <t>SANDVIKEN</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21547-2021</t>
        </is>
      </c>
      <c r="B1371" s="1" t="n">
        <v>44321.61015046296</v>
      </c>
      <c r="C1371" s="1" t="n">
        <v>45911</v>
      </c>
      <c r="D1371" t="inlineStr">
        <is>
          <t>GÄVLEBORGS LÄN</t>
        </is>
      </c>
      <c r="E1371" t="inlineStr">
        <is>
          <t>BOLLNÄS</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58122-2020</t>
        </is>
      </c>
      <c r="B1372" s="1" t="n">
        <v>44144</v>
      </c>
      <c r="C1372" s="1" t="n">
        <v>45911</v>
      </c>
      <c r="D1372" t="inlineStr">
        <is>
          <t>GÄVLEBORGS LÄN</t>
        </is>
      </c>
      <c r="E1372" t="inlineStr">
        <is>
          <t>LJUSDAL</t>
        </is>
      </c>
      <c r="F1372" t="inlineStr">
        <is>
          <t>Bergvik skog väst AB</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32837-2021</t>
        </is>
      </c>
      <c r="B1373" s="1" t="n">
        <v>44375.6319212963</v>
      </c>
      <c r="C1373" s="1" t="n">
        <v>45911</v>
      </c>
      <c r="D1373" t="inlineStr">
        <is>
          <t>GÄVLEBORGS LÄN</t>
        </is>
      </c>
      <c r="E1373" t="inlineStr">
        <is>
          <t>BOLLNÄS</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56416-2021</t>
        </is>
      </c>
      <c r="B1374" s="1" t="n">
        <v>44480</v>
      </c>
      <c r="C1374" s="1" t="n">
        <v>45911</v>
      </c>
      <c r="D1374" t="inlineStr">
        <is>
          <t>GÄVLEBORGS LÄN</t>
        </is>
      </c>
      <c r="E1374" t="inlineStr">
        <is>
          <t>BOLLNÄS</t>
        </is>
      </c>
      <c r="G1374" t="n">
        <v>5.7</v>
      </c>
      <c r="H1374" t="n">
        <v>0</v>
      </c>
      <c r="I1374" t="n">
        <v>0</v>
      </c>
      <c r="J1374" t="n">
        <v>0</v>
      </c>
      <c r="K1374" t="n">
        <v>0</v>
      </c>
      <c r="L1374" t="n">
        <v>0</v>
      </c>
      <c r="M1374" t="n">
        <v>0</v>
      </c>
      <c r="N1374" t="n">
        <v>0</v>
      </c>
      <c r="O1374" t="n">
        <v>0</v>
      </c>
      <c r="P1374" t="n">
        <v>0</v>
      </c>
      <c r="Q1374" t="n">
        <v>0</v>
      </c>
      <c r="R1374" s="2" t="inlineStr"/>
    </row>
    <row r="1375" ht="15" customHeight="1">
      <c r="A1375" t="inlineStr">
        <is>
          <t>A 60249-2020</t>
        </is>
      </c>
      <c r="B1375" s="1" t="n">
        <v>44152</v>
      </c>
      <c r="C1375" s="1" t="n">
        <v>45911</v>
      </c>
      <c r="D1375" t="inlineStr">
        <is>
          <t>GÄVLEBORGS LÄN</t>
        </is>
      </c>
      <c r="E1375" t="inlineStr">
        <is>
          <t>GÄVLE</t>
        </is>
      </c>
      <c r="F1375" t="inlineStr">
        <is>
          <t>Bergvik skog öst AB</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43578-2022</t>
        </is>
      </c>
      <c r="B1376" s="1" t="n">
        <v>44837.45850694444</v>
      </c>
      <c r="C1376" s="1" t="n">
        <v>45911</v>
      </c>
      <c r="D1376" t="inlineStr">
        <is>
          <t>GÄVLEBORGS LÄN</t>
        </is>
      </c>
      <c r="E1376" t="inlineStr">
        <is>
          <t>HUDIKSVALL</t>
        </is>
      </c>
      <c r="F1376" t="inlineStr">
        <is>
          <t>Holmen skog AB</t>
        </is>
      </c>
      <c r="G1376" t="n">
        <v>8.1</v>
      </c>
      <c r="H1376" t="n">
        <v>0</v>
      </c>
      <c r="I1376" t="n">
        <v>0</v>
      </c>
      <c r="J1376" t="n">
        <v>0</v>
      </c>
      <c r="K1376" t="n">
        <v>0</v>
      </c>
      <c r="L1376" t="n">
        <v>0</v>
      </c>
      <c r="M1376" t="n">
        <v>0</v>
      </c>
      <c r="N1376" t="n">
        <v>0</v>
      </c>
      <c r="O1376" t="n">
        <v>0</v>
      </c>
      <c r="P1376" t="n">
        <v>0</v>
      </c>
      <c r="Q1376" t="n">
        <v>0</v>
      </c>
      <c r="R1376" s="2" t="inlineStr"/>
    </row>
    <row r="1377" ht="15" customHeight="1">
      <c r="A1377" t="inlineStr">
        <is>
          <t>A 55409-2021</t>
        </is>
      </c>
      <c r="B1377" s="1" t="n">
        <v>44475</v>
      </c>
      <c r="C1377" s="1" t="n">
        <v>45911</v>
      </c>
      <c r="D1377" t="inlineStr">
        <is>
          <t>GÄVLEBORGS LÄN</t>
        </is>
      </c>
      <c r="E1377" t="inlineStr">
        <is>
          <t>LJUSDAL</t>
        </is>
      </c>
      <c r="F1377" t="inlineStr">
        <is>
          <t>Holmen skog AB</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55403-2021</t>
        </is>
      </c>
      <c r="B1378" s="1" t="n">
        <v>44475.53581018518</v>
      </c>
      <c r="C1378" s="1" t="n">
        <v>45911</v>
      </c>
      <c r="D1378" t="inlineStr">
        <is>
          <t>GÄVLEBORGS LÄN</t>
        </is>
      </c>
      <c r="E1378" t="inlineStr">
        <is>
          <t>OVANÅKER</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48205-2022</t>
        </is>
      </c>
      <c r="B1379" s="1" t="n">
        <v>44858.42241898148</v>
      </c>
      <c r="C1379" s="1" t="n">
        <v>45911</v>
      </c>
      <c r="D1379" t="inlineStr">
        <is>
          <t>GÄVLEBORGS LÄN</t>
        </is>
      </c>
      <c r="E1379" t="inlineStr">
        <is>
          <t>OCKELBO</t>
        </is>
      </c>
      <c r="F1379" t="inlineStr">
        <is>
          <t>Bergvik skog väst AB</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54661-2020</t>
        </is>
      </c>
      <c r="B1380" s="1" t="n">
        <v>44127.4087037037</v>
      </c>
      <c r="C1380" s="1" t="n">
        <v>45911</v>
      </c>
      <c r="D1380" t="inlineStr">
        <is>
          <t>GÄVLEBORGS LÄN</t>
        </is>
      </c>
      <c r="E1380" t="inlineStr">
        <is>
          <t>NORDANSTIG</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61352-2021</t>
        </is>
      </c>
      <c r="B1381" s="1" t="n">
        <v>44498.84503472222</v>
      </c>
      <c r="C1381" s="1" t="n">
        <v>45911</v>
      </c>
      <c r="D1381" t="inlineStr">
        <is>
          <t>GÄVLEBORGS LÄN</t>
        </is>
      </c>
      <c r="E1381" t="inlineStr">
        <is>
          <t>GÄVLE</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54704-2020</t>
        </is>
      </c>
      <c r="B1382" s="1" t="n">
        <v>44127</v>
      </c>
      <c r="C1382" s="1" t="n">
        <v>45911</v>
      </c>
      <c r="D1382" t="inlineStr">
        <is>
          <t>GÄVLEBORGS LÄN</t>
        </is>
      </c>
      <c r="E1382" t="inlineStr">
        <is>
          <t>BOLLNÄS</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13740-2022</t>
        </is>
      </c>
      <c r="B1383" s="1" t="n">
        <v>44649.38474537037</v>
      </c>
      <c r="C1383" s="1" t="n">
        <v>45911</v>
      </c>
      <c r="D1383" t="inlineStr">
        <is>
          <t>GÄVLEBORGS LÄN</t>
        </is>
      </c>
      <c r="E1383" t="inlineStr">
        <is>
          <t>HUDIKSVALL</t>
        </is>
      </c>
      <c r="G1383" t="n">
        <v>5</v>
      </c>
      <c r="H1383" t="n">
        <v>0</v>
      </c>
      <c r="I1383" t="n">
        <v>0</v>
      </c>
      <c r="J1383" t="n">
        <v>0</v>
      </c>
      <c r="K1383" t="n">
        <v>0</v>
      </c>
      <c r="L1383" t="n">
        <v>0</v>
      </c>
      <c r="M1383" t="n">
        <v>0</v>
      </c>
      <c r="N1383" t="n">
        <v>0</v>
      </c>
      <c r="O1383" t="n">
        <v>0</v>
      </c>
      <c r="P1383" t="n">
        <v>0</v>
      </c>
      <c r="Q1383" t="n">
        <v>0</v>
      </c>
      <c r="R1383" s="2" t="inlineStr"/>
    </row>
    <row r="1384" ht="15" customHeight="1">
      <c r="A1384" t="inlineStr">
        <is>
          <t>A 11706-2022</t>
        </is>
      </c>
      <c r="B1384" s="1" t="n">
        <v>44634.41484953704</v>
      </c>
      <c r="C1384" s="1" t="n">
        <v>45911</v>
      </c>
      <c r="D1384" t="inlineStr">
        <is>
          <t>GÄVLEBORGS LÄN</t>
        </is>
      </c>
      <c r="E1384" t="inlineStr">
        <is>
          <t>NORDANSTIG</t>
        </is>
      </c>
      <c r="F1384" t="inlineStr">
        <is>
          <t>Holmen skog AB</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29454-2021</t>
        </is>
      </c>
      <c r="B1385" s="1" t="n">
        <v>44361</v>
      </c>
      <c r="C1385" s="1" t="n">
        <v>45911</v>
      </c>
      <c r="D1385" t="inlineStr">
        <is>
          <t>GÄVLEBORGS LÄN</t>
        </is>
      </c>
      <c r="E1385" t="inlineStr">
        <is>
          <t>HUDIKSVALL</t>
        </is>
      </c>
      <c r="F1385" t="inlineStr">
        <is>
          <t>Holmen skog AB</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56123-2020</t>
        </is>
      </c>
      <c r="B1386" s="1" t="n">
        <v>44133</v>
      </c>
      <c r="C1386" s="1" t="n">
        <v>45911</v>
      </c>
      <c r="D1386" t="inlineStr">
        <is>
          <t>GÄVLEBORGS LÄN</t>
        </is>
      </c>
      <c r="E1386" t="inlineStr">
        <is>
          <t>HUDIKSVALL</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56139-2020</t>
        </is>
      </c>
      <c r="B1387" s="1" t="n">
        <v>44133</v>
      </c>
      <c r="C1387" s="1" t="n">
        <v>45911</v>
      </c>
      <c r="D1387" t="inlineStr">
        <is>
          <t>GÄVLEBORGS LÄN</t>
        </is>
      </c>
      <c r="E1387" t="inlineStr">
        <is>
          <t>BOLLNÄS</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6025-2022</t>
        </is>
      </c>
      <c r="B1388" s="1" t="n">
        <v>44599</v>
      </c>
      <c r="C1388" s="1" t="n">
        <v>45911</v>
      </c>
      <c r="D1388" t="inlineStr">
        <is>
          <t>GÄVLEBORGS LÄN</t>
        </is>
      </c>
      <c r="E1388" t="inlineStr">
        <is>
          <t>GÄVLE</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48151-2021</t>
        </is>
      </c>
      <c r="B1389" s="1" t="n">
        <v>44449</v>
      </c>
      <c r="C1389" s="1" t="n">
        <v>45911</v>
      </c>
      <c r="D1389" t="inlineStr">
        <is>
          <t>GÄVLEBORGS LÄN</t>
        </is>
      </c>
      <c r="E1389" t="inlineStr">
        <is>
          <t>OVANÅKER</t>
        </is>
      </c>
      <c r="G1389" t="n">
        <v>0.2</v>
      </c>
      <c r="H1389" t="n">
        <v>0</v>
      </c>
      <c r="I1389" t="n">
        <v>0</v>
      </c>
      <c r="J1389" t="n">
        <v>0</v>
      </c>
      <c r="K1389" t="n">
        <v>0</v>
      </c>
      <c r="L1389" t="n">
        <v>0</v>
      </c>
      <c r="M1389" t="n">
        <v>0</v>
      </c>
      <c r="N1389" t="n">
        <v>0</v>
      </c>
      <c r="O1389" t="n">
        <v>0</v>
      </c>
      <c r="P1389" t="n">
        <v>0</v>
      </c>
      <c r="Q1389" t="n">
        <v>0</v>
      </c>
      <c r="R1389" s="2" t="inlineStr"/>
    </row>
    <row r="1390" ht="15" customHeight="1">
      <c r="A1390" t="inlineStr">
        <is>
          <t>A 63882-2021</t>
        </is>
      </c>
      <c r="B1390" s="1" t="n">
        <v>44509</v>
      </c>
      <c r="C1390" s="1" t="n">
        <v>45911</v>
      </c>
      <c r="D1390" t="inlineStr">
        <is>
          <t>GÄVLEBORGS LÄN</t>
        </is>
      </c>
      <c r="E1390" t="inlineStr">
        <is>
          <t>BOLLNÄS</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21610-2021</t>
        </is>
      </c>
      <c r="B1391" s="1" t="n">
        <v>44321</v>
      </c>
      <c r="C1391" s="1" t="n">
        <v>45911</v>
      </c>
      <c r="D1391" t="inlineStr">
        <is>
          <t>GÄVLEBORGS LÄN</t>
        </is>
      </c>
      <c r="E1391" t="inlineStr">
        <is>
          <t>SANDVIKEN</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57369-2021</t>
        </is>
      </c>
      <c r="B1392" s="1" t="n">
        <v>44483</v>
      </c>
      <c r="C1392" s="1" t="n">
        <v>45911</v>
      </c>
      <c r="D1392" t="inlineStr">
        <is>
          <t>GÄVLEBORGS LÄN</t>
        </is>
      </c>
      <c r="E1392" t="inlineStr">
        <is>
          <t>HUDIKSVALL</t>
        </is>
      </c>
      <c r="F1392" t="inlineStr">
        <is>
          <t>Holmen skog AB</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16154-2021</t>
        </is>
      </c>
      <c r="B1393" s="1" t="n">
        <v>44292.37005787037</v>
      </c>
      <c r="C1393" s="1" t="n">
        <v>45911</v>
      </c>
      <c r="D1393" t="inlineStr">
        <is>
          <t>GÄVLEBORGS LÄN</t>
        </is>
      </c>
      <c r="E1393" t="inlineStr">
        <is>
          <t>LJUSDAL</t>
        </is>
      </c>
      <c r="F1393" t="inlineStr">
        <is>
          <t>Holmen skog AB</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47029-2020</t>
        </is>
      </c>
      <c r="B1394" s="1" t="n">
        <v>44096</v>
      </c>
      <c r="C1394" s="1" t="n">
        <v>45911</v>
      </c>
      <c r="D1394" t="inlineStr">
        <is>
          <t>GÄVLEBORGS LÄN</t>
        </is>
      </c>
      <c r="E1394" t="inlineStr">
        <is>
          <t>OVANÅKER</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63128-2021</t>
        </is>
      </c>
      <c r="B1395" s="1" t="n">
        <v>44505.66327546296</v>
      </c>
      <c r="C1395" s="1" t="n">
        <v>45911</v>
      </c>
      <c r="D1395" t="inlineStr">
        <is>
          <t>GÄVLEBORGS LÄN</t>
        </is>
      </c>
      <c r="E1395" t="inlineStr">
        <is>
          <t>BOLLNÄS</t>
        </is>
      </c>
      <c r="G1395" t="n">
        <v>4.4</v>
      </c>
      <c r="H1395" t="n">
        <v>0</v>
      </c>
      <c r="I1395" t="n">
        <v>0</v>
      </c>
      <c r="J1395" t="n">
        <v>0</v>
      </c>
      <c r="K1395" t="n">
        <v>0</v>
      </c>
      <c r="L1395" t="n">
        <v>0</v>
      </c>
      <c r="M1395" t="n">
        <v>0</v>
      </c>
      <c r="N1395" t="n">
        <v>0</v>
      </c>
      <c r="O1395" t="n">
        <v>0</v>
      </c>
      <c r="P1395" t="n">
        <v>0</v>
      </c>
      <c r="Q1395" t="n">
        <v>0</v>
      </c>
      <c r="R1395" s="2" t="inlineStr"/>
    </row>
    <row r="1396" ht="15" customHeight="1">
      <c r="A1396" t="inlineStr">
        <is>
          <t>A 51983-2020</t>
        </is>
      </c>
      <c r="B1396" s="1" t="n">
        <v>44116.62378472222</v>
      </c>
      <c r="C1396" s="1" t="n">
        <v>45911</v>
      </c>
      <c r="D1396" t="inlineStr">
        <is>
          <t>GÄVLEBORGS LÄN</t>
        </is>
      </c>
      <c r="E1396" t="inlineStr">
        <is>
          <t>OVANÅKER</t>
        </is>
      </c>
      <c r="G1396" t="n">
        <v>26.7</v>
      </c>
      <c r="H1396" t="n">
        <v>0</v>
      </c>
      <c r="I1396" t="n">
        <v>0</v>
      </c>
      <c r="J1396" t="n">
        <v>0</v>
      </c>
      <c r="K1396" t="n">
        <v>0</v>
      </c>
      <c r="L1396" t="n">
        <v>0</v>
      </c>
      <c r="M1396" t="n">
        <v>0</v>
      </c>
      <c r="N1396" t="n">
        <v>0</v>
      </c>
      <c r="O1396" t="n">
        <v>0</v>
      </c>
      <c r="P1396" t="n">
        <v>0</v>
      </c>
      <c r="Q1396" t="n">
        <v>0</v>
      </c>
      <c r="R1396" s="2" t="inlineStr"/>
    </row>
    <row r="1397" ht="15" customHeight="1">
      <c r="A1397" t="inlineStr">
        <is>
          <t>A 69580-2021</t>
        </is>
      </c>
      <c r="B1397" s="1" t="n">
        <v>44532.35103009259</v>
      </c>
      <c r="C1397" s="1" t="n">
        <v>45911</v>
      </c>
      <c r="D1397" t="inlineStr">
        <is>
          <t>GÄVLEBORGS LÄN</t>
        </is>
      </c>
      <c r="E1397" t="inlineStr">
        <is>
          <t>OCKELBO</t>
        </is>
      </c>
      <c r="F1397" t="inlineStr">
        <is>
          <t>Bergvik skog väst AB</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53694-2022</t>
        </is>
      </c>
      <c r="B1398" s="1" t="n">
        <v>44880.33703703704</v>
      </c>
      <c r="C1398" s="1" t="n">
        <v>45911</v>
      </c>
      <c r="D1398" t="inlineStr">
        <is>
          <t>GÄVLEBORGS LÄN</t>
        </is>
      </c>
      <c r="E1398" t="inlineStr">
        <is>
          <t>OVANÅKER</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19655-2021</t>
        </is>
      </c>
      <c r="B1399" s="1" t="n">
        <v>44312</v>
      </c>
      <c r="C1399" s="1" t="n">
        <v>45911</v>
      </c>
      <c r="D1399" t="inlineStr">
        <is>
          <t>GÄVLEBORGS LÄN</t>
        </is>
      </c>
      <c r="E1399" t="inlineStr">
        <is>
          <t>HUDIKSVALL</t>
        </is>
      </c>
      <c r="F1399" t="inlineStr">
        <is>
          <t>Holmen skog AB</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40148-2022</t>
        </is>
      </c>
      <c r="B1400" s="1" t="n">
        <v>44820.55082175926</v>
      </c>
      <c r="C1400" s="1" t="n">
        <v>45911</v>
      </c>
      <c r="D1400" t="inlineStr">
        <is>
          <t>GÄVLEBORGS LÄN</t>
        </is>
      </c>
      <c r="E1400" t="inlineStr">
        <is>
          <t>SÖDERHAMN</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54967-2020</t>
        </is>
      </c>
      <c r="B1401" s="1" t="n">
        <v>44123</v>
      </c>
      <c r="C1401" s="1" t="n">
        <v>45911</v>
      </c>
      <c r="D1401" t="inlineStr">
        <is>
          <t>GÄVLEBORGS LÄN</t>
        </is>
      </c>
      <c r="E1401" t="inlineStr">
        <is>
          <t>SÖDERHAMN</t>
        </is>
      </c>
      <c r="G1401" t="n">
        <v>3.5</v>
      </c>
      <c r="H1401" t="n">
        <v>0</v>
      </c>
      <c r="I1401" t="n">
        <v>0</v>
      </c>
      <c r="J1401" t="n">
        <v>0</v>
      </c>
      <c r="K1401" t="n">
        <v>0</v>
      </c>
      <c r="L1401" t="n">
        <v>0</v>
      </c>
      <c r="M1401" t="n">
        <v>0</v>
      </c>
      <c r="N1401" t="n">
        <v>0</v>
      </c>
      <c r="O1401" t="n">
        <v>0</v>
      </c>
      <c r="P1401" t="n">
        <v>0</v>
      </c>
      <c r="Q1401" t="n">
        <v>0</v>
      </c>
      <c r="R1401" s="2" t="inlineStr"/>
    </row>
    <row r="1402" ht="15" customHeight="1">
      <c r="A1402" t="inlineStr">
        <is>
          <t>A 50567-2022</t>
        </is>
      </c>
      <c r="B1402" s="1" t="n">
        <v>44866.63675925926</v>
      </c>
      <c r="C1402" s="1" t="n">
        <v>45911</v>
      </c>
      <c r="D1402" t="inlineStr">
        <is>
          <t>GÄVLEBORGS LÄN</t>
        </is>
      </c>
      <c r="E1402" t="inlineStr">
        <is>
          <t>LJUSDAL</t>
        </is>
      </c>
      <c r="F1402" t="inlineStr">
        <is>
          <t>Holmen skog AB</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25001-2022</t>
        </is>
      </c>
      <c r="B1403" s="1" t="n">
        <v>44728</v>
      </c>
      <c r="C1403" s="1" t="n">
        <v>45911</v>
      </c>
      <c r="D1403" t="inlineStr">
        <is>
          <t>GÄVLEBORGS LÄN</t>
        </is>
      </c>
      <c r="E1403" t="inlineStr">
        <is>
          <t>NORDANSTIG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26336-2022</t>
        </is>
      </c>
      <c r="B1404" s="1" t="n">
        <v>44735.61905092592</v>
      </c>
      <c r="C1404" s="1" t="n">
        <v>45911</v>
      </c>
      <c r="D1404" t="inlineStr">
        <is>
          <t>GÄVLEBORGS LÄN</t>
        </is>
      </c>
      <c r="E1404" t="inlineStr">
        <is>
          <t>GÄVLE</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57458-2021</t>
        </is>
      </c>
      <c r="B1405" s="1" t="n">
        <v>44483.65805555556</v>
      </c>
      <c r="C1405" s="1" t="n">
        <v>45911</v>
      </c>
      <c r="D1405" t="inlineStr">
        <is>
          <t>GÄVLEBORGS LÄN</t>
        </is>
      </c>
      <c r="E1405" t="inlineStr">
        <is>
          <t>LJUSDAL</t>
        </is>
      </c>
      <c r="F1405" t="inlineStr">
        <is>
          <t>Holmen skog AB</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12987-2022</t>
        </is>
      </c>
      <c r="B1406" s="1" t="n">
        <v>44643.42163194445</v>
      </c>
      <c r="C1406" s="1" t="n">
        <v>45911</v>
      </c>
      <c r="D1406" t="inlineStr">
        <is>
          <t>GÄVLEBORGS LÄN</t>
        </is>
      </c>
      <c r="E1406" t="inlineStr">
        <is>
          <t>OCKELBO</t>
        </is>
      </c>
      <c r="G1406" t="n">
        <v>7.6</v>
      </c>
      <c r="H1406" t="n">
        <v>0</v>
      </c>
      <c r="I1406" t="n">
        <v>0</v>
      </c>
      <c r="J1406" t="n">
        <v>0</v>
      </c>
      <c r="K1406" t="n">
        <v>0</v>
      </c>
      <c r="L1406" t="n">
        <v>0</v>
      </c>
      <c r="M1406" t="n">
        <v>0</v>
      </c>
      <c r="N1406" t="n">
        <v>0</v>
      </c>
      <c r="O1406" t="n">
        <v>0</v>
      </c>
      <c r="P1406" t="n">
        <v>0</v>
      </c>
      <c r="Q1406" t="n">
        <v>0</v>
      </c>
      <c r="R1406" s="2" t="inlineStr"/>
    </row>
    <row r="1407" ht="15" customHeight="1">
      <c r="A1407" t="inlineStr">
        <is>
          <t>A 34871-2022</t>
        </is>
      </c>
      <c r="B1407" s="1" t="n">
        <v>44796.46392361111</v>
      </c>
      <c r="C1407" s="1" t="n">
        <v>45911</v>
      </c>
      <c r="D1407" t="inlineStr">
        <is>
          <t>GÄVLEBORGS LÄN</t>
        </is>
      </c>
      <c r="E1407" t="inlineStr">
        <is>
          <t>GÄVLE</t>
        </is>
      </c>
      <c r="F1407" t="inlineStr">
        <is>
          <t>Bergvik skog öst AB</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20602-2022</t>
        </is>
      </c>
      <c r="B1408" s="1" t="n">
        <v>44700</v>
      </c>
      <c r="C1408" s="1" t="n">
        <v>45911</v>
      </c>
      <c r="D1408" t="inlineStr">
        <is>
          <t>GÄVLEBORGS LÄN</t>
        </is>
      </c>
      <c r="E1408" t="inlineStr">
        <is>
          <t>HUDIKSVALL</t>
        </is>
      </c>
      <c r="F1408" t="inlineStr">
        <is>
          <t>Holmen skog AB</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48718-2021</t>
        </is>
      </c>
      <c r="B1409" s="1" t="n">
        <v>44452</v>
      </c>
      <c r="C1409" s="1" t="n">
        <v>45911</v>
      </c>
      <c r="D1409" t="inlineStr">
        <is>
          <t>GÄVLEBORGS LÄN</t>
        </is>
      </c>
      <c r="E1409" t="inlineStr">
        <is>
          <t>BOLLNÄS</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55487-2020</t>
        </is>
      </c>
      <c r="B1410" s="1" t="n">
        <v>44131</v>
      </c>
      <c r="C1410" s="1" t="n">
        <v>45911</v>
      </c>
      <c r="D1410" t="inlineStr">
        <is>
          <t>GÄVLEBORGS LÄN</t>
        </is>
      </c>
      <c r="E1410" t="inlineStr">
        <is>
          <t>HUDIKSVALL</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25088-2022</t>
        </is>
      </c>
      <c r="B1411" s="1" t="n">
        <v>44729</v>
      </c>
      <c r="C1411" s="1" t="n">
        <v>45911</v>
      </c>
      <c r="D1411" t="inlineStr">
        <is>
          <t>GÄVLEBORGS LÄN</t>
        </is>
      </c>
      <c r="E1411" t="inlineStr">
        <is>
          <t>BOLLNÄS</t>
        </is>
      </c>
      <c r="F1411" t="inlineStr">
        <is>
          <t>Bergvik skog väst AB</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30589-2022</t>
        </is>
      </c>
      <c r="B1412" s="1" t="n">
        <v>44762.68552083334</v>
      </c>
      <c r="C1412" s="1" t="n">
        <v>45911</v>
      </c>
      <c r="D1412" t="inlineStr">
        <is>
          <t>GÄVLEBORGS LÄN</t>
        </is>
      </c>
      <c r="E1412" t="inlineStr">
        <is>
          <t>HUDIKSVALL</t>
        </is>
      </c>
      <c r="F1412" t="inlineStr">
        <is>
          <t>Sveaskog</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41622-2021</t>
        </is>
      </c>
      <c r="B1413" s="1" t="n">
        <v>44425</v>
      </c>
      <c r="C1413" s="1" t="n">
        <v>45911</v>
      </c>
      <c r="D1413" t="inlineStr">
        <is>
          <t>GÄVLEBORGS LÄN</t>
        </is>
      </c>
      <c r="E1413" t="inlineStr">
        <is>
          <t>OCKELBO</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51708-2021</t>
        </is>
      </c>
      <c r="B1414" s="1" t="n">
        <v>44462</v>
      </c>
      <c r="C1414" s="1" t="n">
        <v>45911</v>
      </c>
      <c r="D1414" t="inlineStr">
        <is>
          <t>GÄVLEBORGS LÄN</t>
        </is>
      </c>
      <c r="E1414" t="inlineStr">
        <is>
          <t>OCKELBO</t>
        </is>
      </c>
      <c r="F1414" t="inlineStr">
        <is>
          <t>Bergvik skog väst AB</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44310-2022</t>
        </is>
      </c>
      <c r="B1415" s="1" t="n">
        <v>44839.6370949074</v>
      </c>
      <c r="C1415" s="1" t="n">
        <v>45911</v>
      </c>
      <c r="D1415" t="inlineStr">
        <is>
          <t>GÄVLEBORGS LÄN</t>
        </is>
      </c>
      <c r="E1415" t="inlineStr">
        <is>
          <t>OVANÅKER</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17959-2021</t>
        </is>
      </c>
      <c r="B1416" s="1" t="n">
        <v>44301</v>
      </c>
      <c r="C1416" s="1" t="n">
        <v>45911</v>
      </c>
      <c r="D1416" t="inlineStr">
        <is>
          <t>GÄVLEBORGS LÄN</t>
        </is>
      </c>
      <c r="E1416" t="inlineStr">
        <is>
          <t>OVANÅKER</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50888-2020</t>
        </is>
      </c>
      <c r="B1417" s="1" t="n">
        <v>44111</v>
      </c>
      <c r="C1417" s="1" t="n">
        <v>45911</v>
      </c>
      <c r="D1417" t="inlineStr">
        <is>
          <t>GÄVLEBORGS LÄN</t>
        </is>
      </c>
      <c r="E1417" t="inlineStr">
        <is>
          <t>SANDVIKEN</t>
        </is>
      </c>
      <c r="F1417" t="inlineStr">
        <is>
          <t>Sveaskog</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63359-2020</t>
        </is>
      </c>
      <c r="B1418" s="1" t="n">
        <v>44165</v>
      </c>
      <c r="C1418" s="1" t="n">
        <v>45911</v>
      </c>
      <c r="D1418" t="inlineStr">
        <is>
          <t>GÄVLEBORGS LÄN</t>
        </is>
      </c>
      <c r="E1418" t="inlineStr">
        <is>
          <t>OCKELBO</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58375-2020</t>
        </is>
      </c>
      <c r="B1419" s="1" t="n">
        <v>44144</v>
      </c>
      <c r="C1419" s="1" t="n">
        <v>45911</v>
      </c>
      <c r="D1419" t="inlineStr">
        <is>
          <t>GÄVLEBORGS LÄN</t>
        </is>
      </c>
      <c r="E1419" t="inlineStr">
        <is>
          <t>HUDIKSVALL</t>
        </is>
      </c>
      <c r="G1419" t="n">
        <v>5.4</v>
      </c>
      <c r="H1419" t="n">
        <v>0</v>
      </c>
      <c r="I1419" t="n">
        <v>0</v>
      </c>
      <c r="J1419" t="n">
        <v>0</v>
      </c>
      <c r="K1419" t="n">
        <v>0</v>
      </c>
      <c r="L1419" t="n">
        <v>0</v>
      </c>
      <c r="M1419" t="n">
        <v>0</v>
      </c>
      <c r="N1419" t="n">
        <v>0</v>
      </c>
      <c r="O1419" t="n">
        <v>0</v>
      </c>
      <c r="P1419" t="n">
        <v>0</v>
      </c>
      <c r="Q1419" t="n">
        <v>0</v>
      </c>
      <c r="R1419" s="2" t="inlineStr"/>
    </row>
    <row r="1420" ht="15" customHeight="1">
      <c r="A1420" t="inlineStr">
        <is>
          <t>A 10704-2021</t>
        </is>
      </c>
      <c r="B1420" s="1" t="n">
        <v>44258</v>
      </c>
      <c r="C1420" s="1" t="n">
        <v>45911</v>
      </c>
      <c r="D1420" t="inlineStr">
        <is>
          <t>GÄVLEBORGS LÄN</t>
        </is>
      </c>
      <c r="E1420" t="inlineStr">
        <is>
          <t>GÄVLE</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12775-2021</t>
        </is>
      </c>
      <c r="B1421" s="1" t="n">
        <v>44270.69513888889</v>
      </c>
      <c r="C1421" s="1" t="n">
        <v>45911</v>
      </c>
      <c r="D1421" t="inlineStr">
        <is>
          <t>GÄVLEBORGS LÄN</t>
        </is>
      </c>
      <c r="E1421" t="inlineStr">
        <is>
          <t>GÄVLE</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25938-2022</t>
        </is>
      </c>
      <c r="B1422" s="1" t="n">
        <v>44734.39373842593</v>
      </c>
      <c r="C1422" s="1" t="n">
        <v>45911</v>
      </c>
      <c r="D1422" t="inlineStr">
        <is>
          <t>GÄVLEBORGS LÄN</t>
        </is>
      </c>
      <c r="E1422" t="inlineStr">
        <is>
          <t>GÄVLE</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50216-2020</t>
        </is>
      </c>
      <c r="B1423" s="1" t="n">
        <v>44109</v>
      </c>
      <c r="C1423" s="1" t="n">
        <v>45911</v>
      </c>
      <c r="D1423" t="inlineStr">
        <is>
          <t>GÄVLEBORGS LÄN</t>
        </is>
      </c>
      <c r="E1423" t="inlineStr">
        <is>
          <t>GÄVLE</t>
        </is>
      </c>
      <c r="G1423" t="n">
        <v>7.9</v>
      </c>
      <c r="H1423" t="n">
        <v>0</v>
      </c>
      <c r="I1423" t="n">
        <v>0</v>
      </c>
      <c r="J1423" t="n">
        <v>0</v>
      </c>
      <c r="K1423" t="n">
        <v>0</v>
      </c>
      <c r="L1423" t="n">
        <v>0</v>
      </c>
      <c r="M1423" t="n">
        <v>0</v>
      </c>
      <c r="N1423" t="n">
        <v>0</v>
      </c>
      <c r="O1423" t="n">
        <v>0</v>
      </c>
      <c r="P1423" t="n">
        <v>0</v>
      </c>
      <c r="Q1423" t="n">
        <v>0</v>
      </c>
      <c r="R1423" s="2" t="inlineStr"/>
    </row>
    <row r="1424" ht="15" customHeight="1">
      <c r="A1424" t="inlineStr">
        <is>
          <t>A 15101-2022</t>
        </is>
      </c>
      <c r="B1424" s="1" t="n">
        <v>44658</v>
      </c>
      <c r="C1424" s="1" t="n">
        <v>45911</v>
      </c>
      <c r="D1424" t="inlineStr">
        <is>
          <t>GÄVLEBORGS LÄN</t>
        </is>
      </c>
      <c r="E1424" t="inlineStr">
        <is>
          <t>GÄVLE</t>
        </is>
      </c>
      <c r="F1424" t="inlineStr">
        <is>
          <t>Bergvik skog öst AB</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50141-2020</t>
        </is>
      </c>
      <c r="B1425" s="1" t="n">
        <v>44109</v>
      </c>
      <c r="C1425" s="1" t="n">
        <v>45911</v>
      </c>
      <c r="D1425" t="inlineStr">
        <is>
          <t>GÄVLEBORGS LÄN</t>
        </is>
      </c>
      <c r="E1425" t="inlineStr">
        <is>
          <t>HUDIKSVALL</t>
        </is>
      </c>
      <c r="F1425" t="inlineStr">
        <is>
          <t>Holmen skog AB</t>
        </is>
      </c>
      <c r="G1425" t="n">
        <v>28.6</v>
      </c>
      <c r="H1425" t="n">
        <v>0</v>
      </c>
      <c r="I1425" t="n">
        <v>0</v>
      </c>
      <c r="J1425" t="n">
        <v>0</v>
      </c>
      <c r="K1425" t="n">
        <v>0</v>
      </c>
      <c r="L1425" t="n">
        <v>0</v>
      </c>
      <c r="M1425" t="n">
        <v>0</v>
      </c>
      <c r="N1425" t="n">
        <v>0</v>
      </c>
      <c r="O1425" t="n">
        <v>0</v>
      </c>
      <c r="P1425" t="n">
        <v>0</v>
      </c>
      <c r="Q1425" t="n">
        <v>0</v>
      </c>
      <c r="R1425" s="2" t="inlineStr"/>
    </row>
    <row r="1426" ht="15" customHeight="1">
      <c r="A1426" t="inlineStr">
        <is>
          <t>A 63361-2020</t>
        </is>
      </c>
      <c r="B1426" s="1" t="n">
        <v>44165</v>
      </c>
      <c r="C1426" s="1" t="n">
        <v>45911</v>
      </c>
      <c r="D1426" t="inlineStr">
        <is>
          <t>GÄVLEBORGS LÄN</t>
        </is>
      </c>
      <c r="E1426" t="inlineStr">
        <is>
          <t>BOLLNÄS</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58397-2021</t>
        </is>
      </c>
      <c r="B1427" s="1" t="n">
        <v>44488</v>
      </c>
      <c r="C1427" s="1" t="n">
        <v>45911</v>
      </c>
      <c r="D1427" t="inlineStr">
        <is>
          <t>GÄVLEBORGS LÄN</t>
        </is>
      </c>
      <c r="E1427" t="inlineStr">
        <is>
          <t>LJUSDAL</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56481-2021</t>
        </is>
      </c>
      <c r="B1428" s="1" t="n">
        <v>44480</v>
      </c>
      <c r="C1428" s="1" t="n">
        <v>45911</v>
      </c>
      <c r="D1428" t="inlineStr">
        <is>
          <t>GÄVLEBORGS LÄN</t>
        </is>
      </c>
      <c r="E1428" t="inlineStr">
        <is>
          <t>BOLLNÄS</t>
        </is>
      </c>
      <c r="F1428" t="inlineStr">
        <is>
          <t>Bergvik skog väst AB</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52792-2021</t>
        </is>
      </c>
      <c r="B1429" s="1" t="n">
        <v>44467</v>
      </c>
      <c r="C1429" s="1" t="n">
        <v>45911</v>
      </c>
      <c r="D1429" t="inlineStr">
        <is>
          <t>GÄVLEBORGS LÄN</t>
        </is>
      </c>
      <c r="E1429" t="inlineStr">
        <is>
          <t>BOLLNÄS</t>
        </is>
      </c>
      <c r="F1429" t="inlineStr">
        <is>
          <t>Sveaskog</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59270-2021</t>
        </is>
      </c>
      <c r="B1430" s="1" t="n">
        <v>44490</v>
      </c>
      <c r="C1430" s="1" t="n">
        <v>45911</v>
      </c>
      <c r="D1430" t="inlineStr">
        <is>
          <t>GÄVLEBORGS LÄN</t>
        </is>
      </c>
      <c r="E1430" t="inlineStr">
        <is>
          <t>NORDANSTIG</t>
        </is>
      </c>
      <c r="G1430" t="n">
        <v>5.4</v>
      </c>
      <c r="H1430" t="n">
        <v>0</v>
      </c>
      <c r="I1430" t="n">
        <v>0</v>
      </c>
      <c r="J1430" t="n">
        <v>0</v>
      </c>
      <c r="K1430" t="n">
        <v>0</v>
      </c>
      <c r="L1430" t="n">
        <v>0</v>
      </c>
      <c r="M1430" t="n">
        <v>0</v>
      </c>
      <c r="N1430" t="n">
        <v>0</v>
      </c>
      <c r="O1430" t="n">
        <v>0</v>
      </c>
      <c r="P1430" t="n">
        <v>0</v>
      </c>
      <c r="Q1430" t="n">
        <v>0</v>
      </c>
      <c r="R1430" s="2" t="inlineStr"/>
    </row>
    <row r="1431" ht="15" customHeight="1">
      <c r="A1431" t="inlineStr">
        <is>
          <t>A 56734-2021</t>
        </is>
      </c>
      <c r="B1431" s="1" t="n">
        <v>44481.44684027778</v>
      </c>
      <c r="C1431" s="1" t="n">
        <v>45911</v>
      </c>
      <c r="D1431" t="inlineStr">
        <is>
          <t>GÄVLEBORGS LÄN</t>
        </is>
      </c>
      <c r="E1431" t="inlineStr">
        <is>
          <t>SANDVIKEN</t>
        </is>
      </c>
      <c r="G1431" t="n">
        <v>4.4</v>
      </c>
      <c r="H1431" t="n">
        <v>0</v>
      </c>
      <c r="I1431" t="n">
        <v>0</v>
      </c>
      <c r="J1431" t="n">
        <v>0</v>
      </c>
      <c r="K1431" t="n">
        <v>0</v>
      </c>
      <c r="L1431" t="n">
        <v>0</v>
      </c>
      <c r="M1431" t="n">
        <v>0</v>
      </c>
      <c r="N1431" t="n">
        <v>0</v>
      </c>
      <c r="O1431" t="n">
        <v>0</v>
      </c>
      <c r="P1431" t="n">
        <v>0</v>
      </c>
      <c r="Q1431" t="n">
        <v>0</v>
      </c>
      <c r="R1431" s="2" t="inlineStr"/>
    </row>
    <row r="1432" ht="15" customHeight="1">
      <c r="A1432" t="inlineStr">
        <is>
          <t>A 51874-2020</t>
        </is>
      </c>
      <c r="B1432" s="1" t="n">
        <v>44116</v>
      </c>
      <c r="C1432" s="1" t="n">
        <v>45911</v>
      </c>
      <c r="D1432" t="inlineStr">
        <is>
          <t>GÄVLEBORGS LÄN</t>
        </is>
      </c>
      <c r="E1432" t="inlineStr">
        <is>
          <t>NORDANSTIG</t>
        </is>
      </c>
      <c r="F1432" t="inlineStr">
        <is>
          <t>Holmen skog AB</t>
        </is>
      </c>
      <c r="G1432" t="n">
        <v>6.1</v>
      </c>
      <c r="H1432" t="n">
        <v>0</v>
      </c>
      <c r="I1432" t="n">
        <v>0</v>
      </c>
      <c r="J1432" t="n">
        <v>0</v>
      </c>
      <c r="K1432" t="n">
        <v>0</v>
      </c>
      <c r="L1432" t="n">
        <v>0</v>
      </c>
      <c r="M1432" t="n">
        <v>0</v>
      </c>
      <c r="N1432" t="n">
        <v>0</v>
      </c>
      <c r="O1432" t="n">
        <v>0</v>
      </c>
      <c r="P1432" t="n">
        <v>0</v>
      </c>
      <c r="Q1432" t="n">
        <v>0</v>
      </c>
      <c r="R1432" s="2" t="inlineStr"/>
    </row>
    <row r="1433" ht="15" customHeight="1">
      <c r="A1433" t="inlineStr">
        <is>
          <t>A 52320-2022</t>
        </is>
      </c>
      <c r="B1433" s="1" t="n">
        <v>44873</v>
      </c>
      <c r="C1433" s="1" t="n">
        <v>45911</v>
      </c>
      <c r="D1433" t="inlineStr">
        <is>
          <t>GÄVLEBORGS LÄN</t>
        </is>
      </c>
      <c r="E1433" t="inlineStr">
        <is>
          <t>HOFORS</t>
        </is>
      </c>
      <c r="G1433" t="n">
        <v>6.1</v>
      </c>
      <c r="H1433" t="n">
        <v>0</v>
      </c>
      <c r="I1433" t="n">
        <v>0</v>
      </c>
      <c r="J1433" t="n">
        <v>0</v>
      </c>
      <c r="K1433" t="n">
        <v>0</v>
      </c>
      <c r="L1433" t="n">
        <v>0</v>
      </c>
      <c r="M1433" t="n">
        <v>0</v>
      </c>
      <c r="N1433" t="n">
        <v>0</v>
      </c>
      <c r="O1433" t="n">
        <v>0</v>
      </c>
      <c r="P1433" t="n">
        <v>0</v>
      </c>
      <c r="Q1433" t="n">
        <v>0</v>
      </c>
      <c r="R1433" s="2" t="inlineStr"/>
    </row>
    <row r="1434" ht="15" customHeight="1">
      <c r="A1434" t="inlineStr">
        <is>
          <t>A 28649-2022</t>
        </is>
      </c>
      <c r="B1434" s="1" t="n">
        <v>44748</v>
      </c>
      <c r="C1434" s="1" t="n">
        <v>45911</v>
      </c>
      <c r="D1434" t="inlineStr">
        <is>
          <t>GÄVLEBORGS LÄN</t>
        </is>
      </c>
      <c r="E1434" t="inlineStr">
        <is>
          <t>SÖDERHAMN</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25460-2022</t>
        </is>
      </c>
      <c r="B1435" s="1" t="n">
        <v>44732.51826388889</v>
      </c>
      <c r="C1435" s="1" t="n">
        <v>45911</v>
      </c>
      <c r="D1435" t="inlineStr">
        <is>
          <t>GÄVLEBORGS LÄN</t>
        </is>
      </c>
      <c r="E1435" t="inlineStr">
        <is>
          <t>NORDANSTIG</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48179-2022</t>
        </is>
      </c>
      <c r="B1436" s="1" t="n">
        <v>44858.39075231482</v>
      </c>
      <c r="C1436" s="1" t="n">
        <v>45911</v>
      </c>
      <c r="D1436" t="inlineStr">
        <is>
          <t>GÄVLEBORGS LÄN</t>
        </is>
      </c>
      <c r="E1436" t="inlineStr">
        <is>
          <t>NORDANSTIG</t>
        </is>
      </c>
      <c r="F1436" t="inlineStr">
        <is>
          <t>Holmen skog AB</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4813-2022</t>
        </is>
      </c>
      <c r="B1437" s="1" t="n">
        <v>44592</v>
      </c>
      <c r="C1437" s="1" t="n">
        <v>45911</v>
      </c>
      <c r="D1437" t="inlineStr">
        <is>
          <t>GÄVLEBORGS LÄN</t>
        </is>
      </c>
      <c r="E1437" t="inlineStr">
        <is>
          <t>LJUSDAL</t>
        </is>
      </c>
      <c r="F1437" t="inlineStr">
        <is>
          <t>Sveaskog</t>
        </is>
      </c>
      <c r="G1437" t="n">
        <v>0.1</v>
      </c>
      <c r="H1437" t="n">
        <v>0</v>
      </c>
      <c r="I1437" t="n">
        <v>0</v>
      </c>
      <c r="J1437" t="n">
        <v>0</v>
      </c>
      <c r="K1437" t="n">
        <v>0</v>
      </c>
      <c r="L1437" t="n">
        <v>0</v>
      </c>
      <c r="M1437" t="n">
        <v>0</v>
      </c>
      <c r="N1437" t="n">
        <v>0</v>
      </c>
      <c r="O1437" t="n">
        <v>0</v>
      </c>
      <c r="P1437" t="n">
        <v>0</v>
      </c>
      <c r="Q1437" t="n">
        <v>0</v>
      </c>
      <c r="R1437" s="2" t="inlineStr"/>
    </row>
    <row r="1438" ht="15" customHeight="1">
      <c r="A1438" t="inlineStr">
        <is>
          <t>A 58874-2021</t>
        </is>
      </c>
      <c r="B1438" s="1" t="n">
        <v>44489</v>
      </c>
      <c r="C1438" s="1" t="n">
        <v>45911</v>
      </c>
      <c r="D1438" t="inlineStr">
        <is>
          <t>GÄVLEBORGS LÄN</t>
        </is>
      </c>
      <c r="E1438" t="inlineStr">
        <is>
          <t>LJUSDAL</t>
        </is>
      </c>
      <c r="F1438" t="inlineStr">
        <is>
          <t>Holmen skog AB</t>
        </is>
      </c>
      <c r="G1438" t="n">
        <v>17.2</v>
      </c>
      <c r="H1438" t="n">
        <v>0</v>
      </c>
      <c r="I1438" t="n">
        <v>0</v>
      </c>
      <c r="J1438" t="n">
        <v>0</v>
      </c>
      <c r="K1438" t="n">
        <v>0</v>
      </c>
      <c r="L1438" t="n">
        <v>0</v>
      </c>
      <c r="M1438" t="n">
        <v>0</v>
      </c>
      <c r="N1438" t="n">
        <v>0</v>
      </c>
      <c r="O1438" t="n">
        <v>0</v>
      </c>
      <c r="P1438" t="n">
        <v>0</v>
      </c>
      <c r="Q1438" t="n">
        <v>0</v>
      </c>
      <c r="R1438" s="2" t="inlineStr"/>
    </row>
    <row r="1439" ht="15" customHeight="1">
      <c r="A1439" t="inlineStr">
        <is>
          <t>A 22198-2022</t>
        </is>
      </c>
      <c r="B1439" s="1" t="n">
        <v>44712</v>
      </c>
      <c r="C1439" s="1" t="n">
        <v>45911</v>
      </c>
      <c r="D1439" t="inlineStr">
        <is>
          <t>GÄVLEBORGS LÄN</t>
        </is>
      </c>
      <c r="E1439" t="inlineStr">
        <is>
          <t>HUDIKSVALL</t>
        </is>
      </c>
      <c r="F1439" t="inlineStr">
        <is>
          <t>Holmen skog AB</t>
        </is>
      </c>
      <c r="G1439" t="n">
        <v>4.5</v>
      </c>
      <c r="H1439" t="n">
        <v>0</v>
      </c>
      <c r="I1439" t="n">
        <v>0</v>
      </c>
      <c r="J1439" t="n">
        <v>0</v>
      </c>
      <c r="K1439" t="n">
        <v>0</v>
      </c>
      <c r="L1439" t="n">
        <v>0</v>
      </c>
      <c r="M1439" t="n">
        <v>0</v>
      </c>
      <c r="N1439" t="n">
        <v>0</v>
      </c>
      <c r="O1439" t="n">
        <v>0</v>
      </c>
      <c r="P1439" t="n">
        <v>0</v>
      </c>
      <c r="Q1439" t="n">
        <v>0</v>
      </c>
      <c r="R1439" s="2" t="inlineStr"/>
    </row>
    <row r="1440" ht="15" customHeight="1">
      <c r="A1440" t="inlineStr">
        <is>
          <t>A 25100-2022</t>
        </is>
      </c>
      <c r="B1440" s="1" t="n">
        <v>44729.44290509259</v>
      </c>
      <c r="C1440" s="1" t="n">
        <v>45911</v>
      </c>
      <c r="D1440" t="inlineStr">
        <is>
          <t>GÄVLEBORGS LÄN</t>
        </is>
      </c>
      <c r="E1440" t="inlineStr">
        <is>
          <t>BOLLNÄS</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9635-2022</t>
        </is>
      </c>
      <c r="B1441" s="1" t="n">
        <v>44617</v>
      </c>
      <c r="C1441" s="1" t="n">
        <v>45911</v>
      </c>
      <c r="D1441" t="inlineStr">
        <is>
          <t>GÄVLEBORGS LÄN</t>
        </is>
      </c>
      <c r="E1441" t="inlineStr">
        <is>
          <t>OVANÅKER</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17246-2022</t>
        </is>
      </c>
      <c r="B1442" s="1" t="n">
        <v>44678.38255787037</v>
      </c>
      <c r="C1442" s="1" t="n">
        <v>45911</v>
      </c>
      <c r="D1442" t="inlineStr">
        <is>
          <t>GÄVLEBORGS LÄN</t>
        </is>
      </c>
      <c r="E1442" t="inlineStr">
        <is>
          <t>LJUSDAL</t>
        </is>
      </c>
      <c r="F1442" t="inlineStr">
        <is>
          <t>Holmen skog AB</t>
        </is>
      </c>
      <c r="G1442" t="n">
        <v>6.6</v>
      </c>
      <c r="H1442" t="n">
        <v>0</v>
      </c>
      <c r="I1442" t="n">
        <v>0</v>
      </c>
      <c r="J1442" t="n">
        <v>0</v>
      </c>
      <c r="K1442" t="n">
        <v>0</v>
      </c>
      <c r="L1442" t="n">
        <v>0</v>
      </c>
      <c r="M1442" t="n">
        <v>0</v>
      </c>
      <c r="N1442" t="n">
        <v>0</v>
      </c>
      <c r="O1442" t="n">
        <v>0</v>
      </c>
      <c r="P1442" t="n">
        <v>0</v>
      </c>
      <c r="Q1442" t="n">
        <v>0</v>
      </c>
      <c r="R1442" s="2" t="inlineStr"/>
    </row>
    <row r="1443" ht="15" customHeight="1">
      <c r="A1443" t="inlineStr">
        <is>
          <t>A 62065-2021</t>
        </is>
      </c>
      <c r="B1443" s="1" t="n">
        <v>44502.59028935185</v>
      </c>
      <c r="C1443" s="1" t="n">
        <v>45911</v>
      </c>
      <c r="D1443" t="inlineStr">
        <is>
          <t>GÄVLEBORGS LÄN</t>
        </is>
      </c>
      <c r="E1443" t="inlineStr">
        <is>
          <t>NORDANSTIG</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68728-2020</t>
        </is>
      </c>
      <c r="B1444" s="1" t="n">
        <v>44187</v>
      </c>
      <c r="C1444" s="1" t="n">
        <v>45911</v>
      </c>
      <c r="D1444" t="inlineStr">
        <is>
          <t>GÄVLEBORGS LÄN</t>
        </is>
      </c>
      <c r="E1444" t="inlineStr">
        <is>
          <t>HUDIKSVALL</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10632-2021</t>
        </is>
      </c>
      <c r="B1445" s="1" t="n">
        <v>44258</v>
      </c>
      <c r="C1445" s="1" t="n">
        <v>45911</v>
      </c>
      <c r="D1445" t="inlineStr">
        <is>
          <t>GÄVLEBORGS LÄN</t>
        </is>
      </c>
      <c r="E1445" t="inlineStr">
        <is>
          <t>OVANÅKER</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44805-2020</t>
        </is>
      </c>
      <c r="B1446" s="1" t="n">
        <v>44085</v>
      </c>
      <c r="C1446" s="1" t="n">
        <v>45911</v>
      </c>
      <c r="D1446" t="inlineStr">
        <is>
          <t>GÄVLEBORGS LÄN</t>
        </is>
      </c>
      <c r="E1446" t="inlineStr">
        <is>
          <t>LJUSDAL</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23400-2022</t>
        </is>
      </c>
      <c r="B1447" s="1" t="n">
        <v>44720</v>
      </c>
      <c r="C1447" s="1" t="n">
        <v>45911</v>
      </c>
      <c r="D1447" t="inlineStr">
        <is>
          <t>GÄVLEBORGS LÄN</t>
        </is>
      </c>
      <c r="E1447" t="inlineStr">
        <is>
          <t>GÄVLE</t>
        </is>
      </c>
      <c r="F1447" t="inlineStr">
        <is>
          <t>Bergvik skog väst AB</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9980-2022</t>
        </is>
      </c>
      <c r="B1448" s="1" t="n">
        <v>44621</v>
      </c>
      <c r="C1448" s="1" t="n">
        <v>45911</v>
      </c>
      <c r="D1448" t="inlineStr">
        <is>
          <t>GÄVLEBORGS LÄN</t>
        </is>
      </c>
      <c r="E1448" t="inlineStr">
        <is>
          <t>OVANÅKER</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4433-2022</t>
        </is>
      </c>
      <c r="B1449" s="1" t="n">
        <v>44589.53163194445</v>
      </c>
      <c r="C1449" s="1" t="n">
        <v>45911</v>
      </c>
      <c r="D1449" t="inlineStr">
        <is>
          <t>GÄVLEBORGS LÄN</t>
        </is>
      </c>
      <c r="E1449" t="inlineStr">
        <is>
          <t>LJUSDAL</t>
        </is>
      </c>
      <c r="G1449" t="n">
        <v>10.3</v>
      </c>
      <c r="H1449" t="n">
        <v>0</v>
      </c>
      <c r="I1449" t="n">
        <v>0</v>
      </c>
      <c r="J1449" t="n">
        <v>0</v>
      </c>
      <c r="K1449" t="n">
        <v>0</v>
      </c>
      <c r="L1449" t="n">
        <v>0</v>
      </c>
      <c r="M1449" t="n">
        <v>0</v>
      </c>
      <c r="N1449" t="n">
        <v>0</v>
      </c>
      <c r="O1449" t="n">
        <v>0</v>
      </c>
      <c r="P1449" t="n">
        <v>0</v>
      </c>
      <c r="Q1449" t="n">
        <v>0</v>
      </c>
      <c r="R1449" s="2" t="inlineStr"/>
    </row>
    <row r="1450" ht="15" customHeight="1">
      <c r="A1450" t="inlineStr">
        <is>
          <t>A 59311-2020</t>
        </is>
      </c>
      <c r="B1450" s="1" t="n">
        <v>44147</v>
      </c>
      <c r="C1450" s="1" t="n">
        <v>45911</v>
      </c>
      <c r="D1450" t="inlineStr">
        <is>
          <t>GÄVLEBORGS LÄN</t>
        </is>
      </c>
      <c r="E1450" t="inlineStr">
        <is>
          <t>BOLLNÄS</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52763-2022</t>
        </is>
      </c>
      <c r="B1451" s="1" t="n">
        <v>44875.32665509259</v>
      </c>
      <c r="C1451" s="1" t="n">
        <v>45911</v>
      </c>
      <c r="D1451" t="inlineStr">
        <is>
          <t>GÄVLEBORGS LÄN</t>
        </is>
      </c>
      <c r="E1451" t="inlineStr">
        <is>
          <t>SANDVIKEN</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52765-2022</t>
        </is>
      </c>
      <c r="B1452" s="1" t="n">
        <v>44875</v>
      </c>
      <c r="C1452" s="1" t="n">
        <v>45911</v>
      </c>
      <c r="D1452" t="inlineStr">
        <is>
          <t>GÄVLEBORGS LÄN</t>
        </is>
      </c>
      <c r="E1452" t="inlineStr">
        <is>
          <t>SANDVIKEN</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26869-2021</t>
        </is>
      </c>
      <c r="B1453" s="1" t="n">
        <v>44349</v>
      </c>
      <c r="C1453" s="1" t="n">
        <v>45911</v>
      </c>
      <c r="D1453" t="inlineStr">
        <is>
          <t>GÄVLEBORGS LÄN</t>
        </is>
      </c>
      <c r="E1453" t="inlineStr">
        <is>
          <t>NORDANSTIG</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63366-2020</t>
        </is>
      </c>
      <c r="B1454" s="1" t="n">
        <v>44165.48278935185</v>
      </c>
      <c r="C1454" s="1" t="n">
        <v>45911</v>
      </c>
      <c r="D1454" t="inlineStr">
        <is>
          <t>GÄVLEBORGS LÄN</t>
        </is>
      </c>
      <c r="E1454" t="inlineStr">
        <is>
          <t>OCKELBO</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3427-2021</t>
        </is>
      </c>
      <c r="B1455" s="1" t="n">
        <v>44218</v>
      </c>
      <c r="C1455" s="1" t="n">
        <v>45911</v>
      </c>
      <c r="D1455" t="inlineStr">
        <is>
          <t>GÄVLEBORGS LÄN</t>
        </is>
      </c>
      <c r="E1455" t="inlineStr">
        <is>
          <t>SÖDERHAMN</t>
        </is>
      </c>
      <c r="G1455" t="n">
        <v>5.9</v>
      </c>
      <c r="H1455" t="n">
        <v>0</v>
      </c>
      <c r="I1455" t="n">
        <v>0</v>
      </c>
      <c r="J1455" t="n">
        <v>0</v>
      </c>
      <c r="K1455" t="n">
        <v>0</v>
      </c>
      <c r="L1455" t="n">
        <v>0</v>
      </c>
      <c r="M1455" t="n">
        <v>0</v>
      </c>
      <c r="N1455" t="n">
        <v>0</v>
      </c>
      <c r="O1455" t="n">
        <v>0</v>
      </c>
      <c r="P1455" t="n">
        <v>0</v>
      </c>
      <c r="Q1455" t="n">
        <v>0</v>
      </c>
      <c r="R1455" s="2" t="inlineStr"/>
    </row>
    <row r="1456" ht="15" customHeight="1">
      <c r="A1456" t="inlineStr">
        <is>
          <t>A 3456-2021</t>
        </is>
      </c>
      <c r="B1456" s="1" t="n">
        <v>44218.56082175926</v>
      </c>
      <c r="C1456" s="1" t="n">
        <v>45911</v>
      </c>
      <c r="D1456" t="inlineStr">
        <is>
          <t>GÄVLEBORGS LÄN</t>
        </is>
      </c>
      <c r="E1456" t="inlineStr">
        <is>
          <t>NORDANSTIG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64384-2020</t>
        </is>
      </c>
      <c r="B1457" s="1" t="n">
        <v>44168.60664351852</v>
      </c>
      <c r="C1457" s="1" t="n">
        <v>45911</v>
      </c>
      <c r="D1457" t="inlineStr">
        <is>
          <t>GÄVLEBORGS LÄN</t>
        </is>
      </c>
      <c r="E1457" t="inlineStr">
        <is>
          <t>GÄVLE</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19100-2021</t>
        </is>
      </c>
      <c r="B1458" s="1" t="n">
        <v>44308</v>
      </c>
      <c r="C1458" s="1" t="n">
        <v>45911</v>
      </c>
      <c r="D1458" t="inlineStr">
        <is>
          <t>GÄVLEBORGS LÄN</t>
        </is>
      </c>
      <c r="E1458" t="inlineStr">
        <is>
          <t>HUDIKSVALL</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56597-2020</t>
        </is>
      </c>
      <c r="B1459" s="1" t="n">
        <v>44137</v>
      </c>
      <c r="C1459" s="1" t="n">
        <v>45911</v>
      </c>
      <c r="D1459" t="inlineStr">
        <is>
          <t>GÄVLEBORGS LÄN</t>
        </is>
      </c>
      <c r="E1459" t="inlineStr">
        <is>
          <t>HUDIKSVALL</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56603-2020</t>
        </is>
      </c>
      <c r="B1460" s="1" t="n">
        <v>44137</v>
      </c>
      <c r="C1460" s="1" t="n">
        <v>45911</v>
      </c>
      <c r="D1460" t="inlineStr">
        <is>
          <t>GÄVLEBORGS LÄN</t>
        </is>
      </c>
      <c r="E1460" t="inlineStr">
        <is>
          <t>HOFORS</t>
        </is>
      </c>
      <c r="F1460" t="inlineStr">
        <is>
          <t>Sveaskog</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22126-2022</t>
        </is>
      </c>
      <c r="B1461" s="1" t="n">
        <v>44712</v>
      </c>
      <c r="C1461" s="1" t="n">
        <v>45911</v>
      </c>
      <c r="D1461" t="inlineStr">
        <is>
          <t>GÄVLEBORGS LÄN</t>
        </is>
      </c>
      <c r="E1461" t="inlineStr">
        <is>
          <t>BOLLNÄS</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960-2022</t>
        </is>
      </c>
      <c r="B1462" s="1" t="n">
        <v>44571.56971064815</v>
      </c>
      <c r="C1462" s="1" t="n">
        <v>45911</v>
      </c>
      <c r="D1462" t="inlineStr">
        <is>
          <t>GÄVLEBORGS LÄN</t>
        </is>
      </c>
      <c r="E1462" t="inlineStr">
        <is>
          <t>NORDANSTIG</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1707-2022</t>
        </is>
      </c>
      <c r="B1463" s="1" t="n">
        <v>44574</v>
      </c>
      <c r="C1463" s="1" t="n">
        <v>45911</v>
      </c>
      <c r="D1463" t="inlineStr">
        <is>
          <t>GÄVLEBORGS LÄN</t>
        </is>
      </c>
      <c r="E1463" t="inlineStr">
        <is>
          <t>HUDIKSVALL</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10542-2021</t>
        </is>
      </c>
      <c r="B1464" s="1" t="n">
        <v>44258.39831018518</v>
      </c>
      <c r="C1464" s="1" t="n">
        <v>45911</v>
      </c>
      <c r="D1464" t="inlineStr">
        <is>
          <t>GÄVLEBORGS LÄN</t>
        </is>
      </c>
      <c r="E1464" t="inlineStr">
        <is>
          <t>OVANÅKER</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21438-2022</t>
        </is>
      </c>
      <c r="B1465" s="1" t="n">
        <v>44706.34857638889</v>
      </c>
      <c r="C1465" s="1" t="n">
        <v>45911</v>
      </c>
      <c r="D1465" t="inlineStr">
        <is>
          <t>GÄVLEBORGS LÄN</t>
        </is>
      </c>
      <c r="E1465" t="inlineStr">
        <is>
          <t>BOLLNÄS</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66490-2020</t>
        </is>
      </c>
      <c r="B1466" s="1" t="n">
        <v>44177</v>
      </c>
      <c r="C1466" s="1" t="n">
        <v>45911</v>
      </c>
      <c r="D1466" t="inlineStr">
        <is>
          <t>GÄVLEBORGS LÄN</t>
        </is>
      </c>
      <c r="E1466" t="inlineStr">
        <is>
          <t>HUDIKSVALL</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44425-2022</t>
        </is>
      </c>
      <c r="B1467" s="1" t="n">
        <v>44839.92886574074</v>
      </c>
      <c r="C1467" s="1" t="n">
        <v>45911</v>
      </c>
      <c r="D1467" t="inlineStr">
        <is>
          <t>GÄVLEBORGS LÄN</t>
        </is>
      </c>
      <c r="E1467" t="inlineStr">
        <is>
          <t>HUDIKSVALL</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8927-2022</t>
        </is>
      </c>
      <c r="B1468" s="1" t="n">
        <v>44614.67208333333</v>
      </c>
      <c r="C1468" s="1" t="n">
        <v>45911</v>
      </c>
      <c r="D1468" t="inlineStr">
        <is>
          <t>GÄVLEBORGS LÄN</t>
        </is>
      </c>
      <c r="E1468" t="inlineStr">
        <is>
          <t>OVANÅKER</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49886-2020</t>
        </is>
      </c>
      <c r="B1469" s="1" t="n">
        <v>44108</v>
      </c>
      <c r="C1469" s="1" t="n">
        <v>45911</v>
      </c>
      <c r="D1469" t="inlineStr">
        <is>
          <t>GÄVLEBORGS LÄN</t>
        </is>
      </c>
      <c r="E1469" t="inlineStr">
        <is>
          <t>LJUSDAL</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25583-2021</t>
        </is>
      </c>
      <c r="B1470" s="1" t="n">
        <v>44343</v>
      </c>
      <c r="C1470" s="1" t="n">
        <v>45911</v>
      </c>
      <c r="D1470" t="inlineStr">
        <is>
          <t>GÄVLEBORGS LÄN</t>
        </is>
      </c>
      <c r="E1470" t="inlineStr">
        <is>
          <t>OCKELBO</t>
        </is>
      </c>
      <c r="F1470" t="inlineStr">
        <is>
          <t>Bergvik skog väst AB</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67180-2021</t>
        </is>
      </c>
      <c r="B1471" s="1" t="n">
        <v>44523.44119212963</v>
      </c>
      <c r="C1471" s="1" t="n">
        <v>45911</v>
      </c>
      <c r="D1471" t="inlineStr">
        <is>
          <t>GÄVLEBORGS LÄN</t>
        </is>
      </c>
      <c r="E1471" t="inlineStr">
        <is>
          <t>SANDVIKEN</t>
        </is>
      </c>
      <c r="G1471" t="n">
        <v>3.9</v>
      </c>
      <c r="H1471" t="n">
        <v>0</v>
      </c>
      <c r="I1471" t="n">
        <v>0</v>
      </c>
      <c r="J1471" t="n">
        <v>0</v>
      </c>
      <c r="K1471" t="n">
        <v>0</v>
      </c>
      <c r="L1471" t="n">
        <v>0</v>
      </c>
      <c r="M1471" t="n">
        <v>0</v>
      </c>
      <c r="N1471" t="n">
        <v>0</v>
      </c>
      <c r="O1471" t="n">
        <v>0</v>
      </c>
      <c r="P1471" t="n">
        <v>0</v>
      </c>
      <c r="Q1471" t="n">
        <v>0</v>
      </c>
      <c r="R1471" s="2" t="inlineStr"/>
    </row>
    <row r="1472" ht="15" customHeight="1">
      <c r="A1472" t="inlineStr">
        <is>
          <t>A 57337-2021</t>
        </is>
      </c>
      <c r="B1472" s="1" t="n">
        <v>44483.4696875</v>
      </c>
      <c r="C1472" s="1" t="n">
        <v>45911</v>
      </c>
      <c r="D1472" t="inlineStr">
        <is>
          <t>GÄVLEBORGS LÄN</t>
        </is>
      </c>
      <c r="E1472" t="inlineStr">
        <is>
          <t>BOLLNÄS</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34542-2021</t>
        </is>
      </c>
      <c r="B1473" s="1" t="n">
        <v>44382.43252314815</v>
      </c>
      <c r="C1473" s="1" t="n">
        <v>45911</v>
      </c>
      <c r="D1473" t="inlineStr">
        <is>
          <t>GÄVLEBORGS LÄN</t>
        </is>
      </c>
      <c r="E1473" t="inlineStr">
        <is>
          <t>NORDANSTIG</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34566-2021</t>
        </is>
      </c>
      <c r="B1474" s="1" t="n">
        <v>44382</v>
      </c>
      <c r="C1474" s="1" t="n">
        <v>45911</v>
      </c>
      <c r="D1474" t="inlineStr">
        <is>
          <t>GÄVLEBORGS LÄN</t>
        </is>
      </c>
      <c r="E1474" t="inlineStr">
        <is>
          <t>LJUSDAL</t>
        </is>
      </c>
      <c r="F1474" t="inlineStr">
        <is>
          <t>Bergvik skog väst AB</t>
        </is>
      </c>
      <c r="G1474" t="n">
        <v>8.199999999999999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54133-2020</t>
        </is>
      </c>
      <c r="B1475" s="1" t="n">
        <v>44125</v>
      </c>
      <c r="C1475" s="1" t="n">
        <v>45911</v>
      </c>
      <c r="D1475" t="inlineStr">
        <is>
          <t>GÄVLEBORGS LÄN</t>
        </is>
      </c>
      <c r="E1475" t="inlineStr">
        <is>
          <t>LJUSDAL</t>
        </is>
      </c>
      <c r="F1475" t="inlineStr">
        <is>
          <t>Sveaskog</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50347-2022</t>
        </is>
      </c>
      <c r="B1476" s="1" t="n">
        <v>44866.29783564815</v>
      </c>
      <c r="C1476" s="1" t="n">
        <v>45911</v>
      </c>
      <c r="D1476" t="inlineStr">
        <is>
          <t>GÄVLEBORGS LÄN</t>
        </is>
      </c>
      <c r="E1476" t="inlineStr">
        <is>
          <t>LJUSDAL</t>
        </is>
      </c>
      <c r="F1476" t="inlineStr">
        <is>
          <t>Holmen skog AB</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67931-2021</t>
        </is>
      </c>
      <c r="B1477" s="1" t="n">
        <v>44525.61733796296</v>
      </c>
      <c r="C1477" s="1" t="n">
        <v>45911</v>
      </c>
      <c r="D1477" t="inlineStr">
        <is>
          <t>GÄVLEBORGS LÄN</t>
        </is>
      </c>
      <c r="E1477" t="inlineStr">
        <is>
          <t>NORDANSTIG</t>
        </is>
      </c>
      <c r="F1477" t="inlineStr">
        <is>
          <t>Holmen skog AB</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59583-2021</t>
        </is>
      </c>
      <c r="B1478" s="1" t="n">
        <v>44491.63751157407</v>
      </c>
      <c r="C1478" s="1" t="n">
        <v>45911</v>
      </c>
      <c r="D1478" t="inlineStr">
        <is>
          <t>GÄVLEBORGS LÄN</t>
        </is>
      </c>
      <c r="E1478" t="inlineStr">
        <is>
          <t>NORDANSTIG</t>
        </is>
      </c>
      <c r="F1478" t="inlineStr">
        <is>
          <t>Holmen skog AB</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7767-2021</t>
        </is>
      </c>
      <c r="B1479" s="1" t="n">
        <v>44242</v>
      </c>
      <c r="C1479" s="1" t="n">
        <v>45911</v>
      </c>
      <c r="D1479" t="inlineStr">
        <is>
          <t>GÄVLEBORGS LÄN</t>
        </is>
      </c>
      <c r="E1479" t="inlineStr">
        <is>
          <t>BOLLNÄS</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52435-2020</t>
        </is>
      </c>
      <c r="B1480" s="1" t="n">
        <v>44118</v>
      </c>
      <c r="C1480" s="1" t="n">
        <v>45911</v>
      </c>
      <c r="D1480" t="inlineStr">
        <is>
          <t>GÄVLEBORGS LÄN</t>
        </is>
      </c>
      <c r="E1480" t="inlineStr">
        <is>
          <t>SÖDERHAMN</t>
        </is>
      </c>
      <c r="G1480" t="n">
        <v>13.3</v>
      </c>
      <c r="H1480" t="n">
        <v>0</v>
      </c>
      <c r="I1480" t="n">
        <v>0</v>
      </c>
      <c r="J1480" t="n">
        <v>0</v>
      </c>
      <c r="K1480" t="n">
        <v>0</v>
      </c>
      <c r="L1480" t="n">
        <v>0</v>
      </c>
      <c r="M1480" t="n">
        <v>0</v>
      </c>
      <c r="N1480" t="n">
        <v>0</v>
      </c>
      <c r="O1480" t="n">
        <v>0</v>
      </c>
      <c r="P1480" t="n">
        <v>0</v>
      </c>
      <c r="Q1480" t="n">
        <v>0</v>
      </c>
      <c r="R1480" s="2" t="inlineStr"/>
    </row>
    <row r="1481" ht="15" customHeight="1">
      <c r="A1481" t="inlineStr">
        <is>
          <t>A 31773-2022</t>
        </is>
      </c>
      <c r="B1481" s="1" t="n">
        <v>44776</v>
      </c>
      <c r="C1481" s="1" t="n">
        <v>45911</v>
      </c>
      <c r="D1481" t="inlineStr">
        <is>
          <t>GÄVLEBORGS LÄN</t>
        </is>
      </c>
      <c r="E1481" t="inlineStr">
        <is>
          <t>GÄVLE</t>
        </is>
      </c>
      <c r="F1481" t="inlineStr">
        <is>
          <t>Bergvik skog väst AB</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66980-2020</t>
        </is>
      </c>
      <c r="B1482" s="1" t="n">
        <v>44180</v>
      </c>
      <c r="C1482" s="1" t="n">
        <v>45911</v>
      </c>
      <c r="D1482" t="inlineStr">
        <is>
          <t>GÄVLEBORGS LÄN</t>
        </is>
      </c>
      <c r="E1482" t="inlineStr">
        <is>
          <t>BOLLNÄS</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51527-2020</t>
        </is>
      </c>
      <c r="B1483" s="1" t="n">
        <v>44113</v>
      </c>
      <c r="C1483" s="1" t="n">
        <v>45911</v>
      </c>
      <c r="D1483" t="inlineStr">
        <is>
          <t>GÄVLEBORGS LÄN</t>
        </is>
      </c>
      <c r="E1483" t="inlineStr">
        <is>
          <t>HUDIKSVALL</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34930-2021</t>
        </is>
      </c>
      <c r="B1484" s="1" t="n">
        <v>44383.56744212963</v>
      </c>
      <c r="C1484" s="1" t="n">
        <v>45911</v>
      </c>
      <c r="D1484" t="inlineStr">
        <is>
          <t>GÄVLEBORGS LÄN</t>
        </is>
      </c>
      <c r="E1484" t="inlineStr">
        <is>
          <t>SANDVIKEN</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220-2021</t>
        </is>
      </c>
      <c r="B1485" s="1" t="n">
        <v>44200</v>
      </c>
      <c r="C1485" s="1" t="n">
        <v>45911</v>
      </c>
      <c r="D1485" t="inlineStr">
        <is>
          <t>GÄVLEBORGS LÄN</t>
        </is>
      </c>
      <c r="E1485" t="inlineStr">
        <is>
          <t>SANDVIKEN</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12300-2021</t>
        </is>
      </c>
      <c r="B1486" s="1" t="n">
        <v>44267.34975694444</v>
      </c>
      <c r="C1486" s="1" t="n">
        <v>45911</v>
      </c>
      <c r="D1486" t="inlineStr">
        <is>
          <t>GÄVLEBORGS LÄN</t>
        </is>
      </c>
      <c r="E1486" t="inlineStr">
        <is>
          <t>LJUSDAL</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3698-2021</t>
        </is>
      </c>
      <c r="B1487" s="1" t="n">
        <v>44221</v>
      </c>
      <c r="C1487" s="1" t="n">
        <v>45911</v>
      </c>
      <c r="D1487" t="inlineStr">
        <is>
          <t>GÄVLEBORGS LÄN</t>
        </is>
      </c>
      <c r="E1487" t="inlineStr">
        <is>
          <t>HUDIKSVALL</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4035-2021</t>
        </is>
      </c>
      <c r="B1488" s="1" t="n">
        <v>44218</v>
      </c>
      <c r="C1488" s="1" t="n">
        <v>45911</v>
      </c>
      <c r="D1488" t="inlineStr">
        <is>
          <t>GÄVLEBORGS LÄN</t>
        </is>
      </c>
      <c r="E1488" t="inlineStr">
        <is>
          <t>SÖDERHAMN</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64387-2020</t>
        </is>
      </c>
      <c r="B1489" s="1" t="n">
        <v>44168</v>
      </c>
      <c r="C1489" s="1" t="n">
        <v>45911</v>
      </c>
      <c r="D1489" t="inlineStr">
        <is>
          <t>GÄVLEBORGS LÄN</t>
        </is>
      </c>
      <c r="E1489" t="inlineStr">
        <is>
          <t>SANDVIKEN</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9982-2021</t>
        </is>
      </c>
      <c r="B1490" s="1" t="n">
        <v>44253</v>
      </c>
      <c r="C1490" s="1" t="n">
        <v>45911</v>
      </c>
      <c r="D1490" t="inlineStr">
        <is>
          <t>GÄVLEBORGS LÄN</t>
        </is>
      </c>
      <c r="E1490" t="inlineStr">
        <is>
          <t>LJUSDAL</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49493-2022</t>
        </is>
      </c>
      <c r="B1491" s="1" t="n">
        <v>44861</v>
      </c>
      <c r="C1491" s="1" t="n">
        <v>45911</v>
      </c>
      <c r="D1491" t="inlineStr">
        <is>
          <t>GÄVLEBORGS LÄN</t>
        </is>
      </c>
      <c r="E1491" t="inlineStr">
        <is>
          <t>SANDVIKEN</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29285-2021</t>
        </is>
      </c>
      <c r="B1492" s="1" t="n">
        <v>44361.37318287037</v>
      </c>
      <c r="C1492" s="1" t="n">
        <v>45911</v>
      </c>
      <c r="D1492" t="inlineStr">
        <is>
          <t>GÄVLEBORGS LÄN</t>
        </is>
      </c>
      <c r="E1492" t="inlineStr">
        <is>
          <t>LJUSDAL</t>
        </is>
      </c>
      <c r="G1492" t="n">
        <v>6</v>
      </c>
      <c r="H1492" t="n">
        <v>0</v>
      </c>
      <c r="I1492" t="n">
        <v>0</v>
      </c>
      <c r="J1492" t="n">
        <v>0</v>
      </c>
      <c r="K1492" t="n">
        <v>0</v>
      </c>
      <c r="L1492" t="n">
        <v>0</v>
      </c>
      <c r="M1492" t="n">
        <v>0</v>
      </c>
      <c r="N1492" t="n">
        <v>0</v>
      </c>
      <c r="O1492" t="n">
        <v>0</v>
      </c>
      <c r="P1492" t="n">
        <v>0</v>
      </c>
      <c r="Q1492" t="n">
        <v>0</v>
      </c>
      <c r="R1492" s="2" t="inlineStr"/>
    </row>
    <row r="1493" ht="15" customHeight="1">
      <c r="A1493" t="inlineStr">
        <is>
          <t>A 29326-2021</t>
        </is>
      </c>
      <c r="B1493" s="1" t="n">
        <v>44361</v>
      </c>
      <c r="C1493" s="1" t="n">
        <v>45911</v>
      </c>
      <c r="D1493" t="inlineStr">
        <is>
          <t>GÄVLEBORGS LÄN</t>
        </is>
      </c>
      <c r="E1493" t="inlineStr">
        <is>
          <t>LJUSDAL</t>
        </is>
      </c>
      <c r="G1493" t="n">
        <v>7.9</v>
      </c>
      <c r="H1493" t="n">
        <v>0</v>
      </c>
      <c r="I1493" t="n">
        <v>0</v>
      </c>
      <c r="J1493" t="n">
        <v>0</v>
      </c>
      <c r="K1493" t="n">
        <v>0</v>
      </c>
      <c r="L1493" t="n">
        <v>0</v>
      </c>
      <c r="M1493" t="n">
        <v>0</v>
      </c>
      <c r="N1493" t="n">
        <v>0</v>
      </c>
      <c r="O1493" t="n">
        <v>0</v>
      </c>
      <c r="P1493" t="n">
        <v>0</v>
      </c>
      <c r="Q1493" t="n">
        <v>0</v>
      </c>
      <c r="R1493" s="2" t="inlineStr"/>
    </row>
    <row r="1494" ht="15" customHeight="1">
      <c r="A1494" t="inlineStr">
        <is>
          <t>A 26711-2022</t>
        </is>
      </c>
      <c r="B1494" s="1" t="n">
        <v>44739.83524305555</v>
      </c>
      <c r="C1494" s="1" t="n">
        <v>45911</v>
      </c>
      <c r="D1494" t="inlineStr">
        <is>
          <t>GÄVLEBORGS LÄN</t>
        </is>
      </c>
      <c r="E1494" t="inlineStr">
        <is>
          <t>SANDVIKEN</t>
        </is>
      </c>
      <c r="F1494" t="inlineStr">
        <is>
          <t>Sveaskog</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53508-2020</t>
        </is>
      </c>
      <c r="B1495" s="1" t="n">
        <v>44124</v>
      </c>
      <c r="C1495" s="1" t="n">
        <v>45911</v>
      </c>
      <c r="D1495" t="inlineStr">
        <is>
          <t>GÄVLEBORGS LÄN</t>
        </is>
      </c>
      <c r="E1495" t="inlineStr">
        <is>
          <t>LJUSDAL</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29705-2022</t>
        </is>
      </c>
      <c r="B1496" s="1" t="n">
        <v>44755.40092592593</v>
      </c>
      <c r="C1496" s="1" t="n">
        <v>45911</v>
      </c>
      <c r="D1496" t="inlineStr">
        <is>
          <t>GÄVLEBORGS LÄN</t>
        </is>
      </c>
      <c r="E1496" t="inlineStr">
        <is>
          <t>SANDVIKEN</t>
        </is>
      </c>
      <c r="F1496" t="inlineStr">
        <is>
          <t>Sveaskog</t>
        </is>
      </c>
      <c r="G1496" t="n">
        <v>5.3</v>
      </c>
      <c r="H1496" t="n">
        <v>0</v>
      </c>
      <c r="I1496" t="n">
        <v>0</v>
      </c>
      <c r="J1496" t="n">
        <v>0</v>
      </c>
      <c r="K1496" t="n">
        <v>0</v>
      </c>
      <c r="L1496" t="n">
        <v>0</v>
      </c>
      <c r="M1496" t="n">
        <v>0</v>
      </c>
      <c r="N1496" t="n">
        <v>0</v>
      </c>
      <c r="O1496" t="n">
        <v>0</v>
      </c>
      <c r="P1496" t="n">
        <v>0</v>
      </c>
      <c r="Q1496" t="n">
        <v>0</v>
      </c>
      <c r="R1496" s="2" t="inlineStr"/>
    </row>
    <row r="1497" ht="15" customHeight="1">
      <c r="A1497" t="inlineStr">
        <is>
          <t>A 28006-2021</t>
        </is>
      </c>
      <c r="B1497" s="1" t="n">
        <v>44355.33836805556</v>
      </c>
      <c r="C1497" s="1" t="n">
        <v>45911</v>
      </c>
      <c r="D1497" t="inlineStr">
        <is>
          <t>GÄVLEBORGS LÄN</t>
        </is>
      </c>
      <c r="E1497" t="inlineStr">
        <is>
          <t>OCKELBO</t>
        </is>
      </c>
      <c r="F1497" t="inlineStr">
        <is>
          <t>Bergvik skog väst AB</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49780-2021</t>
        </is>
      </c>
      <c r="B1498" s="1" t="n">
        <v>44455.57879629629</v>
      </c>
      <c r="C1498" s="1" t="n">
        <v>45911</v>
      </c>
      <c r="D1498" t="inlineStr">
        <is>
          <t>GÄVLEBORGS LÄN</t>
        </is>
      </c>
      <c r="E1498" t="inlineStr">
        <is>
          <t>LJUSDAL</t>
        </is>
      </c>
      <c r="F1498" t="inlineStr">
        <is>
          <t>Holmen skog AB</t>
        </is>
      </c>
      <c r="G1498" t="n">
        <v>5</v>
      </c>
      <c r="H1498" t="n">
        <v>0</v>
      </c>
      <c r="I1498" t="n">
        <v>0</v>
      </c>
      <c r="J1498" t="n">
        <v>0</v>
      </c>
      <c r="K1498" t="n">
        <v>0</v>
      </c>
      <c r="L1498" t="n">
        <v>0</v>
      </c>
      <c r="M1498" t="n">
        <v>0</v>
      </c>
      <c r="N1498" t="n">
        <v>0</v>
      </c>
      <c r="O1498" t="n">
        <v>0</v>
      </c>
      <c r="P1498" t="n">
        <v>0</v>
      </c>
      <c r="Q1498" t="n">
        <v>0</v>
      </c>
      <c r="R1498" s="2" t="inlineStr"/>
    </row>
    <row r="1499" ht="15" customHeight="1">
      <c r="A1499" t="inlineStr">
        <is>
          <t>A 51454-2020</t>
        </is>
      </c>
      <c r="B1499" s="1" t="n">
        <v>44113</v>
      </c>
      <c r="C1499" s="1" t="n">
        <v>45911</v>
      </c>
      <c r="D1499" t="inlineStr">
        <is>
          <t>GÄVLEBORGS LÄN</t>
        </is>
      </c>
      <c r="E1499" t="inlineStr">
        <is>
          <t>HUDIKSVALL</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67779-2020</t>
        </is>
      </c>
      <c r="B1500" s="1" t="n">
        <v>44182</v>
      </c>
      <c r="C1500" s="1" t="n">
        <v>45911</v>
      </c>
      <c r="D1500" t="inlineStr">
        <is>
          <t>GÄVLEBORGS LÄN</t>
        </is>
      </c>
      <c r="E1500" t="inlineStr">
        <is>
          <t>OCKELBO</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7804-2021</t>
        </is>
      </c>
      <c r="B1501" s="1" t="n">
        <v>44242</v>
      </c>
      <c r="C1501" s="1" t="n">
        <v>45911</v>
      </c>
      <c r="D1501" t="inlineStr">
        <is>
          <t>GÄVLEBORGS LÄN</t>
        </is>
      </c>
      <c r="E1501" t="inlineStr">
        <is>
          <t>NORDANSTIG</t>
        </is>
      </c>
      <c r="F1501" t="inlineStr">
        <is>
          <t>Holmen skog AB</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37402-2021</t>
        </is>
      </c>
      <c r="B1502" s="1" t="n">
        <v>44398.41361111111</v>
      </c>
      <c r="C1502" s="1" t="n">
        <v>45911</v>
      </c>
      <c r="D1502" t="inlineStr">
        <is>
          <t>GÄVLEBORGS LÄN</t>
        </is>
      </c>
      <c r="E1502" t="inlineStr">
        <is>
          <t>LJUSDAL</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26301-2022</t>
        </is>
      </c>
      <c r="B1503" s="1" t="n">
        <v>44735.5850462963</v>
      </c>
      <c r="C1503" s="1" t="n">
        <v>45911</v>
      </c>
      <c r="D1503" t="inlineStr">
        <is>
          <t>GÄVLEBORGS LÄN</t>
        </is>
      </c>
      <c r="E1503" t="inlineStr">
        <is>
          <t>BOLLNÄS</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52907-2020</t>
        </is>
      </c>
      <c r="B1504" s="1" t="n">
        <v>44119</v>
      </c>
      <c r="C1504" s="1" t="n">
        <v>45911</v>
      </c>
      <c r="D1504" t="inlineStr">
        <is>
          <t>GÄVLEBORGS LÄN</t>
        </is>
      </c>
      <c r="E1504" t="inlineStr">
        <is>
          <t>BOLLNÄS</t>
        </is>
      </c>
      <c r="F1504" t="inlineStr">
        <is>
          <t>Bergvik skog väst AB</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38604-2021</t>
        </is>
      </c>
      <c r="B1505" s="1" t="n">
        <v>44409.33064814815</v>
      </c>
      <c r="C1505" s="1" t="n">
        <v>45911</v>
      </c>
      <c r="D1505" t="inlineStr">
        <is>
          <t>GÄVLEBORGS LÄN</t>
        </is>
      </c>
      <c r="E1505" t="inlineStr">
        <is>
          <t>OCKELBO</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18477-2022</t>
        </is>
      </c>
      <c r="B1506" s="1" t="n">
        <v>44686.56325231482</v>
      </c>
      <c r="C1506" s="1" t="n">
        <v>45911</v>
      </c>
      <c r="D1506" t="inlineStr">
        <is>
          <t>GÄVLEBORGS LÄN</t>
        </is>
      </c>
      <c r="E1506" t="inlineStr">
        <is>
          <t>BOLLNÄS</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49687-2020</t>
        </is>
      </c>
      <c r="B1507" s="1" t="n">
        <v>44106.49574074074</v>
      </c>
      <c r="C1507" s="1" t="n">
        <v>45911</v>
      </c>
      <c r="D1507" t="inlineStr">
        <is>
          <t>GÄVLEBORGS LÄN</t>
        </is>
      </c>
      <c r="E1507" t="inlineStr">
        <is>
          <t>LJUSDAL</t>
        </is>
      </c>
      <c r="F1507" t="inlineStr">
        <is>
          <t>Holmen skog AB</t>
        </is>
      </c>
      <c r="G1507" t="n">
        <v>4.4</v>
      </c>
      <c r="H1507" t="n">
        <v>0</v>
      </c>
      <c r="I1507" t="n">
        <v>0</v>
      </c>
      <c r="J1507" t="n">
        <v>0</v>
      </c>
      <c r="K1507" t="n">
        <v>0</v>
      </c>
      <c r="L1507" t="n">
        <v>0</v>
      </c>
      <c r="M1507" t="n">
        <v>0</v>
      </c>
      <c r="N1507" t="n">
        <v>0</v>
      </c>
      <c r="O1507" t="n">
        <v>0</v>
      </c>
      <c r="P1507" t="n">
        <v>0</v>
      </c>
      <c r="Q1507" t="n">
        <v>0</v>
      </c>
      <c r="R1507" s="2" t="inlineStr"/>
    </row>
    <row r="1508" ht="15" customHeight="1">
      <c r="A1508" t="inlineStr">
        <is>
          <t>A 18112-2021</t>
        </is>
      </c>
      <c r="B1508" s="1" t="n">
        <v>44302</v>
      </c>
      <c r="C1508" s="1" t="n">
        <v>45911</v>
      </c>
      <c r="D1508" t="inlineStr">
        <is>
          <t>GÄVLEBORGS LÄN</t>
        </is>
      </c>
      <c r="E1508" t="inlineStr">
        <is>
          <t>SÖDERHAMN</t>
        </is>
      </c>
      <c r="F1508" t="inlineStr">
        <is>
          <t>Kyrkan</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45128-2020</t>
        </is>
      </c>
      <c r="B1509" s="1" t="n">
        <v>44088</v>
      </c>
      <c r="C1509" s="1" t="n">
        <v>45911</v>
      </c>
      <c r="D1509" t="inlineStr">
        <is>
          <t>GÄVLEBORGS LÄN</t>
        </is>
      </c>
      <c r="E1509" t="inlineStr">
        <is>
          <t>BOLLNÄS</t>
        </is>
      </c>
      <c r="F1509" t="inlineStr">
        <is>
          <t>Bergvik skog väst AB</t>
        </is>
      </c>
      <c r="G1509" t="n">
        <v>27.9</v>
      </c>
      <c r="H1509" t="n">
        <v>0</v>
      </c>
      <c r="I1509" t="n">
        <v>0</v>
      </c>
      <c r="J1509" t="n">
        <v>0</v>
      </c>
      <c r="K1509" t="n">
        <v>0</v>
      </c>
      <c r="L1509" t="n">
        <v>0</v>
      </c>
      <c r="M1509" t="n">
        <v>0</v>
      </c>
      <c r="N1509" t="n">
        <v>0</v>
      </c>
      <c r="O1509" t="n">
        <v>0</v>
      </c>
      <c r="P1509" t="n">
        <v>0</v>
      </c>
      <c r="Q1509" t="n">
        <v>0</v>
      </c>
      <c r="R1509" s="2" t="inlineStr"/>
    </row>
    <row r="1510" ht="15" customHeight="1">
      <c r="A1510" t="inlineStr">
        <is>
          <t>A 20916-2022</t>
        </is>
      </c>
      <c r="B1510" s="1" t="n">
        <v>44701.62305555555</v>
      </c>
      <c r="C1510" s="1" t="n">
        <v>45911</v>
      </c>
      <c r="D1510" t="inlineStr">
        <is>
          <t>GÄVLEBORGS LÄN</t>
        </is>
      </c>
      <c r="E1510" t="inlineStr">
        <is>
          <t>LJUSDAL</t>
        </is>
      </c>
      <c r="F1510" t="inlineStr">
        <is>
          <t>Sveaskog</t>
        </is>
      </c>
      <c r="G1510" t="n">
        <v>8.800000000000001</v>
      </c>
      <c r="H1510" t="n">
        <v>0</v>
      </c>
      <c r="I1510" t="n">
        <v>0</v>
      </c>
      <c r="J1510" t="n">
        <v>0</v>
      </c>
      <c r="K1510" t="n">
        <v>0</v>
      </c>
      <c r="L1510" t="n">
        <v>0</v>
      </c>
      <c r="M1510" t="n">
        <v>0</v>
      </c>
      <c r="N1510" t="n">
        <v>0</v>
      </c>
      <c r="O1510" t="n">
        <v>0</v>
      </c>
      <c r="P1510" t="n">
        <v>0</v>
      </c>
      <c r="Q1510" t="n">
        <v>0</v>
      </c>
      <c r="R1510" s="2" t="inlineStr"/>
    </row>
    <row r="1511" ht="15" customHeight="1">
      <c r="A1511" t="inlineStr">
        <is>
          <t>A 49807-2020</t>
        </is>
      </c>
      <c r="B1511" s="1" t="n">
        <v>44106.6565625</v>
      </c>
      <c r="C1511" s="1" t="n">
        <v>45911</v>
      </c>
      <c r="D1511" t="inlineStr">
        <is>
          <t>GÄVLEBORGS LÄN</t>
        </is>
      </c>
      <c r="E1511" t="inlineStr">
        <is>
          <t>LJUSDAL</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11423-2021</t>
        </is>
      </c>
      <c r="B1512" s="1" t="n">
        <v>44263.91773148148</v>
      </c>
      <c r="C1512" s="1" t="n">
        <v>45911</v>
      </c>
      <c r="D1512" t="inlineStr">
        <is>
          <t>GÄVLEBORGS LÄN</t>
        </is>
      </c>
      <c r="E1512" t="inlineStr">
        <is>
          <t>HUDIKSVALL</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57561-2021</t>
        </is>
      </c>
      <c r="B1513" s="1" t="n">
        <v>44483</v>
      </c>
      <c r="C1513" s="1" t="n">
        <v>45911</v>
      </c>
      <c r="D1513" t="inlineStr">
        <is>
          <t>GÄVLEBORGS LÄN</t>
        </is>
      </c>
      <c r="E1513" t="inlineStr">
        <is>
          <t>LJUSDAL</t>
        </is>
      </c>
      <c r="F1513" t="inlineStr">
        <is>
          <t>SCA</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40009-2021</t>
        </is>
      </c>
      <c r="B1514" s="1" t="n">
        <v>44418</v>
      </c>
      <c r="C1514" s="1" t="n">
        <v>45911</v>
      </c>
      <c r="D1514" t="inlineStr">
        <is>
          <t>GÄVLEBORGS LÄN</t>
        </is>
      </c>
      <c r="E1514" t="inlineStr">
        <is>
          <t>LJUSDAL</t>
        </is>
      </c>
      <c r="F1514" t="inlineStr">
        <is>
          <t>Sveaskog</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66902-2020</t>
        </is>
      </c>
      <c r="B1515" s="1" t="n">
        <v>44180</v>
      </c>
      <c r="C1515" s="1" t="n">
        <v>45911</v>
      </c>
      <c r="D1515" t="inlineStr">
        <is>
          <t>GÄVLEBORGS LÄN</t>
        </is>
      </c>
      <c r="E1515" t="inlineStr">
        <is>
          <t>SANDVIKEN</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50069-2020</t>
        </is>
      </c>
      <c r="B1516" s="1" t="n">
        <v>44109.53175925926</v>
      </c>
      <c r="C1516" s="1" t="n">
        <v>45911</v>
      </c>
      <c r="D1516" t="inlineStr">
        <is>
          <t>GÄVLEBORGS LÄN</t>
        </is>
      </c>
      <c r="E1516" t="inlineStr">
        <is>
          <t>NORDANSTIG</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22587-2021</t>
        </is>
      </c>
      <c r="B1517" s="1" t="n">
        <v>44327.40118055556</v>
      </c>
      <c r="C1517" s="1" t="n">
        <v>45911</v>
      </c>
      <c r="D1517" t="inlineStr">
        <is>
          <t>GÄVLEBORGS LÄN</t>
        </is>
      </c>
      <c r="E1517" t="inlineStr">
        <is>
          <t>OCKELBO</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65221-2020</t>
        </is>
      </c>
      <c r="B1518" s="1" t="n">
        <v>44172</v>
      </c>
      <c r="C1518" s="1" t="n">
        <v>45911</v>
      </c>
      <c r="D1518" t="inlineStr">
        <is>
          <t>GÄVLEBORGS LÄN</t>
        </is>
      </c>
      <c r="E1518" t="inlineStr">
        <is>
          <t>SÖDERHAMN</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59216-2021</t>
        </is>
      </c>
      <c r="B1519" s="1" t="n">
        <v>44490.61769675926</v>
      </c>
      <c r="C1519" s="1" t="n">
        <v>45911</v>
      </c>
      <c r="D1519" t="inlineStr">
        <is>
          <t>GÄVLEBORGS LÄN</t>
        </is>
      </c>
      <c r="E1519" t="inlineStr">
        <is>
          <t>SÖDERHAMN</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55411-2022</t>
        </is>
      </c>
      <c r="B1520" s="1" t="n">
        <v>44887.58847222223</v>
      </c>
      <c r="C1520" s="1" t="n">
        <v>45911</v>
      </c>
      <c r="D1520" t="inlineStr">
        <is>
          <t>GÄVLEBORGS LÄN</t>
        </is>
      </c>
      <c r="E1520" t="inlineStr">
        <is>
          <t>SANDVIKEN</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1569-2021</t>
        </is>
      </c>
      <c r="B1521" s="1" t="n">
        <v>44208</v>
      </c>
      <c r="C1521" s="1" t="n">
        <v>45911</v>
      </c>
      <c r="D1521" t="inlineStr">
        <is>
          <t>GÄVLEBORGS LÄN</t>
        </is>
      </c>
      <c r="E1521" t="inlineStr">
        <is>
          <t>NORDANSTIG</t>
        </is>
      </c>
      <c r="F1521" t="inlineStr">
        <is>
          <t>Holmen skog AB</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56635-2021</t>
        </is>
      </c>
      <c r="B1522" s="1" t="n">
        <v>44480</v>
      </c>
      <c r="C1522" s="1" t="n">
        <v>45911</v>
      </c>
      <c r="D1522" t="inlineStr">
        <is>
          <t>GÄVLEBORGS LÄN</t>
        </is>
      </c>
      <c r="E1522" t="inlineStr">
        <is>
          <t>OCKELBO</t>
        </is>
      </c>
      <c r="G1522" t="n">
        <v>10.8</v>
      </c>
      <c r="H1522" t="n">
        <v>0</v>
      </c>
      <c r="I1522" t="n">
        <v>0</v>
      </c>
      <c r="J1522" t="n">
        <v>0</v>
      </c>
      <c r="K1522" t="n">
        <v>0</v>
      </c>
      <c r="L1522" t="n">
        <v>0</v>
      </c>
      <c r="M1522" t="n">
        <v>0</v>
      </c>
      <c r="N1522" t="n">
        <v>0</v>
      </c>
      <c r="O1522" t="n">
        <v>0</v>
      </c>
      <c r="P1522" t="n">
        <v>0</v>
      </c>
      <c r="Q1522" t="n">
        <v>0</v>
      </c>
      <c r="R1522" s="2" t="inlineStr"/>
    </row>
    <row r="1523" ht="15" customHeight="1">
      <c r="A1523" t="inlineStr">
        <is>
          <t>A 52046-2021</t>
        </is>
      </c>
      <c r="B1523" s="1" t="n">
        <v>44463.36844907407</v>
      </c>
      <c r="C1523" s="1" t="n">
        <v>45911</v>
      </c>
      <c r="D1523" t="inlineStr">
        <is>
          <t>GÄVLEBORGS LÄN</t>
        </is>
      </c>
      <c r="E1523" t="inlineStr">
        <is>
          <t>OVANÅKER</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3400-2021</t>
        </is>
      </c>
      <c r="B1524" s="1" t="n">
        <v>44218.42019675926</v>
      </c>
      <c r="C1524" s="1" t="n">
        <v>45911</v>
      </c>
      <c r="D1524" t="inlineStr">
        <is>
          <t>GÄVLEBORGS LÄN</t>
        </is>
      </c>
      <c r="E1524" t="inlineStr">
        <is>
          <t>BOLLNÄS</t>
        </is>
      </c>
      <c r="G1524" t="n">
        <v>6</v>
      </c>
      <c r="H1524" t="n">
        <v>0</v>
      </c>
      <c r="I1524" t="n">
        <v>0</v>
      </c>
      <c r="J1524" t="n">
        <v>0</v>
      </c>
      <c r="K1524" t="n">
        <v>0</v>
      </c>
      <c r="L1524" t="n">
        <v>0</v>
      </c>
      <c r="M1524" t="n">
        <v>0</v>
      </c>
      <c r="N1524" t="n">
        <v>0</v>
      </c>
      <c r="O1524" t="n">
        <v>0</v>
      </c>
      <c r="P1524" t="n">
        <v>0</v>
      </c>
      <c r="Q1524" t="n">
        <v>0</v>
      </c>
      <c r="R1524" s="2" t="inlineStr"/>
    </row>
    <row r="1525" ht="15" customHeight="1">
      <c r="A1525" t="inlineStr">
        <is>
          <t>A 14470-2021</t>
        </is>
      </c>
      <c r="B1525" s="1" t="n">
        <v>44279</v>
      </c>
      <c r="C1525" s="1" t="n">
        <v>45911</v>
      </c>
      <c r="D1525" t="inlineStr">
        <is>
          <t>GÄVLEBORGS LÄN</t>
        </is>
      </c>
      <c r="E1525" t="inlineStr">
        <is>
          <t>BOLLNÄS</t>
        </is>
      </c>
      <c r="F1525" t="inlineStr">
        <is>
          <t>Kommuner</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15304-2021</t>
        </is>
      </c>
      <c r="B1526" s="1" t="n">
        <v>44284</v>
      </c>
      <c r="C1526" s="1" t="n">
        <v>45911</v>
      </c>
      <c r="D1526" t="inlineStr">
        <is>
          <t>GÄVLEBORGS LÄN</t>
        </is>
      </c>
      <c r="E1526" t="inlineStr">
        <is>
          <t>NORDANSTIG</t>
        </is>
      </c>
      <c r="G1526" t="n">
        <v>5.3</v>
      </c>
      <c r="H1526" t="n">
        <v>0</v>
      </c>
      <c r="I1526" t="n">
        <v>0</v>
      </c>
      <c r="J1526" t="n">
        <v>0</v>
      </c>
      <c r="K1526" t="n">
        <v>0</v>
      </c>
      <c r="L1526" t="n">
        <v>0</v>
      </c>
      <c r="M1526" t="n">
        <v>0</v>
      </c>
      <c r="N1526" t="n">
        <v>0</v>
      </c>
      <c r="O1526" t="n">
        <v>0</v>
      </c>
      <c r="P1526" t="n">
        <v>0</v>
      </c>
      <c r="Q1526" t="n">
        <v>0</v>
      </c>
      <c r="R1526" s="2" t="inlineStr"/>
    </row>
    <row r="1527" ht="15" customHeight="1">
      <c r="A1527" t="inlineStr">
        <is>
          <t>A 3411-2021</t>
        </is>
      </c>
      <c r="B1527" s="1" t="n">
        <v>44218</v>
      </c>
      <c r="C1527" s="1" t="n">
        <v>45911</v>
      </c>
      <c r="D1527" t="inlineStr">
        <is>
          <t>GÄVLEBORGS LÄN</t>
        </is>
      </c>
      <c r="E1527" t="inlineStr">
        <is>
          <t>BOLLNÄS</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31423-2021</t>
        </is>
      </c>
      <c r="B1528" s="1" t="n">
        <v>44369.35077546296</v>
      </c>
      <c r="C1528" s="1" t="n">
        <v>45911</v>
      </c>
      <c r="D1528" t="inlineStr">
        <is>
          <t>GÄVLEBORGS LÄN</t>
        </is>
      </c>
      <c r="E1528" t="inlineStr">
        <is>
          <t>GÄVLE</t>
        </is>
      </c>
      <c r="F1528" t="inlineStr">
        <is>
          <t>Bergvik skog väst AB</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66208-2021</t>
        </is>
      </c>
      <c r="B1529" s="1" t="n">
        <v>44518.35971064815</v>
      </c>
      <c r="C1529" s="1" t="n">
        <v>45911</v>
      </c>
      <c r="D1529" t="inlineStr">
        <is>
          <t>GÄVLEBORGS LÄN</t>
        </is>
      </c>
      <c r="E1529" t="inlineStr">
        <is>
          <t>LJUSDAL</t>
        </is>
      </c>
      <c r="F1529" t="inlineStr">
        <is>
          <t>Sveaskog</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30374-2022</t>
        </is>
      </c>
      <c r="B1530" s="1" t="n">
        <v>44760.65425925926</v>
      </c>
      <c r="C1530" s="1" t="n">
        <v>45911</v>
      </c>
      <c r="D1530" t="inlineStr">
        <is>
          <t>GÄVLEBORGS LÄN</t>
        </is>
      </c>
      <c r="E1530" t="inlineStr">
        <is>
          <t>OVANÅKER</t>
        </is>
      </c>
      <c r="G1530" t="n">
        <v>0.2</v>
      </c>
      <c r="H1530" t="n">
        <v>0</v>
      </c>
      <c r="I1530" t="n">
        <v>0</v>
      </c>
      <c r="J1530" t="n">
        <v>0</v>
      </c>
      <c r="K1530" t="n">
        <v>0</v>
      </c>
      <c r="L1530" t="n">
        <v>0</v>
      </c>
      <c r="M1530" t="n">
        <v>0</v>
      </c>
      <c r="N1530" t="n">
        <v>0</v>
      </c>
      <c r="O1530" t="n">
        <v>0</v>
      </c>
      <c r="P1530" t="n">
        <v>0</v>
      </c>
      <c r="Q1530" t="n">
        <v>0</v>
      </c>
      <c r="R1530" s="2" t="inlineStr"/>
    </row>
    <row r="1531" ht="15" customHeight="1">
      <c r="A1531" t="inlineStr">
        <is>
          <t>A 51271-2021</t>
        </is>
      </c>
      <c r="B1531" s="1" t="n">
        <v>44460</v>
      </c>
      <c r="C1531" s="1" t="n">
        <v>45911</v>
      </c>
      <c r="D1531" t="inlineStr">
        <is>
          <t>GÄVLEBORGS LÄN</t>
        </is>
      </c>
      <c r="E1531" t="inlineStr">
        <is>
          <t>OCKELBO</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31930-2021</t>
        </is>
      </c>
      <c r="B1532" s="1" t="n">
        <v>44370.49515046296</v>
      </c>
      <c r="C1532" s="1" t="n">
        <v>45911</v>
      </c>
      <c r="D1532" t="inlineStr">
        <is>
          <t>GÄVLEBORGS LÄN</t>
        </is>
      </c>
      <c r="E1532" t="inlineStr">
        <is>
          <t>NORDANSTIG</t>
        </is>
      </c>
      <c r="G1532" t="n">
        <v>9.4</v>
      </c>
      <c r="H1532" t="n">
        <v>0</v>
      </c>
      <c r="I1532" t="n">
        <v>0</v>
      </c>
      <c r="J1532" t="n">
        <v>0</v>
      </c>
      <c r="K1532" t="n">
        <v>0</v>
      </c>
      <c r="L1532" t="n">
        <v>0</v>
      </c>
      <c r="M1532" t="n">
        <v>0</v>
      </c>
      <c r="N1532" t="n">
        <v>0</v>
      </c>
      <c r="O1532" t="n">
        <v>0</v>
      </c>
      <c r="P1532" t="n">
        <v>0</v>
      </c>
      <c r="Q1532" t="n">
        <v>0</v>
      </c>
      <c r="R1532" s="2" t="inlineStr"/>
    </row>
    <row r="1533" ht="15" customHeight="1">
      <c r="A1533" t="inlineStr">
        <is>
          <t>A 36680-2021</t>
        </is>
      </c>
      <c r="B1533" s="1" t="n">
        <v>44392</v>
      </c>
      <c r="C1533" s="1" t="n">
        <v>45911</v>
      </c>
      <c r="D1533" t="inlineStr">
        <is>
          <t>GÄVLEBORGS LÄN</t>
        </is>
      </c>
      <c r="E1533" t="inlineStr">
        <is>
          <t>SÖDERHAMN</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18394-2021</t>
        </is>
      </c>
      <c r="B1534" s="1" t="n">
        <v>44305.62493055555</v>
      </c>
      <c r="C1534" s="1" t="n">
        <v>45911</v>
      </c>
      <c r="D1534" t="inlineStr">
        <is>
          <t>GÄVLEBORGS LÄN</t>
        </is>
      </c>
      <c r="E1534" t="inlineStr">
        <is>
          <t>NORDANSTIG</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19180-2021</t>
        </is>
      </c>
      <c r="B1535" s="1" t="n">
        <v>44308.72342592593</v>
      </c>
      <c r="C1535" s="1" t="n">
        <v>45911</v>
      </c>
      <c r="D1535" t="inlineStr">
        <is>
          <t>GÄVLEBORGS LÄN</t>
        </is>
      </c>
      <c r="E1535" t="inlineStr">
        <is>
          <t>GÄVLE</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33180-2021</t>
        </is>
      </c>
      <c r="B1536" s="1" t="n">
        <v>44376</v>
      </c>
      <c r="C1536" s="1" t="n">
        <v>45911</v>
      </c>
      <c r="D1536" t="inlineStr">
        <is>
          <t>GÄVLEBORGS LÄN</t>
        </is>
      </c>
      <c r="E1536" t="inlineStr">
        <is>
          <t>OVANÅKER</t>
        </is>
      </c>
      <c r="F1536" t="inlineStr">
        <is>
          <t>Sveaskog</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1031-2022</t>
        </is>
      </c>
      <c r="B1537" s="1" t="n">
        <v>44571</v>
      </c>
      <c r="C1537" s="1" t="n">
        <v>45911</v>
      </c>
      <c r="D1537" t="inlineStr">
        <is>
          <t>GÄVLEBORGS LÄN</t>
        </is>
      </c>
      <c r="E1537" t="inlineStr">
        <is>
          <t>GÄVLE</t>
        </is>
      </c>
      <c r="G1537" t="n">
        <v>12.2</v>
      </c>
      <c r="H1537" t="n">
        <v>0</v>
      </c>
      <c r="I1537" t="n">
        <v>0</v>
      </c>
      <c r="J1537" t="n">
        <v>0</v>
      </c>
      <c r="K1537" t="n">
        <v>0</v>
      </c>
      <c r="L1537" t="n">
        <v>0</v>
      </c>
      <c r="M1537" t="n">
        <v>0</v>
      </c>
      <c r="N1537" t="n">
        <v>0</v>
      </c>
      <c r="O1537" t="n">
        <v>0</v>
      </c>
      <c r="P1537" t="n">
        <v>0</v>
      </c>
      <c r="Q1537" t="n">
        <v>0</v>
      </c>
      <c r="R1537" s="2" t="inlineStr"/>
    </row>
    <row r="1538" ht="15" customHeight="1">
      <c r="A1538" t="inlineStr">
        <is>
          <t>A 8328-2022</t>
        </is>
      </c>
      <c r="B1538" s="1" t="n">
        <v>44610</v>
      </c>
      <c r="C1538" s="1" t="n">
        <v>45911</v>
      </c>
      <c r="D1538" t="inlineStr">
        <is>
          <t>GÄVLEBORGS LÄN</t>
        </is>
      </c>
      <c r="E1538" t="inlineStr">
        <is>
          <t>HUDIKSVALL</t>
        </is>
      </c>
      <c r="G1538" t="n">
        <v>11.9</v>
      </c>
      <c r="H1538" t="n">
        <v>0</v>
      </c>
      <c r="I1538" t="n">
        <v>0</v>
      </c>
      <c r="J1538" t="n">
        <v>0</v>
      </c>
      <c r="K1538" t="n">
        <v>0</v>
      </c>
      <c r="L1538" t="n">
        <v>0</v>
      </c>
      <c r="M1538" t="n">
        <v>0</v>
      </c>
      <c r="N1538" t="n">
        <v>0</v>
      </c>
      <c r="O1538" t="n">
        <v>0</v>
      </c>
      <c r="P1538" t="n">
        <v>0</v>
      </c>
      <c r="Q1538" t="n">
        <v>0</v>
      </c>
      <c r="R1538" s="2" t="inlineStr"/>
    </row>
    <row r="1539" ht="15" customHeight="1">
      <c r="A1539" t="inlineStr">
        <is>
          <t>A 22416-2021</t>
        </is>
      </c>
      <c r="B1539" s="1" t="n">
        <v>44326.62326388889</v>
      </c>
      <c r="C1539" s="1" t="n">
        <v>45911</v>
      </c>
      <c r="D1539" t="inlineStr">
        <is>
          <t>GÄVLEBORGS LÄN</t>
        </is>
      </c>
      <c r="E1539" t="inlineStr">
        <is>
          <t>OVANÅKER</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18235-2022</t>
        </is>
      </c>
      <c r="B1540" s="1" t="n">
        <v>44685</v>
      </c>
      <c r="C1540" s="1" t="n">
        <v>45911</v>
      </c>
      <c r="D1540" t="inlineStr">
        <is>
          <t>GÄVLEBORGS LÄN</t>
        </is>
      </c>
      <c r="E1540" t="inlineStr">
        <is>
          <t>HUDIKSVALL</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25200-2022</t>
        </is>
      </c>
      <c r="B1541" s="1" t="n">
        <v>44729.65466435185</v>
      </c>
      <c r="C1541" s="1" t="n">
        <v>45911</v>
      </c>
      <c r="D1541" t="inlineStr">
        <is>
          <t>GÄVLEBORGS LÄN</t>
        </is>
      </c>
      <c r="E1541" t="inlineStr">
        <is>
          <t>NORDANSTIG</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19264-2021</t>
        </is>
      </c>
      <c r="B1542" s="1" t="n">
        <v>44309</v>
      </c>
      <c r="C1542" s="1" t="n">
        <v>45911</v>
      </c>
      <c r="D1542" t="inlineStr">
        <is>
          <t>GÄVLEBORGS LÄN</t>
        </is>
      </c>
      <c r="E1542" t="inlineStr">
        <is>
          <t>NORDANSTIG</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21189-2022</t>
        </is>
      </c>
      <c r="B1543" s="1" t="n">
        <v>44704.92618055556</v>
      </c>
      <c r="C1543" s="1" t="n">
        <v>45911</v>
      </c>
      <c r="D1543" t="inlineStr">
        <is>
          <t>GÄVLEBORGS LÄN</t>
        </is>
      </c>
      <c r="E1543" t="inlineStr">
        <is>
          <t>NORDANSTIG</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42287-2021</t>
        </is>
      </c>
      <c r="B1544" s="1" t="n">
        <v>44427.35351851852</v>
      </c>
      <c r="C1544" s="1" t="n">
        <v>45911</v>
      </c>
      <c r="D1544" t="inlineStr">
        <is>
          <t>GÄVLEBORGS LÄN</t>
        </is>
      </c>
      <c r="E1544" t="inlineStr">
        <is>
          <t>SANDVIKEN</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26499-2021</t>
        </is>
      </c>
      <c r="B1545" s="1" t="n">
        <v>44348.44310185185</v>
      </c>
      <c r="C1545" s="1" t="n">
        <v>45911</v>
      </c>
      <c r="D1545" t="inlineStr">
        <is>
          <t>GÄVLEBORGS LÄN</t>
        </is>
      </c>
      <c r="E1545" t="inlineStr">
        <is>
          <t>OCKELBO</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73447-2021</t>
        </is>
      </c>
      <c r="B1546" s="1" t="n">
        <v>44551.56446759259</v>
      </c>
      <c r="C1546" s="1" t="n">
        <v>45911</v>
      </c>
      <c r="D1546" t="inlineStr">
        <is>
          <t>GÄVLEBORGS LÄN</t>
        </is>
      </c>
      <c r="E1546" t="inlineStr">
        <is>
          <t>SÖDERHAMN</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55209-2021</t>
        </is>
      </c>
      <c r="B1547" s="1" t="n">
        <v>44475.37101851852</v>
      </c>
      <c r="C1547" s="1" t="n">
        <v>45911</v>
      </c>
      <c r="D1547" t="inlineStr">
        <is>
          <t>GÄVLEBORGS LÄN</t>
        </is>
      </c>
      <c r="E1547" t="inlineStr">
        <is>
          <t>LJUSDAL</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41529-2021</t>
        </is>
      </c>
      <c r="B1548" s="1" t="n">
        <v>44425.33693287037</v>
      </c>
      <c r="C1548" s="1" t="n">
        <v>45911</v>
      </c>
      <c r="D1548" t="inlineStr">
        <is>
          <t>GÄVLEBORGS LÄN</t>
        </is>
      </c>
      <c r="E1548" t="inlineStr">
        <is>
          <t>OVANÅKER</t>
        </is>
      </c>
      <c r="F1548" t="inlineStr">
        <is>
          <t>Bergvik skog väst AB</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42469-2022</t>
        </is>
      </c>
      <c r="B1549" s="1" t="n">
        <v>44831.5209837963</v>
      </c>
      <c r="C1549" s="1" t="n">
        <v>45911</v>
      </c>
      <c r="D1549" t="inlineStr">
        <is>
          <t>GÄVLEBORGS LÄN</t>
        </is>
      </c>
      <c r="E1549" t="inlineStr">
        <is>
          <t>NORDANSTIG</t>
        </is>
      </c>
      <c r="F1549" t="inlineStr">
        <is>
          <t>Holmen skog AB</t>
        </is>
      </c>
      <c r="G1549" t="n">
        <v>13.2</v>
      </c>
      <c r="H1549" t="n">
        <v>0</v>
      </c>
      <c r="I1549" t="n">
        <v>0</v>
      </c>
      <c r="J1549" t="n">
        <v>0</v>
      </c>
      <c r="K1549" t="n">
        <v>0</v>
      </c>
      <c r="L1549" t="n">
        <v>0</v>
      </c>
      <c r="M1549" t="n">
        <v>0</v>
      </c>
      <c r="N1549" t="n">
        <v>0</v>
      </c>
      <c r="O1549" t="n">
        <v>0</v>
      </c>
      <c r="P1549" t="n">
        <v>0</v>
      </c>
      <c r="Q1549" t="n">
        <v>0</v>
      </c>
      <c r="R1549" s="2" t="inlineStr"/>
    </row>
    <row r="1550" ht="15" customHeight="1">
      <c r="A1550" t="inlineStr">
        <is>
          <t>A 42519-2022</t>
        </is>
      </c>
      <c r="B1550" s="1" t="n">
        <v>44831.60743055555</v>
      </c>
      <c r="C1550" s="1" t="n">
        <v>45911</v>
      </c>
      <c r="D1550" t="inlineStr">
        <is>
          <t>GÄVLEBORGS LÄN</t>
        </is>
      </c>
      <c r="E1550" t="inlineStr">
        <is>
          <t>BOLLNÄS</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80-2022</t>
        </is>
      </c>
      <c r="B1551" s="1" t="n">
        <v>44564.47640046296</v>
      </c>
      <c r="C1551" s="1" t="n">
        <v>45911</v>
      </c>
      <c r="D1551" t="inlineStr">
        <is>
          <t>GÄVLEBORGS LÄN</t>
        </is>
      </c>
      <c r="E1551" t="inlineStr">
        <is>
          <t>OVANÅKER</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28878-2021</t>
        </is>
      </c>
      <c r="B1552" s="1" t="n">
        <v>44357</v>
      </c>
      <c r="C1552" s="1" t="n">
        <v>45911</v>
      </c>
      <c r="D1552" t="inlineStr">
        <is>
          <t>GÄVLEBORGS LÄN</t>
        </is>
      </c>
      <c r="E1552" t="inlineStr">
        <is>
          <t>NORDANSTIG</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39170-2022</t>
        </is>
      </c>
      <c r="B1553" s="1" t="n">
        <v>44817.4978125</v>
      </c>
      <c r="C1553" s="1" t="n">
        <v>45911</v>
      </c>
      <c r="D1553" t="inlineStr">
        <is>
          <t>GÄVLEBORGS LÄN</t>
        </is>
      </c>
      <c r="E1553" t="inlineStr">
        <is>
          <t>SANDVIKEN</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12108-2022</t>
        </is>
      </c>
      <c r="B1554" s="1" t="n">
        <v>44636</v>
      </c>
      <c r="C1554" s="1" t="n">
        <v>45911</v>
      </c>
      <c r="D1554" t="inlineStr">
        <is>
          <t>GÄVLEBORGS LÄN</t>
        </is>
      </c>
      <c r="E1554" t="inlineStr">
        <is>
          <t>BOLLNÄS</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30556-2022</t>
        </is>
      </c>
      <c r="B1555" s="1" t="n">
        <v>44762</v>
      </c>
      <c r="C1555" s="1" t="n">
        <v>45911</v>
      </c>
      <c r="D1555" t="inlineStr">
        <is>
          <t>GÄVLEBORGS LÄN</t>
        </is>
      </c>
      <c r="E1555" t="inlineStr">
        <is>
          <t>LJUSDAL</t>
        </is>
      </c>
      <c r="F1555" t="inlineStr">
        <is>
          <t>Bergvik skog väst AB</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50243-2020</t>
        </is>
      </c>
      <c r="B1556" s="1" t="n">
        <v>44109</v>
      </c>
      <c r="C1556" s="1" t="n">
        <v>45911</v>
      </c>
      <c r="D1556" t="inlineStr">
        <is>
          <t>GÄVLEBORGS LÄN</t>
        </is>
      </c>
      <c r="E1556" t="inlineStr">
        <is>
          <t>OVANÅKER</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67768-2021</t>
        </is>
      </c>
      <c r="B1557" s="1" t="n">
        <v>44525.3771412037</v>
      </c>
      <c r="C1557" s="1" t="n">
        <v>45911</v>
      </c>
      <c r="D1557" t="inlineStr">
        <is>
          <t>GÄVLEBORGS LÄN</t>
        </is>
      </c>
      <c r="E1557" t="inlineStr">
        <is>
          <t>OCKELBO</t>
        </is>
      </c>
      <c r="F1557" t="inlineStr">
        <is>
          <t>Bergvik skog väst AB</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48401-2020</t>
        </is>
      </c>
      <c r="B1558" s="1" t="n">
        <v>44102</v>
      </c>
      <c r="C1558" s="1" t="n">
        <v>45911</v>
      </c>
      <c r="D1558" t="inlineStr">
        <is>
          <t>GÄVLEBORGS LÄN</t>
        </is>
      </c>
      <c r="E1558" t="inlineStr">
        <is>
          <t>SANDVIKEN</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71698-2021</t>
        </is>
      </c>
      <c r="B1559" s="1" t="n">
        <v>44543.43693287037</v>
      </c>
      <c r="C1559" s="1" t="n">
        <v>45911</v>
      </c>
      <c r="D1559" t="inlineStr">
        <is>
          <t>GÄVLEBORGS LÄN</t>
        </is>
      </c>
      <c r="E1559" t="inlineStr">
        <is>
          <t>LJUSDAL</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54390-2022</t>
        </is>
      </c>
      <c r="B1560" s="1" t="n">
        <v>44882.52335648148</v>
      </c>
      <c r="C1560" s="1" t="n">
        <v>45911</v>
      </c>
      <c r="D1560" t="inlineStr">
        <is>
          <t>GÄVLEBORGS LÄN</t>
        </is>
      </c>
      <c r="E1560" t="inlineStr">
        <is>
          <t>GÄVLE</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50697-2021</t>
        </is>
      </c>
      <c r="B1561" s="1" t="n">
        <v>44460</v>
      </c>
      <c r="C1561" s="1" t="n">
        <v>45911</v>
      </c>
      <c r="D1561" t="inlineStr">
        <is>
          <t>GÄVLEBORGS LÄN</t>
        </is>
      </c>
      <c r="E1561" t="inlineStr">
        <is>
          <t>LJUSDAL</t>
        </is>
      </c>
      <c r="F1561" t="inlineStr">
        <is>
          <t>Holmen skog AB</t>
        </is>
      </c>
      <c r="G1561" t="n">
        <v>4.5</v>
      </c>
      <c r="H1561" t="n">
        <v>0</v>
      </c>
      <c r="I1561" t="n">
        <v>0</v>
      </c>
      <c r="J1561" t="n">
        <v>0</v>
      </c>
      <c r="K1561" t="n">
        <v>0</v>
      </c>
      <c r="L1561" t="n">
        <v>0</v>
      </c>
      <c r="M1561" t="n">
        <v>0</v>
      </c>
      <c r="N1561" t="n">
        <v>0</v>
      </c>
      <c r="O1561" t="n">
        <v>0</v>
      </c>
      <c r="P1561" t="n">
        <v>0</v>
      </c>
      <c r="Q1561" t="n">
        <v>0</v>
      </c>
      <c r="R1561" s="2" t="inlineStr"/>
    </row>
    <row r="1562" ht="15" customHeight="1">
      <c r="A1562" t="inlineStr">
        <is>
          <t>A 37565-2021</t>
        </is>
      </c>
      <c r="B1562" s="1" t="n">
        <v>44399</v>
      </c>
      <c r="C1562" s="1" t="n">
        <v>45911</v>
      </c>
      <c r="D1562" t="inlineStr">
        <is>
          <t>GÄVLEBORGS LÄN</t>
        </is>
      </c>
      <c r="E1562" t="inlineStr">
        <is>
          <t>OCKELBO</t>
        </is>
      </c>
      <c r="G1562" t="n">
        <v>6</v>
      </c>
      <c r="H1562" t="n">
        <v>0</v>
      </c>
      <c r="I1562" t="n">
        <v>0</v>
      </c>
      <c r="J1562" t="n">
        <v>0</v>
      </c>
      <c r="K1562" t="n">
        <v>0</v>
      </c>
      <c r="L1562" t="n">
        <v>0</v>
      </c>
      <c r="M1562" t="n">
        <v>0</v>
      </c>
      <c r="N1562" t="n">
        <v>0</v>
      </c>
      <c r="O1562" t="n">
        <v>0</v>
      </c>
      <c r="P1562" t="n">
        <v>0</v>
      </c>
      <c r="Q1562" t="n">
        <v>0</v>
      </c>
      <c r="R1562" s="2" t="inlineStr"/>
    </row>
    <row r="1563" ht="15" customHeight="1">
      <c r="A1563" t="inlineStr">
        <is>
          <t>A 21688-2021</t>
        </is>
      </c>
      <c r="B1563" s="1" t="n">
        <v>44322</v>
      </c>
      <c r="C1563" s="1" t="n">
        <v>45911</v>
      </c>
      <c r="D1563" t="inlineStr">
        <is>
          <t>GÄVLEBORGS LÄN</t>
        </is>
      </c>
      <c r="E1563" t="inlineStr">
        <is>
          <t>HUDIKSVALL</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60481-2021</t>
        </is>
      </c>
      <c r="B1564" s="1" t="n">
        <v>44496</v>
      </c>
      <c r="C1564" s="1" t="n">
        <v>45911</v>
      </c>
      <c r="D1564" t="inlineStr">
        <is>
          <t>GÄVLEBORGS LÄN</t>
        </is>
      </c>
      <c r="E1564" t="inlineStr">
        <is>
          <t>BOLLNÄS</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73672-2021</t>
        </is>
      </c>
      <c r="B1565" s="1" t="n">
        <v>44552</v>
      </c>
      <c r="C1565" s="1" t="n">
        <v>45911</v>
      </c>
      <c r="D1565" t="inlineStr">
        <is>
          <t>GÄVLEBORGS LÄN</t>
        </is>
      </c>
      <c r="E1565" t="inlineStr">
        <is>
          <t>LJUSDAL</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3121-2021</t>
        </is>
      </c>
      <c r="B1566" s="1" t="n">
        <v>44217</v>
      </c>
      <c r="C1566" s="1" t="n">
        <v>45911</v>
      </c>
      <c r="D1566" t="inlineStr">
        <is>
          <t>GÄVLEBORGS LÄN</t>
        </is>
      </c>
      <c r="E1566" t="inlineStr">
        <is>
          <t>SÖDERHAMN</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12330-2022</t>
        </is>
      </c>
      <c r="B1567" s="1" t="n">
        <v>44637.62068287037</v>
      </c>
      <c r="C1567" s="1" t="n">
        <v>45911</v>
      </c>
      <c r="D1567" t="inlineStr">
        <is>
          <t>GÄVLEBORGS LÄN</t>
        </is>
      </c>
      <c r="E1567" t="inlineStr">
        <is>
          <t>OVANÅKER</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32238-2022</t>
        </is>
      </c>
      <c r="B1568" s="1" t="n">
        <v>44781</v>
      </c>
      <c r="C1568" s="1" t="n">
        <v>45911</v>
      </c>
      <c r="D1568" t="inlineStr">
        <is>
          <t>GÄVLEBORGS LÄN</t>
        </is>
      </c>
      <c r="E1568" t="inlineStr">
        <is>
          <t>LJUSDAL</t>
        </is>
      </c>
      <c r="F1568" t="inlineStr">
        <is>
          <t>Holmen skog AB</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5614-2022</t>
        </is>
      </c>
      <c r="B1569" s="1" t="n">
        <v>44595</v>
      </c>
      <c r="C1569" s="1" t="n">
        <v>45911</v>
      </c>
      <c r="D1569" t="inlineStr">
        <is>
          <t>GÄVLEBORGS LÄN</t>
        </is>
      </c>
      <c r="E1569" t="inlineStr">
        <is>
          <t>LJUSDAL</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51645-2022</t>
        </is>
      </c>
      <c r="B1570" s="1" t="n">
        <v>44872.38538194444</v>
      </c>
      <c r="C1570" s="1" t="n">
        <v>45911</v>
      </c>
      <c r="D1570" t="inlineStr">
        <is>
          <t>GÄVLEBORGS LÄN</t>
        </is>
      </c>
      <c r="E1570" t="inlineStr">
        <is>
          <t>BOLLNÄS</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53618-2022</t>
        </is>
      </c>
      <c r="B1571" s="1" t="n">
        <v>44879</v>
      </c>
      <c r="C1571" s="1" t="n">
        <v>45911</v>
      </c>
      <c r="D1571" t="inlineStr">
        <is>
          <t>GÄVLEBORGS LÄN</t>
        </is>
      </c>
      <c r="E1571" t="inlineStr">
        <is>
          <t>BOLLNÄS</t>
        </is>
      </c>
      <c r="F1571" t="inlineStr">
        <is>
          <t>Bergvik skog väst AB</t>
        </is>
      </c>
      <c r="G1571" t="n">
        <v>7.1</v>
      </c>
      <c r="H1571" t="n">
        <v>0</v>
      </c>
      <c r="I1571" t="n">
        <v>0</v>
      </c>
      <c r="J1571" t="n">
        <v>0</v>
      </c>
      <c r="K1571" t="n">
        <v>0</v>
      </c>
      <c r="L1571" t="n">
        <v>0</v>
      </c>
      <c r="M1571" t="n">
        <v>0</v>
      </c>
      <c r="N1571" t="n">
        <v>0</v>
      </c>
      <c r="O1571" t="n">
        <v>0</v>
      </c>
      <c r="P1571" t="n">
        <v>0</v>
      </c>
      <c r="Q1571" t="n">
        <v>0</v>
      </c>
      <c r="R1571" s="2" t="inlineStr"/>
    </row>
    <row r="1572" ht="15" customHeight="1">
      <c r="A1572" t="inlineStr">
        <is>
          <t>A 43490-2022</t>
        </is>
      </c>
      <c r="B1572" s="1" t="n">
        <v>44837.31979166667</v>
      </c>
      <c r="C1572" s="1" t="n">
        <v>45911</v>
      </c>
      <c r="D1572" t="inlineStr">
        <is>
          <t>GÄVLEBORGS LÄN</t>
        </is>
      </c>
      <c r="E1572" t="inlineStr">
        <is>
          <t>SÖDERHAMN</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72082-2021</t>
        </is>
      </c>
      <c r="B1573" s="1" t="n">
        <v>44544.51834490741</v>
      </c>
      <c r="C1573" s="1" t="n">
        <v>45911</v>
      </c>
      <c r="D1573" t="inlineStr">
        <is>
          <t>GÄVLEBORGS LÄN</t>
        </is>
      </c>
      <c r="E1573" t="inlineStr">
        <is>
          <t>NORDANSTIG</t>
        </is>
      </c>
      <c r="F1573" t="inlineStr">
        <is>
          <t>Holmen skog AB</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28527-2022</t>
        </is>
      </c>
      <c r="B1574" s="1" t="n">
        <v>44748</v>
      </c>
      <c r="C1574" s="1" t="n">
        <v>45911</v>
      </c>
      <c r="D1574" t="inlineStr">
        <is>
          <t>GÄVLEBORGS LÄN</t>
        </is>
      </c>
      <c r="E1574" t="inlineStr">
        <is>
          <t>LJUSDAL</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62146-2021</t>
        </is>
      </c>
      <c r="B1575" s="1" t="n">
        <v>44502</v>
      </c>
      <c r="C1575" s="1" t="n">
        <v>45911</v>
      </c>
      <c r="D1575" t="inlineStr">
        <is>
          <t>GÄVLEBORGS LÄN</t>
        </is>
      </c>
      <c r="E1575" t="inlineStr">
        <is>
          <t>LJUSDAL</t>
        </is>
      </c>
      <c r="G1575" t="n">
        <v>6</v>
      </c>
      <c r="H1575" t="n">
        <v>0</v>
      </c>
      <c r="I1575" t="n">
        <v>0</v>
      </c>
      <c r="J1575" t="n">
        <v>0</v>
      </c>
      <c r="K1575" t="n">
        <v>0</v>
      </c>
      <c r="L1575" t="n">
        <v>0</v>
      </c>
      <c r="M1575" t="n">
        <v>0</v>
      </c>
      <c r="N1575" t="n">
        <v>0</v>
      </c>
      <c r="O1575" t="n">
        <v>0</v>
      </c>
      <c r="P1575" t="n">
        <v>0</v>
      </c>
      <c r="Q1575" t="n">
        <v>0</v>
      </c>
      <c r="R1575" s="2" t="inlineStr"/>
    </row>
    <row r="1576" ht="15" customHeight="1">
      <c r="A1576" t="inlineStr">
        <is>
          <t>A 28454-2022</t>
        </is>
      </c>
      <c r="B1576" s="1" t="n">
        <v>44747.69561342592</v>
      </c>
      <c r="C1576" s="1" t="n">
        <v>45911</v>
      </c>
      <c r="D1576" t="inlineStr">
        <is>
          <t>GÄVLEBORGS LÄN</t>
        </is>
      </c>
      <c r="E1576" t="inlineStr">
        <is>
          <t>LJUSDAL</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19279-2022</t>
        </is>
      </c>
      <c r="B1577" s="1" t="n">
        <v>44692</v>
      </c>
      <c r="C1577" s="1" t="n">
        <v>45911</v>
      </c>
      <c r="D1577" t="inlineStr">
        <is>
          <t>GÄVLEBORGS LÄN</t>
        </is>
      </c>
      <c r="E1577" t="inlineStr">
        <is>
          <t>NORDANSTIG</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19288-2022</t>
        </is>
      </c>
      <c r="B1578" s="1" t="n">
        <v>44692.49936342592</v>
      </c>
      <c r="C1578" s="1" t="n">
        <v>45911</v>
      </c>
      <c r="D1578" t="inlineStr">
        <is>
          <t>GÄVLEBORGS LÄN</t>
        </is>
      </c>
      <c r="E1578" t="inlineStr">
        <is>
          <t>LJUSDAL</t>
        </is>
      </c>
      <c r="F1578" t="inlineStr">
        <is>
          <t>Holmen skog AB</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19292-2022</t>
        </is>
      </c>
      <c r="B1579" s="1" t="n">
        <v>44692</v>
      </c>
      <c r="C1579" s="1" t="n">
        <v>45911</v>
      </c>
      <c r="D1579" t="inlineStr">
        <is>
          <t>GÄVLEBORGS LÄN</t>
        </is>
      </c>
      <c r="E1579" t="inlineStr">
        <is>
          <t>HOFORS</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16559-2021</t>
        </is>
      </c>
      <c r="B1580" s="1" t="n">
        <v>44293.91796296297</v>
      </c>
      <c r="C1580" s="1" t="n">
        <v>45911</v>
      </c>
      <c r="D1580" t="inlineStr">
        <is>
          <t>GÄVLEBORGS LÄN</t>
        </is>
      </c>
      <c r="E1580" t="inlineStr">
        <is>
          <t>HUDIKSVALL</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15705-2022</t>
        </is>
      </c>
      <c r="B1581" s="1" t="n">
        <v>44663.44337962963</v>
      </c>
      <c r="C1581" s="1" t="n">
        <v>45911</v>
      </c>
      <c r="D1581" t="inlineStr">
        <is>
          <t>GÄVLEBORGS LÄN</t>
        </is>
      </c>
      <c r="E1581" t="inlineStr">
        <is>
          <t>OCKELBO</t>
        </is>
      </c>
      <c r="F1581" t="inlineStr">
        <is>
          <t>Bergvik skog väst AB</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18082-2021</t>
        </is>
      </c>
      <c r="B1582" s="1" t="n">
        <v>44302.45612268519</v>
      </c>
      <c r="C1582" s="1" t="n">
        <v>45911</v>
      </c>
      <c r="D1582" t="inlineStr">
        <is>
          <t>GÄVLEBORGS LÄN</t>
        </is>
      </c>
      <c r="E1582" t="inlineStr">
        <is>
          <t>HUDIKSVALL</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34457-2022</t>
        </is>
      </c>
      <c r="B1583" s="1" t="n">
        <v>44792</v>
      </c>
      <c r="C1583" s="1" t="n">
        <v>45911</v>
      </c>
      <c r="D1583" t="inlineStr">
        <is>
          <t>GÄVLEBORGS LÄN</t>
        </is>
      </c>
      <c r="E1583" t="inlineStr">
        <is>
          <t>LJUSDAL</t>
        </is>
      </c>
      <c r="F1583" t="inlineStr">
        <is>
          <t>Sveaskog</t>
        </is>
      </c>
      <c r="G1583" t="n">
        <v>11.1</v>
      </c>
      <c r="H1583" t="n">
        <v>0</v>
      </c>
      <c r="I1583" t="n">
        <v>0</v>
      </c>
      <c r="J1583" t="n">
        <v>0</v>
      </c>
      <c r="K1583" t="n">
        <v>0</v>
      </c>
      <c r="L1583" t="n">
        <v>0</v>
      </c>
      <c r="M1583" t="n">
        <v>0</v>
      </c>
      <c r="N1583" t="n">
        <v>0</v>
      </c>
      <c r="O1583" t="n">
        <v>0</v>
      </c>
      <c r="P1583" t="n">
        <v>0</v>
      </c>
      <c r="Q1583" t="n">
        <v>0</v>
      </c>
      <c r="R1583" s="2" t="inlineStr"/>
    </row>
    <row r="1584" ht="15" customHeight="1">
      <c r="A1584" t="inlineStr">
        <is>
          <t>A 11993-2022</t>
        </is>
      </c>
      <c r="B1584" s="1" t="n">
        <v>44635.71787037037</v>
      </c>
      <c r="C1584" s="1" t="n">
        <v>45911</v>
      </c>
      <c r="D1584" t="inlineStr">
        <is>
          <t>GÄVLEBORGS LÄN</t>
        </is>
      </c>
      <c r="E1584" t="inlineStr">
        <is>
          <t>SANDVIKEN</t>
        </is>
      </c>
      <c r="G1584" t="n">
        <v>3.6</v>
      </c>
      <c r="H1584" t="n">
        <v>0</v>
      </c>
      <c r="I1584" t="n">
        <v>0</v>
      </c>
      <c r="J1584" t="n">
        <v>0</v>
      </c>
      <c r="K1584" t="n">
        <v>0</v>
      </c>
      <c r="L1584" t="n">
        <v>0</v>
      </c>
      <c r="M1584" t="n">
        <v>0</v>
      </c>
      <c r="N1584" t="n">
        <v>0</v>
      </c>
      <c r="O1584" t="n">
        <v>0</v>
      </c>
      <c r="P1584" t="n">
        <v>0</v>
      </c>
      <c r="Q1584" t="n">
        <v>0</v>
      </c>
      <c r="R1584" s="2" t="inlineStr"/>
    </row>
    <row r="1585" ht="15" customHeight="1">
      <c r="A1585" t="inlineStr">
        <is>
          <t>A 59611-2021</t>
        </is>
      </c>
      <c r="B1585" s="1" t="n">
        <v>44491.69429398148</v>
      </c>
      <c r="C1585" s="1" t="n">
        <v>45911</v>
      </c>
      <c r="D1585" t="inlineStr">
        <is>
          <t>GÄVLEBORGS LÄN</t>
        </is>
      </c>
      <c r="E1585" t="inlineStr">
        <is>
          <t>SÖDERHAMN</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18167-2022</t>
        </is>
      </c>
      <c r="B1586" s="1" t="n">
        <v>44684</v>
      </c>
      <c r="C1586" s="1" t="n">
        <v>45911</v>
      </c>
      <c r="D1586" t="inlineStr">
        <is>
          <t>GÄVLEBORGS LÄN</t>
        </is>
      </c>
      <c r="E1586" t="inlineStr">
        <is>
          <t>NORDANSTIG</t>
        </is>
      </c>
      <c r="F1586" t="inlineStr">
        <is>
          <t>Holmen skog AB</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18181-2022</t>
        </is>
      </c>
      <c r="B1587" s="1" t="n">
        <v>44684.68034722222</v>
      </c>
      <c r="C1587" s="1" t="n">
        <v>45911</v>
      </c>
      <c r="D1587" t="inlineStr">
        <is>
          <t>GÄVLEBORGS LÄN</t>
        </is>
      </c>
      <c r="E1587" t="inlineStr">
        <is>
          <t>GÄVLE</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35245-2021</t>
        </is>
      </c>
      <c r="B1588" s="1" t="n">
        <v>44384.58857638889</v>
      </c>
      <c r="C1588" s="1" t="n">
        <v>45911</v>
      </c>
      <c r="D1588" t="inlineStr">
        <is>
          <t>GÄVLEBORGS LÄN</t>
        </is>
      </c>
      <c r="E1588" t="inlineStr">
        <is>
          <t>OCKELBO</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39114-2022</t>
        </is>
      </c>
      <c r="B1589" s="1" t="n">
        <v>44817</v>
      </c>
      <c r="C1589" s="1" t="n">
        <v>45911</v>
      </c>
      <c r="D1589" t="inlineStr">
        <is>
          <t>GÄVLEBORGS LÄN</t>
        </is>
      </c>
      <c r="E1589" t="inlineStr">
        <is>
          <t>HUDIKSVALL</t>
        </is>
      </c>
      <c r="F1589" t="inlineStr">
        <is>
          <t>Holmen skog AB</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51567-2022</t>
        </is>
      </c>
      <c r="B1590" s="1" t="n">
        <v>44869.96807870371</v>
      </c>
      <c r="C1590" s="1" t="n">
        <v>45911</v>
      </c>
      <c r="D1590" t="inlineStr">
        <is>
          <t>GÄVLEBORGS LÄN</t>
        </is>
      </c>
      <c r="E1590" t="inlineStr">
        <is>
          <t>HUDIKSVALL</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20593-2022</t>
        </is>
      </c>
      <c r="B1591" s="1" t="n">
        <v>44700.44726851852</v>
      </c>
      <c r="C1591" s="1" t="n">
        <v>45911</v>
      </c>
      <c r="D1591" t="inlineStr">
        <is>
          <t>GÄVLEBORGS LÄN</t>
        </is>
      </c>
      <c r="E1591" t="inlineStr">
        <is>
          <t>LJUSDAL</t>
        </is>
      </c>
      <c r="F1591" t="inlineStr">
        <is>
          <t>Holmen skog AB</t>
        </is>
      </c>
      <c r="G1591" t="n">
        <v>6.3</v>
      </c>
      <c r="H1591" t="n">
        <v>0</v>
      </c>
      <c r="I1591" t="n">
        <v>0</v>
      </c>
      <c r="J1591" t="n">
        <v>0</v>
      </c>
      <c r="K1591" t="n">
        <v>0</v>
      </c>
      <c r="L1591" t="n">
        <v>0</v>
      </c>
      <c r="M1591" t="n">
        <v>0</v>
      </c>
      <c r="N1591" t="n">
        <v>0</v>
      </c>
      <c r="O1591" t="n">
        <v>0</v>
      </c>
      <c r="P1591" t="n">
        <v>0</v>
      </c>
      <c r="Q1591" t="n">
        <v>0</v>
      </c>
      <c r="R1591" s="2" t="inlineStr"/>
    </row>
    <row r="1592" ht="15" customHeight="1">
      <c r="A1592" t="inlineStr">
        <is>
          <t>A 22334-2021</t>
        </is>
      </c>
      <c r="B1592" s="1" t="n">
        <v>44326</v>
      </c>
      <c r="C1592" s="1" t="n">
        <v>45911</v>
      </c>
      <c r="D1592" t="inlineStr">
        <is>
          <t>GÄVLEBORGS LÄN</t>
        </is>
      </c>
      <c r="E1592" t="inlineStr">
        <is>
          <t>BOLLNÄS</t>
        </is>
      </c>
      <c r="F1592" t="inlineStr">
        <is>
          <t>Sveaskog</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23087-2022</t>
        </is>
      </c>
      <c r="B1593" s="1" t="n">
        <v>44719.48083333333</v>
      </c>
      <c r="C1593" s="1" t="n">
        <v>45911</v>
      </c>
      <c r="D1593" t="inlineStr">
        <is>
          <t>GÄVLEBORGS LÄN</t>
        </is>
      </c>
      <c r="E1593" t="inlineStr">
        <is>
          <t>LJUSDAL</t>
        </is>
      </c>
      <c r="F1593" t="inlineStr">
        <is>
          <t>Sveaskog</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14449-2021</t>
        </is>
      </c>
      <c r="B1594" s="1" t="n">
        <v>44279.49376157407</v>
      </c>
      <c r="C1594" s="1" t="n">
        <v>45911</v>
      </c>
      <c r="D1594" t="inlineStr">
        <is>
          <t>GÄVLEBORGS LÄN</t>
        </is>
      </c>
      <c r="E1594" t="inlineStr">
        <is>
          <t>GÄVLE</t>
        </is>
      </c>
      <c r="F1594" t="inlineStr">
        <is>
          <t>Bergvik skog öst AB</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35525-2022</t>
        </is>
      </c>
      <c r="B1595" s="1" t="n">
        <v>44799.29469907407</v>
      </c>
      <c r="C1595" s="1" t="n">
        <v>45911</v>
      </c>
      <c r="D1595" t="inlineStr">
        <is>
          <t>GÄVLEBORGS LÄN</t>
        </is>
      </c>
      <c r="E1595" t="inlineStr">
        <is>
          <t>SANDVIKEN</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51202-2022</t>
        </is>
      </c>
      <c r="B1596" s="1" t="n">
        <v>44868.60868055555</v>
      </c>
      <c r="C1596" s="1" t="n">
        <v>45911</v>
      </c>
      <c r="D1596" t="inlineStr">
        <is>
          <t>GÄVLEBORGS LÄN</t>
        </is>
      </c>
      <c r="E1596" t="inlineStr">
        <is>
          <t>HOFORS</t>
        </is>
      </c>
      <c r="F1596" t="inlineStr">
        <is>
          <t>Sveaskog</t>
        </is>
      </c>
      <c r="G1596" t="n">
        <v>11.3</v>
      </c>
      <c r="H1596" t="n">
        <v>0</v>
      </c>
      <c r="I1596" t="n">
        <v>0</v>
      </c>
      <c r="J1596" t="n">
        <v>0</v>
      </c>
      <c r="K1596" t="n">
        <v>0</v>
      </c>
      <c r="L1596" t="n">
        <v>0</v>
      </c>
      <c r="M1596" t="n">
        <v>0</v>
      </c>
      <c r="N1596" t="n">
        <v>0</v>
      </c>
      <c r="O1596" t="n">
        <v>0</v>
      </c>
      <c r="P1596" t="n">
        <v>0</v>
      </c>
      <c r="Q1596" t="n">
        <v>0</v>
      </c>
      <c r="R1596" s="2" t="inlineStr"/>
    </row>
    <row r="1597" ht="15" customHeight="1">
      <c r="A1597" t="inlineStr">
        <is>
          <t>A 33280-2022</t>
        </is>
      </c>
      <c r="B1597" s="1" t="n">
        <v>44788.34717592593</v>
      </c>
      <c r="C1597" s="1" t="n">
        <v>45911</v>
      </c>
      <c r="D1597" t="inlineStr">
        <is>
          <t>GÄVLEBORGS LÄN</t>
        </is>
      </c>
      <c r="E1597" t="inlineStr">
        <is>
          <t>GÄVLE</t>
        </is>
      </c>
      <c r="F1597" t="inlineStr">
        <is>
          <t>Bergvik skog öst AB</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9593-2022</t>
        </is>
      </c>
      <c r="B1598" s="1" t="n">
        <v>44617</v>
      </c>
      <c r="C1598" s="1" t="n">
        <v>45911</v>
      </c>
      <c r="D1598" t="inlineStr">
        <is>
          <t>GÄVLEBORGS LÄN</t>
        </is>
      </c>
      <c r="E1598" t="inlineStr">
        <is>
          <t>OVANÅKER</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10030-2021</t>
        </is>
      </c>
      <c r="B1599" s="1" t="n">
        <v>44256</v>
      </c>
      <c r="C1599" s="1" t="n">
        <v>45911</v>
      </c>
      <c r="D1599" t="inlineStr">
        <is>
          <t>GÄVLEBORGS LÄN</t>
        </is>
      </c>
      <c r="E1599" t="inlineStr">
        <is>
          <t>HUDIKSVALL</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40403-2022</t>
        </is>
      </c>
      <c r="B1600" s="1" t="n">
        <v>44823</v>
      </c>
      <c r="C1600" s="1" t="n">
        <v>45911</v>
      </c>
      <c r="D1600" t="inlineStr">
        <is>
          <t>GÄVLEBORGS LÄN</t>
        </is>
      </c>
      <c r="E1600" t="inlineStr">
        <is>
          <t>OVANÅKER</t>
        </is>
      </c>
      <c r="F1600" t="inlineStr">
        <is>
          <t>Bergvik skog väst AB</t>
        </is>
      </c>
      <c r="G1600" t="n">
        <v>3.7</v>
      </c>
      <c r="H1600" t="n">
        <v>0</v>
      </c>
      <c r="I1600" t="n">
        <v>0</v>
      </c>
      <c r="J1600" t="n">
        <v>0</v>
      </c>
      <c r="K1600" t="n">
        <v>0</v>
      </c>
      <c r="L1600" t="n">
        <v>0</v>
      </c>
      <c r="M1600" t="n">
        <v>0</v>
      </c>
      <c r="N1600" t="n">
        <v>0</v>
      </c>
      <c r="O1600" t="n">
        <v>0</v>
      </c>
      <c r="P1600" t="n">
        <v>0</v>
      </c>
      <c r="Q1600" t="n">
        <v>0</v>
      </c>
      <c r="R1600" s="2" t="inlineStr"/>
    </row>
    <row r="1601" ht="15" customHeight="1">
      <c r="A1601" t="inlineStr">
        <is>
          <t>A 39374-2021</t>
        </is>
      </c>
      <c r="B1601" s="1" t="n">
        <v>44414</v>
      </c>
      <c r="C1601" s="1" t="n">
        <v>45911</v>
      </c>
      <c r="D1601" t="inlineStr">
        <is>
          <t>GÄVLEBORGS LÄN</t>
        </is>
      </c>
      <c r="E1601" t="inlineStr">
        <is>
          <t>GÄVLE</t>
        </is>
      </c>
      <c r="F1601" t="inlineStr">
        <is>
          <t>Kyrkan</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33178-2022</t>
        </is>
      </c>
      <c r="B1602" s="1" t="n">
        <v>44785.60922453704</v>
      </c>
      <c r="C1602" s="1" t="n">
        <v>45911</v>
      </c>
      <c r="D1602" t="inlineStr">
        <is>
          <t>GÄVLEBORGS LÄN</t>
        </is>
      </c>
      <c r="E1602" t="inlineStr">
        <is>
          <t>GÄVLE</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2946-2022</t>
        </is>
      </c>
      <c r="B1603" s="1" t="n">
        <v>44581.62998842593</v>
      </c>
      <c r="C1603" s="1" t="n">
        <v>45911</v>
      </c>
      <c r="D1603" t="inlineStr">
        <is>
          <t>GÄVLEBORGS LÄN</t>
        </is>
      </c>
      <c r="E1603" t="inlineStr">
        <is>
          <t>OVANÅKER</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56458-2020</t>
        </is>
      </c>
      <c r="B1604" s="1" t="n">
        <v>44137</v>
      </c>
      <c r="C1604" s="1" t="n">
        <v>45911</v>
      </c>
      <c r="D1604" t="inlineStr">
        <is>
          <t>GÄVLEBORGS LÄN</t>
        </is>
      </c>
      <c r="E1604" t="inlineStr">
        <is>
          <t>HUDIKSVALL</t>
        </is>
      </c>
      <c r="F1604" t="inlineStr">
        <is>
          <t>Sveaskog</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61622-2021</t>
        </is>
      </c>
      <c r="B1605" s="1" t="n">
        <v>44501.49077546296</v>
      </c>
      <c r="C1605" s="1" t="n">
        <v>45911</v>
      </c>
      <c r="D1605" t="inlineStr">
        <is>
          <t>GÄVLEBORGS LÄN</t>
        </is>
      </c>
      <c r="E1605" t="inlineStr">
        <is>
          <t>OCKELBO</t>
        </is>
      </c>
      <c r="F1605" t="inlineStr">
        <is>
          <t>Bergvik skog väst AB</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40110-2022</t>
        </is>
      </c>
      <c r="B1606" s="1" t="n">
        <v>44820.49546296296</v>
      </c>
      <c r="C1606" s="1" t="n">
        <v>45911</v>
      </c>
      <c r="D1606" t="inlineStr">
        <is>
          <t>GÄVLEBORGS LÄN</t>
        </is>
      </c>
      <c r="E1606" t="inlineStr">
        <is>
          <t>NORDANSTIG</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48734-2020</t>
        </is>
      </c>
      <c r="B1607" s="1" t="n">
        <v>44103</v>
      </c>
      <c r="C1607" s="1" t="n">
        <v>45911</v>
      </c>
      <c r="D1607" t="inlineStr">
        <is>
          <t>GÄVLEBORGS LÄN</t>
        </is>
      </c>
      <c r="E1607" t="inlineStr">
        <is>
          <t>BOLLNÄS</t>
        </is>
      </c>
      <c r="G1607" t="n">
        <v>10.4</v>
      </c>
      <c r="H1607" t="n">
        <v>0</v>
      </c>
      <c r="I1607" t="n">
        <v>0</v>
      </c>
      <c r="J1607" t="n">
        <v>0</v>
      </c>
      <c r="K1607" t="n">
        <v>0</v>
      </c>
      <c r="L1607" t="n">
        <v>0</v>
      </c>
      <c r="M1607" t="n">
        <v>0</v>
      </c>
      <c r="N1607" t="n">
        <v>0</v>
      </c>
      <c r="O1607" t="n">
        <v>0</v>
      </c>
      <c r="P1607" t="n">
        <v>0</v>
      </c>
      <c r="Q1607" t="n">
        <v>0</v>
      </c>
      <c r="R1607" s="2" t="inlineStr"/>
    </row>
    <row r="1608" ht="15" customHeight="1">
      <c r="A1608" t="inlineStr">
        <is>
          <t>A 52962-2020</t>
        </is>
      </c>
      <c r="B1608" s="1" t="n">
        <v>44120</v>
      </c>
      <c r="C1608" s="1" t="n">
        <v>45911</v>
      </c>
      <c r="D1608" t="inlineStr">
        <is>
          <t>GÄVLEBORGS LÄN</t>
        </is>
      </c>
      <c r="E1608" t="inlineStr">
        <is>
          <t>OVANÅKER</t>
        </is>
      </c>
      <c r="G1608" t="n">
        <v>5.3</v>
      </c>
      <c r="H1608" t="n">
        <v>0</v>
      </c>
      <c r="I1608" t="n">
        <v>0</v>
      </c>
      <c r="J1608" t="n">
        <v>0</v>
      </c>
      <c r="K1608" t="n">
        <v>0</v>
      </c>
      <c r="L1608" t="n">
        <v>0</v>
      </c>
      <c r="M1608" t="n">
        <v>0</v>
      </c>
      <c r="N1608" t="n">
        <v>0</v>
      </c>
      <c r="O1608" t="n">
        <v>0</v>
      </c>
      <c r="P1608" t="n">
        <v>0</v>
      </c>
      <c r="Q1608" t="n">
        <v>0</v>
      </c>
      <c r="R1608" s="2" t="inlineStr"/>
    </row>
    <row r="1609" ht="15" customHeight="1">
      <c r="A1609" t="inlineStr">
        <is>
          <t>A 41919-2021</t>
        </is>
      </c>
      <c r="B1609" s="1" t="n">
        <v>44426</v>
      </c>
      <c r="C1609" s="1" t="n">
        <v>45911</v>
      </c>
      <c r="D1609" t="inlineStr">
        <is>
          <t>GÄVLEBORGS LÄN</t>
        </is>
      </c>
      <c r="E1609" t="inlineStr">
        <is>
          <t>LJUSDAL</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10858-2022</t>
        </is>
      </c>
      <c r="B1610" s="1" t="n">
        <v>44627</v>
      </c>
      <c r="C1610" s="1" t="n">
        <v>45911</v>
      </c>
      <c r="D1610" t="inlineStr">
        <is>
          <t>GÄVLEBORGS LÄN</t>
        </is>
      </c>
      <c r="E1610" t="inlineStr">
        <is>
          <t>HUDIKSVALL</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52966-2020</t>
        </is>
      </c>
      <c r="B1611" s="1" t="n">
        <v>44120.40053240741</v>
      </c>
      <c r="C1611" s="1" t="n">
        <v>45911</v>
      </c>
      <c r="D1611" t="inlineStr">
        <is>
          <t>GÄVLEBORGS LÄN</t>
        </is>
      </c>
      <c r="E1611" t="inlineStr">
        <is>
          <t>NORDANSTIG</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28683-2021</t>
        </is>
      </c>
      <c r="B1612" s="1" t="n">
        <v>44357.40423611111</v>
      </c>
      <c r="C1612" s="1" t="n">
        <v>45911</v>
      </c>
      <c r="D1612" t="inlineStr">
        <is>
          <t>GÄVLEBORGS LÄN</t>
        </is>
      </c>
      <c r="E1612" t="inlineStr">
        <is>
          <t>LJUSDAL</t>
        </is>
      </c>
      <c r="G1612" t="n">
        <v>4.2</v>
      </c>
      <c r="H1612" t="n">
        <v>0</v>
      </c>
      <c r="I1612" t="n">
        <v>0</v>
      </c>
      <c r="J1612" t="n">
        <v>0</v>
      </c>
      <c r="K1612" t="n">
        <v>0</v>
      </c>
      <c r="L1612" t="n">
        <v>0</v>
      </c>
      <c r="M1612" t="n">
        <v>0</v>
      </c>
      <c r="N1612" t="n">
        <v>0</v>
      </c>
      <c r="O1612" t="n">
        <v>0</v>
      </c>
      <c r="P1612" t="n">
        <v>0</v>
      </c>
      <c r="Q1612" t="n">
        <v>0</v>
      </c>
      <c r="R1612" s="2" t="inlineStr"/>
    </row>
    <row r="1613" ht="15" customHeight="1">
      <c r="A1613" t="inlineStr">
        <is>
          <t>A 45280-2022</t>
        </is>
      </c>
      <c r="B1613" s="1" t="n">
        <v>44840</v>
      </c>
      <c r="C1613" s="1" t="n">
        <v>45911</v>
      </c>
      <c r="D1613" t="inlineStr">
        <is>
          <t>GÄVLEBORGS LÄN</t>
        </is>
      </c>
      <c r="E1613" t="inlineStr">
        <is>
          <t>GÄVLE</t>
        </is>
      </c>
      <c r="F1613" t="inlineStr">
        <is>
          <t>Bergvik skog väst AB</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44151-2022</t>
        </is>
      </c>
      <c r="B1614" s="1" t="n">
        <v>44839</v>
      </c>
      <c r="C1614" s="1" t="n">
        <v>45911</v>
      </c>
      <c r="D1614" t="inlineStr">
        <is>
          <t>GÄVLEBORGS LÄN</t>
        </is>
      </c>
      <c r="E1614" t="inlineStr">
        <is>
          <t>BOLLNÄS</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49160-2020</t>
        </is>
      </c>
      <c r="B1615" s="1" t="n">
        <v>44104</v>
      </c>
      <c r="C1615" s="1" t="n">
        <v>45911</v>
      </c>
      <c r="D1615" t="inlineStr">
        <is>
          <t>GÄVLEBORGS LÄN</t>
        </is>
      </c>
      <c r="E1615" t="inlineStr">
        <is>
          <t>NORDANSTIG</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49191-2020</t>
        </is>
      </c>
      <c r="B1616" s="1" t="n">
        <v>44105.33461805555</v>
      </c>
      <c r="C1616" s="1" t="n">
        <v>45911</v>
      </c>
      <c r="D1616" t="inlineStr">
        <is>
          <t>GÄVLEBORGS LÄN</t>
        </is>
      </c>
      <c r="E1616" t="inlineStr">
        <is>
          <t>OVANÅKER</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34706-2022</t>
        </is>
      </c>
      <c r="B1617" s="1" t="n">
        <v>44795.57741898148</v>
      </c>
      <c r="C1617" s="1" t="n">
        <v>45911</v>
      </c>
      <c r="D1617" t="inlineStr">
        <is>
          <t>GÄVLEBORGS LÄN</t>
        </is>
      </c>
      <c r="E1617" t="inlineStr">
        <is>
          <t>GÄVLE</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20171-2022</t>
        </is>
      </c>
      <c r="B1618" s="1" t="n">
        <v>44698</v>
      </c>
      <c r="C1618" s="1" t="n">
        <v>45911</v>
      </c>
      <c r="D1618" t="inlineStr">
        <is>
          <t>GÄVLEBORGS LÄN</t>
        </is>
      </c>
      <c r="E1618" t="inlineStr">
        <is>
          <t>SÖDERHAMN</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36470-2022</t>
        </is>
      </c>
      <c r="B1619" s="1" t="n">
        <v>44804</v>
      </c>
      <c r="C1619" s="1" t="n">
        <v>45911</v>
      </c>
      <c r="D1619" t="inlineStr">
        <is>
          <t>GÄVLEBORGS LÄN</t>
        </is>
      </c>
      <c r="E1619" t="inlineStr">
        <is>
          <t>LJUSDAL</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20272-2022</t>
        </is>
      </c>
      <c r="B1620" s="1" t="n">
        <v>44698.68241898148</v>
      </c>
      <c r="C1620" s="1" t="n">
        <v>45911</v>
      </c>
      <c r="D1620" t="inlineStr">
        <is>
          <t>GÄVLEBORGS LÄN</t>
        </is>
      </c>
      <c r="E1620" t="inlineStr">
        <is>
          <t>SÖDERHAMN</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26113-2022</t>
        </is>
      </c>
      <c r="B1621" s="1" t="n">
        <v>44734</v>
      </c>
      <c r="C1621" s="1" t="n">
        <v>45911</v>
      </c>
      <c r="D1621" t="inlineStr">
        <is>
          <t>GÄVLEBORGS LÄN</t>
        </is>
      </c>
      <c r="E1621" t="inlineStr">
        <is>
          <t>NORDANSTIG</t>
        </is>
      </c>
      <c r="G1621" t="n">
        <v>0.3</v>
      </c>
      <c r="H1621" t="n">
        <v>0</v>
      </c>
      <c r="I1621" t="n">
        <v>0</v>
      </c>
      <c r="J1621" t="n">
        <v>0</v>
      </c>
      <c r="K1621" t="n">
        <v>0</v>
      </c>
      <c r="L1621" t="n">
        <v>0</v>
      </c>
      <c r="M1621" t="n">
        <v>0</v>
      </c>
      <c r="N1621" t="n">
        <v>0</v>
      </c>
      <c r="O1621" t="n">
        <v>0</v>
      </c>
      <c r="P1621" t="n">
        <v>0</v>
      </c>
      <c r="Q1621" t="n">
        <v>0</v>
      </c>
      <c r="R1621" s="2" t="inlineStr"/>
    </row>
    <row r="1622" ht="15" customHeight="1">
      <c r="A1622" t="inlineStr">
        <is>
          <t>A 59515-2021</t>
        </is>
      </c>
      <c r="B1622" s="1" t="n">
        <v>44491</v>
      </c>
      <c r="C1622" s="1" t="n">
        <v>45911</v>
      </c>
      <c r="D1622" t="inlineStr">
        <is>
          <t>GÄVLEBORGS LÄN</t>
        </is>
      </c>
      <c r="E1622" t="inlineStr">
        <is>
          <t>GÄVLE</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24217-2022</t>
        </is>
      </c>
      <c r="B1623" s="1" t="n">
        <v>44725.62199074074</v>
      </c>
      <c r="C1623" s="1" t="n">
        <v>45911</v>
      </c>
      <c r="D1623" t="inlineStr">
        <is>
          <t>GÄVLEBORGS LÄN</t>
        </is>
      </c>
      <c r="E1623" t="inlineStr">
        <is>
          <t>LJUSDAL</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20926-2022</t>
        </is>
      </c>
      <c r="B1624" s="1" t="n">
        <v>44701</v>
      </c>
      <c r="C1624" s="1" t="n">
        <v>45911</v>
      </c>
      <c r="D1624" t="inlineStr">
        <is>
          <t>GÄVLEBORGS LÄN</t>
        </is>
      </c>
      <c r="E1624" t="inlineStr">
        <is>
          <t>OVANÅKER</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25087-2022</t>
        </is>
      </c>
      <c r="B1625" s="1" t="n">
        <v>44729</v>
      </c>
      <c r="C1625" s="1" t="n">
        <v>45911</v>
      </c>
      <c r="D1625" t="inlineStr">
        <is>
          <t>GÄVLEBORGS LÄN</t>
        </is>
      </c>
      <c r="E1625" t="inlineStr">
        <is>
          <t>OVANÅKER</t>
        </is>
      </c>
      <c r="F1625" t="inlineStr">
        <is>
          <t>Bergvik skog väst AB</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25005-2022</t>
        </is>
      </c>
      <c r="B1626" s="1" t="n">
        <v>44728.92844907408</v>
      </c>
      <c r="C1626" s="1" t="n">
        <v>45911</v>
      </c>
      <c r="D1626" t="inlineStr">
        <is>
          <t>GÄVLEBORGS LÄN</t>
        </is>
      </c>
      <c r="E1626" t="inlineStr">
        <is>
          <t>NORDANSTIG</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54624-2020</t>
        </is>
      </c>
      <c r="B1627" s="1" t="n">
        <v>44127</v>
      </c>
      <c r="C1627" s="1" t="n">
        <v>45911</v>
      </c>
      <c r="D1627" t="inlineStr">
        <is>
          <t>GÄVLEBORGS LÄN</t>
        </is>
      </c>
      <c r="E1627" t="inlineStr">
        <is>
          <t>GÄVLE</t>
        </is>
      </c>
      <c r="F1627" t="inlineStr">
        <is>
          <t>Bergvik skog öst AB</t>
        </is>
      </c>
      <c r="G1627" t="n">
        <v>0.3</v>
      </c>
      <c r="H1627" t="n">
        <v>0</v>
      </c>
      <c r="I1627" t="n">
        <v>0</v>
      </c>
      <c r="J1627" t="n">
        <v>0</v>
      </c>
      <c r="K1627" t="n">
        <v>0</v>
      </c>
      <c r="L1627" t="n">
        <v>0</v>
      </c>
      <c r="M1627" t="n">
        <v>0</v>
      </c>
      <c r="N1627" t="n">
        <v>0</v>
      </c>
      <c r="O1627" t="n">
        <v>0</v>
      </c>
      <c r="P1627" t="n">
        <v>0</v>
      </c>
      <c r="Q1627" t="n">
        <v>0</v>
      </c>
      <c r="R1627" s="2" t="inlineStr"/>
    </row>
    <row r="1628" ht="15" customHeight="1">
      <c r="A1628" t="inlineStr">
        <is>
          <t>A 16603-2022</t>
        </is>
      </c>
      <c r="B1628" s="1" t="n">
        <v>44672</v>
      </c>
      <c r="C1628" s="1" t="n">
        <v>45911</v>
      </c>
      <c r="D1628" t="inlineStr">
        <is>
          <t>GÄVLEBORGS LÄN</t>
        </is>
      </c>
      <c r="E1628" t="inlineStr">
        <is>
          <t>SANDVIKEN</t>
        </is>
      </c>
      <c r="F1628" t="inlineStr">
        <is>
          <t>Bergvik skog öst AB</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23966-2021</t>
        </is>
      </c>
      <c r="B1629" s="1" t="n">
        <v>44335.67445601852</v>
      </c>
      <c r="C1629" s="1" t="n">
        <v>45911</v>
      </c>
      <c r="D1629" t="inlineStr">
        <is>
          <t>GÄVLEBORGS LÄN</t>
        </is>
      </c>
      <c r="E1629" t="inlineStr">
        <is>
          <t>LJUSDAL</t>
        </is>
      </c>
      <c r="F1629" t="inlineStr">
        <is>
          <t>Holmen skog AB</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24075-2021</t>
        </is>
      </c>
      <c r="B1630" s="1" t="n">
        <v>44336.41662037037</v>
      </c>
      <c r="C1630" s="1" t="n">
        <v>45911</v>
      </c>
      <c r="D1630" t="inlineStr">
        <is>
          <t>GÄVLEBORGS LÄN</t>
        </is>
      </c>
      <c r="E1630" t="inlineStr">
        <is>
          <t>OVANÅKER</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51249-2021</t>
        </is>
      </c>
      <c r="B1631" s="1" t="n">
        <v>44461</v>
      </c>
      <c r="C1631" s="1" t="n">
        <v>45911</v>
      </c>
      <c r="D1631" t="inlineStr">
        <is>
          <t>GÄVLEBORGS LÄN</t>
        </is>
      </c>
      <c r="E1631" t="inlineStr">
        <is>
          <t>GÄVLE</t>
        </is>
      </c>
      <c r="F1631" t="inlineStr">
        <is>
          <t>Bergvik skog öst AB</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36563-2022</t>
        </is>
      </c>
      <c r="B1632" s="1" t="n">
        <v>44804.59276620371</v>
      </c>
      <c r="C1632" s="1" t="n">
        <v>45911</v>
      </c>
      <c r="D1632" t="inlineStr">
        <is>
          <t>GÄVLEBORGS LÄN</t>
        </is>
      </c>
      <c r="E1632" t="inlineStr">
        <is>
          <t>LJUSDAL</t>
        </is>
      </c>
      <c r="F1632" t="inlineStr">
        <is>
          <t>Holmen skog AB</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22654-2022</t>
        </is>
      </c>
      <c r="B1633" s="1" t="n">
        <v>44714</v>
      </c>
      <c r="C1633" s="1" t="n">
        <v>45911</v>
      </c>
      <c r="D1633" t="inlineStr">
        <is>
          <t>GÄVLEBORGS LÄN</t>
        </is>
      </c>
      <c r="E1633" t="inlineStr">
        <is>
          <t>SANDVIKEN</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42129-2022</t>
        </is>
      </c>
      <c r="B1634" s="1" t="n">
        <v>44830.575</v>
      </c>
      <c r="C1634" s="1" t="n">
        <v>45911</v>
      </c>
      <c r="D1634" t="inlineStr">
        <is>
          <t>GÄVLEBORGS LÄN</t>
        </is>
      </c>
      <c r="E1634" t="inlineStr">
        <is>
          <t>NORDANSTIG</t>
        </is>
      </c>
      <c r="F1634" t="inlineStr">
        <is>
          <t>Holmen skog AB</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46064-2022</t>
        </is>
      </c>
      <c r="B1635" s="1" t="n">
        <v>44847</v>
      </c>
      <c r="C1635" s="1" t="n">
        <v>45911</v>
      </c>
      <c r="D1635" t="inlineStr">
        <is>
          <t>GÄVLEBORGS LÄN</t>
        </is>
      </c>
      <c r="E1635" t="inlineStr">
        <is>
          <t>HUDIKSVALL</t>
        </is>
      </c>
      <c r="F1635" t="inlineStr">
        <is>
          <t>Naturvårdsverket</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64423-2021</t>
        </is>
      </c>
      <c r="B1636" s="1" t="n">
        <v>44511.46030092592</v>
      </c>
      <c r="C1636" s="1" t="n">
        <v>45911</v>
      </c>
      <c r="D1636" t="inlineStr">
        <is>
          <t>GÄVLEBORGS LÄN</t>
        </is>
      </c>
      <c r="E1636" t="inlineStr">
        <is>
          <t>LJUSDAL</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51274-2020</t>
        </is>
      </c>
      <c r="B1637" s="1" t="n">
        <v>44112</v>
      </c>
      <c r="C1637" s="1" t="n">
        <v>45911</v>
      </c>
      <c r="D1637" t="inlineStr">
        <is>
          <t>GÄVLEBORGS LÄN</t>
        </is>
      </c>
      <c r="E1637" t="inlineStr">
        <is>
          <t>OVANÅKER</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39241-2022</t>
        </is>
      </c>
      <c r="B1638" s="1" t="n">
        <v>44817</v>
      </c>
      <c r="C1638" s="1" t="n">
        <v>45911</v>
      </c>
      <c r="D1638" t="inlineStr">
        <is>
          <t>GÄVLEBORGS LÄN</t>
        </is>
      </c>
      <c r="E1638" t="inlineStr">
        <is>
          <t>SANDVIKEN</t>
        </is>
      </c>
      <c r="F1638" t="inlineStr">
        <is>
          <t>Bergvik skog öst AB</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51086-2020</t>
        </is>
      </c>
      <c r="B1639" s="1" t="n">
        <v>44112</v>
      </c>
      <c r="C1639" s="1" t="n">
        <v>45911</v>
      </c>
      <c r="D1639" t="inlineStr">
        <is>
          <t>GÄVLEBORGS LÄN</t>
        </is>
      </c>
      <c r="E1639" t="inlineStr">
        <is>
          <t>OVANÅKER</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23066-2021</t>
        </is>
      </c>
      <c r="B1640" s="1" t="n">
        <v>44329</v>
      </c>
      <c r="C1640" s="1" t="n">
        <v>45911</v>
      </c>
      <c r="D1640" t="inlineStr">
        <is>
          <t>GÄVLEBORGS LÄN</t>
        </is>
      </c>
      <c r="E1640" t="inlineStr">
        <is>
          <t>NORDANSTIG</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35846-2022</t>
        </is>
      </c>
      <c r="B1641" s="1" t="n">
        <v>44802.41177083334</v>
      </c>
      <c r="C1641" s="1" t="n">
        <v>45911</v>
      </c>
      <c r="D1641" t="inlineStr">
        <is>
          <t>GÄVLEBORGS LÄN</t>
        </is>
      </c>
      <c r="E1641" t="inlineStr">
        <is>
          <t>OCKELBO</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23179-2021</t>
        </is>
      </c>
      <c r="B1642" s="1" t="n">
        <v>44333.30881944444</v>
      </c>
      <c r="C1642" s="1" t="n">
        <v>45911</v>
      </c>
      <c r="D1642" t="inlineStr">
        <is>
          <t>GÄVLEBORGS LÄN</t>
        </is>
      </c>
      <c r="E1642" t="inlineStr">
        <is>
          <t>BOLLNÄS</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22581-2021</t>
        </is>
      </c>
      <c r="B1643" s="1" t="n">
        <v>44327.39258101852</v>
      </c>
      <c r="C1643" s="1" t="n">
        <v>45911</v>
      </c>
      <c r="D1643" t="inlineStr">
        <is>
          <t>GÄVLEBORGS LÄN</t>
        </is>
      </c>
      <c r="E1643" t="inlineStr">
        <is>
          <t>OCKELBO</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22583-2021</t>
        </is>
      </c>
      <c r="B1644" s="1" t="n">
        <v>44327.396875</v>
      </c>
      <c r="C1644" s="1" t="n">
        <v>45911</v>
      </c>
      <c r="D1644" t="inlineStr">
        <is>
          <t>GÄVLEBORGS LÄN</t>
        </is>
      </c>
      <c r="E1644" t="inlineStr">
        <is>
          <t>OCKELBO</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67573-2021</t>
        </is>
      </c>
      <c r="B1645" s="1" t="n">
        <v>44524</v>
      </c>
      <c r="C1645" s="1" t="n">
        <v>45911</v>
      </c>
      <c r="D1645" t="inlineStr">
        <is>
          <t>GÄVLEBORGS LÄN</t>
        </is>
      </c>
      <c r="E1645" t="inlineStr">
        <is>
          <t>SANDVIKEN</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53470-2020</t>
        </is>
      </c>
      <c r="B1646" s="1" t="n">
        <v>44123</v>
      </c>
      <c r="C1646" s="1" t="n">
        <v>45911</v>
      </c>
      <c r="D1646" t="inlineStr">
        <is>
          <t>GÄVLEBORGS LÄN</t>
        </is>
      </c>
      <c r="E1646" t="inlineStr">
        <is>
          <t>GÄVLE</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29762-2022</t>
        </is>
      </c>
      <c r="B1647" s="1" t="n">
        <v>44755.60700231481</v>
      </c>
      <c r="C1647" s="1" t="n">
        <v>45911</v>
      </c>
      <c r="D1647" t="inlineStr">
        <is>
          <t>GÄVLEBORGS LÄN</t>
        </is>
      </c>
      <c r="E1647" t="inlineStr">
        <is>
          <t>OVANÅKER</t>
        </is>
      </c>
      <c r="F1647" t="inlineStr">
        <is>
          <t>Bergvik skog öst AB</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6947-2022</t>
        </is>
      </c>
      <c r="B1648" s="1" t="n">
        <v>44603</v>
      </c>
      <c r="C1648" s="1" t="n">
        <v>45911</v>
      </c>
      <c r="D1648" t="inlineStr">
        <is>
          <t>GÄVLEBORGS LÄN</t>
        </is>
      </c>
      <c r="E1648" t="inlineStr">
        <is>
          <t>SANDVIKEN</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3632-2022</t>
        </is>
      </c>
      <c r="B1649" s="1" t="n">
        <v>44586</v>
      </c>
      <c r="C1649" s="1" t="n">
        <v>45911</v>
      </c>
      <c r="D1649" t="inlineStr">
        <is>
          <t>GÄVLEBORGS LÄN</t>
        </is>
      </c>
      <c r="E1649" t="inlineStr">
        <is>
          <t>NORDANSTIG</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14012-2022</t>
        </is>
      </c>
      <c r="B1650" s="1" t="n">
        <v>44650</v>
      </c>
      <c r="C1650" s="1" t="n">
        <v>45911</v>
      </c>
      <c r="D1650" t="inlineStr">
        <is>
          <t>GÄVLEBORGS LÄN</t>
        </is>
      </c>
      <c r="E1650" t="inlineStr">
        <is>
          <t>BOLLNÄS</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52776-2020</t>
        </is>
      </c>
      <c r="B1651" s="1" t="n">
        <v>44119</v>
      </c>
      <c r="C1651" s="1" t="n">
        <v>45911</v>
      </c>
      <c r="D1651" t="inlineStr">
        <is>
          <t>GÄVLEBORGS LÄN</t>
        </is>
      </c>
      <c r="E1651" t="inlineStr">
        <is>
          <t>BOLLNÄS</t>
        </is>
      </c>
      <c r="F1651" t="inlineStr">
        <is>
          <t>Holmen skog AB</t>
        </is>
      </c>
      <c r="G1651" t="n">
        <v>3.9</v>
      </c>
      <c r="H1651" t="n">
        <v>0</v>
      </c>
      <c r="I1651" t="n">
        <v>0</v>
      </c>
      <c r="J1651" t="n">
        <v>0</v>
      </c>
      <c r="K1651" t="n">
        <v>0</v>
      </c>
      <c r="L1651" t="n">
        <v>0</v>
      </c>
      <c r="M1651" t="n">
        <v>0</v>
      </c>
      <c r="N1651" t="n">
        <v>0</v>
      </c>
      <c r="O1651" t="n">
        <v>0</v>
      </c>
      <c r="P1651" t="n">
        <v>0</v>
      </c>
      <c r="Q1651" t="n">
        <v>0</v>
      </c>
      <c r="R1651" s="2" t="inlineStr"/>
    </row>
    <row r="1652" ht="15" customHeight="1">
      <c r="A1652" t="inlineStr">
        <is>
          <t>A 54152-2022</t>
        </is>
      </c>
      <c r="B1652" s="1" t="n">
        <v>44881.63907407408</v>
      </c>
      <c r="C1652" s="1" t="n">
        <v>45911</v>
      </c>
      <c r="D1652" t="inlineStr">
        <is>
          <t>GÄVLEBORGS LÄN</t>
        </is>
      </c>
      <c r="E1652" t="inlineStr">
        <is>
          <t>OCKELBO</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65862-2020</t>
        </is>
      </c>
      <c r="B1653" s="1" t="n">
        <v>44174.72435185185</v>
      </c>
      <c r="C1653" s="1" t="n">
        <v>45911</v>
      </c>
      <c r="D1653" t="inlineStr">
        <is>
          <t>GÄVLEBORGS LÄN</t>
        </is>
      </c>
      <c r="E1653" t="inlineStr">
        <is>
          <t>LJUSDAL</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46301-2020</t>
        </is>
      </c>
      <c r="B1654" s="1" t="n">
        <v>44092</v>
      </c>
      <c r="C1654" s="1" t="n">
        <v>45911</v>
      </c>
      <c r="D1654" t="inlineStr">
        <is>
          <t>GÄVLEBORGS LÄN</t>
        </is>
      </c>
      <c r="E1654" t="inlineStr">
        <is>
          <t>LJUSDAL</t>
        </is>
      </c>
      <c r="F1654" t="inlineStr">
        <is>
          <t>Sveaskog</t>
        </is>
      </c>
      <c r="G1654" t="n">
        <v>7.1</v>
      </c>
      <c r="H1654" t="n">
        <v>0</v>
      </c>
      <c r="I1654" t="n">
        <v>0</v>
      </c>
      <c r="J1654" t="n">
        <v>0</v>
      </c>
      <c r="K1654" t="n">
        <v>0</v>
      </c>
      <c r="L1654" t="n">
        <v>0</v>
      </c>
      <c r="M1654" t="n">
        <v>0</v>
      </c>
      <c r="N1654" t="n">
        <v>0</v>
      </c>
      <c r="O1654" t="n">
        <v>0</v>
      </c>
      <c r="P1654" t="n">
        <v>0</v>
      </c>
      <c r="Q1654" t="n">
        <v>0</v>
      </c>
      <c r="R1654" s="2" t="inlineStr"/>
    </row>
    <row r="1655" ht="15" customHeight="1">
      <c r="A1655" t="inlineStr">
        <is>
          <t>A 33078-2021</t>
        </is>
      </c>
      <c r="B1655" s="1" t="n">
        <v>44376.56015046296</v>
      </c>
      <c r="C1655" s="1" t="n">
        <v>45911</v>
      </c>
      <c r="D1655" t="inlineStr">
        <is>
          <t>GÄVLEBORGS LÄN</t>
        </is>
      </c>
      <c r="E1655" t="inlineStr">
        <is>
          <t>HUDIKSVALL</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23282-2021</t>
        </is>
      </c>
      <c r="B1656" s="1" t="n">
        <v>44333.43928240741</v>
      </c>
      <c r="C1656" s="1" t="n">
        <v>45911</v>
      </c>
      <c r="D1656" t="inlineStr">
        <is>
          <t>GÄVLEBORGS LÄN</t>
        </is>
      </c>
      <c r="E1656" t="inlineStr">
        <is>
          <t>BOLLNÄS</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58341-2020</t>
        </is>
      </c>
      <c r="B1657" s="1" t="n">
        <v>44145.36747685185</v>
      </c>
      <c r="C1657" s="1" t="n">
        <v>45911</v>
      </c>
      <c r="D1657" t="inlineStr">
        <is>
          <t>GÄVLEBORGS LÄN</t>
        </is>
      </c>
      <c r="E1657" t="inlineStr">
        <is>
          <t>OVANÅKER</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7075-2022</t>
        </is>
      </c>
      <c r="B1658" s="1" t="n">
        <v>44603</v>
      </c>
      <c r="C1658" s="1" t="n">
        <v>45911</v>
      </c>
      <c r="D1658" t="inlineStr">
        <is>
          <t>GÄVLEBORGS LÄN</t>
        </is>
      </c>
      <c r="E1658" t="inlineStr">
        <is>
          <t>BOLLNÄS</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7079-2022</t>
        </is>
      </c>
      <c r="B1659" s="1" t="n">
        <v>44603.58001157407</v>
      </c>
      <c r="C1659" s="1" t="n">
        <v>45911</v>
      </c>
      <c r="D1659" t="inlineStr">
        <is>
          <t>GÄVLEBORGS LÄN</t>
        </is>
      </c>
      <c r="E1659" t="inlineStr">
        <is>
          <t>BOLLNÄS</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7092-2022</t>
        </is>
      </c>
      <c r="B1660" s="1" t="n">
        <v>44603.59678240741</v>
      </c>
      <c r="C1660" s="1" t="n">
        <v>45911</v>
      </c>
      <c r="D1660" t="inlineStr">
        <is>
          <t>GÄVLEBORGS LÄN</t>
        </is>
      </c>
      <c r="E1660" t="inlineStr">
        <is>
          <t>BOLLNÄS</t>
        </is>
      </c>
      <c r="G1660" t="n">
        <v>6.3</v>
      </c>
      <c r="H1660" t="n">
        <v>0</v>
      </c>
      <c r="I1660" t="n">
        <v>0</v>
      </c>
      <c r="J1660" t="n">
        <v>0</v>
      </c>
      <c r="K1660" t="n">
        <v>0</v>
      </c>
      <c r="L1660" t="n">
        <v>0</v>
      </c>
      <c r="M1660" t="n">
        <v>0</v>
      </c>
      <c r="N1660" t="n">
        <v>0</v>
      </c>
      <c r="O1660" t="n">
        <v>0</v>
      </c>
      <c r="P1660" t="n">
        <v>0</v>
      </c>
      <c r="Q1660" t="n">
        <v>0</v>
      </c>
      <c r="R1660" s="2" t="inlineStr"/>
    </row>
    <row r="1661" ht="15" customHeight="1">
      <c r="A1661" t="inlineStr">
        <is>
          <t>A 6001-2022</t>
        </is>
      </c>
      <c r="B1661" s="1" t="n">
        <v>44599</v>
      </c>
      <c r="C1661" s="1" t="n">
        <v>45911</v>
      </c>
      <c r="D1661" t="inlineStr">
        <is>
          <t>GÄVLEBORGS LÄN</t>
        </is>
      </c>
      <c r="E1661" t="inlineStr">
        <is>
          <t>GÄVLE</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49337-2020</t>
        </is>
      </c>
      <c r="B1662" s="1" t="n">
        <v>44105</v>
      </c>
      <c r="C1662" s="1" t="n">
        <v>45911</v>
      </c>
      <c r="D1662" t="inlineStr">
        <is>
          <t>GÄVLEBORGS LÄN</t>
        </is>
      </c>
      <c r="E1662" t="inlineStr">
        <is>
          <t>BOLLNÄS</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62829-2020</t>
        </is>
      </c>
      <c r="B1663" s="1" t="n">
        <v>44161</v>
      </c>
      <c r="C1663" s="1" t="n">
        <v>45911</v>
      </c>
      <c r="D1663" t="inlineStr">
        <is>
          <t>GÄVLEBORGS LÄN</t>
        </is>
      </c>
      <c r="E1663" t="inlineStr">
        <is>
          <t>LJUSDAL</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41862-2022</t>
        </is>
      </c>
      <c r="B1664" s="1" t="n">
        <v>44829</v>
      </c>
      <c r="C1664" s="1" t="n">
        <v>45911</v>
      </c>
      <c r="D1664" t="inlineStr">
        <is>
          <t>GÄVLEBORGS LÄN</t>
        </is>
      </c>
      <c r="E1664" t="inlineStr">
        <is>
          <t>SANDVIKEN</t>
        </is>
      </c>
      <c r="F1664" t="inlineStr">
        <is>
          <t>Sveaskog</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54080-2021</t>
        </is>
      </c>
      <c r="B1665" s="1" t="n">
        <v>44470.4640625</v>
      </c>
      <c r="C1665" s="1" t="n">
        <v>45911</v>
      </c>
      <c r="D1665" t="inlineStr">
        <is>
          <t>GÄVLEBORGS LÄN</t>
        </is>
      </c>
      <c r="E1665" t="inlineStr">
        <is>
          <t>OVANÅKER</t>
        </is>
      </c>
      <c r="F1665" t="inlineStr">
        <is>
          <t>Sveaskog</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50762-2021</t>
        </is>
      </c>
      <c r="B1666" s="1" t="n">
        <v>44460.42206018518</v>
      </c>
      <c r="C1666" s="1" t="n">
        <v>45911</v>
      </c>
      <c r="D1666" t="inlineStr">
        <is>
          <t>GÄVLEBORGS LÄN</t>
        </is>
      </c>
      <c r="E1666" t="inlineStr">
        <is>
          <t>OCKELBO</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23908-2021</t>
        </is>
      </c>
      <c r="B1667" s="1" t="n">
        <v>44335.6046412037</v>
      </c>
      <c r="C1667" s="1" t="n">
        <v>45911</v>
      </c>
      <c r="D1667" t="inlineStr">
        <is>
          <t>GÄVLEBORGS LÄN</t>
        </is>
      </c>
      <c r="E1667" t="inlineStr">
        <is>
          <t>HUDIKSVALL</t>
        </is>
      </c>
      <c r="G1667" t="n">
        <v>3.9</v>
      </c>
      <c r="H1667" t="n">
        <v>0</v>
      </c>
      <c r="I1667" t="n">
        <v>0</v>
      </c>
      <c r="J1667" t="n">
        <v>0</v>
      </c>
      <c r="K1667" t="n">
        <v>0</v>
      </c>
      <c r="L1667" t="n">
        <v>0</v>
      </c>
      <c r="M1667" t="n">
        <v>0</v>
      </c>
      <c r="N1667" t="n">
        <v>0</v>
      </c>
      <c r="O1667" t="n">
        <v>0</v>
      </c>
      <c r="P1667" t="n">
        <v>0</v>
      </c>
      <c r="Q1667" t="n">
        <v>0</v>
      </c>
      <c r="R1667" s="2" t="inlineStr"/>
    </row>
    <row r="1668" ht="15" customHeight="1">
      <c r="A1668" t="inlineStr">
        <is>
          <t>A 23925-2021</t>
        </is>
      </c>
      <c r="B1668" s="1" t="n">
        <v>44335</v>
      </c>
      <c r="C1668" s="1" t="n">
        <v>45911</v>
      </c>
      <c r="D1668" t="inlineStr">
        <is>
          <t>GÄVLEBORGS LÄN</t>
        </is>
      </c>
      <c r="E1668" t="inlineStr">
        <is>
          <t>HUDIKSVALL</t>
        </is>
      </c>
      <c r="G1668" t="n">
        <v>0.2</v>
      </c>
      <c r="H1668" t="n">
        <v>0</v>
      </c>
      <c r="I1668" t="n">
        <v>0</v>
      </c>
      <c r="J1668" t="n">
        <v>0</v>
      </c>
      <c r="K1668" t="n">
        <v>0</v>
      </c>
      <c r="L1668" t="n">
        <v>0</v>
      </c>
      <c r="M1668" t="n">
        <v>0</v>
      </c>
      <c r="N1668" t="n">
        <v>0</v>
      </c>
      <c r="O1668" t="n">
        <v>0</v>
      </c>
      <c r="P1668" t="n">
        <v>0</v>
      </c>
      <c r="Q1668" t="n">
        <v>0</v>
      </c>
      <c r="R1668" s="2" t="inlineStr"/>
    </row>
    <row r="1669" ht="15" customHeight="1">
      <c r="A1669" t="inlineStr">
        <is>
          <t>A 23930-2021</t>
        </is>
      </c>
      <c r="B1669" s="1" t="n">
        <v>44335</v>
      </c>
      <c r="C1669" s="1" t="n">
        <v>45911</v>
      </c>
      <c r="D1669" t="inlineStr">
        <is>
          <t>GÄVLEBORGS LÄN</t>
        </is>
      </c>
      <c r="E1669" t="inlineStr">
        <is>
          <t>HUDIKSVALL</t>
        </is>
      </c>
      <c r="G1669" t="n">
        <v>0.1</v>
      </c>
      <c r="H1669" t="n">
        <v>0</v>
      </c>
      <c r="I1669" t="n">
        <v>0</v>
      </c>
      <c r="J1669" t="n">
        <v>0</v>
      </c>
      <c r="K1669" t="n">
        <v>0</v>
      </c>
      <c r="L1669" t="n">
        <v>0</v>
      </c>
      <c r="M1669" t="n">
        <v>0</v>
      </c>
      <c r="N1669" t="n">
        <v>0</v>
      </c>
      <c r="O1669" t="n">
        <v>0</v>
      </c>
      <c r="P1669" t="n">
        <v>0</v>
      </c>
      <c r="Q1669" t="n">
        <v>0</v>
      </c>
      <c r="R1669" s="2" t="inlineStr"/>
    </row>
    <row r="1670" ht="15" customHeight="1">
      <c r="A1670" t="inlineStr">
        <is>
          <t>A 56640-2020</t>
        </is>
      </c>
      <c r="B1670" s="1" t="n">
        <v>44137</v>
      </c>
      <c r="C1670" s="1" t="n">
        <v>45911</v>
      </c>
      <c r="D1670" t="inlineStr">
        <is>
          <t>GÄVLEBORGS LÄN</t>
        </is>
      </c>
      <c r="E1670" t="inlineStr">
        <is>
          <t>OVANÅKER</t>
        </is>
      </c>
      <c r="F1670" t="inlineStr">
        <is>
          <t>Kommuner</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56667-2020</t>
        </is>
      </c>
      <c r="B1671" s="1" t="n">
        <v>44137</v>
      </c>
      <c r="C1671" s="1" t="n">
        <v>45911</v>
      </c>
      <c r="D1671" t="inlineStr">
        <is>
          <t>GÄVLEBORGS LÄN</t>
        </is>
      </c>
      <c r="E1671" t="inlineStr">
        <is>
          <t>SANDVIKEN</t>
        </is>
      </c>
      <c r="F1671" t="inlineStr">
        <is>
          <t>Sveaskog</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56709-2024</t>
        </is>
      </c>
      <c r="B1672" s="1" t="n">
        <v>45627.92614583333</v>
      </c>
      <c r="C1672" s="1" t="n">
        <v>45911</v>
      </c>
      <c r="D1672" t="inlineStr">
        <is>
          <t>GÄVLEBORGS LÄN</t>
        </is>
      </c>
      <c r="E1672" t="inlineStr">
        <is>
          <t>HUDIKSVALL</t>
        </is>
      </c>
      <c r="G1672" t="n">
        <v>0.3</v>
      </c>
      <c r="H1672" t="n">
        <v>0</v>
      </c>
      <c r="I1672" t="n">
        <v>0</v>
      </c>
      <c r="J1672" t="n">
        <v>0</v>
      </c>
      <c r="K1672" t="n">
        <v>0</v>
      </c>
      <c r="L1672" t="n">
        <v>0</v>
      </c>
      <c r="M1672" t="n">
        <v>0</v>
      </c>
      <c r="N1672" t="n">
        <v>0</v>
      </c>
      <c r="O1672" t="n">
        <v>0</v>
      </c>
      <c r="P1672" t="n">
        <v>0</v>
      </c>
      <c r="Q1672" t="n">
        <v>0</v>
      </c>
      <c r="R1672" s="2" t="inlineStr"/>
    </row>
    <row r="1673" ht="15" customHeight="1">
      <c r="A1673" t="inlineStr">
        <is>
          <t>A 66577-2020</t>
        </is>
      </c>
      <c r="B1673" s="1" t="n">
        <v>44179.40501157408</v>
      </c>
      <c r="C1673" s="1" t="n">
        <v>45911</v>
      </c>
      <c r="D1673" t="inlineStr">
        <is>
          <t>GÄVLEBORGS LÄN</t>
        </is>
      </c>
      <c r="E1673" t="inlineStr">
        <is>
          <t>HUDIKSVALL</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13809-2022</t>
        </is>
      </c>
      <c r="B1674" s="1" t="n">
        <v>44649</v>
      </c>
      <c r="C1674" s="1" t="n">
        <v>45911</v>
      </c>
      <c r="D1674" t="inlineStr">
        <is>
          <t>GÄVLEBORGS LÄN</t>
        </is>
      </c>
      <c r="E1674" t="inlineStr">
        <is>
          <t>HUDIKSVALL</t>
        </is>
      </c>
      <c r="G1674" t="n">
        <v>9</v>
      </c>
      <c r="H1674" t="n">
        <v>0</v>
      </c>
      <c r="I1674" t="n">
        <v>0</v>
      </c>
      <c r="J1674" t="n">
        <v>0</v>
      </c>
      <c r="K1674" t="n">
        <v>0</v>
      </c>
      <c r="L1674" t="n">
        <v>0</v>
      </c>
      <c r="M1674" t="n">
        <v>0</v>
      </c>
      <c r="N1674" t="n">
        <v>0</v>
      </c>
      <c r="O1674" t="n">
        <v>0</v>
      </c>
      <c r="P1674" t="n">
        <v>0</v>
      </c>
      <c r="Q1674" t="n">
        <v>0</v>
      </c>
      <c r="R1674" s="2" t="inlineStr"/>
    </row>
    <row r="1675" ht="15" customHeight="1">
      <c r="A1675" t="inlineStr">
        <is>
          <t>A 31927-2021</t>
        </is>
      </c>
      <c r="B1675" s="1" t="n">
        <v>44370.49378472222</v>
      </c>
      <c r="C1675" s="1" t="n">
        <v>45911</v>
      </c>
      <c r="D1675" t="inlineStr">
        <is>
          <t>GÄVLEBORGS LÄN</t>
        </is>
      </c>
      <c r="E1675" t="inlineStr">
        <is>
          <t>SÖDERHAMN</t>
        </is>
      </c>
      <c r="F1675" t="inlineStr">
        <is>
          <t>Bergvik skog väst AB</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51543-2021</t>
        </is>
      </c>
      <c r="B1676" s="1" t="n">
        <v>44461</v>
      </c>
      <c r="C1676" s="1" t="n">
        <v>45911</v>
      </c>
      <c r="D1676" t="inlineStr">
        <is>
          <t>GÄVLEBORGS LÄN</t>
        </is>
      </c>
      <c r="E1676" t="inlineStr">
        <is>
          <t>NORDANSTIG</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51565-2021</t>
        </is>
      </c>
      <c r="B1677" s="1" t="n">
        <v>44460</v>
      </c>
      <c r="C1677" s="1" t="n">
        <v>45911</v>
      </c>
      <c r="D1677" t="inlineStr">
        <is>
          <t>GÄVLEBORGS LÄN</t>
        </is>
      </c>
      <c r="E1677" t="inlineStr">
        <is>
          <t>OCKELBO</t>
        </is>
      </c>
      <c r="G1677" t="n">
        <v>8.800000000000001</v>
      </c>
      <c r="H1677" t="n">
        <v>0</v>
      </c>
      <c r="I1677" t="n">
        <v>0</v>
      </c>
      <c r="J1677" t="n">
        <v>0</v>
      </c>
      <c r="K1677" t="n">
        <v>0</v>
      </c>
      <c r="L1677" t="n">
        <v>0</v>
      </c>
      <c r="M1677" t="n">
        <v>0</v>
      </c>
      <c r="N1677" t="n">
        <v>0</v>
      </c>
      <c r="O1677" t="n">
        <v>0</v>
      </c>
      <c r="P1677" t="n">
        <v>0</v>
      </c>
      <c r="Q1677" t="n">
        <v>0</v>
      </c>
      <c r="R1677" s="2" t="inlineStr"/>
    </row>
    <row r="1678" ht="15" customHeight="1">
      <c r="A1678" t="inlineStr">
        <is>
          <t>A 54-2021</t>
        </is>
      </c>
      <c r="B1678" s="1" t="n">
        <v>44199</v>
      </c>
      <c r="C1678" s="1" t="n">
        <v>45911</v>
      </c>
      <c r="D1678" t="inlineStr">
        <is>
          <t>GÄVLEBORGS LÄN</t>
        </is>
      </c>
      <c r="E1678" t="inlineStr">
        <is>
          <t>LJUSDAL</t>
        </is>
      </c>
      <c r="G1678" t="n">
        <v>5.8</v>
      </c>
      <c r="H1678" t="n">
        <v>0</v>
      </c>
      <c r="I1678" t="n">
        <v>0</v>
      </c>
      <c r="J1678" t="n">
        <v>0</v>
      </c>
      <c r="K1678" t="n">
        <v>0</v>
      </c>
      <c r="L1678" t="n">
        <v>0</v>
      </c>
      <c r="M1678" t="n">
        <v>0</v>
      </c>
      <c r="N1678" t="n">
        <v>0</v>
      </c>
      <c r="O1678" t="n">
        <v>0</v>
      </c>
      <c r="P1678" t="n">
        <v>0</v>
      </c>
      <c r="Q1678" t="n">
        <v>0</v>
      </c>
      <c r="R1678" s="2" t="inlineStr"/>
    </row>
    <row r="1679" ht="15" customHeight="1">
      <c r="A1679" t="inlineStr">
        <is>
          <t>A 14462-2021</t>
        </is>
      </c>
      <c r="B1679" s="1" t="n">
        <v>44279</v>
      </c>
      <c r="C1679" s="1" t="n">
        <v>45911</v>
      </c>
      <c r="D1679" t="inlineStr">
        <is>
          <t>GÄVLEBORGS LÄN</t>
        </is>
      </c>
      <c r="E1679" t="inlineStr">
        <is>
          <t>BOLLNÄS</t>
        </is>
      </c>
      <c r="F1679" t="inlineStr">
        <is>
          <t>Kommuner</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63528-2021</t>
        </is>
      </c>
      <c r="B1680" s="1" t="n">
        <v>44508.65456018518</v>
      </c>
      <c r="C1680" s="1" t="n">
        <v>45911</v>
      </c>
      <c r="D1680" t="inlineStr">
        <is>
          <t>GÄVLEBORGS LÄN</t>
        </is>
      </c>
      <c r="E1680" t="inlineStr">
        <is>
          <t>LJUSDAL</t>
        </is>
      </c>
      <c r="F1680" t="inlineStr">
        <is>
          <t>Holmen skog AB</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10243-2025</t>
        </is>
      </c>
      <c r="B1681" s="1" t="n">
        <v>45720.3500462963</v>
      </c>
      <c r="C1681" s="1" t="n">
        <v>45911</v>
      </c>
      <c r="D1681" t="inlineStr">
        <is>
          <t>GÄVLEBORGS LÄN</t>
        </is>
      </c>
      <c r="E1681" t="inlineStr">
        <is>
          <t>BOLLNÄS</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7237-2025</t>
        </is>
      </c>
      <c r="B1682" s="1" t="n">
        <v>45702.5280787037</v>
      </c>
      <c r="C1682" s="1" t="n">
        <v>45911</v>
      </c>
      <c r="D1682" t="inlineStr">
        <is>
          <t>GÄVLEBORGS LÄN</t>
        </is>
      </c>
      <c r="E1682" t="inlineStr">
        <is>
          <t>HUDIKSVALL</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28403-2021</t>
        </is>
      </c>
      <c r="B1683" s="1" t="n">
        <v>44356</v>
      </c>
      <c r="C1683" s="1" t="n">
        <v>45911</v>
      </c>
      <c r="D1683" t="inlineStr">
        <is>
          <t>GÄVLEBORGS LÄN</t>
        </is>
      </c>
      <c r="E1683" t="inlineStr">
        <is>
          <t>GÄVLE</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18887-2023</t>
        </is>
      </c>
      <c r="B1684" s="1" t="n">
        <v>45044.53711805555</v>
      </c>
      <c r="C1684" s="1" t="n">
        <v>45911</v>
      </c>
      <c r="D1684" t="inlineStr">
        <is>
          <t>GÄVLEBORGS LÄN</t>
        </is>
      </c>
      <c r="E1684" t="inlineStr">
        <is>
          <t>HUDIKSVALL</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8434-2025</t>
        </is>
      </c>
      <c r="B1685" s="1" t="n">
        <v>45709.43042824074</v>
      </c>
      <c r="C1685" s="1" t="n">
        <v>45911</v>
      </c>
      <c r="D1685" t="inlineStr">
        <is>
          <t>GÄVLEBORGS LÄN</t>
        </is>
      </c>
      <c r="E1685" t="inlineStr">
        <is>
          <t>LJUSDAL</t>
        </is>
      </c>
      <c r="F1685" t="inlineStr">
        <is>
          <t>Holmen skog AB</t>
        </is>
      </c>
      <c r="G1685" t="n">
        <v>17.5</v>
      </c>
      <c r="H1685" t="n">
        <v>0</v>
      </c>
      <c r="I1685" t="n">
        <v>0</v>
      </c>
      <c r="J1685" t="n">
        <v>0</v>
      </c>
      <c r="K1685" t="n">
        <v>0</v>
      </c>
      <c r="L1685" t="n">
        <v>0</v>
      </c>
      <c r="M1685" t="n">
        <v>0</v>
      </c>
      <c r="N1685" t="n">
        <v>0</v>
      </c>
      <c r="O1685" t="n">
        <v>0</v>
      </c>
      <c r="P1685" t="n">
        <v>0</v>
      </c>
      <c r="Q1685" t="n">
        <v>0</v>
      </c>
      <c r="R1685" s="2" t="inlineStr"/>
    </row>
    <row r="1686" ht="15" customHeight="1">
      <c r="A1686" t="inlineStr">
        <is>
          <t>A 10426-2025</t>
        </is>
      </c>
      <c r="B1686" s="1" t="n">
        <v>45720.6534837963</v>
      </c>
      <c r="C1686" s="1" t="n">
        <v>45911</v>
      </c>
      <c r="D1686" t="inlineStr">
        <is>
          <t>GÄVLEBORGS LÄN</t>
        </is>
      </c>
      <c r="E1686" t="inlineStr">
        <is>
          <t>HUDIKSVALL</t>
        </is>
      </c>
      <c r="G1686" t="n">
        <v>4.5</v>
      </c>
      <c r="H1686" t="n">
        <v>0</v>
      </c>
      <c r="I1686" t="n">
        <v>0</v>
      </c>
      <c r="J1686" t="n">
        <v>0</v>
      </c>
      <c r="K1686" t="n">
        <v>0</v>
      </c>
      <c r="L1686" t="n">
        <v>0</v>
      </c>
      <c r="M1686" t="n">
        <v>0</v>
      </c>
      <c r="N1686" t="n">
        <v>0</v>
      </c>
      <c r="O1686" t="n">
        <v>0</v>
      </c>
      <c r="P1686" t="n">
        <v>0</v>
      </c>
      <c r="Q1686" t="n">
        <v>0</v>
      </c>
      <c r="R1686" s="2" t="inlineStr"/>
    </row>
    <row r="1687" ht="15" customHeight="1">
      <c r="A1687" t="inlineStr">
        <is>
          <t>A 66584-2020</t>
        </is>
      </c>
      <c r="B1687" s="1" t="n">
        <v>44179</v>
      </c>
      <c r="C1687" s="1" t="n">
        <v>45911</v>
      </c>
      <c r="D1687" t="inlineStr">
        <is>
          <t>GÄVLEBORGS LÄN</t>
        </is>
      </c>
      <c r="E1687" t="inlineStr">
        <is>
          <t>HUDIKSVALL</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14029-2023</t>
        </is>
      </c>
      <c r="B1688" s="1" t="n">
        <v>45008.61673611111</v>
      </c>
      <c r="C1688" s="1" t="n">
        <v>45911</v>
      </c>
      <c r="D1688" t="inlineStr">
        <is>
          <t>GÄVLEBORGS LÄN</t>
        </is>
      </c>
      <c r="E1688" t="inlineStr">
        <is>
          <t>SÖDERHAMN</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49708-2020</t>
        </is>
      </c>
      <c r="B1689" s="1" t="n">
        <v>44106</v>
      </c>
      <c r="C1689" s="1" t="n">
        <v>45911</v>
      </c>
      <c r="D1689" t="inlineStr">
        <is>
          <t>GÄVLEBORGS LÄN</t>
        </is>
      </c>
      <c r="E1689" t="inlineStr">
        <is>
          <t>HOFORS</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13806-2025</t>
        </is>
      </c>
      <c r="B1690" s="1" t="n">
        <v>45737.4896875</v>
      </c>
      <c r="C1690" s="1" t="n">
        <v>45911</v>
      </c>
      <c r="D1690" t="inlineStr">
        <is>
          <t>GÄVLEBORGS LÄN</t>
        </is>
      </c>
      <c r="E1690" t="inlineStr">
        <is>
          <t>GÄVLE</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46823-2022</t>
        </is>
      </c>
      <c r="B1691" s="1" t="n">
        <v>44851.56997685185</v>
      </c>
      <c r="C1691" s="1" t="n">
        <v>45911</v>
      </c>
      <c r="D1691" t="inlineStr">
        <is>
          <t>GÄVLEBORGS LÄN</t>
        </is>
      </c>
      <c r="E1691" t="inlineStr">
        <is>
          <t>OVANÅKER</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45592-2022</t>
        </is>
      </c>
      <c r="B1692" s="1" t="n">
        <v>44845.5477662037</v>
      </c>
      <c r="C1692" s="1" t="n">
        <v>45911</v>
      </c>
      <c r="D1692" t="inlineStr">
        <is>
          <t>GÄVLEBORGS LÄN</t>
        </is>
      </c>
      <c r="E1692" t="inlineStr">
        <is>
          <t>GÄVLE</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26611-2023</t>
        </is>
      </c>
      <c r="B1693" s="1" t="n">
        <v>45092.69458333333</v>
      </c>
      <c r="C1693" s="1" t="n">
        <v>45911</v>
      </c>
      <c r="D1693" t="inlineStr">
        <is>
          <t>GÄVLEBORGS LÄN</t>
        </is>
      </c>
      <c r="E1693" t="inlineStr">
        <is>
          <t>LJUSDAL</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3267-2025</t>
        </is>
      </c>
      <c r="B1694" s="1" t="n">
        <v>45679.57982638889</v>
      </c>
      <c r="C1694" s="1" t="n">
        <v>45911</v>
      </c>
      <c r="D1694" t="inlineStr">
        <is>
          <t>GÄVLEBORGS LÄN</t>
        </is>
      </c>
      <c r="E1694" t="inlineStr">
        <is>
          <t>OCKELBO</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3285-2025</t>
        </is>
      </c>
      <c r="B1695" s="1" t="n">
        <v>45679.6203125</v>
      </c>
      <c r="C1695" s="1" t="n">
        <v>45911</v>
      </c>
      <c r="D1695" t="inlineStr">
        <is>
          <t>GÄVLEBORGS LÄN</t>
        </is>
      </c>
      <c r="E1695" t="inlineStr">
        <is>
          <t>SANDVIKEN</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10423-2025</t>
        </is>
      </c>
      <c r="B1696" s="1" t="n">
        <v>45720.64939814815</v>
      </c>
      <c r="C1696" s="1" t="n">
        <v>45911</v>
      </c>
      <c r="D1696" t="inlineStr">
        <is>
          <t>GÄVLEBORGS LÄN</t>
        </is>
      </c>
      <c r="E1696" t="inlineStr">
        <is>
          <t>GÄVLE</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33175-2022</t>
        </is>
      </c>
      <c r="B1697" s="1" t="n">
        <v>44785.60788194444</v>
      </c>
      <c r="C1697" s="1" t="n">
        <v>45911</v>
      </c>
      <c r="D1697" t="inlineStr">
        <is>
          <t>GÄVLEBORGS LÄN</t>
        </is>
      </c>
      <c r="E1697" t="inlineStr">
        <is>
          <t>GÄVLE</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16980-2021</t>
        </is>
      </c>
      <c r="B1698" s="1" t="n">
        <v>44295</v>
      </c>
      <c r="C1698" s="1" t="n">
        <v>45911</v>
      </c>
      <c r="D1698" t="inlineStr">
        <is>
          <t>GÄVLEBORGS LÄN</t>
        </is>
      </c>
      <c r="E1698" t="inlineStr">
        <is>
          <t>BOLLNÄS</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50059-2023</t>
        </is>
      </c>
      <c r="B1699" s="1" t="n">
        <v>45215</v>
      </c>
      <c r="C1699" s="1" t="n">
        <v>45911</v>
      </c>
      <c r="D1699" t="inlineStr">
        <is>
          <t>GÄVLEBORGS LÄN</t>
        </is>
      </c>
      <c r="E1699" t="inlineStr">
        <is>
          <t>SÖDERHAMN</t>
        </is>
      </c>
      <c r="G1699" t="n">
        <v>11.2</v>
      </c>
      <c r="H1699" t="n">
        <v>0</v>
      </c>
      <c r="I1699" t="n">
        <v>0</v>
      </c>
      <c r="J1699" t="n">
        <v>0</v>
      </c>
      <c r="K1699" t="n">
        <v>0</v>
      </c>
      <c r="L1699" t="n">
        <v>0</v>
      </c>
      <c r="M1699" t="n">
        <v>0</v>
      </c>
      <c r="N1699" t="n">
        <v>0</v>
      </c>
      <c r="O1699" t="n">
        <v>0</v>
      </c>
      <c r="P1699" t="n">
        <v>0</v>
      </c>
      <c r="Q1699" t="n">
        <v>0</v>
      </c>
      <c r="R1699" s="2" t="inlineStr"/>
    </row>
    <row r="1700" ht="15" customHeight="1">
      <c r="A1700" t="inlineStr">
        <is>
          <t>A 51133-2023</t>
        </is>
      </c>
      <c r="B1700" s="1" t="n">
        <v>45219.33283564815</v>
      </c>
      <c r="C1700" s="1" t="n">
        <v>45911</v>
      </c>
      <c r="D1700" t="inlineStr">
        <is>
          <t>GÄVLEBORGS LÄN</t>
        </is>
      </c>
      <c r="E1700" t="inlineStr">
        <is>
          <t>BOLLNÄS</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35735-2022</t>
        </is>
      </c>
      <c r="B1701" s="1" t="n">
        <v>44799</v>
      </c>
      <c r="C1701" s="1" t="n">
        <v>45911</v>
      </c>
      <c r="D1701" t="inlineStr">
        <is>
          <t>GÄVLEBORGS LÄN</t>
        </is>
      </c>
      <c r="E1701" t="inlineStr">
        <is>
          <t>BOLLNÄS</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9859-2025</t>
        </is>
      </c>
      <c r="B1702" s="1" t="n">
        <v>45716.62736111111</v>
      </c>
      <c r="C1702" s="1" t="n">
        <v>45911</v>
      </c>
      <c r="D1702" t="inlineStr">
        <is>
          <t>GÄVLEBORGS LÄN</t>
        </is>
      </c>
      <c r="E1702" t="inlineStr">
        <is>
          <t>OCKELBO</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9888-2022</t>
        </is>
      </c>
      <c r="B1703" s="1" t="n">
        <v>44620.60839120371</v>
      </c>
      <c r="C1703" s="1" t="n">
        <v>45911</v>
      </c>
      <c r="D1703" t="inlineStr">
        <is>
          <t>GÄVLEBORGS LÄN</t>
        </is>
      </c>
      <c r="E1703" t="inlineStr">
        <is>
          <t>BOLLNÄS</t>
        </is>
      </c>
      <c r="G1703" t="n">
        <v>4</v>
      </c>
      <c r="H1703" t="n">
        <v>0</v>
      </c>
      <c r="I1703" t="n">
        <v>0</v>
      </c>
      <c r="J1703" t="n">
        <v>0</v>
      </c>
      <c r="K1703" t="n">
        <v>0</v>
      </c>
      <c r="L1703" t="n">
        <v>0</v>
      </c>
      <c r="M1703" t="n">
        <v>0</v>
      </c>
      <c r="N1703" t="n">
        <v>0</v>
      </c>
      <c r="O1703" t="n">
        <v>0</v>
      </c>
      <c r="P1703" t="n">
        <v>0</v>
      </c>
      <c r="Q1703" t="n">
        <v>0</v>
      </c>
      <c r="R1703" s="2" t="inlineStr"/>
    </row>
    <row r="1704" ht="15" customHeight="1">
      <c r="A1704" t="inlineStr">
        <is>
          <t>A 9899-2022</t>
        </is>
      </c>
      <c r="B1704" s="1" t="n">
        <v>44620.64556712963</v>
      </c>
      <c r="C1704" s="1" t="n">
        <v>45911</v>
      </c>
      <c r="D1704" t="inlineStr">
        <is>
          <t>GÄVLEBORGS LÄN</t>
        </is>
      </c>
      <c r="E1704" t="inlineStr">
        <is>
          <t>NORDANSTIG</t>
        </is>
      </c>
      <c r="G1704" t="n">
        <v>4.7</v>
      </c>
      <c r="H1704" t="n">
        <v>0</v>
      </c>
      <c r="I1704" t="n">
        <v>0</v>
      </c>
      <c r="J1704" t="n">
        <v>0</v>
      </c>
      <c r="K1704" t="n">
        <v>0</v>
      </c>
      <c r="L1704" t="n">
        <v>0</v>
      </c>
      <c r="M1704" t="n">
        <v>0</v>
      </c>
      <c r="N1704" t="n">
        <v>0</v>
      </c>
      <c r="O1704" t="n">
        <v>0</v>
      </c>
      <c r="P1704" t="n">
        <v>0</v>
      </c>
      <c r="Q1704" t="n">
        <v>0</v>
      </c>
      <c r="R1704" s="2" t="inlineStr"/>
    </row>
    <row r="1705" ht="15" customHeight="1">
      <c r="A1705" t="inlineStr">
        <is>
          <t>A 37646-2021</t>
        </is>
      </c>
      <c r="B1705" s="1" t="n">
        <v>44400.37629629629</v>
      </c>
      <c r="C1705" s="1" t="n">
        <v>45911</v>
      </c>
      <c r="D1705" t="inlineStr">
        <is>
          <t>GÄVLEBORGS LÄN</t>
        </is>
      </c>
      <c r="E1705" t="inlineStr">
        <is>
          <t>LJUSDAL</t>
        </is>
      </c>
      <c r="F1705" t="inlineStr">
        <is>
          <t>Sveaskog</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17557-2021</t>
        </is>
      </c>
      <c r="B1706" s="1" t="n">
        <v>44299</v>
      </c>
      <c r="C1706" s="1" t="n">
        <v>45911</v>
      </c>
      <c r="D1706" t="inlineStr">
        <is>
          <t>GÄVLEBORGS LÄN</t>
        </is>
      </c>
      <c r="E1706" t="inlineStr">
        <is>
          <t>BOLLNÄS</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11536-2021</t>
        </is>
      </c>
      <c r="B1707" s="1" t="n">
        <v>44264</v>
      </c>
      <c r="C1707" s="1" t="n">
        <v>45911</v>
      </c>
      <c r="D1707" t="inlineStr">
        <is>
          <t>GÄVLEBORGS LÄN</t>
        </is>
      </c>
      <c r="E1707" t="inlineStr">
        <is>
          <t>OVANÅKER</t>
        </is>
      </c>
      <c r="G1707" t="n">
        <v>0.1</v>
      </c>
      <c r="H1707" t="n">
        <v>0</v>
      </c>
      <c r="I1707" t="n">
        <v>0</v>
      </c>
      <c r="J1707" t="n">
        <v>0</v>
      </c>
      <c r="K1707" t="n">
        <v>0</v>
      </c>
      <c r="L1707" t="n">
        <v>0</v>
      </c>
      <c r="M1707" t="n">
        <v>0</v>
      </c>
      <c r="N1707" t="n">
        <v>0</v>
      </c>
      <c r="O1707" t="n">
        <v>0</v>
      </c>
      <c r="P1707" t="n">
        <v>0</v>
      </c>
      <c r="Q1707" t="n">
        <v>0</v>
      </c>
      <c r="R1707" s="2" t="inlineStr"/>
    </row>
    <row r="1708" ht="15" customHeight="1">
      <c r="A1708" t="inlineStr">
        <is>
          <t>A 58112-2021</t>
        </is>
      </c>
      <c r="B1708" s="1" t="n">
        <v>44487.53695601852</v>
      </c>
      <c r="C1708" s="1" t="n">
        <v>45911</v>
      </c>
      <c r="D1708" t="inlineStr">
        <is>
          <t>GÄVLEBORGS LÄN</t>
        </is>
      </c>
      <c r="E1708" t="inlineStr">
        <is>
          <t>BOLLNÄS</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44862-2021</t>
        </is>
      </c>
      <c r="B1709" s="1" t="n">
        <v>44438</v>
      </c>
      <c r="C1709" s="1" t="n">
        <v>45911</v>
      </c>
      <c r="D1709" t="inlineStr">
        <is>
          <t>GÄVLEBORGS LÄN</t>
        </is>
      </c>
      <c r="E1709" t="inlineStr">
        <is>
          <t>BOLLNÄS</t>
        </is>
      </c>
      <c r="F1709" t="inlineStr">
        <is>
          <t>Kyrkan</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11540-2021</t>
        </is>
      </c>
      <c r="B1710" s="1" t="n">
        <v>44264</v>
      </c>
      <c r="C1710" s="1" t="n">
        <v>45911</v>
      </c>
      <c r="D1710" t="inlineStr">
        <is>
          <t>GÄVLEBORGS LÄN</t>
        </is>
      </c>
      <c r="E1710" t="inlineStr">
        <is>
          <t>OVANÅKER</t>
        </is>
      </c>
      <c r="G1710" t="n">
        <v>0</v>
      </c>
      <c r="H1710" t="n">
        <v>0</v>
      </c>
      <c r="I1710" t="n">
        <v>0</v>
      </c>
      <c r="J1710" t="n">
        <v>0</v>
      </c>
      <c r="K1710" t="n">
        <v>0</v>
      </c>
      <c r="L1710" t="n">
        <v>0</v>
      </c>
      <c r="M1710" t="n">
        <v>0</v>
      </c>
      <c r="N1710" t="n">
        <v>0</v>
      </c>
      <c r="O1710" t="n">
        <v>0</v>
      </c>
      <c r="P1710" t="n">
        <v>0</v>
      </c>
      <c r="Q1710" t="n">
        <v>0</v>
      </c>
      <c r="R1710" s="2" t="inlineStr"/>
    </row>
    <row r="1711" ht="15" customHeight="1">
      <c r="A1711" t="inlineStr">
        <is>
          <t>A 18306-2022</t>
        </is>
      </c>
      <c r="B1711" s="1" t="n">
        <v>44685</v>
      </c>
      <c r="C1711" s="1" t="n">
        <v>45911</v>
      </c>
      <c r="D1711" t="inlineStr">
        <is>
          <t>GÄVLEBORGS LÄN</t>
        </is>
      </c>
      <c r="E1711" t="inlineStr">
        <is>
          <t>NORDANSTIG</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9919-2025</t>
        </is>
      </c>
      <c r="B1712" s="1" t="n">
        <v>45717.45646990741</v>
      </c>
      <c r="C1712" s="1" t="n">
        <v>45911</v>
      </c>
      <c r="D1712" t="inlineStr">
        <is>
          <t>GÄVLEBORGS LÄN</t>
        </is>
      </c>
      <c r="E1712" t="inlineStr">
        <is>
          <t>HUDIKSVALL</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9964-2025</t>
        </is>
      </c>
      <c r="B1713" s="1" t="n">
        <v>45719.37508101852</v>
      </c>
      <c r="C1713" s="1" t="n">
        <v>45911</v>
      </c>
      <c r="D1713" t="inlineStr">
        <is>
          <t>GÄVLEBORGS LÄN</t>
        </is>
      </c>
      <c r="E1713" t="inlineStr">
        <is>
          <t>OCKELBO</t>
        </is>
      </c>
      <c r="F1713" t="inlineStr">
        <is>
          <t>Bergvik skog öst AB</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13199-2025</t>
        </is>
      </c>
      <c r="B1714" s="1" t="n">
        <v>45735.42756944444</v>
      </c>
      <c r="C1714" s="1" t="n">
        <v>45911</v>
      </c>
      <c r="D1714" t="inlineStr">
        <is>
          <t>GÄVLEBORGS LÄN</t>
        </is>
      </c>
      <c r="E1714" t="inlineStr">
        <is>
          <t>LJUSDAL</t>
        </is>
      </c>
      <c r="F1714" t="inlineStr">
        <is>
          <t>SCA</t>
        </is>
      </c>
      <c r="G1714" t="n">
        <v>9.6</v>
      </c>
      <c r="H1714" t="n">
        <v>0</v>
      </c>
      <c r="I1714" t="n">
        <v>0</v>
      </c>
      <c r="J1714" t="n">
        <v>0</v>
      </c>
      <c r="K1714" t="n">
        <v>0</v>
      </c>
      <c r="L1714" t="n">
        <v>0</v>
      </c>
      <c r="M1714" t="n">
        <v>0</v>
      </c>
      <c r="N1714" t="n">
        <v>0</v>
      </c>
      <c r="O1714" t="n">
        <v>0</v>
      </c>
      <c r="P1714" t="n">
        <v>0</v>
      </c>
      <c r="Q1714" t="n">
        <v>0</v>
      </c>
      <c r="R1714" s="2" t="inlineStr"/>
    </row>
    <row r="1715" ht="15" customHeight="1">
      <c r="A1715" t="inlineStr">
        <is>
          <t>A 13221-2025</t>
        </is>
      </c>
      <c r="B1715" s="1" t="n">
        <v>45735</v>
      </c>
      <c r="C1715" s="1" t="n">
        <v>45911</v>
      </c>
      <c r="D1715" t="inlineStr">
        <is>
          <t>GÄVLEBORGS LÄN</t>
        </is>
      </c>
      <c r="E1715" t="inlineStr">
        <is>
          <t>SÖDERHAMN</t>
        </is>
      </c>
      <c r="G1715" t="n">
        <v>4.8</v>
      </c>
      <c r="H1715" t="n">
        <v>0</v>
      </c>
      <c r="I1715" t="n">
        <v>0</v>
      </c>
      <c r="J1715" t="n">
        <v>0</v>
      </c>
      <c r="K1715" t="n">
        <v>0</v>
      </c>
      <c r="L1715" t="n">
        <v>0</v>
      </c>
      <c r="M1715" t="n">
        <v>0</v>
      </c>
      <c r="N1715" t="n">
        <v>0</v>
      </c>
      <c r="O1715" t="n">
        <v>0</v>
      </c>
      <c r="P1715" t="n">
        <v>0</v>
      </c>
      <c r="Q1715" t="n">
        <v>0</v>
      </c>
      <c r="R1715" s="2" t="inlineStr"/>
    </row>
    <row r="1716" ht="15" customHeight="1">
      <c r="A1716" t="inlineStr">
        <is>
          <t>A 23434-2021</t>
        </is>
      </c>
      <c r="B1716" s="1" t="n">
        <v>44333</v>
      </c>
      <c r="C1716" s="1" t="n">
        <v>45911</v>
      </c>
      <c r="D1716" t="inlineStr">
        <is>
          <t>GÄVLEBORGS LÄN</t>
        </is>
      </c>
      <c r="E1716" t="inlineStr">
        <is>
          <t>HUDIKSVALL</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33974-2022</t>
        </is>
      </c>
      <c r="B1717" s="1" t="n">
        <v>44790</v>
      </c>
      <c r="C1717" s="1" t="n">
        <v>45911</v>
      </c>
      <c r="D1717" t="inlineStr">
        <is>
          <t>GÄVLEBORGS LÄN</t>
        </is>
      </c>
      <c r="E1717" t="inlineStr">
        <is>
          <t>NORDANSTIG</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37638-2022</t>
        </is>
      </c>
      <c r="B1718" s="1" t="n">
        <v>44810</v>
      </c>
      <c r="C1718" s="1" t="n">
        <v>45911</v>
      </c>
      <c r="D1718" t="inlineStr">
        <is>
          <t>GÄVLEBORGS LÄN</t>
        </is>
      </c>
      <c r="E1718" t="inlineStr">
        <is>
          <t>HUDIKSVALL</t>
        </is>
      </c>
      <c r="F1718" t="inlineStr">
        <is>
          <t>Holmen skog AB</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427-2024</t>
        </is>
      </c>
      <c r="B1719" s="1" t="n">
        <v>45296</v>
      </c>
      <c r="C1719" s="1" t="n">
        <v>45911</v>
      </c>
      <c r="D1719" t="inlineStr">
        <is>
          <t>GÄVLEBORGS LÄN</t>
        </is>
      </c>
      <c r="E1719" t="inlineStr">
        <is>
          <t>OCKELBO</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41285-2022</t>
        </is>
      </c>
      <c r="B1720" s="1" t="n">
        <v>44826.42060185185</v>
      </c>
      <c r="C1720" s="1" t="n">
        <v>45911</v>
      </c>
      <c r="D1720" t="inlineStr">
        <is>
          <t>GÄVLEBORGS LÄN</t>
        </is>
      </c>
      <c r="E1720" t="inlineStr">
        <is>
          <t>LJUSDAL</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65098-2023</t>
        </is>
      </c>
      <c r="B1721" s="1" t="n">
        <v>45288.41835648148</v>
      </c>
      <c r="C1721" s="1" t="n">
        <v>45911</v>
      </c>
      <c r="D1721" t="inlineStr">
        <is>
          <t>GÄVLEBORGS LÄN</t>
        </is>
      </c>
      <c r="E1721" t="inlineStr">
        <is>
          <t>SANDVIKEN</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37681-2022</t>
        </is>
      </c>
      <c r="B1722" s="1" t="n">
        <v>44810</v>
      </c>
      <c r="C1722" s="1" t="n">
        <v>45911</v>
      </c>
      <c r="D1722" t="inlineStr">
        <is>
          <t>GÄVLEBORGS LÄN</t>
        </is>
      </c>
      <c r="E1722" t="inlineStr">
        <is>
          <t>HUDIKSVALL</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14864-2025</t>
        </is>
      </c>
      <c r="B1723" s="1" t="n">
        <v>45743.43662037037</v>
      </c>
      <c r="C1723" s="1" t="n">
        <v>45911</v>
      </c>
      <c r="D1723" t="inlineStr">
        <is>
          <t>GÄVLEBORGS LÄN</t>
        </is>
      </c>
      <c r="E1723" t="inlineStr">
        <is>
          <t>BOLLNÄS</t>
        </is>
      </c>
      <c r="G1723" t="n">
        <v>11.7</v>
      </c>
      <c r="H1723" t="n">
        <v>0</v>
      </c>
      <c r="I1723" t="n">
        <v>0</v>
      </c>
      <c r="J1723" t="n">
        <v>0</v>
      </c>
      <c r="K1723" t="n">
        <v>0</v>
      </c>
      <c r="L1723" t="n">
        <v>0</v>
      </c>
      <c r="M1723" t="n">
        <v>0</v>
      </c>
      <c r="N1723" t="n">
        <v>0</v>
      </c>
      <c r="O1723" t="n">
        <v>0</v>
      </c>
      <c r="P1723" t="n">
        <v>0</v>
      </c>
      <c r="Q1723" t="n">
        <v>0</v>
      </c>
      <c r="R1723" s="2" t="inlineStr"/>
    </row>
    <row r="1724" ht="15" customHeight="1">
      <c r="A1724" t="inlineStr">
        <is>
          <t>A 38018-2021</t>
        </is>
      </c>
      <c r="B1724" s="1" t="n">
        <v>44404</v>
      </c>
      <c r="C1724" s="1" t="n">
        <v>45911</v>
      </c>
      <c r="D1724" t="inlineStr">
        <is>
          <t>GÄVLEBORGS LÄN</t>
        </is>
      </c>
      <c r="E1724" t="inlineStr">
        <is>
          <t>HUDIKSVALL</t>
        </is>
      </c>
      <c r="F1724" t="inlineStr">
        <is>
          <t>Kommuner</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51247-2023</t>
        </is>
      </c>
      <c r="B1725" s="1" t="n">
        <v>45219.4821875</v>
      </c>
      <c r="C1725" s="1" t="n">
        <v>45911</v>
      </c>
      <c r="D1725" t="inlineStr">
        <is>
          <t>GÄVLEBORGS LÄN</t>
        </is>
      </c>
      <c r="E1725" t="inlineStr">
        <is>
          <t>BOLLNÄS</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13473-2024</t>
        </is>
      </c>
      <c r="B1726" s="1" t="n">
        <v>45387.5827662037</v>
      </c>
      <c r="C1726" s="1" t="n">
        <v>45911</v>
      </c>
      <c r="D1726" t="inlineStr">
        <is>
          <t>GÄVLEBORGS LÄN</t>
        </is>
      </c>
      <c r="E1726" t="inlineStr">
        <is>
          <t>HOFORS</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23072-2024</t>
        </is>
      </c>
      <c r="B1727" s="1" t="n">
        <v>45450.46739583334</v>
      </c>
      <c r="C1727" s="1" t="n">
        <v>45911</v>
      </c>
      <c r="D1727" t="inlineStr">
        <is>
          <t>GÄVLEBORGS LÄN</t>
        </is>
      </c>
      <c r="E1727" t="inlineStr">
        <is>
          <t>OCKELBO</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5711-2024</t>
        </is>
      </c>
      <c r="B1728" s="1" t="n">
        <v>45334</v>
      </c>
      <c r="C1728" s="1" t="n">
        <v>45911</v>
      </c>
      <c r="D1728" t="inlineStr">
        <is>
          <t>GÄVLEBORGS LÄN</t>
        </is>
      </c>
      <c r="E1728" t="inlineStr">
        <is>
          <t>HUDIKSVALL</t>
        </is>
      </c>
      <c r="F1728" t="inlineStr">
        <is>
          <t>Holmen skog AB</t>
        </is>
      </c>
      <c r="G1728" t="n">
        <v>14.5</v>
      </c>
      <c r="H1728" t="n">
        <v>0</v>
      </c>
      <c r="I1728" t="n">
        <v>0</v>
      </c>
      <c r="J1728" t="n">
        <v>0</v>
      </c>
      <c r="K1728" t="n">
        <v>0</v>
      </c>
      <c r="L1728" t="n">
        <v>0</v>
      </c>
      <c r="M1728" t="n">
        <v>0</v>
      </c>
      <c r="N1728" t="n">
        <v>0</v>
      </c>
      <c r="O1728" t="n">
        <v>0</v>
      </c>
      <c r="P1728" t="n">
        <v>0</v>
      </c>
      <c r="Q1728" t="n">
        <v>0</v>
      </c>
      <c r="R1728" s="2" t="inlineStr"/>
    </row>
    <row r="1729" ht="15" customHeight="1">
      <c r="A1729" t="inlineStr">
        <is>
          <t>A 48141-2022</t>
        </is>
      </c>
      <c r="B1729" s="1" t="n">
        <v>44858.00943287037</v>
      </c>
      <c r="C1729" s="1" t="n">
        <v>45911</v>
      </c>
      <c r="D1729" t="inlineStr">
        <is>
          <t>GÄVLEBORGS LÄN</t>
        </is>
      </c>
      <c r="E1729" t="inlineStr">
        <is>
          <t>BOLLNÄS</t>
        </is>
      </c>
      <c r="F1729" t="inlineStr">
        <is>
          <t>Bergvik skog väst AB</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21291-2022</t>
        </is>
      </c>
      <c r="B1730" s="1" t="n">
        <v>44705.48972222222</v>
      </c>
      <c r="C1730" s="1" t="n">
        <v>45911</v>
      </c>
      <c r="D1730" t="inlineStr">
        <is>
          <t>GÄVLEBORGS LÄN</t>
        </is>
      </c>
      <c r="E1730" t="inlineStr">
        <is>
          <t>OCKELBO</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14463-2021</t>
        </is>
      </c>
      <c r="B1731" s="1" t="n">
        <v>44279.54775462963</v>
      </c>
      <c r="C1731" s="1" t="n">
        <v>45911</v>
      </c>
      <c r="D1731" t="inlineStr">
        <is>
          <t>GÄVLEBORGS LÄN</t>
        </is>
      </c>
      <c r="E1731" t="inlineStr">
        <is>
          <t>OCKELBO</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10137-2024</t>
        </is>
      </c>
      <c r="B1732" s="1" t="n">
        <v>45364.60462962963</v>
      </c>
      <c r="C1732" s="1" t="n">
        <v>45911</v>
      </c>
      <c r="D1732" t="inlineStr">
        <is>
          <t>GÄVLEBORGS LÄN</t>
        </is>
      </c>
      <c r="E1732" t="inlineStr">
        <is>
          <t>NORDANSTIG</t>
        </is>
      </c>
      <c r="F1732" t="inlineStr">
        <is>
          <t>Holmen skog AB</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46709-2022</t>
        </is>
      </c>
      <c r="B1733" s="1" t="n">
        <v>44851.38769675926</v>
      </c>
      <c r="C1733" s="1" t="n">
        <v>45911</v>
      </c>
      <c r="D1733" t="inlineStr">
        <is>
          <t>GÄVLEBORGS LÄN</t>
        </is>
      </c>
      <c r="E1733" t="inlineStr">
        <is>
          <t>OVANÅKER</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25596-2024</t>
        </is>
      </c>
      <c r="B1734" s="1" t="n">
        <v>45463.62259259259</v>
      </c>
      <c r="C1734" s="1" t="n">
        <v>45911</v>
      </c>
      <c r="D1734" t="inlineStr">
        <is>
          <t>GÄVLEBORGS LÄN</t>
        </is>
      </c>
      <c r="E1734" t="inlineStr">
        <is>
          <t>HUDIKSVALL</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17180-2025</t>
        </is>
      </c>
      <c r="B1735" s="1" t="n">
        <v>45756.38221064815</v>
      </c>
      <c r="C1735" s="1" t="n">
        <v>45911</v>
      </c>
      <c r="D1735" t="inlineStr">
        <is>
          <t>GÄVLEBORGS LÄN</t>
        </is>
      </c>
      <c r="E1735" t="inlineStr">
        <is>
          <t>GÄVLE</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49713-2023</t>
        </is>
      </c>
      <c r="B1736" s="1" t="n">
        <v>45212.43078703704</v>
      </c>
      <c r="C1736" s="1" t="n">
        <v>45911</v>
      </c>
      <c r="D1736" t="inlineStr">
        <is>
          <t>GÄVLEBORGS LÄN</t>
        </is>
      </c>
      <c r="E1736" t="inlineStr">
        <is>
          <t>BOLLNÄS</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19374-2022</t>
        </is>
      </c>
      <c r="B1737" s="1" t="n">
        <v>44692.75837962963</v>
      </c>
      <c r="C1737" s="1" t="n">
        <v>45911</v>
      </c>
      <c r="D1737" t="inlineStr">
        <is>
          <t>GÄVLEBORGS LÄN</t>
        </is>
      </c>
      <c r="E1737" t="inlineStr">
        <is>
          <t>NORDANSTIG</t>
        </is>
      </c>
      <c r="F1737" t="inlineStr">
        <is>
          <t>Holmen skog AB</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47674-2023</t>
        </is>
      </c>
      <c r="B1738" s="1" t="n">
        <v>45203.60052083333</v>
      </c>
      <c r="C1738" s="1" t="n">
        <v>45911</v>
      </c>
      <c r="D1738" t="inlineStr">
        <is>
          <t>GÄVLEBORGS LÄN</t>
        </is>
      </c>
      <c r="E1738" t="inlineStr">
        <is>
          <t>OCKELBO</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16914-2025</t>
        </is>
      </c>
      <c r="B1739" s="1" t="n">
        <v>45755.36678240741</v>
      </c>
      <c r="C1739" s="1" t="n">
        <v>45911</v>
      </c>
      <c r="D1739" t="inlineStr">
        <is>
          <t>GÄVLEBORGS LÄN</t>
        </is>
      </c>
      <c r="E1739" t="inlineStr">
        <is>
          <t>BOLLNÄS</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20117-2025</t>
        </is>
      </c>
      <c r="B1740" s="1" t="n">
        <v>45772.48638888889</v>
      </c>
      <c r="C1740" s="1" t="n">
        <v>45911</v>
      </c>
      <c r="D1740" t="inlineStr">
        <is>
          <t>GÄVLEBORGS LÄN</t>
        </is>
      </c>
      <c r="E1740" t="inlineStr">
        <is>
          <t>OVANÅKER</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51127-2022</t>
        </is>
      </c>
      <c r="B1741" s="1" t="n">
        <v>44868.47707175926</v>
      </c>
      <c r="C1741" s="1" t="n">
        <v>45911</v>
      </c>
      <c r="D1741" t="inlineStr">
        <is>
          <t>GÄVLEBORGS LÄN</t>
        </is>
      </c>
      <c r="E1741" t="inlineStr">
        <is>
          <t>OVANÅKER</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31348-2022</t>
        </is>
      </c>
      <c r="B1742" s="1" t="n">
        <v>44774.54951388889</v>
      </c>
      <c r="C1742" s="1" t="n">
        <v>45911</v>
      </c>
      <c r="D1742" t="inlineStr">
        <is>
          <t>GÄVLEBORGS LÄN</t>
        </is>
      </c>
      <c r="E1742" t="inlineStr">
        <is>
          <t>LJUSDAL</t>
        </is>
      </c>
      <c r="F1742" t="inlineStr">
        <is>
          <t>Holmen skog AB</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50326-2023</t>
        </is>
      </c>
      <c r="B1743" s="1" t="n">
        <v>45216.55601851852</v>
      </c>
      <c r="C1743" s="1" t="n">
        <v>45911</v>
      </c>
      <c r="D1743" t="inlineStr">
        <is>
          <t>GÄVLEBORGS LÄN</t>
        </is>
      </c>
      <c r="E1743" t="inlineStr">
        <is>
          <t>NORDANSTIG</t>
        </is>
      </c>
      <c r="F1743" t="inlineStr">
        <is>
          <t>Holmen skog AB</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44938-2022</t>
        </is>
      </c>
      <c r="B1744" s="1" t="n">
        <v>44841</v>
      </c>
      <c r="C1744" s="1" t="n">
        <v>45911</v>
      </c>
      <c r="D1744" t="inlineStr">
        <is>
          <t>GÄVLEBORGS LÄN</t>
        </is>
      </c>
      <c r="E1744" t="inlineStr">
        <is>
          <t>GÄVLE</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27179-2021</t>
        </is>
      </c>
      <c r="B1745" s="1" t="n">
        <v>44350.66420138889</v>
      </c>
      <c r="C1745" s="1" t="n">
        <v>45911</v>
      </c>
      <c r="D1745" t="inlineStr">
        <is>
          <t>GÄVLEBORGS LÄN</t>
        </is>
      </c>
      <c r="E1745" t="inlineStr">
        <is>
          <t>GÄVLE</t>
        </is>
      </c>
      <c r="F1745" t="inlineStr">
        <is>
          <t>Bergvik skog öst AB</t>
        </is>
      </c>
      <c r="G1745" t="n">
        <v>3.7</v>
      </c>
      <c r="H1745" t="n">
        <v>0</v>
      </c>
      <c r="I1745" t="n">
        <v>0</v>
      </c>
      <c r="J1745" t="n">
        <v>0</v>
      </c>
      <c r="K1745" t="n">
        <v>0</v>
      </c>
      <c r="L1745" t="n">
        <v>0</v>
      </c>
      <c r="M1745" t="n">
        <v>0</v>
      </c>
      <c r="N1745" t="n">
        <v>0</v>
      </c>
      <c r="O1745" t="n">
        <v>0</v>
      </c>
      <c r="P1745" t="n">
        <v>0</v>
      </c>
      <c r="Q1745" t="n">
        <v>0</v>
      </c>
      <c r="R1745" s="2" t="inlineStr"/>
    </row>
    <row r="1746" ht="15" customHeight="1">
      <c r="A1746" t="inlineStr">
        <is>
          <t>A 8805-2025</t>
        </is>
      </c>
      <c r="B1746" s="1" t="n">
        <v>45712.66641203704</v>
      </c>
      <c r="C1746" s="1" t="n">
        <v>45911</v>
      </c>
      <c r="D1746" t="inlineStr">
        <is>
          <t>GÄVLEBORGS LÄN</t>
        </is>
      </c>
      <c r="E1746" t="inlineStr">
        <is>
          <t>NORDANSTIG</t>
        </is>
      </c>
      <c r="F1746" t="inlineStr">
        <is>
          <t>Holmen skog AB</t>
        </is>
      </c>
      <c r="G1746" t="n">
        <v>5.8</v>
      </c>
      <c r="H1746" t="n">
        <v>0</v>
      </c>
      <c r="I1746" t="n">
        <v>0</v>
      </c>
      <c r="J1746" t="n">
        <v>0</v>
      </c>
      <c r="K1746" t="n">
        <v>0</v>
      </c>
      <c r="L1746" t="n">
        <v>0</v>
      </c>
      <c r="M1746" t="n">
        <v>0</v>
      </c>
      <c r="N1746" t="n">
        <v>0</v>
      </c>
      <c r="O1746" t="n">
        <v>0</v>
      </c>
      <c r="P1746" t="n">
        <v>0</v>
      </c>
      <c r="Q1746" t="n">
        <v>0</v>
      </c>
      <c r="R1746" s="2" t="inlineStr"/>
    </row>
    <row r="1747" ht="15" customHeight="1">
      <c r="A1747" t="inlineStr">
        <is>
          <t>A 22293-2024</t>
        </is>
      </c>
      <c r="B1747" s="1" t="n">
        <v>45446.55873842593</v>
      </c>
      <c r="C1747" s="1" t="n">
        <v>45911</v>
      </c>
      <c r="D1747" t="inlineStr">
        <is>
          <t>GÄVLEBORGS LÄN</t>
        </is>
      </c>
      <c r="E1747" t="inlineStr">
        <is>
          <t>OCKELBO</t>
        </is>
      </c>
      <c r="G1747" t="n">
        <v>3.9</v>
      </c>
      <c r="H1747" t="n">
        <v>0</v>
      </c>
      <c r="I1747" t="n">
        <v>0</v>
      </c>
      <c r="J1747" t="n">
        <v>0</v>
      </c>
      <c r="K1747" t="n">
        <v>0</v>
      </c>
      <c r="L1747" t="n">
        <v>0</v>
      </c>
      <c r="M1747" t="n">
        <v>0</v>
      </c>
      <c r="N1747" t="n">
        <v>0</v>
      </c>
      <c r="O1747" t="n">
        <v>0</v>
      </c>
      <c r="P1747" t="n">
        <v>0</v>
      </c>
      <c r="Q1747" t="n">
        <v>0</v>
      </c>
      <c r="R1747" s="2" t="inlineStr"/>
    </row>
    <row r="1748" ht="15" customHeight="1">
      <c r="A1748" t="inlineStr">
        <is>
          <t>A 549-2024</t>
        </is>
      </c>
      <c r="B1748" s="1" t="n">
        <v>45299</v>
      </c>
      <c r="C1748" s="1" t="n">
        <v>45911</v>
      </c>
      <c r="D1748" t="inlineStr">
        <is>
          <t>GÄVLEBORGS LÄN</t>
        </is>
      </c>
      <c r="E1748" t="inlineStr">
        <is>
          <t>BOLLNÄS</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24933-2024</t>
        </is>
      </c>
      <c r="B1749" s="1" t="n">
        <v>45461</v>
      </c>
      <c r="C1749" s="1" t="n">
        <v>45911</v>
      </c>
      <c r="D1749" t="inlineStr">
        <is>
          <t>GÄVLEBORGS LÄN</t>
        </is>
      </c>
      <c r="E1749" t="inlineStr">
        <is>
          <t>SÖDERHAMN</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18691-2022</t>
        </is>
      </c>
      <c r="B1750" s="1" t="n">
        <v>44687.59209490741</v>
      </c>
      <c r="C1750" s="1" t="n">
        <v>45911</v>
      </c>
      <c r="D1750" t="inlineStr">
        <is>
          <t>GÄVLEBORGS LÄN</t>
        </is>
      </c>
      <c r="E1750" t="inlineStr">
        <is>
          <t>LJUSDAL</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50657-2024</t>
        </is>
      </c>
      <c r="B1751" s="1" t="n">
        <v>45601.718125</v>
      </c>
      <c r="C1751" s="1" t="n">
        <v>45911</v>
      </c>
      <c r="D1751" t="inlineStr">
        <is>
          <t>GÄVLEBORGS LÄN</t>
        </is>
      </c>
      <c r="E1751" t="inlineStr">
        <is>
          <t>NORDANSTIG</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25570-2024</t>
        </is>
      </c>
      <c r="B1752" s="1" t="n">
        <v>45463.58728009259</v>
      </c>
      <c r="C1752" s="1" t="n">
        <v>45911</v>
      </c>
      <c r="D1752" t="inlineStr">
        <is>
          <t>GÄVLEBORGS LÄN</t>
        </is>
      </c>
      <c r="E1752" t="inlineStr">
        <is>
          <t>LJUSDAL</t>
        </is>
      </c>
      <c r="F1752" t="inlineStr">
        <is>
          <t>Sveaskog</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60291-2022</t>
        </is>
      </c>
      <c r="B1753" s="1" t="n">
        <v>44910.54173611111</v>
      </c>
      <c r="C1753" s="1" t="n">
        <v>45911</v>
      </c>
      <c r="D1753" t="inlineStr">
        <is>
          <t>GÄVLEBORGS LÄN</t>
        </is>
      </c>
      <c r="E1753" t="inlineStr">
        <is>
          <t>OVANÅKER</t>
        </is>
      </c>
      <c r="F1753" t="inlineStr">
        <is>
          <t>Sveaskog</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9482-2025</t>
        </is>
      </c>
      <c r="B1754" s="1" t="n">
        <v>45715.48484953704</v>
      </c>
      <c r="C1754" s="1" t="n">
        <v>45911</v>
      </c>
      <c r="D1754" t="inlineStr">
        <is>
          <t>GÄVLEBORGS LÄN</t>
        </is>
      </c>
      <c r="E1754" t="inlineStr">
        <is>
          <t>HUDIKSVALL</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5579-2022</t>
        </is>
      </c>
      <c r="B1755" s="1" t="n">
        <v>44595</v>
      </c>
      <c r="C1755" s="1" t="n">
        <v>45911</v>
      </c>
      <c r="D1755" t="inlineStr">
        <is>
          <t>GÄVLEBORGS LÄN</t>
        </is>
      </c>
      <c r="E1755" t="inlineStr">
        <is>
          <t>BOLLNÄS</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29297-2024</t>
        </is>
      </c>
      <c r="B1756" s="1" t="n">
        <v>45483.33927083333</v>
      </c>
      <c r="C1756" s="1" t="n">
        <v>45911</v>
      </c>
      <c r="D1756" t="inlineStr">
        <is>
          <t>GÄVLEBORGS LÄN</t>
        </is>
      </c>
      <c r="E1756" t="inlineStr">
        <is>
          <t>SANDVIKEN</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27956-2024</t>
        </is>
      </c>
      <c r="B1757" s="1" t="n">
        <v>45476.34413194445</v>
      </c>
      <c r="C1757" s="1" t="n">
        <v>45911</v>
      </c>
      <c r="D1757" t="inlineStr">
        <is>
          <t>GÄVLEBORGS LÄN</t>
        </is>
      </c>
      <c r="E1757" t="inlineStr">
        <is>
          <t>HUDIKSVALL</t>
        </is>
      </c>
      <c r="F1757" t="inlineStr">
        <is>
          <t>Holmen skog AB</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51747-2022</t>
        </is>
      </c>
      <c r="B1758" s="1" t="n">
        <v>44872.49866898148</v>
      </c>
      <c r="C1758" s="1" t="n">
        <v>45911</v>
      </c>
      <c r="D1758" t="inlineStr">
        <is>
          <t>GÄVLEBORGS LÄN</t>
        </is>
      </c>
      <c r="E1758" t="inlineStr">
        <is>
          <t>OCKELBO</t>
        </is>
      </c>
      <c r="F1758" t="inlineStr">
        <is>
          <t>Bergvik skog väst AB</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32579-2024</t>
        </is>
      </c>
      <c r="B1759" s="1" t="n">
        <v>45513</v>
      </c>
      <c r="C1759" s="1" t="n">
        <v>45911</v>
      </c>
      <c r="D1759" t="inlineStr">
        <is>
          <t>GÄVLEBORGS LÄN</t>
        </is>
      </c>
      <c r="E1759" t="inlineStr">
        <is>
          <t>LJUSDAL</t>
        </is>
      </c>
      <c r="F1759" t="inlineStr">
        <is>
          <t>Sveaskog</t>
        </is>
      </c>
      <c r="G1759" t="n">
        <v>33.7</v>
      </c>
      <c r="H1759" t="n">
        <v>0</v>
      </c>
      <c r="I1759" t="n">
        <v>0</v>
      </c>
      <c r="J1759" t="n">
        <v>0</v>
      </c>
      <c r="K1759" t="n">
        <v>0</v>
      </c>
      <c r="L1759" t="n">
        <v>0</v>
      </c>
      <c r="M1759" t="n">
        <v>0</v>
      </c>
      <c r="N1759" t="n">
        <v>0</v>
      </c>
      <c r="O1759" t="n">
        <v>0</v>
      </c>
      <c r="P1759" t="n">
        <v>0</v>
      </c>
      <c r="Q1759" t="n">
        <v>0</v>
      </c>
      <c r="R1759" s="2" t="inlineStr"/>
    </row>
    <row r="1760" ht="15" customHeight="1">
      <c r="A1760" t="inlineStr">
        <is>
          <t>A 19957-2025</t>
        </is>
      </c>
      <c r="B1760" s="1" t="n">
        <v>45771.66318287037</v>
      </c>
      <c r="C1760" s="1" t="n">
        <v>45911</v>
      </c>
      <c r="D1760" t="inlineStr">
        <is>
          <t>GÄVLEBORGS LÄN</t>
        </is>
      </c>
      <c r="E1760" t="inlineStr">
        <is>
          <t>OVANÅKER</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32630-2024</t>
        </is>
      </c>
      <c r="B1761" s="1" t="n">
        <v>45513.84513888889</v>
      </c>
      <c r="C1761" s="1" t="n">
        <v>45911</v>
      </c>
      <c r="D1761" t="inlineStr">
        <is>
          <t>GÄVLEBORGS LÄN</t>
        </is>
      </c>
      <c r="E1761" t="inlineStr">
        <is>
          <t>HUDIKSVALL</t>
        </is>
      </c>
      <c r="F1761" t="inlineStr">
        <is>
          <t>Holmen skog AB</t>
        </is>
      </c>
      <c r="G1761" t="n">
        <v>3.6</v>
      </c>
      <c r="H1761" t="n">
        <v>0</v>
      </c>
      <c r="I1761" t="n">
        <v>0</v>
      </c>
      <c r="J1761" t="n">
        <v>0</v>
      </c>
      <c r="K1761" t="n">
        <v>0</v>
      </c>
      <c r="L1761" t="n">
        <v>0</v>
      </c>
      <c r="M1761" t="n">
        <v>0</v>
      </c>
      <c r="N1761" t="n">
        <v>0</v>
      </c>
      <c r="O1761" t="n">
        <v>0</v>
      </c>
      <c r="P1761" t="n">
        <v>0</v>
      </c>
      <c r="Q1761" t="n">
        <v>0</v>
      </c>
      <c r="R1761" s="2" t="inlineStr"/>
    </row>
    <row r="1762" ht="15" customHeight="1">
      <c r="A1762" t="inlineStr">
        <is>
          <t>A 51798-2023</t>
        </is>
      </c>
      <c r="B1762" s="1" t="n">
        <v>45222</v>
      </c>
      <c r="C1762" s="1" t="n">
        <v>45911</v>
      </c>
      <c r="D1762" t="inlineStr">
        <is>
          <t>GÄVLEBORGS LÄN</t>
        </is>
      </c>
      <c r="E1762" t="inlineStr">
        <is>
          <t>LJUSDAL</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52014-2023</t>
        </is>
      </c>
      <c r="B1763" s="1" t="n">
        <v>45223.60538194444</v>
      </c>
      <c r="C1763" s="1" t="n">
        <v>45911</v>
      </c>
      <c r="D1763" t="inlineStr">
        <is>
          <t>GÄVLEBORGS LÄN</t>
        </is>
      </c>
      <c r="E1763" t="inlineStr">
        <is>
          <t>HUDIKSVALL</t>
        </is>
      </c>
      <c r="F1763" t="inlineStr">
        <is>
          <t>Holmen skog AB</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3871-2024</t>
        </is>
      </c>
      <c r="B1764" s="1" t="n">
        <v>45322</v>
      </c>
      <c r="C1764" s="1" t="n">
        <v>45911</v>
      </c>
      <c r="D1764" t="inlineStr">
        <is>
          <t>GÄVLEBORGS LÄN</t>
        </is>
      </c>
      <c r="E1764" t="inlineStr">
        <is>
          <t>OVANÅKER</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4511-2024</t>
        </is>
      </c>
      <c r="B1765" s="1" t="n">
        <v>45327.6296412037</v>
      </c>
      <c r="C1765" s="1" t="n">
        <v>45911</v>
      </c>
      <c r="D1765" t="inlineStr">
        <is>
          <t>GÄVLEBORGS LÄN</t>
        </is>
      </c>
      <c r="E1765" t="inlineStr">
        <is>
          <t>SANDVIKEN</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13143-2024</t>
        </is>
      </c>
      <c r="B1766" s="1" t="n">
        <v>45386.34846064815</v>
      </c>
      <c r="C1766" s="1" t="n">
        <v>45911</v>
      </c>
      <c r="D1766" t="inlineStr">
        <is>
          <t>GÄVLEBORGS LÄN</t>
        </is>
      </c>
      <c r="E1766" t="inlineStr">
        <is>
          <t>BOLLNÄS</t>
        </is>
      </c>
      <c r="G1766" t="n">
        <v>10.7</v>
      </c>
      <c r="H1766" t="n">
        <v>0</v>
      </c>
      <c r="I1766" t="n">
        <v>0</v>
      </c>
      <c r="J1766" t="n">
        <v>0</v>
      </c>
      <c r="K1766" t="n">
        <v>0</v>
      </c>
      <c r="L1766" t="n">
        <v>0</v>
      </c>
      <c r="M1766" t="n">
        <v>0</v>
      </c>
      <c r="N1766" t="n">
        <v>0</v>
      </c>
      <c r="O1766" t="n">
        <v>0</v>
      </c>
      <c r="P1766" t="n">
        <v>0</v>
      </c>
      <c r="Q1766" t="n">
        <v>0</v>
      </c>
      <c r="R1766" s="2" t="inlineStr"/>
    </row>
    <row r="1767" ht="15" customHeight="1">
      <c r="A1767" t="inlineStr">
        <is>
          <t>A 49305-2023</t>
        </is>
      </c>
      <c r="B1767" s="1" t="n">
        <v>45210</v>
      </c>
      <c r="C1767" s="1" t="n">
        <v>45911</v>
      </c>
      <c r="D1767" t="inlineStr">
        <is>
          <t>GÄVLEBORGS LÄN</t>
        </is>
      </c>
      <c r="E1767" t="inlineStr">
        <is>
          <t>SÖDERHAMN</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49306-2023</t>
        </is>
      </c>
      <c r="B1768" s="1" t="n">
        <v>45210</v>
      </c>
      <c r="C1768" s="1" t="n">
        <v>45911</v>
      </c>
      <c r="D1768" t="inlineStr">
        <is>
          <t>GÄVLEBORGS LÄN</t>
        </is>
      </c>
      <c r="E1768" t="inlineStr">
        <is>
          <t>SÖDERHAMN</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13174-2024</t>
        </is>
      </c>
      <c r="B1769" s="1" t="n">
        <v>45386.41466435185</v>
      </c>
      <c r="C1769" s="1" t="n">
        <v>45911</v>
      </c>
      <c r="D1769" t="inlineStr">
        <is>
          <t>GÄVLEBORGS LÄN</t>
        </is>
      </c>
      <c r="E1769" t="inlineStr">
        <is>
          <t>NORDANSTIG</t>
        </is>
      </c>
      <c r="F1769" t="inlineStr">
        <is>
          <t>Holmen skog AB</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13179-2024</t>
        </is>
      </c>
      <c r="B1770" s="1" t="n">
        <v>45386.42899305555</v>
      </c>
      <c r="C1770" s="1" t="n">
        <v>45911</v>
      </c>
      <c r="D1770" t="inlineStr">
        <is>
          <t>GÄVLEBORGS LÄN</t>
        </is>
      </c>
      <c r="E1770" t="inlineStr">
        <is>
          <t>NORDANSTIG</t>
        </is>
      </c>
      <c r="F1770" t="inlineStr">
        <is>
          <t>Holmen skog AB</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11691-2024</t>
        </is>
      </c>
      <c r="B1771" s="1" t="n">
        <v>45373.59789351852</v>
      </c>
      <c r="C1771" s="1" t="n">
        <v>45911</v>
      </c>
      <c r="D1771" t="inlineStr">
        <is>
          <t>GÄVLEBORGS LÄN</t>
        </is>
      </c>
      <c r="E1771" t="inlineStr">
        <is>
          <t>GÄVLE</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38578-2024</t>
        </is>
      </c>
      <c r="B1772" s="1" t="n">
        <v>45546.64511574074</v>
      </c>
      <c r="C1772" s="1" t="n">
        <v>45911</v>
      </c>
      <c r="D1772" t="inlineStr">
        <is>
          <t>GÄVLEBORGS LÄN</t>
        </is>
      </c>
      <c r="E1772" t="inlineStr">
        <is>
          <t>HUDIKSVALL</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54595-2023</t>
        </is>
      </c>
      <c r="B1773" s="1" t="n">
        <v>45233</v>
      </c>
      <c r="C1773" s="1" t="n">
        <v>45911</v>
      </c>
      <c r="D1773" t="inlineStr">
        <is>
          <t>GÄVLEBORGS LÄN</t>
        </is>
      </c>
      <c r="E1773" t="inlineStr">
        <is>
          <t>LJUSDAL</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1532-2024</t>
        </is>
      </c>
      <c r="B1774" s="1" t="n">
        <v>45306</v>
      </c>
      <c r="C1774" s="1" t="n">
        <v>45911</v>
      </c>
      <c r="D1774" t="inlineStr">
        <is>
          <t>GÄVLEBORGS LÄN</t>
        </is>
      </c>
      <c r="E1774" t="inlineStr">
        <is>
          <t>NORDANSTIG</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12004-2023</t>
        </is>
      </c>
      <c r="B1775" s="1" t="n">
        <v>44995.61207175926</v>
      </c>
      <c r="C1775" s="1" t="n">
        <v>45911</v>
      </c>
      <c r="D1775" t="inlineStr">
        <is>
          <t>GÄVLEBORGS LÄN</t>
        </is>
      </c>
      <c r="E1775" t="inlineStr">
        <is>
          <t>LJUSDAL</t>
        </is>
      </c>
      <c r="F1775" t="inlineStr">
        <is>
          <t>Holmen skog AB</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52091-2023</t>
        </is>
      </c>
      <c r="B1776" s="1" t="n">
        <v>45223.78762731481</v>
      </c>
      <c r="C1776" s="1" t="n">
        <v>45911</v>
      </c>
      <c r="D1776" t="inlineStr">
        <is>
          <t>GÄVLEBORGS LÄN</t>
        </is>
      </c>
      <c r="E1776" t="inlineStr">
        <is>
          <t>SÖDERHAMN</t>
        </is>
      </c>
      <c r="G1776" t="n">
        <v>4.5</v>
      </c>
      <c r="H1776" t="n">
        <v>0</v>
      </c>
      <c r="I1776" t="n">
        <v>0</v>
      </c>
      <c r="J1776" t="n">
        <v>0</v>
      </c>
      <c r="K1776" t="n">
        <v>0</v>
      </c>
      <c r="L1776" t="n">
        <v>0</v>
      </c>
      <c r="M1776" t="n">
        <v>0</v>
      </c>
      <c r="N1776" t="n">
        <v>0</v>
      </c>
      <c r="O1776" t="n">
        <v>0</v>
      </c>
      <c r="P1776" t="n">
        <v>0</v>
      </c>
      <c r="Q1776" t="n">
        <v>0</v>
      </c>
      <c r="R1776" s="2" t="inlineStr"/>
    </row>
    <row r="1777" ht="15" customHeight="1">
      <c r="A1777" t="inlineStr">
        <is>
          <t>A 43538-2023</t>
        </is>
      </c>
      <c r="B1777" s="1" t="n">
        <v>45184</v>
      </c>
      <c r="C1777" s="1" t="n">
        <v>45911</v>
      </c>
      <c r="D1777" t="inlineStr">
        <is>
          <t>GÄVLEBORGS LÄN</t>
        </is>
      </c>
      <c r="E1777" t="inlineStr">
        <is>
          <t>OCKELBO</t>
        </is>
      </c>
      <c r="F1777" t="inlineStr">
        <is>
          <t>Bergvik skog väst AB</t>
        </is>
      </c>
      <c r="G1777" t="n">
        <v>3.3</v>
      </c>
      <c r="H1777" t="n">
        <v>0</v>
      </c>
      <c r="I1777" t="n">
        <v>0</v>
      </c>
      <c r="J1777" t="n">
        <v>0</v>
      </c>
      <c r="K1777" t="n">
        <v>0</v>
      </c>
      <c r="L1777" t="n">
        <v>0</v>
      </c>
      <c r="M1777" t="n">
        <v>0</v>
      </c>
      <c r="N1777" t="n">
        <v>0</v>
      </c>
      <c r="O1777" t="n">
        <v>0</v>
      </c>
      <c r="P1777" t="n">
        <v>0</v>
      </c>
      <c r="Q1777" t="n">
        <v>0</v>
      </c>
      <c r="R1777" s="2" t="inlineStr"/>
    </row>
    <row r="1778" ht="15" customHeight="1">
      <c r="A1778" t="inlineStr">
        <is>
          <t>A 21878-2024</t>
        </is>
      </c>
      <c r="B1778" s="1" t="n">
        <v>45443.3383912037</v>
      </c>
      <c r="C1778" s="1" t="n">
        <v>45911</v>
      </c>
      <c r="D1778" t="inlineStr">
        <is>
          <t>GÄVLEBORGS LÄN</t>
        </is>
      </c>
      <c r="E1778" t="inlineStr">
        <is>
          <t>OCKELBO</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21936-2024</t>
        </is>
      </c>
      <c r="B1779" s="1" t="n">
        <v>45443.47413194444</v>
      </c>
      <c r="C1779" s="1" t="n">
        <v>45911</v>
      </c>
      <c r="D1779" t="inlineStr">
        <is>
          <t>GÄVLEBORGS LÄN</t>
        </is>
      </c>
      <c r="E1779" t="inlineStr">
        <is>
          <t>OCKELBO</t>
        </is>
      </c>
      <c r="F1779" t="inlineStr">
        <is>
          <t>Bergvik skog väst AB</t>
        </is>
      </c>
      <c r="G1779" t="n">
        <v>4.1</v>
      </c>
      <c r="H1779" t="n">
        <v>0</v>
      </c>
      <c r="I1779" t="n">
        <v>0</v>
      </c>
      <c r="J1779" t="n">
        <v>0</v>
      </c>
      <c r="K1779" t="n">
        <v>0</v>
      </c>
      <c r="L1779" t="n">
        <v>0</v>
      </c>
      <c r="M1779" t="n">
        <v>0</v>
      </c>
      <c r="N1779" t="n">
        <v>0</v>
      </c>
      <c r="O1779" t="n">
        <v>0</v>
      </c>
      <c r="P1779" t="n">
        <v>0</v>
      </c>
      <c r="Q1779" t="n">
        <v>0</v>
      </c>
      <c r="R1779" s="2" t="inlineStr"/>
    </row>
    <row r="1780" ht="15" customHeight="1">
      <c r="A1780" t="inlineStr">
        <is>
          <t>A 31572-2024</t>
        </is>
      </c>
      <c r="B1780" s="1" t="n">
        <v>45506.33875</v>
      </c>
      <c r="C1780" s="1" t="n">
        <v>45911</v>
      </c>
      <c r="D1780" t="inlineStr">
        <is>
          <t>GÄVLEBORGS LÄN</t>
        </is>
      </c>
      <c r="E1780" t="inlineStr">
        <is>
          <t>BOLLNÄS</t>
        </is>
      </c>
      <c r="F1780" t="inlineStr">
        <is>
          <t>Sveaskog</t>
        </is>
      </c>
      <c r="G1780" t="n">
        <v>8.800000000000001</v>
      </c>
      <c r="H1780" t="n">
        <v>0</v>
      </c>
      <c r="I1780" t="n">
        <v>0</v>
      </c>
      <c r="J1780" t="n">
        <v>0</v>
      </c>
      <c r="K1780" t="n">
        <v>0</v>
      </c>
      <c r="L1780" t="n">
        <v>0</v>
      </c>
      <c r="M1780" t="n">
        <v>0</v>
      </c>
      <c r="N1780" t="n">
        <v>0</v>
      </c>
      <c r="O1780" t="n">
        <v>0</v>
      </c>
      <c r="P1780" t="n">
        <v>0</v>
      </c>
      <c r="Q1780" t="n">
        <v>0</v>
      </c>
      <c r="R1780" s="2" t="inlineStr"/>
    </row>
    <row r="1781" ht="15" customHeight="1">
      <c r="A1781" t="inlineStr">
        <is>
          <t>A 31574-2024</t>
        </is>
      </c>
      <c r="B1781" s="1" t="n">
        <v>45506.34412037037</v>
      </c>
      <c r="C1781" s="1" t="n">
        <v>45911</v>
      </c>
      <c r="D1781" t="inlineStr">
        <is>
          <t>GÄVLEBORGS LÄN</t>
        </is>
      </c>
      <c r="E1781" t="inlineStr">
        <is>
          <t>BOLLNÄS</t>
        </is>
      </c>
      <c r="F1781" t="inlineStr">
        <is>
          <t>Sveaskog</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47531-2021</t>
        </is>
      </c>
      <c r="B1782" s="1" t="n">
        <v>44447</v>
      </c>
      <c r="C1782" s="1" t="n">
        <v>45911</v>
      </c>
      <c r="D1782" t="inlineStr">
        <is>
          <t>GÄVLEBORGS LÄN</t>
        </is>
      </c>
      <c r="E1782" t="inlineStr">
        <is>
          <t>HOFORS</t>
        </is>
      </c>
      <c r="G1782" t="n">
        <v>7.6</v>
      </c>
      <c r="H1782" t="n">
        <v>0</v>
      </c>
      <c r="I1782" t="n">
        <v>0</v>
      </c>
      <c r="J1782" t="n">
        <v>0</v>
      </c>
      <c r="K1782" t="n">
        <v>0</v>
      </c>
      <c r="L1782" t="n">
        <v>0</v>
      </c>
      <c r="M1782" t="n">
        <v>0</v>
      </c>
      <c r="N1782" t="n">
        <v>0</v>
      </c>
      <c r="O1782" t="n">
        <v>0</v>
      </c>
      <c r="P1782" t="n">
        <v>0</v>
      </c>
      <c r="Q1782" t="n">
        <v>0</v>
      </c>
      <c r="R1782" s="2" t="inlineStr"/>
    </row>
    <row r="1783" ht="15" customHeight="1">
      <c r="A1783" t="inlineStr">
        <is>
          <t>A 34842-2023</t>
        </is>
      </c>
      <c r="B1783" s="1" t="n">
        <v>45141.92449074074</v>
      </c>
      <c r="C1783" s="1" t="n">
        <v>45911</v>
      </c>
      <c r="D1783" t="inlineStr">
        <is>
          <t>GÄVLEBORGS LÄN</t>
        </is>
      </c>
      <c r="E1783" t="inlineStr">
        <is>
          <t>NORDANSTIG</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1594-2024</t>
        </is>
      </c>
      <c r="B1784" s="1" t="n">
        <v>45306.58793981482</v>
      </c>
      <c r="C1784" s="1" t="n">
        <v>45911</v>
      </c>
      <c r="D1784" t="inlineStr">
        <is>
          <t>GÄVLEBORGS LÄN</t>
        </is>
      </c>
      <c r="E1784" t="inlineStr">
        <is>
          <t>GÄVLE</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4255-2024</t>
        </is>
      </c>
      <c r="B1785" s="1" t="n">
        <v>45324.48376157408</v>
      </c>
      <c r="C1785" s="1" t="n">
        <v>45911</v>
      </c>
      <c r="D1785" t="inlineStr">
        <is>
          <t>GÄVLEBORGS LÄN</t>
        </is>
      </c>
      <c r="E1785" t="inlineStr">
        <is>
          <t>NORDANSTIG</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24764-2024</t>
        </is>
      </c>
      <c r="B1786" s="1" t="n">
        <v>45460.6910300926</v>
      </c>
      <c r="C1786" s="1" t="n">
        <v>45911</v>
      </c>
      <c r="D1786" t="inlineStr">
        <is>
          <t>GÄVLEBORGS LÄN</t>
        </is>
      </c>
      <c r="E1786" t="inlineStr">
        <is>
          <t>SANDVIKEN</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57815-2023</t>
        </is>
      </c>
      <c r="B1787" s="1" t="n">
        <v>45247.34409722222</v>
      </c>
      <c r="C1787" s="1" t="n">
        <v>45911</v>
      </c>
      <c r="D1787" t="inlineStr">
        <is>
          <t>GÄVLEBORGS LÄN</t>
        </is>
      </c>
      <c r="E1787" t="inlineStr">
        <is>
          <t>HUDIKSVALL</t>
        </is>
      </c>
      <c r="F1787" t="inlineStr">
        <is>
          <t>Holmen skog AB</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2662-2025</t>
        </is>
      </c>
      <c r="B1788" s="1" t="n">
        <v>45676.87431712963</v>
      </c>
      <c r="C1788" s="1" t="n">
        <v>45911</v>
      </c>
      <c r="D1788" t="inlineStr">
        <is>
          <t>GÄVLEBORGS LÄN</t>
        </is>
      </c>
      <c r="E1788" t="inlineStr">
        <is>
          <t>HUDIKSVALL</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2666-2025</t>
        </is>
      </c>
      <c r="B1789" s="1" t="n">
        <v>45677.27112268518</v>
      </c>
      <c r="C1789" s="1" t="n">
        <v>45911</v>
      </c>
      <c r="D1789" t="inlineStr">
        <is>
          <t>GÄVLEBORGS LÄN</t>
        </is>
      </c>
      <c r="E1789" t="inlineStr">
        <is>
          <t>BOLLNÄS</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24851-2021</t>
        </is>
      </c>
      <c r="B1790" s="1" t="n">
        <v>44340</v>
      </c>
      <c r="C1790" s="1" t="n">
        <v>45911</v>
      </c>
      <c r="D1790" t="inlineStr">
        <is>
          <t>GÄVLEBORGS LÄN</t>
        </is>
      </c>
      <c r="E1790" t="inlineStr">
        <is>
          <t>HOFORS</t>
        </is>
      </c>
      <c r="F1790" t="inlineStr">
        <is>
          <t>Sveaskog</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57891-2023</t>
        </is>
      </c>
      <c r="B1791" s="1" t="n">
        <v>45247.48177083334</v>
      </c>
      <c r="C1791" s="1" t="n">
        <v>45911</v>
      </c>
      <c r="D1791" t="inlineStr">
        <is>
          <t>GÄVLEBORGS LÄN</t>
        </is>
      </c>
      <c r="E1791" t="inlineStr">
        <is>
          <t>HUDIKSVALL</t>
        </is>
      </c>
      <c r="F1791" t="inlineStr">
        <is>
          <t>Holmen skog AB</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1782-2023</t>
        </is>
      </c>
      <c r="B1792" s="1" t="n">
        <v>44938.60140046296</v>
      </c>
      <c r="C1792" s="1" t="n">
        <v>45911</v>
      </c>
      <c r="D1792" t="inlineStr">
        <is>
          <t>GÄVLEBORGS LÄN</t>
        </is>
      </c>
      <c r="E1792" t="inlineStr">
        <is>
          <t>SÖDERHAMN</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6175-2025</t>
        </is>
      </c>
      <c r="B1793" s="1" t="n">
        <v>45698.44600694445</v>
      </c>
      <c r="C1793" s="1" t="n">
        <v>45911</v>
      </c>
      <c r="D1793" t="inlineStr">
        <is>
          <t>GÄVLEBORGS LÄN</t>
        </is>
      </c>
      <c r="E1793" t="inlineStr">
        <is>
          <t>SÖDERHAMN</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30577-2021</t>
        </is>
      </c>
      <c r="B1794" s="1" t="n">
        <v>44364</v>
      </c>
      <c r="C1794" s="1" t="n">
        <v>45911</v>
      </c>
      <c r="D1794" t="inlineStr">
        <is>
          <t>GÄVLEBORGS LÄN</t>
        </is>
      </c>
      <c r="E1794" t="inlineStr">
        <is>
          <t>LJUSDAL</t>
        </is>
      </c>
      <c r="G1794" t="n">
        <v>5.7</v>
      </c>
      <c r="H1794" t="n">
        <v>0</v>
      </c>
      <c r="I1794" t="n">
        <v>0</v>
      </c>
      <c r="J1794" t="n">
        <v>0</v>
      </c>
      <c r="K1794" t="n">
        <v>0</v>
      </c>
      <c r="L1794" t="n">
        <v>0</v>
      </c>
      <c r="M1794" t="n">
        <v>0</v>
      </c>
      <c r="N1794" t="n">
        <v>0</v>
      </c>
      <c r="O1794" t="n">
        <v>0</v>
      </c>
      <c r="P1794" t="n">
        <v>0</v>
      </c>
      <c r="Q1794" t="n">
        <v>0</v>
      </c>
      <c r="R1794" s="2" t="inlineStr"/>
    </row>
    <row r="1795" ht="15" customHeight="1">
      <c r="A1795" t="inlineStr">
        <is>
          <t>A 52748-2024</t>
        </is>
      </c>
      <c r="B1795" s="1" t="n">
        <v>45610.48736111111</v>
      </c>
      <c r="C1795" s="1" t="n">
        <v>45911</v>
      </c>
      <c r="D1795" t="inlineStr">
        <is>
          <t>GÄVLEBORGS LÄN</t>
        </is>
      </c>
      <c r="E1795" t="inlineStr">
        <is>
          <t>BOLLNÄS</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6923-2024</t>
        </is>
      </c>
      <c r="B1796" s="1" t="n">
        <v>45343.34635416666</v>
      </c>
      <c r="C1796" s="1" t="n">
        <v>45911</v>
      </c>
      <c r="D1796" t="inlineStr">
        <is>
          <t>GÄVLEBORGS LÄN</t>
        </is>
      </c>
      <c r="E1796" t="inlineStr">
        <is>
          <t>NORDANSTIG</t>
        </is>
      </c>
      <c r="F1796" t="inlineStr">
        <is>
          <t>Holmen skog AB</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6951-2024</t>
        </is>
      </c>
      <c r="B1797" s="1" t="n">
        <v>45343.43699074074</v>
      </c>
      <c r="C1797" s="1" t="n">
        <v>45911</v>
      </c>
      <c r="D1797" t="inlineStr">
        <is>
          <t>GÄVLEBORGS LÄN</t>
        </is>
      </c>
      <c r="E1797" t="inlineStr">
        <is>
          <t>SANDVIKEN</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19144-2024</t>
        </is>
      </c>
      <c r="B1798" s="1" t="n">
        <v>45428</v>
      </c>
      <c r="C1798" s="1" t="n">
        <v>45911</v>
      </c>
      <c r="D1798" t="inlineStr">
        <is>
          <t>GÄVLEBORGS LÄN</t>
        </is>
      </c>
      <c r="E1798" t="inlineStr">
        <is>
          <t>BOLLNÄS</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3862-2024</t>
        </is>
      </c>
      <c r="B1799" s="1" t="n">
        <v>45322.38930555555</v>
      </c>
      <c r="C1799" s="1" t="n">
        <v>45911</v>
      </c>
      <c r="D1799" t="inlineStr">
        <is>
          <t>GÄVLEBORGS LÄN</t>
        </is>
      </c>
      <c r="E1799" t="inlineStr">
        <is>
          <t>GÄVLE</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20897-2024</t>
        </is>
      </c>
      <c r="B1800" s="1" t="n">
        <v>45439.46805555555</v>
      </c>
      <c r="C1800" s="1" t="n">
        <v>45911</v>
      </c>
      <c r="D1800" t="inlineStr">
        <is>
          <t>GÄVLEBORGS LÄN</t>
        </is>
      </c>
      <c r="E1800" t="inlineStr">
        <is>
          <t>LJUSDAL</t>
        </is>
      </c>
      <c r="G1800" t="n">
        <v>4.6</v>
      </c>
      <c r="H1800" t="n">
        <v>0</v>
      </c>
      <c r="I1800" t="n">
        <v>0</v>
      </c>
      <c r="J1800" t="n">
        <v>0</v>
      </c>
      <c r="K1800" t="n">
        <v>0</v>
      </c>
      <c r="L1800" t="n">
        <v>0</v>
      </c>
      <c r="M1800" t="n">
        <v>0</v>
      </c>
      <c r="N1800" t="n">
        <v>0</v>
      </c>
      <c r="O1800" t="n">
        <v>0</v>
      </c>
      <c r="P1800" t="n">
        <v>0</v>
      </c>
      <c r="Q1800" t="n">
        <v>0</v>
      </c>
      <c r="R1800" s="2" t="inlineStr"/>
    </row>
    <row r="1801" ht="15" customHeight="1">
      <c r="A1801" t="inlineStr">
        <is>
          <t>A 8510-2023</t>
        </is>
      </c>
      <c r="B1801" s="1" t="n">
        <v>44977.56144675926</v>
      </c>
      <c r="C1801" s="1" t="n">
        <v>45911</v>
      </c>
      <c r="D1801" t="inlineStr">
        <is>
          <t>GÄVLEBORGS LÄN</t>
        </is>
      </c>
      <c r="E1801" t="inlineStr">
        <is>
          <t>HOFORS</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27867-2024</t>
        </is>
      </c>
      <c r="B1802" s="1" t="n">
        <v>45475</v>
      </c>
      <c r="C1802" s="1" t="n">
        <v>45911</v>
      </c>
      <c r="D1802" t="inlineStr">
        <is>
          <t>GÄVLEBORGS LÄN</t>
        </is>
      </c>
      <c r="E1802" t="inlineStr">
        <is>
          <t>LJUSDAL</t>
        </is>
      </c>
      <c r="F1802" t="inlineStr">
        <is>
          <t>Allmännings- och besparingsskogar</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33928-2023</t>
        </is>
      </c>
      <c r="B1803" s="1" t="n">
        <v>45134</v>
      </c>
      <c r="C1803" s="1" t="n">
        <v>45911</v>
      </c>
      <c r="D1803" t="inlineStr">
        <is>
          <t>GÄVLEBORGS LÄN</t>
        </is>
      </c>
      <c r="E1803" t="inlineStr">
        <is>
          <t>SÖDERHAMN</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24328-2024</t>
        </is>
      </c>
      <c r="B1804" s="1" t="n">
        <v>45457.53640046297</v>
      </c>
      <c r="C1804" s="1" t="n">
        <v>45911</v>
      </c>
      <c r="D1804" t="inlineStr">
        <is>
          <t>GÄVLEBORGS LÄN</t>
        </is>
      </c>
      <c r="E1804" t="inlineStr">
        <is>
          <t>BOLLNÄS</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30556-2024</t>
        </is>
      </c>
      <c r="B1805" s="1" t="n">
        <v>45492</v>
      </c>
      <c r="C1805" s="1" t="n">
        <v>45911</v>
      </c>
      <c r="D1805" t="inlineStr">
        <is>
          <t>GÄVLEBORGS LÄN</t>
        </is>
      </c>
      <c r="E1805" t="inlineStr">
        <is>
          <t>SÖDERHAMN</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19442-2021</t>
        </is>
      </c>
      <c r="B1806" s="1" t="n">
        <v>44310</v>
      </c>
      <c r="C1806" s="1" t="n">
        <v>45911</v>
      </c>
      <c r="D1806" t="inlineStr">
        <is>
          <t>GÄVLEBORGS LÄN</t>
        </is>
      </c>
      <c r="E1806" t="inlineStr">
        <is>
          <t>OVANÅKER</t>
        </is>
      </c>
      <c r="F1806" t="inlineStr">
        <is>
          <t>Bergvik skog väst AB</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32470-2023</t>
        </is>
      </c>
      <c r="B1807" s="1" t="n">
        <v>45120.92684027777</v>
      </c>
      <c r="C1807" s="1" t="n">
        <v>45911</v>
      </c>
      <c r="D1807" t="inlineStr">
        <is>
          <t>GÄVLEBORGS LÄN</t>
        </is>
      </c>
      <c r="E1807" t="inlineStr">
        <is>
          <t>NORDANSTIG</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6583-2022</t>
        </is>
      </c>
      <c r="B1808" s="1" t="n">
        <v>44601</v>
      </c>
      <c r="C1808" s="1" t="n">
        <v>45911</v>
      </c>
      <c r="D1808" t="inlineStr">
        <is>
          <t>GÄVLEBORGS LÄN</t>
        </is>
      </c>
      <c r="E1808" t="inlineStr">
        <is>
          <t>NORDANSTIG</t>
        </is>
      </c>
      <c r="G1808" t="n">
        <v>8.800000000000001</v>
      </c>
      <c r="H1808" t="n">
        <v>0</v>
      </c>
      <c r="I1808" t="n">
        <v>0</v>
      </c>
      <c r="J1808" t="n">
        <v>0</v>
      </c>
      <c r="K1808" t="n">
        <v>0</v>
      </c>
      <c r="L1808" t="n">
        <v>0</v>
      </c>
      <c r="M1808" t="n">
        <v>0</v>
      </c>
      <c r="N1808" t="n">
        <v>0</v>
      </c>
      <c r="O1808" t="n">
        <v>0</v>
      </c>
      <c r="P1808" t="n">
        <v>0</v>
      </c>
      <c r="Q1808" t="n">
        <v>0</v>
      </c>
      <c r="R1808" s="2" t="inlineStr"/>
    </row>
    <row r="1809" ht="15" customHeight="1">
      <c r="A1809" t="inlineStr">
        <is>
          <t>A 33559-2022</t>
        </is>
      </c>
      <c r="B1809" s="1" t="n">
        <v>44789</v>
      </c>
      <c r="C1809" s="1" t="n">
        <v>45911</v>
      </c>
      <c r="D1809" t="inlineStr">
        <is>
          <t>GÄVLEBORGS LÄN</t>
        </is>
      </c>
      <c r="E1809" t="inlineStr">
        <is>
          <t>NORDANSTIG</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36864-2024</t>
        </is>
      </c>
      <c r="B1810" s="1" t="n">
        <v>45538.57896990741</v>
      </c>
      <c r="C1810" s="1" t="n">
        <v>45911</v>
      </c>
      <c r="D1810" t="inlineStr">
        <is>
          <t>GÄVLEBORGS LÄN</t>
        </is>
      </c>
      <c r="E1810" t="inlineStr">
        <is>
          <t>OVANÅKER</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30798-2022</t>
        </is>
      </c>
      <c r="B1811" s="1" t="n">
        <v>44764.71993055556</v>
      </c>
      <c r="C1811" s="1" t="n">
        <v>45911</v>
      </c>
      <c r="D1811" t="inlineStr">
        <is>
          <t>GÄVLEBORGS LÄN</t>
        </is>
      </c>
      <c r="E1811" t="inlineStr">
        <is>
          <t>SANDVIKEN</t>
        </is>
      </c>
      <c r="F1811" t="inlineStr">
        <is>
          <t>Sveaskog</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30816-2022</t>
        </is>
      </c>
      <c r="B1812" s="1" t="n">
        <v>44765.52364583333</v>
      </c>
      <c r="C1812" s="1" t="n">
        <v>45911</v>
      </c>
      <c r="D1812" t="inlineStr">
        <is>
          <t>GÄVLEBORGS LÄN</t>
        </is>
      </c>
      <c r="E1812" t="inlineStr">
        <is>
          <t>NORDANSTIG</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12855-2024</t>
        </is>
      </c>
      <c r="B1813" s="1" t="n">
        <v>45384.92469907407</v>
      </c>
      <c r="C1813" s="1" t="n">
        <v>45911</v>
      </c>
      <c r="D1813" t="inlineStr">
        <is>
          <t>GÄVLEBORGS LÄN</t>
        </is>
      </c>
      <c r="E1813" t="inlineStr">
        <is>
          <t>LJUSDAL</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27732-2024</t>
        </is>
      </c>
      <c r="B1814" s="1" t="n">
        <v>45475.43817129629</v>
      </c>
      <c r="C1814" s="1" t="n">
        <v>45911</v>
      </c>
      <c r="D1814" t="inlineStr">
        <is>
          <t>GÄVLEBORGS LÄN</t>
        </is>
      </c>
      <c r="E1814" t="inlineStr">
        <is>
          <t>BOLLNÄS</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27738-2024</t>
        </is>
      </c>
      <c r="B1815" s="1" t="n">
        <v>45475.45108796296</v>
      </c>
      <c r="C1815" s="1" t="n">
        <v>45911</v>
      </c>
      <c r="D1815" t="inlineStr">
        <is>
          <t>GÄVLEBORGS LÄN</t>
        </is>
      </c>
      <c r="E1815" t="inlineStr">
        <is>
          <t>HOFORS</t>
        </is>
      </c>
      <c r="F1815" t="inlineStr">
        <is>
          <t>Bergvik skog öst AB</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18638-2023</t>
        </is>
      </c>
      <c r="B1816" s="1" t="n">
        <v>45043.49929398148</v>
      </c>
      <c r="C1816" s="1" t="n">
        <v>45911</v>
      </c>
      <c r="D1816" t="inlineStr">
        <is>
          <t>GÄVLEBORGS LÄN</t>
        </is>
      </c>
      <c r="E1816" t="inlineStr">
        <is>
          <t>NORDANSTIG</t>
        </is>
      </c>
      <c r="G1816" t="n">
        <v>11.3</v>
      </c>
      <c r="H1816" t="n">
        <v>0</v>
      </c>
      <c r="I1816" t="n">
        <v>0</v>
      </c>
      <c r="J1816" t="n">
        <v>0</v>
      </c>
      <c r="K1816" t="n">
        <v>0</v>
      </c>
      <c r="L1816" t="n">
        <v>0</v>
      </c>
      <c r="M1816" t="n">
        <v>0</v>
      </c>
      <c r="N1816" t="n">
        <v>0</v>
      </c>
      <c r="O1816" t="n">
        <v>0</v>
      </c>
      <c r="P1816" t="n">
        <v>0</v>
      </c>
      <c r="Q1816" t="n">
        <v>0</v>
      </c>
      <c r="R1816" s="2" t="inlineStr"/>
    </row>
    <row r="1817" ht="15" customHeight="1">
      <c r="A1817" t="inlineStr">
        <is>
          <t>A 9391-2025</t>
        </is>
      </c>
      <c r="B1817" s="1" t="n">
        <v>45715.35465277778</v>
      </c>
      <c r="C1817" s="1" t="n">
        <v>45911</v>
      </c>
      <c r="D1817" t="inlineStr">
        <is>
          <t>GÄVLEBORGS LÄN</t>
        </is>
      </c>
      <c r="E1817" t="inlineStr">
        <is>
          <t>GÄVLE</t>
        </is>
      </c>
      <c r="F1817" t="inlineStr">
        <is>
          <t>Bergvik skog öst AB</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9419-2025</t>
        </is>
      </c>
      <c r="B1818" s="1" t="n">
        <v>45715.39568287037</v>
      </c>
      <c r="C1818" s="1" t="n">
        <v>45911</v>
      </c>
      <c r="D1818" t="inlineStr">
        <is>
          <t>GÄVLEBORGS LÄN</t>
        </is>
      </c>
      <c r="E1818" t="inlineStr">
        <is>
          <t>GÄVLE</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31415-2024</t>
        </is>
      </c>
      <c r="B1819" s="1" t="n">
        <v>45505.61702546296</v>
      </c>
      <c r="C1819" s="1" t="n">
        <v>45911</v>
      </c>
      <c r="D1819" t="inlineStr">
        <is>
          <t>GÄVLEBORGS LÄN</t>
        </is>
      </c>
      <c r="E1819" t="inlineStr">
        <is>
          <t>LJUSDAL</t>
        </is>
      </c>
      <c r="F1819" t="inlineStr">
        <is>
          <t>Sveaskog</t>
        </is>
      </c>
      <c r="G1819" t="n">
        <v>4.7</v>
      </c>
      <c r="H1819" t="n">
        <v>0</v>
      </c>
      <c r="I1819" t="n">
        <v>0</v>
      </c>
      <c r="J1819" t="n">
        <v>0</v>
      </c>
      <c r="K1819" t="n">
        <v>0</v>
      </c>
      <c r="L1819" t="n">
        <v>0</v>
      </c>
      <c r="M1819" t="n">
        <v>0</v>
      </c>
      <c r="N1819" t="n">
        <v>0</v>
      </c>
      <c r="O1819" t="n">
        <v>0</v>
      </c>
      <c r="P1819" t="n">
        <v>0</v>
      </c>
      <c r="Q1819" t="n">
        <v>0</v>
      </c>
      <c r="R1819" s="2" t="inlineStr"/>
    </row>
    <row r="1820" ht="15" customHeight="1">
      <c r="A1820" t="inlineStr">
        <is>
          <t>A 9422-2025</t>
        </is>
      </c>
      <c r="B1820" s="1" t="n">
        <v>45715.39962962963</v>
      </c>
      <c r="C1820" s="1" t="n">
        <v>45911</v>
      </c>
      <c r="D1820" t="inlineStr">
        <is>
          <t>GÄVLEBORGS LÄN</t>
        </is>
      </c>
      <c r="E1820" t="inlineStr">
        <is>
          <t>GÄVLE</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28272-2023</t>
        </is>
      </c>
      <c r="B1821" s="1" t="n">
        <v>45099.62010416666</v>
      </c>
      <c r="C1821" s="1" t="n">
        <v>45911</v>
      </c>
      <c r="D1821" t="inlineStr">
        <is>
          <t>GÄVLEBORGS LÄN</t>
        </is>
      </c>
      <c r="E1821" t="inlineStr">
        <is>
          <t>LJUSDAL</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63716-2021</t>
        </is>
      </c>
      <c r="B1822" s="1" t="n">
        <v>44509.43005787037</v>
      </c>
      <c r="C1822" s="1" t="n">
        <v>45911</v>
      </c>
      <c r="D1822" t="inlineStr">
        <is>
          <t>GÄVLEBORGS LÄN</t>
        </is>
      </c>
      <c r="E1822" t="inlineStr">
        <is>
          <t>BOLLNÄS</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36058-2023</t>
        </is>
      </c>
      <c r="B1823" s="1" t="n">
        <v>45149</v>
      </c>
      <c r="C1823" s="1" t="n">
        <v>45911</v>
      </c>
      <c r="D1823" t="inlineStr">
        <is>
          <t>GÄVLEBORGS LÄN</t>
        </is>
      </c>
      <c r="E1823" t="inlineStr">
        <is>
          <t>BOLLNÄS</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42549-2024</t>
        </is>
      </c>
      <c r="B1824" s="1" t="n">
        <v>45565.60444444444</v>
      </c>
      <c r="C1824" s="1" t="n">
        <v>45911</v>
      </c>
      <c r="D1824" t="inlineStr">
        <is>
          <t>GÄVLEBORGS LÄN</t>
        </is>
      </c>
      <c r="E1824" t="inlineStr">
        <is>
          <t>SÖDERHAMN</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31922-2024</t>
        </is>
      </c>
      <c r="B1825" s="1" t="n">
        <v>45510.39796296296</v>
      </c>
      <c r="C1825" s="1" t="n">
        <v>45911</v>
      </c>
      <c r="D1825" t="inlineStr">
        <is>
          <t>GÄVLEBORGS LÄN</t>
        </is>
      </c>
      <c r="E1825" t="inlineStr">
        <is>
          <t>BOLLNÄS</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31938-2024</t>
        </is>
      </c>
      <c r="B1826" s="1" t="n">
        <v>45510.42049768518</v>
      </c>
      <c r="C1826" s="1" t="n">
        <v>45911</v>
      </c>
      <c r="D1826" t="inlineStr">
        <is>
          <t>GÄVLEBORGS LÄN</t>
        </is>
      </c>
      <c r="E1826" t="inlineStr">
        <is>
          <t>SÖDERHAMN</t>
        </is>
      </c>
      <c r="F1826" t="inlineStr">
        <is>
          <t>Bergvik skog väst AB</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61611-2023</t>
        </is>
      </c>
      <c r="B1827" s="1" t="n">
        <v>45265.5184375</v>
      </c>
      <c r="C1827" s="1" t="n">
        <v>45911</v>
      </c>
      <c r="D1827" t="inlineStr">
        <is>
          <t>GÄVLEBORGS LÄN</t>
        </is>
      </c>
      <c r="E1827" t="inlineStr">
        <is>
          <t>HUDIKSVALL</t>
        </is>
      </c>
      <c r="G1827" t="n">
        <v>4.7</v>
      </c>
      <c r="H1827" t="n">
        <v>0</v>
      </c>
      <c r="I1827" t="n">
        <v>0</v>
      </c>
      <c r="J1827" t="n">
        <v>0</v>
      </c>
      <c r="K1827" t="n">
        <v>0</v>
      </c>
      <c r="L1827" t="n">
        <v>0</v>
      </c>
      <c r="M1827" t="n">
        <v>0</v>
      </c>
      <c r="N1827" t="n">
        <v>0</v>
      </c>
      <c r="O1827" t="n">
        <v>0</v>
      </c>
      <c r="P1827" t="n">
        <v>0</v>
      </c>
      <c r="Q1827" t="n">
        <v>0</v>
      </c>
      <c r="R1827" s="2" t="inlineStr"/>
    </row>
    <row r="1828" ht="15" customHeight="1">
      <c r="A1828" t="inlineStr">
        <is>
          <t>A 24134-2024</t>
        </is>
      </c>
      <c r="B1828" s="1" t="n">
        <v>45456.63509259259</v>
      </c>
      <c r="C1828" s="1" t="n">
        <v>45911</v>
      </c>
      <c r="D1828" t="inlineStr">
        <is>
          <t>GÄVLEBORGS LÄN</t>
        </is>
      </c>
      <c r="E1828" t="inlineStr">
        <is>
          <t>OVANÅKER</t>
        </is>
      </c>
      <c r="F1828" t="inlineStr">
        <is>
          <t>Bergvik skog väst AB</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24137-2024</t>
        </is>
      </c>
      <c r="B1829" s="1" t="n">
        <v>45456.63956018518</v>
      </c>
      <c r="C1829" s="1" t="n">
        <v>45911</v>
      </c>
      <c r="D1829" t="inlineStr">
        <is>
          <t>GÄVLEBORGS LÄN</t>
        </is>
      </c>
      <c r="E1829" t="inlineStr">
        <is>
          <t>OVANÅKER</t>
        </is>
      </c>
      <c r="F1829" t="inlineStr">
        <is>
          <t>Bergvik skog väst AB</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18311-2023</t>
        </is>
      </c>
      <c r="B1830" s="1" t="n">
        <v>45041.59797453704</v>
      </c>
      <c r="C1830" s="1" t="n">
        <v>45911</v>
      </c>
      <c r="D1830" t="inlineStr">
        <is>
          <t>GÄVLEBORGS LÄN</t>
        </is>
      </c>
      <c r="E1830" t="inlineStr">
        <is>
          <t>BOLLNÄS</t>
        </is>
      </c>
      <c r="G1830" t="n">
        <v>3.3</v>
      </c>
      <c r="H1830" t="n">
        <v>0</v>
      </c>
      <c r="I1830" t="n">
        <v>0</v>
      </c>
      <c r="J1830" t="n">
        <v>0</v>
      </c>
      <c r="K1830" t="n">
        <v>0</v>
      </c>
      <c r="L1830" t="n">
        <v>0</v>
      </c>
      <c r="M1830" t="n">
        <v>0</v>
      </c>
      <c r="N1830" t="n">
        <v>0</v>
      </c>
      <c r="O1830" t="n">
        <v>0</v>
      </c>
      <c r="P1830" t="n">
        <v>0</v>
      </c>
      <c r="Q1830" t="n">
        <v>0</v>
      </c>
      <c r="R1830" s="2" t="inlineStr"/>
    </row>
    <row r="1831" ht="15" customHeight="1">
      <c r="A1831" t="inlineStr">
        <is>
          <t>A 52391-2023</t>
        </is>
      </c>
      <c r="B1831" s="1" t="n">
        <v>45224.92597222222</v>
      </c>
      <c r="C1831" s="1" t="n">
        <v>45911</v>
      </c>
      <c r="D1831" t="inlineStr">
        <is>
          <t>GÄVLEBORGS LÄN</t>
        </is>
      </c>
      <c r="E1831" t="inlineStr">
        <is>
          <t>LJUSDAL</t>
        </is>
      </c>
      <c r="G1831" t="n">
        <v>4.4</v>
      </c>
      <c r="H1831" t="n">
        <v>0</v>
      </c>
      <c r="I1831" t="n">
        <v>0</v>
      </c>
      <c r="J1831" t="n">
        <v>0</v>
      </c>
      <c r="K1831" t="n">
        <v>0</v>
      </c>
      <c r="L1831" t="n">
        <v>0</v>
      </c>
      <c r="M1831" t="n">
        <v>0</v>
      </c>
      <c r="N1831" t="n">
        <v>0</v>
      </c>
      <c r="O1831" t="n">
        <v>0</v>
      </c>
      <c r="P1831" t="n">
        <v>0</v>
      </c>
      <c r="Q1831" t="n">
        <v>0</v>
      </c>
      <c r="R1831" s="2" t="inlineStr"/>
    </row>
    <row r="1832" ht="15" customHeight="1">
      <c r="A1832" t="inlineStr">
        <is>
          <t>A 32353-2024</t>
        </is>
      </c>
      <c r="B1832" s="1" t="n">
        <v>45512.54998842593</v>
      </c>
      <c r="C1832" s="1" t="n">
        <v>45911</v>
      </c>
      <c r="D1832" t="inlineStr">
        <is>
          <t>GÄVLEBORGS LÄN</t>
        </is>
      </c>
      <c r="E1832" t="inlineStr">
        <is>
          <t>HUDIKSVALL</t>
        </is>
      </c>
      <c r="F1832" t="inlineStr">
        <is>
          <t>Holmen skog AB</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71678-2021</t>
        </is>
      </c>
      <c r="B1833" s="1" t="n">
        <v>44543.40311342593</v>
      </c>
      <c r="C1833" s="1" t="n">
        <v>45911</v>
      </c>
      <c r="D1833" t="inlineStr">
        <is>
          <t>GÄVLEBORGS LÄN</t>
        </is>
      </c>
      <c r="E1833" t="inlineStr">
        <is>
          <t>BOLLNÄS</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943-2024</t>
        </is>
      </c>
      <c r="B1834" s="1" t="n">
        <v>45301.53942129629</v>
      </c>
      <c r="C1834" s="1" t="n">
        <v>45911</v>
      </c>
      <c r="D1834" t="inlineStr">
        <is>
          <t>GÄVLEBORGS LÄN</t>
        </is>
      </c>
      <c r="E1834" t="inlineStr">
        <is>
          <t>OVANÅKER</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15608-2025</t>
        </is>
      </c>
      <c r="B1835" s="1" t="n">
        <v>45748</v>
      </c>
      <c r="C1835" s="1" t="n">
        <v>45911</v>
      </c>
      <c r="D1835" t="inlineStr">
        <is>
          <t>GÄVLEBORGS LÄN</t>
        </is>
      </c>
      <c r="E1835" t="inlineStr">
        <is>
          <t>SÖDERHAMN</t>
        </is>
      </c>
      <c r="F1835" t="inlineStr">
        <is>
          <t>Bergvik skog väst AB</t>
        </is>
      </c>
      <c r="G1835" t="n">
        <v>15.6</v>
      </c>
      <c r="H1835" t="n">
        <v>0</v>
      </c>
      <c r="I1835" t="n">
        <v>0</v>
      </c>
      <c r="J1835" t="n">
        <v>0</v>
      </c>
      <c r="K1835" t="n">
        <v>0</v>
      </c>
      <c r="L1835" t="n">
        <v>0</v>
      </c>
      <c r="M1835" t="n">
        <v>0</v>
      </c>
      <c r="N1835" t="n">
        <v>0</v>
      </c>
      <c r="O1835" t="n">
        <v>0</v>
      </c>
      <c r="P1835" t="n">
        <v>0</v>
      </c>
      <c r="Q1835" t="n">
        <v>0</v>
      </c>
      <c r="R1835" s="2" t="inlineStr"/>
    </row>
    <row r="1836" ht="15" customHeight="1">
      <c r="A1836" t="inlineStr">
        <is>
          <t>A 25408-2025</t>
        </is>
      </c>
      <c r="B1836" s="1" t="n">
        <v>45800.66018518519</v>
      </c>
      <c r="C1836" s="1" t="n">
        <v>45911</v>
      </c>
      <c r="D1836" t="inlineStr">
        <is>
          <t>GÄVLEBORGS LÄN</t>
        </is>
      </c>
      <c r="E1836" t="inlineStr">
        <is>
          <t>OVANÅKER</t>
        </is>
      </c>
      <c r="F1836" t="inlineStr">
        <is>
          <t>Bergvik skog öst AB</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15668-2025</t>
        </is>
      </c>
      <c r="B1837" s="1" t="n">
        <v>45748.4383912037</v>
      </c>
      <c r="C1837" s="1" t="n">
        <v>45911</v>
      </c>
      <c r="D1837" t="inlineStr">
        <is>
          <t>GÄVLEBORGS LÄN</t>
        </is>
      </c>
      <c r="E1837" t="inlineStr">
        <is>
          <t>BOLLNÄS</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15671-2025</t>
        </is>
      </c>
      <c r="B1838" s="1" t="n">
        <v>45748.44193287037</v>
      </c>
      <c r="C1838" s="1" t="n">
        <v>45911</v>
      </c>
      <c r="D1838" t="inlineStr">
        <is>
          <t>GÄVLEBORGS LÄN</t>
        </is>
      </c>
      <c r="E1838" t="inlineStr">
        <is>
          <t>BOLLNÄS</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11397-2023</t>
        </is>
      </c>
      <c r="B1839" s="1" t="n">
        <v>44988</v>
      </c>
      <c r="C1839" s="1" t="n">
        <v>45911</v>
      </c>
      <c r="D1839" t="inlineStr">
        <is>
          <t>GÄVLEBORGS LÄN</t>
        </is>
      </c>
      <c r="E1839" t="inlineStr">
        <is>
          <t>SANDVIKEN</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15682-2025</t>
        </is>
      </c>
      <c r="B1840" s="1" t="n">
        <v>45748.45584490741</v>
      </c>
      <c r="C1840" s="1" t="n">
        <v>45911</v>
      </c>
      <c r="D1840" t="inlineStr">
        <is>
          <t>GÄVLEBORGS LÄN</t>
        </is>
      </c>
      <c r="E1840" t="inlineStr">
        <is>
          <t>SÖDERHAMN</t>
        </is>
      </c>
      <c r="G1840" t="n">
        <v>3.7</v>
      </c>
      <c r="H1840" t="n">
        <v>0</v>
      </c>
      <c r="I1840" t="n">
        <v>0</v>
      </c>
      <c r="J1840" t="n">
        <v>0</v>
      </c>
      <c r="K1840" t="n">
        <v>0</v>
      </c>
      <c r="L1840" t="n">
        <v>0</v>
      </c>
      <c r="M1840" t="n">
        <v>0</v>
      </c>
      <c r="N1840" t="n">
        <v>0</v>
      </c>
      <c r="O1840" t="n">
        <v>0</v>
      </c>
      <c r="P1840" t="n">
        <v>0</v>
      </c>
      <c r="Q1840" t="n">
        <v>0</v>
      </c>
      <c r="R1840" s="2" t="inlineStr"/>
    </row>
    <row r="1841" ht="15" customHeight="1">
      <c r="A1841" t="inlineStr">
        <is>
          <t>A 15687-2025</t>
        </is>
      </c>
      <c r="B1841" s="1" t="n">
        <v>45748.46032407408</v>
      </c>
      <c r="C1841" s="1" t="n">
        <v>45911</v>
      </c>
      <c r="D1841" t="inlineStr">
        <is>
          <t>GÄVLEBORGS LÄN</t>
        </is>
      </c>
      <c r="E1841" t="inlineStr">
        <is>
          <t>BOLLNÄS</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18431-2021</t>
        </is>
      </c>
      <c r="B1842" s="1" t="n">
        <v>44305</v>
      </c>
      <c r="C1842" s="1" t="n">
        <v>45911</v>
      </c>
      <c r="D1842" t="inlineStr">
        <is>
          <t>GÄVLEBORGS LÄN</t>
        </is>
      </c>
      <c r="E1842" t="inlineStr">
        <is>
          <t>GÄVLE</t>
        </is>
      </c>
      <c r="F1842" t="inlineStr">
        <is>
          <t>Bergvik skog öst AB</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5725-2024</t>
        </is>
      </c>
      <c r="B1843" s="1" t="n">
        <v>45334.92503472222</v>
      </c>
      <c r="C1843" s="1" t="n">
        <v>45911</v>
      </c>
      <c r="D1843" t="inlineStr">
        <is>
          <t>GÄVLEBORGS LÄN</t>
        </is>
      </c>
      <c r="E1843" t="inlineStr">
        <is>
          <t>HUDIKSVALL</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5836-2024</t>
        </is>
      </c>
      <c r="B1844" s="1" t="n">
        <v>45335</v>
      </c>
      <c r="C1844" s="1" t="n">
        <v>45911</v>
      </c>
      <c r="D1844" t="inlineStr">
        <is>
          <t>GÄVLEBORGS LÄN</t>
        </is>
      </c>
      <c r="E1844" t="inlineStr">
        <is>
          <t>BOLLNÄS</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5838-2024</t>
        </is>
      </c>
      <c r="B1845" s="1" t="n">
        <v>45335.59482638889</v>
      </c>
      <c r="C1845" s="1" t="n">
        <v>45911</v>
      </c>
      <c r="D1845" t="inlineStr">
        <is>
          <t>GÄVLEBORGS LÄN</t>
        </is>
      </c>
      <c r="E1845" t="inlineStr">
        <is>
          <t>BOLLNÄS</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19172-2024</t>
        </is>
      </c>
      <c r="B1846" s="1" t="n">
        <v>45428.46696759259</v>
      </c>
      <c r="C1846" s="1" t="n">
        <v>45911</v>
      </c>
      <c r="D1846" t="inlineStr">
        <is>
          <t>GÄVLEBORGS LÄN</t>
        </is>
      </c>
      <c r="E1846" t="inlineStr">
        <is>
          <t>OVANÅKER</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42717-2024</t>
        </is>
      </c>
      <c r="B1847" s="1" t="n">
        <v>45566.45481481482</v>
      </c>
      <c r="C1847" s="1" t="n">
        <v>45911</v>
      </c>
      <c r="D1847" t="inlineStr">
        <is>
          <t>GÄVLEBORGS LÄN</t>
        </is>
      </c>
      <c r="E1847" t="inlineStr">
        <is>
          <t>NORDANSTIG</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22376-2025</t>
        </is>
      </c>
      <c r="B1848" s="1" t="n">
        <v>45786.48606481482</v>
      </c>
      <c r="C1848" s="1" t="n">
        <v>45911</v>
      </c>
      <c r="D1848" t="inlineStr">
        <is>
          <t>GÄVLEBORGS LÄN</t>
        </is>
      </c>
      <c r="E1848" t="inlineStr">
        <is>
          <t>OCKELBO</t>
        </is>
      </c>
      <c r="F1848" t="inlineStr">
        <is>
          <t>Bergvik skog väst AB</t>
        </is>
      </c>
      <c r="G1848" t="n">
        <v>11.1</v>
      </c>
      <c r="H1848" t="n">
        <v>0</v>
      </c>
      <c r="I1848" t="n">
        <v>0</v>
      </c>
      <c r="J1848" t="n">
        <v>0</v>
      </c>
      <c r="K1848" t="n">
        <v>0</v>
      </c>
      <c r="L1848" t="n">
        <v>0</v>
      </c>
      <c r="M1848" t="n">
        <v>0</v>
      </c>
      <c r="N1848" t="n">
        <v>0</v>
      </c>
      <c r="O1848" t="n">
        <v>0</v>
      </c>
      <c r="P1848" t="n">
        <v>0</v>
      </c>
      <c r="Q1848" t="n">
        <v>0</v>
      </c>
      <c r="R1848" s="2" t="inlineStr"/>
    </row>
    <row r="1849" ht="15" customHeight="1">
      <c r="A1849" t="inlineStr">
        <is>
          <t>A 13489-2025</t>
        </is>
      </c>
      <c r="B1849" s="1" t="n">
        <v>45736</v>
      </c>
      <c r="C1849" s="1" t="n">
        <v>45911</v>
      </c>
      <c r="D1849" t="inlineStr">
        <is>
          <t>GÄVLEBORGS LÄN</t>
        </is>
      </c>
      <c r="E1849" t="inlineStr">
        <is>
          <t>NORDANSTIG</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56446-2023</t>
        </is>
      </c>
      <c r="B1850" s="1" t="n">
        <v>45243.47311342593</v>
      </c>
      <c r="C1850" s="1" t="n">
        <v>45911</v>
      </c>
      <c r="D1850" t="inlineStr">
        <is>
          <t>GÄVLEBORGS LÄN</t>
        </is>
      </c>
      <c r="E1850" t="inlineStr">
        <is>
          <t>GÄVLE</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20934-2021</t>
        </is>
      </c>
      <c r="B1851" s="1" t="n">
        <v>44319.48326388889</v>
      </c>
      <c r="C1851" s="1" t="n">
        <v>45911</v>
      </c>
      <c r="D1851" t="inlineStr">
        <is>
          <t>GÄVLEBORGS LÄN</t>
        </is>
      </c>
      <c r="E1851" t="inlineStr">
        <is>
          <t>SANDVIKEN</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42950-2023</t>
        </is>
      </c>
      <c r="B1852" s="1" t="n">
        <v>45178</v>
      </c>
      <c r="C1852" s="1" t="n">
        <v>45911</v>
      </c>
      <c r="D1852" t="inlineStr">
        <is>
          <t>GÄVLEBORGS LÄN</t>
        </is>
      </c>
      <c r="E1852" t="inlineStr">
        <is>
          <t>SANDVIKEN</t>
        </is>
      </c>
      <c r="F1852" t="inlineStr">
        <is>
          <t>Bergvik skog väst AB</t>
        </is>
      </c>
      <c r="G1852" t="n">
        <v>16.5</v>
      </c>
      <c r="H1852" t="n">
        <v>0</v>
      </c>
      <c r="I1852" t="n">
        <v>0</v>
      </c>
      <c r="J1852" t="n">
        <v>0</v>
      </c>
      <c r="K1852" t="n">
        <v>0</v>
      </c>
      <c r="L1852" t="n">
        <v>0</v>
      </c>
      <c r="M1852" t="n">
        <v>0</v>
      </c>
      <c r="N1852" t="n">
        <v>0</v>
      </c>
      <c r="O1852" t="n">
        <v>0</v>
      </c>
      <c r="P1852" t="n">
        <v>0</v>
      </c>
      <c r="Q1852" t="n">
        <v>0</v>
      </c>
      <c r="R1852" s="2" t="inlineStr"/>
    </row>
    <row r="1853" ht="15" customHeight="1">
      <c r="A1853" t="inlineStr">
        <is>
          <t>A 60253-2023</t>
        </is>
      </c>
      <c r="B1853" s="1" t="n">
        <v>45258</v>
      </c>
      <c r="C1853" s="1" t="n">
        <v>45911</v>
      </c>
      <c r="D1853" t="inlineStr">
        <is>
          <t>GÄVLEBORGS LÄN</t>
        </is>
      </c>
      <c r="E1853" t="inlineStr">
        <is>
          <t>OCKELBO</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47320-2023</t>
        </is>
      </c>
      <c r="B1854" s="1" t="n">
        <v>45202.50706018518</v>
      </c>
      <c r="C1854" s="1" t="n">
        <v>45911</v>
      </c>
      <c r="D1854" t="inlineStr">
        <is>
          <t>GÄVLEBORGS LÄN</t>
        </is>
      </c>
      <c r="E1854" t="inlineStr">
        <is>
          <t>HUDIKSVALL</t>
        </is>
      </c>
      <c r="F1854" t="inlineStr">
        <is>
          <t>Holmen skog AB</t>
        </is>
      </c>
      <c r="G1854" t="n">
        <v>6</v>
      </c>
      <c r="H1854" t="n">
        <v>0</v>
      </c>
      <c r="I1854" t="n">
        <v>0</v>
      </c>
      <c r="J1854" t="n">
        <v>0</v>
      </c>
      <c r="K1854" t="n">
        <v>0</v>
      </c>
      <c r="L1854" t="n">
        <v>0</v>
      </c>
      <c r="M1854" t="n">
        <v>0</v>
      </c>
      <c r="N1854" t="n">
        <v>0</v>
      </c>
      <c r="O1854" t="n">
        <v>0</v>
      </c>
      <c r="P1854" t="n">
        <v>0</v>
      </c>
      <c r="Q1854" t="n">
        <v>0</v>
      </c>
      <c r="R1854" s="2" t="inlineStr"/>
    </row>
    <row r="1855" ht="15" customHeight="1">
      <c r="A1855" t="inlineStr">
        <is>
          <t>A 47335-2023</t>
        </is>
      </c>
      <c r="B1855" s="1" t="n">
        <v>45202.53678240741</v>
      </c>
      <c r="C1855" s="1" t="n">
        <v>45911</v>
      </c>
      <c r="D1855" t="inlineStr">
        <is>
          <t>GÄVLEBORGS LÄN</t>
        </is>
      </c>
      <c r="E1855" t="inlineStr">
        <is>
          <t>HUDIKSVALL</t>
        </is>
      </c>
      <c r="F1855" t="inlineStr">
        <is>
          <t>Holmen skog AB</t>
        </is>
      </c>
      <c r="G1855" t="n">
        <v>4.2</v>
      </c>
      <c r="H1855" t="n">
        <v>0</v>
      </c>
      <c r="I1855" t="n">
        <v>0</v>
      </c>
      <c r="J1855" t="n">
        <v>0</v>
      </c>
      <c r="K1855" t="n">
        <v>0</v>
      </c>
      <c r="L1855" t="n">
        <v>0</v>
      </c>
      <c r="M1855" t="n">
        <v>0</v>
      </c>
      <c r="N1855" t="n">
        <v>0</v>
      </c>
      <c r="O1855" t="n">
        <v>0</v>
      </c>
      <c r="P1855" t="n">
        <v>0</v>
      </c>
      <c r="Q1855" t="n">
        <v>0</v>
      </c>
      <c r="R1855" s="2" t="inlineStr"/>
    </row>
    <row r="1856" ht="15" customHeight="1">
      <c r="A1856" t="inlineStr">
        <is>
          <t>A 18140-2023</t>
        </is>
      </c>
      <c r="B1856" s="1" t="n">
        <v>45040.9262037037</v>
      </c>
      <c r="C1856" s="1" t="n">
        <v>45911</v>
      </c>
      <c r="D1856" t="inlineStr">
        <is>
          <t>GÄVLEBORGS LÄN</t>
        </is>
      </c>
      <c r="E1856" t="inlineStr">
        <is>
          <t>SÖDERHAMN</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52787-2024</t>
        </is>
      </c>
      <c r="B1857" s="1" t="n">
        <v>45610.55293981481</v>
      </c>
      <c r="C1857" s="1" t="n">
        <v>45911</v>
      </c>
      <c r="D1857" t="inlineStr">
        <is>
          <t>GÄVLEBORGS LÄN</t>
        </is>
      </c>
      <c r="E1857" t="inlineStr">
        <is>
          <t>LJUSDAL</t>
        </is>
      </c>
      <c r="F1857" t="inlineStr">
        <is>
          <t>SCA</t>
        </is>
      </c>
      <c r="G1857" t="n">
        <v>4.7</v>
      </c>
      <c r="H1857" t="n">
        <v>0</v>
      </c>
      <c r="I1857" t="n">
        <v>0</v>
      </c>
      <c r="J1857" t="n">
        <v>0</v>
      </c>
      <c r="K1857" t="n">
        <v>0</v>
      </c>
      <c r="L1857" t="n">
        <v>0</v>
      </c>
      <c r="M1857" t="n">
        <v>0</v>
      </c>
      <c r="N1857" t="n">
        <v>0</v>
      </c>
      <c r="O1857" t="n">
        <v>0</v>
      </c>
      <c r="P1857" t="n">
        <v>0</v>
      </c>
      <c r="Q1857" t="n">
        <v>0</v>
      </c>
      <c r="R1857" s="2" t="inlineStr"/>
    </row>
    <row r="1858" ht="15" customHeight="1">
      <c r="A1858" t="inlineStr">
        <is>
          <t>A 43589-2021</t>
        </is>
      </c>
      <c r="B1858" s="1" t="n">
        <v>44433</v>
      </c>
      <c r="C1858" s="1" t="n">
        <v>45911</v>
      </c>
      <c r="D1858" t="inlineStr">
        <is>
          <t>GÄVLEBORGS LÄN</t>
        </is>
      </c>
      <c r="E1858" t="inlineStr">
        <is>
          <t>NORDANSTIG</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41266-2023</t>
        </is>
      </c>
      <c r="B1859" s="1" t="n">
        <v>45174.54631944445</v>
      </c>
      <c r="C1859" s="1" t="n">
        <v>45911</v>
      </c>
      <c r="D1859" t="inlineStr">
        <is>
          <t>GÄVLEBORGS LÄN</t>
        </is>
      </c>
      <c r="E1859" t="inlineStr">
        <is>
          <t>BOLLNÄS</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34513-2021</t>
        </is>
      </c>
      <c r="B1860" s="1" t="n">
        <v>44382.37893518519</v>
      </c>
      <c r="C1860" s="1" t="n">
        <v>45911</v>
      </c>
      <c r="D1860" t="inlineStr">
        <is>
          <t>GÄVLEBORGS LÄN</t>
        </is>
      </c>
      <c r="E1860" t="inlineStr">
        <is>
          <t>OVANÅKER</t>
        </is>
      </c>
      <c r="F1860" t="inlineStr">
        <is>
          <t>Sveaskog</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56615-2024</t>
        </is>
      </c>
      <c r="B1861" s="1" t="n">
        <v>45625.65038194445</v>
      </c>
      <c r="C1861" s="1" t="n">
        <v>45911</v>
      </c>
      <c r="D1861" t="inlineStr">
        <is>
          <t>GÄVLEBORGS LÄN</t>
        </is>
      </c>
      <c r="E1861" t="inlineStr">
        <is>
          <t>OCKELBO</t>
        </is>
      </c>
      <c r="F1861" t="inlineStr">
        <is>
          <t>Bergvik skog öst AB</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5558-2024</t>
        </is>
      </c>
      <c r="B1862" s="1" t="n">
        <v>45334.4608912037</v>
      </c>
      <c r="C1862" s="1" t="n">
        <v>45911</v>
      </c>
      <c r="D1862" t="inlineStr">
        <is>
          <t>GÄVLEBORGS LÄN</t>
        </is>
      </c>
      <c r="E1862" t="inlineStr">
        <is>
          <t>OCKELBO</t>
        </is>
      </c>
      <c r="G1862" t="n">
        <v>4.7</v>
      </c>
      <c r="H1862" t="n">
        <v>0</v>
      </c>
      <c r="I1862" t="n">
        <v>0</v>
      </c>
      <c r="J1862" t="n">
        <v>0</v>
      </c>
      <c r="K1862" t="n">
        <v>0</v>
      </c>
      <c r="L1862" t="n">
        <v>0</v>
      </c>
      <c r="M1862" t="n">
        <v>0</v>
      </c>
      <c r="N1862" t="n">
        <v>0</v>
      </c>
      <c r="O1862" t="n">
        <v>0</v>
      </c>
      <c r="P1862" t="n">
        <v>0</v>
      </c>
      <c r="Q1862" t="n">
        <v>0</v>
      </c>
      <c r="R1862" s="2" t="inlineStr"/>
    </row>
    <row r="1863" ht="15" customHeight="1">
      <c r="A1863" t="inlineStr">
        <is>
          <t>A 4557-2024</t>
        </is>
      </c>
      <c r="B1863" s="1" t="n">
        <v>45327</v>
      </c>
      <c r="C1863" s="1" t="n">
        <v>45911</v>
      </c>
      <c r="D1863" t="inlineStr">
        <is>
          <t>GÄVLEBORGS LÄN</t>
        </is>
      </c>
      <c r="E1863" t="inlineStr">
        <is>
          <t>SÖDERHAMN</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69521-2021</t>
        </is>
      </c>
      <c r="B1864" s="1" t="n">
        <v>44531.86046296296</v>
      </c>
      <c r="C1864" s="1" t="n">
        <v>45911</v>
      </c>
      <c r="D1864" t="inlineStr">
        <is>
          <t>GÄVLEBORGS LÄN</t>
        </is>
      </c>
      <c r="E1864" t="inlineStr">
        <is>
          <t>SANDVIKEN</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44344-2024</t>
        </is>
      </c>
      <c r="B1865" s="1" t="n">
        <v>45573.62100694444</v>
      </c>
      <c r="C1865" s="1" t="n">
        <v>45911</v>
      </c>
      <c r="D1865" t="inlineStr">
        <is>
          <t>GÄVLEBORGS LÄN</t>
        </is>
      </c>
      <c r="E1865" t="inlineStr">
        <is>
          <t>BOLLNÄS</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31607-2023</t>
        </is>
      </c>
      <c r="B1866" s="1" t="n">
        <v>45117</v>
      </c>
      <c r="C1866" s="1" t="n">
        <v>45911</v>
      </c>
      <c r="D1866" t="inlineStr">
        <is>
          <t>GÄVLEBORGS LÄN</t>
        </is>
      </c>
      <c r="E1866" t="inlineStr">
        <is>
          <t>HOFORS</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11101-2024</t>
        </is>
      </c>
      <c r="B1867" s="1" t="n">
        <v>45371.32391203703</v>
      </c>
      <c r="C1867" s="1" t="n">
        <v>45911</v>
      </c>
      <c r="D1867" t="inlineStr">
        <is>
          <t>GÄVLEBORGS LÄN</t>
        </is>
      </c>
      <c r="E1867" t="inlineStr">
        <is>
          <t>HUDIKSVALL</t>
        </is>
      </c>
      <c r="F1867" t="inlineStr">
        <is>
          <t>Holmen skog AB</t>
        </is>
      </c>
      <c r="G1867" t="n">
        <v>9.800000000000001</v>
      </c>
      <c r="H1867" t="n">
        <v>0</v>
      </c>
      <c r="I1867" t="n">
        <v>0</v>
      </c>
      <c r="J1867" t="n">
        <v>0</v>
      </c>
      <c r="K1867" t="n">
        <v>0</v>
      </c>
      <c r="L1867" t="n">
        <v>0</v>
      </c>
      <c r="M1867" t="n">
        <v>0</v>
      </c>
      <c r="N1867" t="n">
        <v>0</v>
      </c>
      <c r="O1867" t="n">
        <v>0</v>
      </c>
      <c r="P1867" t="n">
        <v>0</v>
      </c>
      <c r="Q1867" t="n">
        <v>0</v>
      </c>
      <c r="R1867" s="2" t="inlineStr"/>
    </row>
    <row r="1868" ht="15" customHeight="1">
      <c r="A1868" t="inlineStr">
        <is>
          <t>A 30714-2023</t>
        </is>
      </c>
      <c r="B1868" s="1" t="n">
        <v>45112</v>
      </c>
      <c r="C1868" s="1" t="n">
        <v>45911</v>
      </c>
      <c r="D1868" t="inlineStr">
        <is>
          <t>GÄVLEBORGS LÄN</t>
        </is>
      </c>
      <c r="E1868" t="inlineStr">
        <is>
          <t>SANDVIKEN</t>
        </is>
      </c>
      <c r="G1868" t="n">
        <v>4.9</v>
      </c>
      <c r="H1868" t="n">
        <v>0</v>
      </c>
      <c r="I1868" t="n">
        <v>0</v>
      </c>
      <c r="J1868" t="n">
        <v>0</v>
      </c>
      <c r="K1868" t="n">
        <v>0</v>
      </c>
      <c r="L1868" t="n">
        <v>0</v>
      </c>
      <c r="M1868" t="n">
        <v>0</v>
      </c>
      <c r="N1868" t="n">
        <v>0</v>
      </c>
      <c r="O1868" t="n">
        <v>0</v>
      </c>
      <c r="P1868" t="n">
        <v>0</v>
      </c>
      <c r="Q1868" t="n">
        <v>0</v>
      </c>
      <c r="R1868" s="2" t="inlineStr"/>
    </row>
    <row r="1869" ht="15" customHeight="1">
      <c r="A1869" t="inlineStr">
        <is>
          <t>A 25454-2024</t>
        </is>
      </c>
      <c r="B1869" s="1" t="n">
        <v>45463.423125</v>
      </c>
      <c r="C1869" s="1" t="n">
        <v>45911</v>
      </c>
      <c r="D1869" t="inlineStr">
        <is>
          <t>GÄVLEBORGS LÄN</t>
        </is>
      </c>
      <c r="E1869" t="inlineStr">
        <is>
          <t>HUDIKSVALL</t>
        </is>
      </c>
      <c r="F1869" t="inlineStr">
        <is>
          <t>Holmen skog AB</t>
        </is>
      </c>
      <c r="G1869" t="n">
        <v>14.1</v>
      </c>
      <c r="H1869" t="n">
        <v>0</v>
      </c>
      <c r="I1869" t="n">
        <v>0</v>
      </c>
      <c r="J1869" t="n">
        <v>0</v>
      </c>
      <c r="K1869" t="n">
        <v>0</v>
      </c>
      <c r="L1869" t="n">
        <v>0</v>
      </c>
      <c r="M1869" t="n">
        <v>0</v>
      </c>
      <c r="N1869" t="n">
        <v>0</v>
      </c>
      <c r="O1869" t="n">
        <v>0</v>
      </c>
      <c r="P1869" t="n">
        <v>0</v>
      </c>
      <c r="Q1869" t="n">
        <v>0</v>
      </c>
      <c r="R1869" s="2" t="inlineStr"/>
    </row>
    <row r="1870" ht="15" customHeight="1">
      <c r="A1870" t="inlineStr">
        <is>
          <t>A 104-2023</t>
        </is>
      </c>
      <c r="B1870" s="1" t="n">
        <v>44928.48064814815</v>
      </c>
      <c r="C1870" s="1" t="n">
        <v>45911</v>
      </c>
      <c r="D1870" t="inlineStr">
        <is>
          <t>GÄVLEBORGS LÄN</t>
        </is>
      </c>
      <c r="E1870" t="inlineStr">
        <is>
          <t>HUDIKSVALL</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12846-2024</t>
        </is>
      </c>
      <c r="B1871" s="1" t="n">
        <v>45384.80761574074</v>
      </c>
      <c r="C1871" s="1" t="n">
        <v>45911</v>
      </c>
      <c r="D1871" t="inlineStr">
        <is>
          <t>GÄVLEBORGS LÄN</t>
        </is>
      </c>
      <c r="E1871" t="inlineStr">
        <is>
          <t>HUDIKSVALL</t>
        </is>
      </c>
      <c r="F1871" t="inlineStr">
        <is>
          <t>Holmen skog AB</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23587-2024</t>
        </is>
      </c>
      <c r="B1872" s="1" t="n">
        <v>45454</v>
      </c>
      <c r="C1872" s="1" t="n">
        <v>45911</v>
      </c>
      <c r="D1872" t="inlineStr">
        <is>
          <t>GÄVLEBORGS LÄN</t>
        </is>
      </c>
      <c r="E1872" t="inlineStr">
        <is>
          <t>GÄVLE</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38215-2023</t>
        </is>
      </c>
      <c r="B1873" s="1" t="n">
        <v>45161.53357638889</v>
      </c>
      <c r="C1873" s="1" t="n">
        <v>45911</v>
      </c>
      <c r="D1873" t="inlineStr">
        <is>
          <t>GÄVLEBORGS LÄN</t>
        </is>
      </c>
      <c r="E1873" t="inlineStr">
        <is>
          <t>SANDVIKEN</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7785-2022</t>
        </is>
      </c>
      <c r="B1874" s="1" t="n">
        <v>44608.47659722222</v>
      </c>
      <c r="C1874" s="1" t="n">
        <v>45911</v>
      </c>
      <c r="D1874" t="inlineStr">
        <is>
          <t>GÄVLEBORGS LÄN</t>
        </is>
      </c>
      <c r="E1874" t="inlineStr">
        <is>
          <t>OVANÅKER</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43010-2022</t>
        </is>
      </c>
      <c r="B1875" s="1" t="n">
        <v>44833.55001157407</v>
      </c>
      <c r="C1875" s="1" t="n">
        <v>45911</v>
      </c>
      <c r="D1875" t="inlineStr">
        <is>
          <t>GÄVLEBORGS LÄN</t>
        </is>
      </c>
      <c r="E1875" t="inlineStr">
        <is>
          <t>HUDIKSVALL</t>
        </is>
      </c>
      <c r="F1875" t="inlineStr">
        <is>
          <t>Holmen skog AB</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41385-2024</t>
        </is>
      </c>
      <c r="B1876" s="1" t="n">
        <v>45560.29936342593</v>
      </c>
      <c r="C1876" s="1" t="n">
        <v>45911</v>
      </c>
      <c r="D1876" t="inlineStr">
        <is>
          <t>GÄVLEBORGS LÄN</t>
        </is>
      </c>
      <c r="E1876" t="inlineStr">
        <is>
          <t>LJUSDAL</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38255-2023</t>
        </is>
      </c>
      <c r="B1877" s="1" t="n">
        <v>45161.58774305556</v>
      </c>
      <c r="C1877" s="1" t="n">
        <v>45911</v>
      </c>
      <c r="D1877" t="inlineStr">
        <is>
          <t>GÄVLEBORGS LÄN</t>
        </is>
      </c>
      <c r="E1877" t="inlineStr">
        <is>
          <t>GÄVLE</t>
        </is>
      </c>
      <c r="F1877" t="inlineStr">
        <is>
          <t>Bergvik skog väst AB</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5554-2024</t>
        </is>
      </c>
      <c r="B1878" s="1" t="n">
        <v>45334</v>
      </c>
      <c r="C1878" s="1" t="n">
        <v>45911</v>
      </c>
      <c r="D1878" t="inlineStr">
        <is>
          <t>GÄVLEBORGS LÄN</t>
        </is>
      </c>
      <c r="E1878" t="inlineStr">
        <is>
          <t>HOFORS</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6964-2025</t>
        </is>
      </c>
      <c r="B1879" s="1" t="n">
        <v>45701</v>
      </c>
      <c r="C1879" s="1" t="n">
        <v>45911</v>
      </c>
      <c r="D1879" t="inlineStr">
        <is>
          <t>GÄVLEBORGS LÄN</t>
        </is>
      </c>
      <c r="E1879" t="inlineStr">
        <is>
          <t>LJUSDAL</t>
        </is>
      </c>
      <c r="G1879" t="n">
        <v>4.2</v>
      </c>
      <c r="H1879" t="n">
        <v>0</v>
      </c>
      <c r="I1879" t="n">
        <v>0</v>
      </c>
      <c r="J1879" t="n">
        <v>0</v>
      </c>
      <c r="K1879" t="n">
        <v>0</v>
      </c>
      <c r="L1879" t="n">
        <v>0</v>
      </c>
      <c r="M1879" t="n">
        <v>0</v>
      </c>
      <c r="N1879" t="n">
        <v>0</v>
      </c>
      <c r="O1879" t="n">
        <v>0</v>
      </c>
      <c r="P1879" t="n">
        <v>0</v>
      </c>
      <c r="Q1879" t="n">
        <v>0</v>
      </c>
      <c r="R1879" s="2" t="inlineStr"/>
    </row>
    <row r="1880" ht="15" customHeight="1">
      <c r="A1880" t="inlineStr">
        <is>
          <t>A 53718-2024</t>
        </is>
      </c>
      <c r="B1880" s="1" t="n">
        <v>45615.43480324074</v>
      </c>
      <c r="C1880" s="1" t="n">
        <v>45911</v>
      </c>
      <c r="D1880" t="inlineStr">
        <is>
          <t>GÄVLEBORGS LÄN</t>
        </is>
      </c>
      <c r="E1880" t="inlineStr">
        <is>
          <t>SANDVIKEN</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53721-2024</t>
        </is>
      </c>
      <c r="B1881" s="1" t="n">
        <v>45615.43945601852</v>
      </c>
      <c r="C1881" s="1" t="n">
        <v>45911</v>
      </c>
      <c r="D1881" t="inlineStr">
        <is>
          <t>GÄVLEBORGS LÄN</t>
        </is>
      </c>
      <c r="E1881" t="inlineStr">
        <is>
          <t>HUDIKSVALL</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22134-2025</t>
        </is>
      </c>
      <c r="B1882" s="1" t="n">
        <v>45785.54400462963</v>
      </c>
      <c r="C1882" s="1" t="n">
        <v>45911</v>
      </c>
      <c r="D1882" t="inlineStr">
        <is>
          <t>GÄVLEBORGS LÄN</t>
        </is>
      </c>
      <c r="E1882" t="inlineStr">
        <is>
          <t>BOLLNÄS</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5912-2023</t>
        </is>
      </c>
      <c r="B1883" s="1" t="n">
        <v>44963.67834490741</v>
      </c>
      <c r="C1883" s="1" t="n">
        <v>45911</v>
      </c>
      <c r="D1883" t="inlineStr">
        <is>
          <t>GÄVLEBORGS LÄN</t>
        </is>
      </c>
      <c r="E1883" t="inlineStr">
        <is>
          <t>LJUSDAL</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4580-2024</t>
        </is>
      </c>
      <c r="B1884" s="1" t="n">
        <v>45327</v>
      </c>
      <c r="C1884" s="1" t="n">
        <v>45911</v>
      </c>
      <c r="D1884" t="inlineStr">
        <is>
          <t>GÄVLEBORGS LÄN</t>
        </is>
      </c>
      <c r="E1884" t="inlineStr">
        <is>
          <t>LJUSDAL</t>
        </is>
      </c>
      <c r="G1884" t="n">
        <v>4.4</v>
      </c>
      <c r="H1884" t="n">
        <v>0</v>
      </c>
      <c r="I1884" t="n">
        <v>0</v>
      </c>
      <c r="J1884" t="n">
        <v>0</v>
      </c>
      <c r="K1884" t="n">
        <v>0</v>
      </c>
      <c r="L1884" t="n">
        <v>0</v>
      </c>
      <c r="M1884" t="n">
        <v>0</v>
      </c>
      <c r="N1884" t="n">
        <v>0</v>
      </c>
      <c r="O1884" t="n">
        <v>0</v>
      </c>
      <c r="P1884" t="n">
        <v>0</v>
      </c>
      <c r="Q1884" t="n">
        <v>0</v>
      </c>
      <c r="R1884" s="2" t="inlineStr"/>
    </row>
    <row r="1885" ht="15" customHeight="1">
      <c r="A1885" t="inlineStr">
        <is>
          <t>A 49771-2022</t>
        </is>
      </c>
      <c r="B1885" s="1" t="n">
        <v>44862.61767361111</v>
      </c>
      <c r="C1885" s="1" t="n">
        <v>45911</v>
      </c>
      <c r="D1885" t="inlineStr">
        <is>
          <t>GÄVLEBORGS LÄN</t>
        </is>
      </c>
      <c r="E1885" t="inlineStr">
        <is>
          <t>GÄVLE</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22447-2025</t>
        </is>
      </c>
      <c r="B1886" s="1" t="n">
        <v>45786.59483796296</v>
      </c>
      <c r="C1886" s="1" t="n">
        <v>45911</v>
      </c>
      <c r="D1886" t="inlineStr">
        <is>
          <t>GÄVLEBORGS LÄN</t>
        </is>
      </c>
      <c r="E1886" t="inlineStr">
        <is>
          <t>HUDIKSVALL</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13404-2021</t>
        </is>
      </c>
      <c r="B1887" s="1" t="n">
        <v>44273.47614583333</v>
      </c>
      <c r="C1887" s="1" t="n">
        <v>45911</v>
      </c>
      <c r="D1887" t="inlineStr">
        <is>
          <t>GÄVLEBORGS LÄN</t>
        </is>
      </c>
      <c r="E1887" t="inlineStr">
        <is>
          <t>OVANÅKER</t>
        </is>
      </c>
      <c r="G1887" t="n">
        <v>4.1</v>
      </c>
      <c r="H1887" t="n">
        <v>0</v>
      </c>
      <c r="I1887" t="n">
        <v>0</v>
      </c>
      <c r="J1887" t="n">
        <v>0</v>
      </c>
      <c r="K1887" t="n">
        <v>0</v>
      </c>
      <c r="L1887" t="n">
        <v>0</v>
      </c>
      <c r="M1887" t="n">
        <v>0</v>
      </c>
      <c r="N1887" t="n">
        <v>0</v>
      </c>
      <c r="O1887" t="n">
        <v>0</v>
      </c>
      <c r="P1887" t="n">
        <v>0</v>
      </c>
      <c r="Q1887" t="n">
        <v>0</v>
      </c>
      <c r="R1887" s="2" t="inlineStr"/>
    </row>
    <row r="1888" ht="15" customHeight="1">
      <c r="A1888" t="inlineStr">
        <is>
          <t>A 22312-2025</t>
        </is>
      </c>
      <c r="B1888" s="1" t="n">
        <v>45786.384375</v>
      </c>
      <c r="C1888" s="1" t="n">
        <v>45911</v>
      </c>
      <c r="D1888" t="inlineStr">
        <is>
          <t>GÄVLEBORGS LÄN</t>
        </is>
      </c>
      <c r="E1888" t="inlineStr">
        <is>
          <t>OVANÅKER</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31649-2024</t>
        </is>
      </c>
      <c r="B1889" s="1" t="n">
        <v>45506.62546296296</v>
      </c>
      <c r="C1889" s="1" t="n">
        <v>45911</v>
      </c>
      <c r="D1889" t="inlineStr">
        <is>
          <t>GÄVLEBORGS LÄN</t>
        </is>
      </c>
      <c r="E1889" t="inlineStr">
        <is>
          <t>BOLLNÄS</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23796-2024</t>
        </is>
      </c>
      <c r="B1890" s="1" t="n">
        <v>45455.43077546296</v>
      </c>
      <c r="C1890" s="1" t="n">
        <v>45911</v>
      </c>
      <c r="D1890" t="inlineStr">
        <is>
          <t>GÄVLEBORGS LÄN</t>
        </is>
      </c>
      <c r="E1890" t="inlineStr">
        <is>
          <t>BOLLNÄS</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58716-2023</t>
        </is>
      </c>
      <c r="B1891" s="1" t="n">
        <v>45251</v>
      </c>
      <c r="C1891" s="1" t="n">
        <v>45911</v>
      </c>
      <c r="D1891" t="inlineStr">
        <is>
          <t>GÄVLEBORGS LÄN</t>
        </is>
      </c>
      <c r="E1891" t="inlineStr">
        <is>
          <t>BOLLNÄS</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13744-2023</t>
        </is>
      </c>
      <c r="B1892" s="1" t="n">
        <v>45007</v>
      </c>
      <c r="C1892" s="1" t="n">
        <v>45911</v>
      </c>
      <c r="D1892" t="inlineStr">
        <is>
          <t>GÄVLEBORGS LÄN</t>
        </is>
      </c>
      <c r="E1892" t="inlineStr">
        <is>
          <t>HOFORS</t>
        </is>
      </c>
      <c r="F1892" t="inlineStr">
        <is>
          <t>Övriga statliga verk och myndigheter</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35053-2022</t>
        </is>
      </c>
      <c r="B1893" s="1" t="n">
        <v>44797</v>
      </c>
      <c r="C1893" s="1" t="n">
        <v>45911</v>
      </c>
      <c r="D1893" t="inlineStr">
        <is>
          <t>GÄVLEBORGS LÄN</t>
        </is>
      </c>
      <c r="E1893" t="inlineStr">
        <is>
          <t>OVANÅKER</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11373-2024</t>
        </is>
      </c>
      <c r="B1894" s="1" t="n">
        <v>45372.42395833333</v>
      </c>
      <c r="C1894" s="1" t="n">
        <v>45911</v>
      </c>
      <c r="D1894" t="inlineStr">
        <is>
          <t>GÄVLEBORGS LÄN</t>
        </is>
      </c>
      <c r="E1894" t="inlineStr">
        <is>
          <t>HUDIKSVALL</t>
        </is>
      </c>
      <c r="F1894" t="inlineStr">
        <is>
          <t>Holmen skog AB</t>
        </is>
      </c>
      <c r="G1894" t="n">
        <v>5.3</v>
      </c>
      <c r="H1894" t="n">
        <v>0</v>
      </c>
      <c r="I1894" t="n">
        <v>0</v>
      </c>
      <c r="J1894" t="n">
        <v>0</v>
      </c>
      <c r="K1894" t="n">
        <v>0</v>
      </c>
      <c r="L1894" t="n">
        <v>0</v>
      </c>
      <c r="M1894" t="n">
        <v>0</v>
      </c>
      <c r="N1894" t="n">
        <v>0</v>
      </c>
      <c r="O1894" t="n">
        <v>0</v>
      </c>
      <c r="P1894" t="n">
        <v>0</v>
      </c>
      <c r="Q1894" t="n">
        <v>0</v>
      </c>
      <c r="R1894" s="2" t="inlineStr"/>
    </row>
    <row r="1895" ht="15" customHeight="1">
      <c r="A1895" t="inlineStr">
        <is>
          <t>A 43983-2024</t>
        </is>
      </c>
      <c r="B1895" s="1" t="n">
        <v>45572.50067129629</v>
      </c>
      <c r="C1895" s="1" t="n">
        <v>45911</v>
      </c>
      <c r="D1895" t="inlineStr">
        <is>
          <t>GÄVLEBORGS LÄN</t>
        </is>
      </c>
      <c r="E1895" t="inlineStr">
        <is>
          <t>LJUSDAL</t>
        </is>
      </c>
      <c r="G1895" t="n">
        <v>5</v>
      </c>
      <c r="H1895" t="n">
        <v>0</v>
      </c>
      <c r="I1895" t="n">
        <v>0</v>
      </c>
      <c r="J1895" t="n">
        <v>0</v>
      </c>
      <c r="K1895" t="n">
        <v>0</v>
      </c>
      <c r="L1895" t="n">
        <v>0</v>
      </c>
      <c r="M1895" t="n">
        <v>0</v>
      </c>
      <c r="N1895" t="n">
        <v>0</v>
      </c>
      <c r="O1895" t="n">
        <v>0</v>
      </c>
      <c r="P1895" t="n">
        <v>0</v>
      </c>
      <c r="Q1895" t="n">
        <v>0</v>
      </c>
      <c r="R1895" s="2" t="inlineStr"/>
    </row>
    <row r="1896" ht="15" customHeight="1">
      <c r="A1896" t="inlineStr">
        <is>
          <t>A 2652-2024</t>
        </is>
      </c>
      <c r="B1896" s="1" t="n">
        <v>45314.37128472222</v>
      </c>
      <c r="C1896" s="1" t="n">
        <v>45911</v>
      </c>
      <c r="D1896" t="inlineStr">
        <is>
          <t>GÄVLEBORGS LÄN</t>
        </is>
      </c>
      <c r="E1896" t="inlineStr">
        <is>
          <t>HUDIKSVALL</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22558-2023</t>
        </is>
      </c>
      <c r="B1897" s="1" t="n">
        <v>45071</v>
      </c>
      <c r="C1897" s="1" t="n">
        <v>45911</v>
      </c>
      <c r="D1897" t="inlineStr">
        <is>
          <t>GÄVLEBORGS LÄN</t>
        </is>
      </c>
      <c r="E1897" t="inlineStr">
        <is>
          <t>LJUSDAL</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25829-2024</t>
        </is>
      </c>
      <c r="B1898" s="1" t="n">
        <v>45467.40538194445</v>
      </c>
      <c r="C1898" s="1" t="n">
        <v>45911</v>
      </c>
      <c r="D1898" t="inlineStr">
        <is>
          <t>GÄVLEBORGS LÄN</t>
        </is>
      </c>
      <c r="E1898" t="inlineStr">
        <is>
          <t>GÄVLE</t>
        </is>
      </c>
      <c r="F1898" t="inlineStr">
        <is>
          <t>Bergvik skog öst AB</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2685-2024</t>
        </is>
      </c>
      <c r="B1899" s="1" t="n">
        <v>45314</v>
      </c>
      <c r="C1899" s="1" t="n">
        <v>45911</v>
      </c>
      <c r="D1899" t="inlineStr">
        <is>
          <t>GÄVLEBORGS LÄN</t>
        </is>
      </c>
      <c r="E1899" t="inlineStr">
        <is>
          <t>HUDIKSVALL</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72734-2021</t>
        </is>
      </c>
      <c r="B1900" s="1" t="n">
        <v>44546</v>
      </c>
      <c r="C1900" s="1" t="n">
        <v>45911</v>
      </c>
      <c r="D1900" t="inlineStr">
        <is>
          <t>GÄVLEBORGS LÄN</t>
        </is>
      </c>
      <c r="E1900" t="inlineStr">
        <is>
          <t>GÄVLE</t>
        </is>
      </c>
      <c r="F1900" t="inlineStr">
        <is>
          <t>Kommuner</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21633-2024</t>
        </is>
      </c>
      <c r="B1901" s="1" t="n">
        <v>45442.33913194444</v>
      </c>
      <c r="C1901" s="1" t="n">
        <v>45911</v>
      </c>
      <c r="D1901" t="inlineStr">
        <is>
          <t>GÄVLEBORGS LÄN</t>
        </is>
      </c>
      <c r="E1901" t="inlineStr">
        <is>
          <t>LJUSDAL</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47480-2022</t>
        </is>
      </c>
      <c r="B1902" s="1" t="n">
        <v>44853.64416666667</v>
      </c>
      <c r="C1902" s="1" t="n">
        <v>45911</v>
      </c>
      <c r="D1902" t="inlineStr">
        <is>
          <t>GÄVLEBORGS LÄN</t>
        </is>
      </c>
      <c r="E1902" t="inlineStr">
        <is>
          <t>OVANÅKER</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15525-2025</t>
        </is>
      </c>
      <c r="B1903" s="1" t="n">
        <v>45747</v>
      </c>
      <c r="C1903" s="1" t="n">
        <v>45911</v>
      </c>
      <c r="D1903" t="inlineStr">
        <is>
          <t>GÄVLEBORGS LÄN</t>
        </is>
      </c>
      <c r="E1903" t="inlineStr">
        <is>
          <t>BOLLNÄS</t>
        </is>
      </c>
      <c r="F1903" t="inlineStr">
        <is>
          <t>Kyrkan</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21347-2024</t>
        </is>
      </c>
      <c r="B1904" s="1" t="n">
        <v>45440.92880787037</v>
      </c>
      <c r="C1904" s="1" t="n">
        <v>45911</v>
      </c>
      <c r="D1904" t="inlineStr">
        <is>
          <t>GÄVLEBORGS LÄN</t>
        </is>
      </c>
      <c r="E1904" t="inlineStr">
        <is>
          <t>LJUSDAL</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13829-2024</t>
        </is>
      </c>
      <c r="B1905" s="1" t="n">
        <v>45391.43280092593</v>
      </c>
      <c r="C1905" s="1" t="n">
        <v>45911</v>
      </c>
      <c r="D1905" t="inlineStr">
        <is>
          <t>GÄVLEBORGS LÄN</t>
        </is>
      </c>
      <c r="E1905" t="inlineStr">
        <is>
          <t>LJUSDAL</t>
        </is>
      </c>
      <c r="F1905" t="inlineStr">
        <is>
          <t>Kommuner</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3162-2023</t>
        </is>
      </c>
      <c r="B1906" s="1" t="n">
        <v>44946</v>
      </c>
      <c r="C1906" s="1" t="n">
        <v>45911</v>
      </c>
      <c r="D1906" t="inlineStr">
        <is>
          <t>GÄVLEBORGS LÄN</t>
        </is>
      </c>
      <c r="E1906" t="inlineStr">
        <is>
          <t>HUDIKSVALL</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32471-2023</t>
        </is>
      </c>
      <c r="B1907" s="1" t="n">
        <v>45120.92688657407</v>
      </c>
      <c r="C1907" s="1" t="n">
        <v>45911</v>
      </c>
      <c r="D1907" t="inlineStr">
        <is>
          <t>GÄVLEBORGS LÄN</t>
        </is>
      </c>
      <c r="E1907" t="inlineStr">
        <is>
          <t>NORDANSTIG</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3188-2023</t>
        </is>
      </c>
      <c r="B1908" s="1" t="n">
        <v>44946</v>
      </c>
      <c r="C1908" s="1" t="n">
        <v>45911</v>
      </c>
      <c r="D1908" t="inlineStr">
        <is>
          <t>GÄVLEBORGS LÄN</t>
        </is>
      </c>
      <c r="E1908" t="inlineStr">
        <is>
          <t>LJUSDAL</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3256-2025</t>
        </is>
      </c>
      <c r="B1909" s="1" t="n">
        <v>45679.55258101852</v>
      </c>
      <c r="C1909" s="1" t="n">
        <v>45911</v>
      </c>
      <c r="D1909" t="inlineStr">
        <is>
          <t>GÄVLEBORGS LÄN</t>
        </is>
      </c>
      <c r="E1909" t="inlineStr">
        <is>
          <t>SANDVIKEN</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21756-2024</t>
        </is>
      </c>
      <c r="B1910" s="1" t="n">
        <v>45442</v>
      </c>
      <c r="C1910" s="1" t="n">
        <v>45911</v>
      </c>
      <c r="D1910" t="inlineStr">
        <is>
          <t>GÄVLEBORGS LÄN</t>
        </is>
      </c>
      <c r="E1910" t="inlineStr">
        <is>
          <t>LJUSDAL</t>
        </is>
      </c>
      <c r="G1910" t="n">
        <v>0.3</v>
      </c>
      <c r="H1910" t="n">
        <v>0</v>
      </c>
      <c r="I1910" t="n">
        <v>0</v>
      </c>
      <c r="J1910" t="n">
        <v>0</v>
      </c>
      <c r="K1910" t="n">
        <v>0</v>
      </c>
      <c r="L1910" t="n">
        <v>0</v>
      </c>
      <c r="M1910" t="n">
        <v>0</v>
      </c>
      <c r="N1910" t="n">
        <v>0</v>
      </c>
      <c r="O1910" t="n">
        <v>0</v>
      </c>
      <c r="P1910" t="n">
        <v>0</v>
      </c>
      <c r="Q1910" t="n">
        <v>0</v>
      </c>
      <c r="R1910" s="2" t="inlineStr"/>
    </row>
    <row r="1911" ht="15" customHeight="1">
      <c r="A1911" t="inlineStr">
        <is>
          <t>A 48797-2024</t>
        </is>
      </c>
      <c r="B1911" s="1" t="n">
        <v>45593.65616898148</v>
      </c>
      <c r="C1911" s="1" t="n">
        <v>45911</v>
      </c>
      <c r="D1911" t="inlineStr">
        <is>
          <t>GÄVLEBORGS LÄN</t>
        </is>
      </c>
      <c r="E1911" t="inlineStr">
        <is>
          <t>SÖDERHAMN</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15775-2025</t>
        </is>
      </c>
      <c r="B1912" s="1" t="n">
        <v>45748.59644675926</v>
      </c>
      <c r="C1912" s="1" t="n">
        <v>45911</v>
      </c>
      <c r="D1912" t="inlineStr">
        <is>
          <t>GÄVLEBORGS LÄN</t>
        </is>
      </c>
      <c r="E1912" t="inlineStr">
        <is>
          <t>HUDIKSVALL</t>
        </is>
      </c>
      <c r="F1912" t="inlineStr">
        <is>
          <t>Kommuner</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22977-2024</t>
        </is>
      </c>
      <c r="B1913" s="1" t="n">
        <v>45449.86233796296</v>
      </c>
      <c r="C1913" s="1" t="n">
        <v>45911</v>
      </c>
      <c r="D1913" t="inlineStr">
        <is>
          <t>GÄVLEBORGS LÄN</t>
        </is>
      </c>
      <c r="E1913" t="inlineStr">
        <is>
          <t>HUDIKSVALL</t>
        </is>
      </c>
      <c r="F1913" t="inlineStr">
        <is>
          <t>Holmen skog AB</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48804-2024</t>
        </is>
      </c>
      <c r="B1914" s="1" t="n">
        <v>45593.66212962963</v>
      </c>
      <c r="C1914" s="1" t="n">
        <v>45911</v>
      </c>
      <c r="D1914" t="inlineStr">
        <is>
          <t>GÄVLEBORGS LÄN</t>
        </is>
      </c>
      <c r="E1914" t="inlineStr">
        <is>
          <t>OCKELBO</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33384-2024</t>
        </is>
      </c>
      <c r="B1915" s="1" t="n">
        <v>45519.47035879629</v>
      </c>
      <c r="C1915" s="1" t="n">
        <v>45911</v>
      </c>
      <c r="D1915" t="inlineStr">
        <is>
          <t>GÄVLEBORGS LÄN</t>
        </is>
      </c>
      <c r="E1915" t="inlineStr">
        <is>
          <t>OCKELBO</t>
        </is>
      </c>
      <c r="G1915" t="n">
        <v>3.8</v>
      </c>
      <c r="H1915" t="n">
        <v>0</v>
      </c>
      <c r="I1915" t="n">
        <v>0</v>
      </c>
      <c r="J1915" t="n">
        <v>0</v>
      </c>
      <c r="K1915" t="n">
        <v>0</v>
      </c>
      <c r="L1915" t="n">
        <v>0</v>
      </c>
      <c r="M1915" t="n">
        <v>0</v>
      </c>
      <c r="N1915" t="n">
        <v>0</v>
      </c>
      <c r="O1915" t="n">
        <v>0</v>
      </c>
      <c r="P1915" t="n">
        <v>0</v>
      </c>
      <c r="Q1915" t="n">
        <v>0</v>
      </c>
      <c r="R1915" s="2" t="inlineStr"/>
    </row>
    <row r="1916" ht="15" customHeight="1">
      <c r="A1916" t="inlineStr">
        <is>
          <t>A 43381-2023</t>
        </is>
      </c>
      <c r="B1916" s="1" t="n">
        <v>45183.80868055556</v>
      </c>
      <c r="C1916" s="1" t="n">
        <v>45911</v>
      </c>
      <c r="D1916" t="inlineStr">
        <is>
          <t>GÄVLEBORGS LÄN</t>
        </is>
      </c>
      <c r="E1916" t="inlineStr">
        <is>
          <t>NORDANSTIG</t>
        </is>
      </c>
      <c r="F1916" t="inlineStr">
        <is>
          <t>Holmen skog AB</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43395-2023</t>
        </is>
      </c>
      <c r="B1917" s="1" t="n">
        <v>45183.92149305555</v>
      </c>
      <c r="C1917" s="1" t="n">
        <v>45911</v>
      </c>
      <c r="D1917" t="inlineStr">
        <is>
          <t>GÄVLEBORGS LÄN</t>
        </is>
      </c>
      <c r="E1917" t="inlineStr">
        <is>
          <t>SÖDERHAMN</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43400-2023</t>
        </is>
      </c>
      <c r="B1918" s="1" t="n">
        <v>45183.92178240741</v>
      </c>
      <c r="C1918" s="1" t="n">
        <v>45911</v>
      </c>
      <c r="D1918" t="inlineStr">
        <is>
          <t>GÄVLEBORGS LÄN</t>
        </is>
      </c>
      <c r="E1918" t="inlineStr">
        <is>
          <t>NORDANSTIG</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48102-2022</t>
        </is>
      </c>
      <c r="B1919" s="1" t="n">
        <v>44856.47353009259</v>
      </c>
      <c r="C1919" s="1" t="n">
        <v>45911</v>
      </c>
      <c r="D1919" t="inlineStr">
        <is>
          <t>GÄVLEBORGS LÄN</t>
        </is>
      </c>
      <c r="E1919" t="inlineStr">
        <is>
          <t>SÖDERHAMN</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35789-2024</t>
        </is>
      </c>
      <c r="B1920" s="1" t="n">
        <v>45532</v>
      </c>
      <c r="C1920" s="1" t="n">
        <v>45911</v>
      </c>
      <c r="D1920" t="inlineStr">
        <is>
          <t>GÄVLEBORGS LÄN</t>
        </is>
      </c>
      <c r="E1920" t="inlineStr">
        <is>
          <t>LJUSDAL</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37848-2024</t>
        </is>
      </c>
      <c r="B1921" s="1" t="n">
        <v>45544.3709837963</v>
      </c>
      <c r="C1921" s="1" t="n">
        <v>45911</v>
      </c>
      <c r="D1921" t="inlineStr">
        <is>
          <t>GÄVLEBORGS LÄN</t>
        </is>
      </c>
      <c r="E1921" t="inlineStr">
        <is>
          <t>OCKELBO</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25402-2024</t>
        </is>
      </c>
      <c r="B1922" s="1" t="n">
        <v>45463.33690972222</v>
      </c>
      <c r="C1922" s="1" t="n">
        <v>45911</v>
      </c>
      <c r="D1922" t="inlineStr">
        <is>
          <t>GÄVLEBORGS LÄN</t>
        </is>
      </c>
      <c r="E1922" t="inlineStr">
        <is>
          <t>NORDANSTIG</t>
        </is>
      </c>
      <c r="F1922" t="inlineStr">
        <is>
          <t>Holmen skog AB</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26106-2024</t>
        </is>
      </c>
      <c r="B1923" s="1" t="n">
        <v>45468.4416550926</v>
      </c>
      <c r="C1923" s="1" t="n">
        <v>45911</v>
      </c>
      <c r="D1923" t="inlineStr">
        <is>
          <t>GÄVLEBORGS LÄN</t>
        </is>
      </c>
      <c r="E1923" t="inlineStr">
        <is>
          <t>LJUSDAL</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22163-2025</t>
        </is>
      </c>
      <c r="B1924" s="1" t="n">
        <v>45785.59113425926</v>
      </c>
      <c r="C1924" s="1" t="n">
        <v>45911</v>
      </c>
      <c r="D1924" t="inlineStr">
        <is>
          <t>GÄVLEBORGS LÄN</t>
        </is>
      </c>
      <c r="E1924" t="inlineStr">
        <is>
          <t>LJUSDAL</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11111-2025</t>
        </is>
      </c>
      <c r="B1925" s="1" t="n">
        <v>45723.61883101852</v>
      </c>
      <c r="C1925" s="1" t="n">
        <v>45911</v>
      </c>
      <c r="D1925" t="inlineStr">
        <is>
          <t>GÄVLEBORGS LÄN</t>
        </is>
      </c>
      <c r="E1925" t="inlineStr">
        <is>
          <t>OCKELBO</t>
        </is>
      </c>
      <c r="G1925" t="n">
        <v>10</v>
      </c>
      <c r="H1925" t="n">
        <v>0</v>
      </c>
      <c r="I1925" t="n">
        <v>0</v>
      </c>
      <c r="J1925" t="n">
        <v>0</v>
      </c>
      <c r="K1925" t="n">
        <v>0</v>
      </c>
      <c r="L1925" t="n">
        <v>0</v>
      </c>
      <c r="M1925" t="n">
        <v>0</v>
      </c>
      <c r="N1925" t="n">
        <v>0</v>
      </c>
      <c r="O1925" t="n">
        <v>0</v>
      </c>
      <c r="P1925" t="n">
        <v>0</v>
      </c>
      <c r="Q1925" t="n">
        <v>0</v>
      </c>
      <c r="R1925" s="2" t="inlineStr"/>
    </row>
    <row r="1926" ht="15" customHeight="1">
      <c r="A1926" t="inlineStr">
        <is>
          <t>A 23162-2024</t>
        </is>
      </c>
      <c r="B1926" s="1" t="n">
        <v>45450.73319444444</v>
      </c>
      <c r="C1926" s="1" t="n">
        <v>45911</v>
      </c>
      <c r="D1926" t="inlineStr">
        <is>
          <t>GÄVLEBORGS LÄN</t>
        </is>
      </c>
      <c r="E1926" t="inlineStr">
        <is>
          <t>LJUSDAL</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34944-2024</t>
        </is>
      </c>
      <c r="B1927" s="1" t="n">
        <v>45527.46929398148</v>
      </c>
      <c r="C1927" s="1" t="n">
        <v>45911</v>
      </c>
      <c r="D1927" t="inlineStr">
        <is>
          <t>GÄVLEBORGS LÄN</t>
        </is>
      </c>
      <c r="E1927" t="inlineStr">
        <is>
          <t>OCKELBO</t>
        </is>
      </c>
      <c r="F1927" t="inlineStr">
        <is>
          <t>Bergvik skog väst AB</t>
        </is>
      </c>
      <c r="G1927" t="n">
        <v>12.2</v>
      </c>
      <c r="H1927" t="n">
        <v>0</v>
      </c>
      <c r="I1927" t="n">
        <v>0</v>
      </c>
      <c r="J1927" t="n">
        <v>0</v>
      </c>
      <c r="K1927" t="n">
        <v>0</v>
      </c>
      <c r="L1927" t="n">
        <v>0</v>
      </c>
      <c r="M1927" t="n">
        <v>0</v>
      </c>
      <c r="N1927" t="n">
        <v>0</v>
      </c>
      <c r="O1927" t="n">
        <v>0</v>
      </c>
      <c r="P1927" t="n">
        <v>0</v>
      </c>
      <c r="Q1927" t="n">
        <v>0</v>
      </c>
      <c r="R1927" s="2" t="inlineStr"/>
    </row>
    <row r="1928" ht="15" customHeight="1">
      <c r="A1928" t="inlineStr">
        <is>
          <t>A 22062-2025</t>
        </is>
      </c>
      <c r="B1928" s="1" t="n">
        <v>45785.37479166667</v>
      </c>
      <c r="C1928" s="1" t="n">
        <v>45911</v>
      </c>
      <c r="D1928" t="inlineStr">
        <is>
          <t>GÄVLEBORGS LÄN</t>
        </is>
      </c>
      <c r="E1928" t="inlineStr">
        <is>
          <t>LJUSDAL</t>
        </is>
      </c>
      <c r="G1928" t="n">
        <v>3.7</v>
      </c>
      <c r="H1928" t="n">
        <v>0</v>
      </c>
      <c r="I1928" t="n">
        <v>0</v>
      </c>
      <c r="J1928" t="n">
        <v>0</v>
      </c>
      <c r="K1928" t="n">
        <v>0</v>
      </c>
      <c r="L1928" t="n">
        <v>0</v>
      </c>
      <c r="M1928" t="n">
        <v>0</v>
      </c>
      <c r="N1928" t="n">
        <v>0</v>
      </c>
      <c r="O1928" t="n">
        <v>0</v>
      </c>
      <c r="P1928" t="n">
        <v>0</v>
      </c>
      <c r="Q1928" t="n">
        <v>0</v>
      </c>
      <c r="R1928" s="2" t="inlineStr"/>
    </row>
    <row r="1929" ht="15" customHeight="1">
      <c r="A1929" t="inlineStr">
        <is>
          <t>A 50790-2024</t>
        </is>
      </c>
      <c r="B1929" s="1" t="n">
        <v>45602.47313657407</v>
      </c>
      <c r="C1929" s="1" t="n">
        <v>45911</v>
      </c>
      <c r="D1929" t="inlineStr">
        <is>
          <t>GÄVLEBORGS LÄN</t>
        </is>
      </c>
      <c r="E1929" t="inlineStr">
        <is>
          <t>HUDIKSVALL</t>
        </is>
      </c>
      <c r="F1929" t="inlineStr">
        <is>
          <t>Holmen skog AB</t>
        </is>
      </c>
      <c r="G1929" t="n">
        <v>13.9</v>
      </c>
      <c r="H1929" t="n">
        <v>0</v>
      </c>
      <c r="I1929" t="n">
        <v>0</v>
      </c>
      <c r="J1929" t="n">
        <v>0</v>
      </c>
      <c r="K1929" t="n">
        <v>0</v>
      </c>
      <c r="L1929" t="n">
        <v>0</v>
      </c>
      <c r="M1929" t="n">
        <v>0</v>
      </c>
      <c r="N1929" t="n">
        <v>0</v>
      </c>
      <c r="O1929" t="n">
        <v>0</v>
      </c>
      <c r="P1929" t="n">
        <v>0</v>
      </c>
      <c r="Q1929" t="n">
        <v>0</v>
      </c>
      <c r="R1929" s="2" t="inlineStr"/>
    </row>
    <row r="1930" ht="15" customHeight="1">
      <c r="A1930" t="inlineStr">
        <is>
          <t>A 20312-2025</t>
        </is>
      </c>
      <c r="B1930" s="1" t="n">
        <v>45775.30450231482</v>
      </c>
      <c r="C1930" s="1" t="n">
        <v>45911</v>
      </c>
      <c r="D1930" t="inlineStr">
        <is>
          <t>GÄVLEBORGS LÄN</t>
        </is>
      </c>
      <c r="E1930" t="inlineStr">
        <is>
          <t>SÖDERHAMN</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18291-2023</t>
        </is>
      </c>
      <c r="B1931" s="1" t="n">
        <v>45041.56773148148</v>
      </c>
      <c r="C1931" s="1" t="n">
        <v>45911</v>
      </c>
      <c r="D1931" t="inlineStr">
        <is>
          <t>GÄVLEBORGS LÄN</t>
        </is>
      </c>
      <c r="E1931" t="inlineStr">
        <is>
          <t>OCKELBO</t>
        </is>
      </c>
      <c r="F1931" t="inlineStr">
        <is>
          <t>Bergvik skog väst AB</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54135-2024</t>
        </is>
      </c>
      <c r="B1932" s="1" t="n">
        <v>45616.5928125</v>
      </c>
      <c r="C1932" s="1" t="n">
        <v>45911</v>
      </c>
      <c r="D1932" t="inlineStr">
        <is>
          <t>GÄVLEBORGS LÄN</t>
        </is>
      </c>
      <c r="E1932" t="inlineStr">
        <is>
          <t>SÖDERHAMN</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54146-2024</t>
        </is>
      </c>
      <c r="B1933" s="1" t="n">
        <v>45616.59899305556</v>
      </c>
      <c r="C1933" s="1" t="n">
        <v>45911</v>
      </c>
      <c r="D1933" t="inlineStr">
        <is>
          <t>GÄVLEBORGS LÄN</t>
        </is>
      </c>
      <c r="E1933" t="inlineStr">
        <is>
          <t>OVANÅKER</t>
        </is>
      </c>
      <c r="G1933" t="n">
        <v>6.9</v>
      </c>
      <c r="H1933" t="n">
        <v>0</v>
      </c>
      <c r="I1933" t="n">
        <v>0</v>
      </c>
      <c r="J1933" t="n">
        <v>0</v>
      </c>
      <c r="K1933" t="n">
        <v>0</v>
      </c>
      <c r="L1933" t="n">
        <v>0</v>
      </c>
      <c r="M1933" t="n">
        <v>0</v>
      </c>
      <c r="N1933" t="n">
        <v>0</v>
      </c>
      <c r="O1933" t="n">
        <v>0</v>
      </c>
      <c r="P1933" t="n">
        <v>0</v>
      </c>
      <c r="Q1933" t="n">
        <v>0</v>
      </c>
      <c r="R1933" s="2" t="inlineStr"/>
    </row>
    <row r="1934" ht="15" customHeight="1">
      <c r="A1934" t="inlineStr">
        <is>
          <t>A 35071-2024</t>
        </is>
      </c>
      <c r="B1934" s="1" t="n">
        <v>45527.66324074074</v>
      </c>
      <c r="C1934" s="1" t="n">
        <v>45911</v>
      </c>
      <c r="D1934" t="inlineStr">
        <is>
          <t>GÄVLEBORGS LÄN</t>
        </is>
      </c>
      <c r="E1934" t="inlineStr">
        <is>
          <t>HUDIKSVALL</t>
        </is>
      </c>
      <c r="F1934" t="inlineStr">
        <is>
          <t>Holmen skog AB</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55910-2024</t>
        </is>
      </c>
      <c r="B1935" s="1" t="n">
        <v>45623.58634259259</v>
      </c>
      <c r="C1935" s="1" t="n">
        <v>45911</v>
      </c>
      <c r="D1935" t="inlineStr">
        <is>
          <t>GÄVLEBORGS LÄN</t>
        </is>
      </c>
      <c r="E1935" t="inlineStr">
        <is>
          <t>OVANÅKER</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35081-2024</t>
        </is>
      </c>
      <c r="B1936" s="1" t="n">
        <v>45527.67694444444</v>
      </c>
      <c r="C1936" s="1" t="n">
        <v>45911</v>
      </c>
      <c r="D1936" t="inlineStr">
        <is>
          <t>GÄVLEBORGS LÄN</t>
        </is>
      </c>
      <c r="E1936" t="inlineStr">
        <is>
          <t>HUDIKSVALL</t>
        </is>
      </c>
      <c r="F1936" t="inlineStr">
        <is>
          <t>Holmen skog AB</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43668-2024</t>
        </is>
      </c>
      <c r="B1937" s="1" t="n">
        <v>45569.56300925926</v>
      </c>
      <c r="C1937" s="1" t="n">
        <v>45911</v>
      </c>
      <c r="D1937" t="inlineStr">
        <is>
          <t>GÄVLEBORGS LÄN</t>
        </is>
      </c>
      <c r="E1937" t="inlineStr">
        <is>
          <t>LJUSDAL</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18525-2025</t>
        </is>
      </c>
      <c r="B1938" s="1" t="n">
        <v>45763.40003472222</v>
      </c>
      <c r="C1938" s="1" t="n">
        <v>45911</v>
      </c>
      <c r="D1938" t="inlineStr">
        <is>
          <t>GÄVLEBORGS LÄN</t>
        </is>
      </c>
      <c r="E1938" t="inlineStr">
        <is>
          <t>NORDANSTIG</t>
        </is>
      </c>
      <c r="F1938" t="inlineStr">
        <is>
          <t>Holmen skog AB</t>
        </is>
      </c>
      <c r="G1938" t="n">
        <v>5</v>
      </c>
      <c r="H1938" t="n">
        <v>0</v>
      </c>
      <c r="I1938" t="n">
        <v>0</v>
      </c>
      <c r="J1938" t="n">
        <v>0</v>
      </c>
      <c r="K1938" t="n">
        <v>0</v>
      </c>
      <c r="L1938" t="n">
        <v>0</v>
      </c>
      <c r="M1938" t="n">
        <v>0</v>
      </c>
      <c r="N1938" t="n">
        <v>0</v>
      </c>
      <c r="O1938" t="n">
        <v>0</v>
      </c>
      <c r="P1938" t="n">
        <v>0</v>
      </c>
      <c r="Q1938" t="n">
        <v>0</v>
      </c>
      <c r="R1938" s="2" t="inlineStr"/>
    </row>
    <row r="1939" ht="15" customHeight="1">
      <c r="A1939" t="inlineStr">
        <is>
          <t>A 18553-2025</t>
        </is>
      </c>
      <c r="B1939" s="1" t="n">
        <v>45763.43831018519</v>
      </c>
      <c r="C1939" s="1" t="n">
        <v>45911</v>
      </c>
      <c r="D1939" t="inlineStr">
        <is>
          <t>GÄVLEBORGS LÄN</t>
        </is>
      </c>
      <c r="E1939" t="inlineStr">
        <is>
          <t>OVANÅKER</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36408-2024</t>
        </is>
      </c>
      <c r="B1940" s="1" t="n">
        <v>45535.83627314815</v>
      </c>
      <c r="C1940" s="1" t="n">
        <v>45911</v>
      </c>
      <c r="D1940" t="inlineStr">
        <is>
          <t>GÄVLEBORGS LÄN</t>
        </is>
      </c>
      <c r="E1940" t="inlineStr">
        <is>
          <t>HUDIKSVALL</t>
        </is>
      </c>
      <c r="F1940" t="inlineStr">
        <is>
          <t>Holmen skog AB</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19574-2025</t>
        </is>
      </c>
      <c r="B1941" s="1" t="n">
        <v>45770.5528587963</v>
      </c>
      <c r="C1941" s="1" t="n">
        <v>45911</v>
      </c>
      <c r="D1941" t="inlineStr">
        <is>
          <t>GÄVLEBORGS LÄN</t>
        </is>
      </c>
      <c r="E1941" t="inlineStr">
        <is>
          <t>LJUSDAL</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34370-2024</t>
        </is>
      </c>
      <c r="B1942" s="1" t="n">
        <v>45525.38375</v>
      </c>
      <c r="C1942" s="1" t="n">
        <v>45911</v>
      </c>
      <c r="D1942" t="inlineStr">
        <is>
          <t>GÄVLEBORGS LÄN</t>
        </is>
      </c>
      <c r="E1942" t="inlineStr">
        <is>
          <t>NORDANSTIG</t>
        </is>
      </c>
      <c r="F1942" t="inlineStr">
        <is>
          <t>Holmen skog AB</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35061-2024</t>
        </is>
      </c>
      <c r="B1943" s="1" t="n">
        <v>45527.65628472222</v>
      </c>
      <c r="C1943" s="1" t="n">
        <v>45911</v>
      </c>
      <c r="D1943" t="inlineStr">
        <is>
          <t>GÄVLEBORGS LÄN</t>
        </is>
      </c>
      <c r="E1943" t="inlineStr">
        <is>
          <t>HUDIKSVALL</t>
        </is>
      </c>
      <c r="F1943" t="inlineStr">
        <is>
          <t>Holmen skog AB</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44800-2024</t>
        </is>
      </c>
      <c r="B1944" s="1" t="n">
        <v>45574.64898148148</v>
      </c>
      <c r="C1944" s="1" t="n">
        <v>45911</v>
      </c>
      <c r="D1944" t="inlineStr">
        <is>
          <t>GÄVLEBORGS LÄN</t>
        </is>
      </c>
      <c r="E1944" t="inlineStr">
        <is>
          <t>GÄVLE</t>
        </is>
      </c>
      <c r="F1944" t="inlineStr">
        <is>
          <t>Bergvik skog öst AB</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44813-2024</t>
        </is>
      </c>
      <c r="B1945" s="1" t="n">
        <v>45574</v>
      </c>
      <c r="C1945" s="1" t="n">
        <v>45911</v>
      </c>
      <c r="D1945" t="inlineStr">
        <is>
          <t>GÄVLEBORGS LÄN</t>
        </is>
      </c>
      <c r="E1945" t="inlineStr">
        <is>
          <t>HUDIKSVALL</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30422-2023</t>
        </is>
      </c>
      <c r="B1946" s="1" t="n">
        <v>45111.53038194445</v>
      </c>
      <c r="C1946" s="1" t="n">
        <v>45911</v>
      </c>
      <c r="D1946" t="inlineStr">
        <is>
          <t>GÄVLEBORGS LÄN</t>
        </is>
      </c>
      <c r="E1946" t="inlineStr">
        <is>
          <t>OCKELBO</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22199-2025</t>
        </is>
      </c>
      <c r="B1947" s="1" t="n">
        <v>45785.64877314815</v>
      </c>
      <c r="C1947" s="1" t="n">
        <v>45911</v>
      </c>
      <c r="D1947" t="inlineStr">
        <is>
          <t>GÄVLEBORGS LÄN</t>
        </is>
      </c>
      <c r="E1947" t="inlineStr">
        <is>
          <t>OVANÅKER</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22387-2025</t>
        </is>
      </c>
      <c r="B1948" s="1" t="n">
        <v>45786.50910879629</v>
      </c>
      <c r="C1948" s="1" t="n">
        <v>45911</v>
      </c>
      <c r="D1948" t="inlineStr">
        <is>
          <t>GÄVLEBORGS LÄN</t>
        </is>
      </c>
      <c r="E1948" t="inlineStr">
        <is>
          <t>OCKELBO</t>
        </is>
      </c>
      <c r="F1948" t="inlineStr">
        <is>
          <t>Bergvik skog väst AB</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2986-2023</t>
        </is>
      </c>
      <c r="B1949" s="1" t="n">
        <v>44945</v>
      </c>
      <c r="C1949" s="1" t="n">
        <v>45911</v>
      </c>
      <c r="D1949" t="inlineStr">
        <is>
          <t>GÄVLEBORGS LÄN</t>
        </is>
      </c>
      <c r="E1949" t="inlineStr">
        <is>
          <t>NORDANSTIG</t>
        </is>
      </c>
      <c r="F1949" t="inlineStr">
        <is>
          <t>Holmen skog AB</t>
        </is>
      </c>
      <c r="G1949" t="n">
        <v>5.4</v>
      </c>
      <c r="H1949" t="n">
        <v>0</v>
      </c>
      <c r="I1949" t="n">
        <v>0</v>
      </c>
      <c r="J1949" t="n">
        <v>0</v>
      </c>
      <c r="K1949" t="n">
        <v>0</v>
      </c>
      <c r="L1949" t="n">
        <v>0</v>
      </c>
      <c r="M1949" t="n">
        <v>0</v>
      </c>
      <c r="N1949" t="n">
        <v>0</v>
      </c>
      <c r="O1949" t="n">
        <v>0</v>
      </c>
      <c r="P1949" t="n">
        <v>0</v>
      </c>
      <c r="Q1949" t="n">
        <v>0</v>
      </c>
      <c r="R1949" s="2" t="inlineStr"/>
    </row>
    <row r="1950" ht="15" customHeight="1">
      <c r="A1950" t="inlineStr">
        <is>
          <t>A 45380-2024</t>
        </is>
      </c>
      <c r="B1950" s="1" t="n">
        <v>45576.5243287037</v>
      </c>
      <c r="C1950" s="1" t="n">
        <v>45911</v>
      </c>
      <c r="D1950" t="inlineStr">
        <is>
          <t>GÄVLEBORGS LÄN</t>
        </is>
      </c>
      <c r="E1950" t="inlineStr">
        <is>
          <t>HUDIKSVALL</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59773-2023</t>
        </is>
      </c>
      <c r="B1951" s="1" t="n">
        <v>45257.42979166667</v>
      </c>
      <c r="C1951" s="1" t="n">
        <v>45911</v>
      </c>
      <c r="D1951" t="inlineStr">
        <is>
          <t>GÄVLEBORGS LÄN</t>
        </is>
      </c>
      <c r="E1951" t="inlineStr">
        <is>
          <t>HUDIKSVALL</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25177-2023</t>
        </is>
      </c>
      <c r="B1952" s="1" t="n">
        <v>45086.51684027778</v>
      </c>
      <c r="C1952" s="1" t="n">
        <v>45911</v>
      </c>
      <c r="D1952" t="inlineStr">
        <is>
          <t>GÄVLEBORGS LÄN</t>
        </is>
      </c>
      <c r="E1952" t="inlineStr">
        <is>
          <t>BOLLNÄS</t>
        </is>
      </c>
      <c r="F1952" t="inlineStr">
        <is>
          <t>Sveaskog</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73458-2021</t>
        </is>
      </c>
      <c r="B1953" s="1" t="n">
        <v>44551.58166666667</v>
      </c>
      <c r="C1953" s="1" t="n">
        <v>45911</v>
      </c>
      <c r="D1953" t="inlineStr">
        <is>
          <t>GÄVLEBORGS LÄN</t>
        </is>
      </c>
      <c r="E1953" t="inlineStr">
        <is>
          <t>HUDIKSVALL</t>
        </is>
      </c>
      <c r="F1953" t="inlineStr">
        <is>
          <t>Holmen skog AB</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37916-2024</t>
        </is>
      </c>
      <c r="B1954" s="1" t="n">
        <v>45544.46974537037</v>
      </c>
      <c r="C1954" s="1" t="n">
        <v>45911</v>
      </c>
      <c r="D1954" t="inlineStr">
        <is>
          <t>GÄVLEBORGS LÄN</t>
        </is>
      </c>
      <c r="E1954" t="inlineStr">
        <is>
          <t>SÖDERHAMN</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10193-2023</t>
        </is>
      </c>
      <c r="B1955" s="1" t="n">
        <v>44986</v>
      </c>
      <c r="C1955" s="1" t="n">
        <v>45911</v>
      </c>
      <c r="D1955" t="inlineStr">
        <is>
          <t>GÄVLEBORGS LÄN</t>
        </is>
      </c>
      <c r="E1955" t="inlineStr">
        <is>
          <t>HUDIKSVALL</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6792-2024</t>
        </is>
      </c>
      <c r="B1956" s="1" t="n">
        <v>45342</v>
      </c>
      <c r="C1956" s="1" t="n">
        <v>45911</v>
      </c>
      <c r="D1956" t="inlineStr">
        <is>
          <t>GÄVLEBORGS LÄN</t>
        </is>
      </c>
      <c r="E1956" t="inlineStr">
        <is>
          <t>SÖDERHAMN</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49703-2023</t>
        </is>
      </c>
      <c r="B1957" s="1" t="n">
        <v>45212</v>
      </c>
      <c r="C1957" s="1" t="n">
        <v>45911</v>
      </c>
      <c r="D1957" t="inlineStr">
        <is>
          <t>GÄVLEBORGS LÄN</t>
        </is>
      </c>
      <c r="E1957" t="inlineStr">
        <is>
          <t>SÖDERHAMN</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6872-2024</t>
        </is>
      </c>
      <c r="B1958" s="1" t="n">
        <v>45342</v>
      </c>
      <c r="C1958" s="1" t="n">
        <v>45911</v>
      </c>
      <c r="D1958" t="inlineStr">
        <is>
          <t>GÄVLEBORGS LÄN</t>
        </is>
      </c>
      <c r="E1958" t="inlineStr">
        <is>
          <t>HUDIKSVALL</t>
        </is>
      </c>
      <c r="F1958" t="inlineStr">
        <is>
          <t>Holmen skog AB</t>
        </is>
      </c>
      <c r="G1958" t="n">
        <v>8.300000000000001</v>
      </c>
      <c r="H1958" t="n">
        <v>0</v>
      </c>
      <c r="I1958" t="n">
        <v>0</v>
      </c>
      <c r="J1958" t="n">
        <v>0</v>
      </c>
      <c r="K1958" t="n">
        <v>0</v>
      </c>
      <c r="L1958" t="n">
        <v>0</v>
      </c>
      <c r="M1958" t="n">
        <v>0</v>
      </c>
      <c r="N1958" t="n">
        <v>0</v>
      </c>
      <c r="O1958" t="n">
        <v>0</v>
      </c>
      <c r="P1958" t="n">
        <v>0</v>
      </c>
      <c r="Q1958" t="n">
        <v>0</v>
      </c>
      <c r="R1958" s="2" t="inlineStr"/>
    </row>
    <row r="1959" ht="15" customHeight="1">
      <c r="A1959" t="inlineStr">
        <is>
          <t>A 13630-2024</t>
        </is>
      </c>
      <c r="B1959" s="1" t="n">
        <v>45390.40768518519</v>
      </c>
      <c r="C1959" s="1" t="n">
        <v>45911</v>
      </c>
      <c r="D1959" t="inlineStr">
        <is>
          <t>GÄVLEBORGS LÄN</t>
        </is>
      </c>
      <c r="E1959" t="inlineStr">
        <is>
          <t>BOLLNÄS</t>
        </is>
      </c>
      <c r="F1959" t="inlineStr">
        <is>
          <t>Holmen skog AB</t>
        </is>
      </c>
      <c r="G1959" t="n">
        <v>6.4</v>
      </c>
      <c r="H1959" t="n">
        <v>0</v>
      </c>
      <c r="I1959" t="n">
        <v>0</v>
      </c>
      <c r="J1959" t="n">
        <v>0</v>
      </c>
      <c r="K1959" t="n">
        <v>0</v>
      </c>
      <c r="L1959" t="n">
        <v>0</v>
      </c>
      <c r="M1959" t="n">
        <v>0</v>
      </c>
      <c r="N1959" t="n">
        <v>0</v>
      </c>
      <c r="O1959" t="n">
        <v>0</v>
      </c>
      <c r="P1959" t="n">
        <v>0</v>
      </c>
      <c r="Q1959" t="n">
        <v>0</v>
      </c>
      <c r="R1959" s="2" t="inlineStr"/>
    </row>
    <row r="1960" ht="15" customHeight="1">
      <c r="A1960" t="inlineStr">
        <is>
          <t>A 29592-2023</t>
        </is>
      </c>
      <c r="B1960" s="1" t="n">
        <v>45106</v>
      </c>
      <c r="C1960" s="1" t="n">
        <v>45911</v>
      </c>
      <c r="D1960" t="inlineStr">
        <is>
          <t>GÄVLEBORGS LÄN</t>
        </is>
      </c>
      <c r="E1960" t="inlineStr">
        <is>
          <t>HUDIKSVALL</t>
        </is>
      </c>
      <c r="G1960" t="n">
        <v>5.1</v>
      </c>
      <c r="H1960" t="n">
        <v>0</v>
      </c>
      <c r="I1960" t="n">
        <v>0</v>
      </c>
      <c r="J1960" t="n">
        <v>0</v>
      </c>
      <c r="K1960" t="n">
        <v>0</v>
      </c>
      <c r="L1960" t="n">
        <v>0</v>
      </c>
      <c r="M1960" t="n">
        <v>0</v>
      </c>
      <c r="N1960" t="n">
        <v>0</v>
      </c>
      <c r="O1960" t="n">
        <v>0</v>
      </c>
      <c r="P1960" t="n">
        <v>0</v>
      </c>
      <c r="Q1960" t="n">
        <v>0</v>
      </c>
      <c r="R1960" s="2" t="inlineStr"/>
    </row>
    <row r="1961" ht="15" customHeight="1">
      <c r="A1961" t="inlineStr">
        <is>
          <t>A 4502-2024</t>
        </is>
      </c>
      <c r="B1961" s="1" t="n">
        <v>45327</v>
      </c>
      <c r="C1961" s="1" t="n">
        <v>45911</v>
      </c>
      <c r="D1961" t="inlineStr">
        <is>
          <t>GÄVLEBORGS LÄN</t>
        </is>
      </c>
      <c r="E1961" t="inlineStr">
        <is>
          <t>SANDVIKEN</t>
        </is>
      </c>
      <c r="G1961" t="n">
        <v>0.2</v>
      </c>
      <c r="H1961" t="n">
        <v>0</v>
      </c>
      <c r="I1961" t="n">
        <v>0</v>
      </c>
      <c r="J1961" t="n">
        <v>0</v>
      </c>
      <c r="K1961" t="n">
        <v>0</v>
      </c>
      <c r="L1961" t="n">
        <v>0</v>
      </c>
      <c r="M1961" t="n">
        <v>0</v>
      </c>
      <c r="N1961" t="n">
        <v>0</v>
      </c>
      <c r="O1961" t="n">
        <v>0</v>
      </c>
      <c r="P1961" t="n">
        <v>0</v>
      </c>
      <c r="Q1961" t="n">
        <v>0</v>
      </c>
      <c r="R1961" s="2" t="inlineStr"/>
    </row>
    <row r="1962" ht="15" customHeight="1">
      <c r="A1962" t="inlineStr">
        <is>
          <t>A 4505-2024</t>
        </is>
      </c>
      <c r="B1962" s="1" t="n">
        <v>45327</v>
      </c>
      <c r="C1962" s="1" t="n">
        <v>45911</v>
      </c>
      <c r="D1962" t="inlineStr">
        <is>
          <t>GÄVLEBORGS LÄN</t>
        </is>
      </c>
      <c r="E1962" t="inlineStr">
        <is>
          <t>HUDIKSVALL</t>
        </is>
      </c>
      <c r="G1962" t="n">
        <v>0.1</v>
      </c>
      <c r="H1962" t="n">
        <v>0</v>
      </c>
      <c r="I1962" t="n">
        <v>0</v>
      </c>
      <c r="J1962" t="n">
        <v>0</v>
      </c>
      <c r="K1962" t="n">
        <v>0</v>
      </c>
      <c r="L1962" t="n">
        <v>0</v>
      </c>
      <c r="M1962" t="n">
        <v>0</v>
      </c>
      <c r="N1962" t="n">
        <v>0</v>
      </c>
      <c r="O1962" t="n">
        <v>0</v>
      </c>
      <c r="P1962" t="n">
        <v>0</v>
      </c>
      <c r="Q1962" t="n">
        <v>0</v>
      </c>
      <c r="R1962" s="2" t="inlineStr"/>
    </row>
    <row r="1963" ht="15" customHeight="1">
      <c r="A1963" t="inlineStr">
        <is>
          <t>A 5571-2024</t>
        </is>
      </c>
      <c r="B1963" s="1" t="n">
        <v>45334</v>
      </c>
      <c r="C1963" s="1" t="n">
        <v>45911</v>
      </c>
      <c r="D1963" t="inlineStr">
        <is>
          <t>GÄVLEBORGS LÄN</t>
        </is>
      </c>
      <c r="E1963" t="inlineStr">
        <is>
          <t>OCKELBO</t>
        </is>
      </c>
      <c r="G1963" t="n">
        <v>0.3</v>
      </c>
      <c r="H1963" t="n">
        <v>0</v>
      </c>
      <c r="I1963" t="n">
        <v>0</v>
      </c>
      <c r="J1963" t="n">
        <v>0</v>
      </c>
      <c r="K1963" t="n">
        <v>0</v>
      </c>
      <c r="L1963" t="n">
        <v>0</v>
      </c>
      <c r="M1963" t="n">
        <v>0</v>
      </c>
      <c r="N1963" t="n">
        <v>0</v>
      </c>
      <c r="O1963" t="n">
        <v>0</v>
      </c>
      <c r="P1963" t="n">
        <v>0</v>
      </c>
      <c r="Q1963" t="n">
        <v>0</v>
      </c>
      <c r="R1963" s="2" t="inlineStr"/>
    </row>
    <row r="1964" ht="15" customHeight="1">
      <c r="A1964" t="inlineStr">
        <is>
          <t>A 22129-2023</t>
        </is>
      </c>
      <c r="B1964" s="1" t="n">
        <v>45069</v>
      </c>
      <c r="C1964" s="1" t="n">
        <v>45911</v>
      </c>
      <c r="D1964" t="inlineStr">
        <is>
          <t>GÄVLEBORGS LÄN</t>
        </is>
      </c>
      <c r="E1964" t="inlineStr">
        <is>
          <t>HOFORS</t>
        </is>
      </c>
      <c r="F1964" t="inlineStr">
        <is>
          <t>Sveaskog</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45912-2024</t>
        </is>
      </c>
      <c r="B1965" s="1" t="n">
        <v>45580</v>
      </c>
      <c r="C1965" s="1" t="n">
        <v>45911</v>
      </c>
      <c r="D1965" t="inlineStr">
        <is>
          <t>GÄVLEBORGS LÄN</t>
        </is>
      </c>
      <c r="E1965" t="inlineStr">
        <is>
          <t>LJUSDAL</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23125-2021</t>
        </is>
      </c>
      <c r="B1966" s="1" t="n">
        <v>44330.69190972222</v>
      </c>
      <c r="C1966" s="1" t="n">
        <v>45911</v>
      </c>
      <c r="D1966" t="inlineStr">
        <is>
          <t>GÄVLEBORGS LÄN</t>
        </is>
      </c>
      <c r="E1966" t="inlineStr">
        <is>
          <t>SÖDERHAMN</t>
        </is>
      </c>
      <c r="G1966" t="n">
        <v>9.5</v>
      </c>
      <c r="H1966" t="n">
        <v>0</v>
      </c>
      <c r="I1966" t="n">
        <v>0</v>
      </c>
      <c r="J1966" t="n">
        <v>0</v>
      </c>
      <c r="K1966" t="n">
        <v>0</v>
      </c>
      <c r="L1966" t="n">
        <v>0</v>
      </c>
      <c r="M1966" t="n">
        <v>0</v>
      </c>
      <c r="N1966" t="n">
        <v>0</v>
      </c>
      <c r="O1966" t="n">
        <v>0</v>
      </c>
      <c r="P1966" t="n">
        <v>0</v>
      </c>
      <c r="Q1966" t="n">
        <v>0</v>
      </c>
      <c r="R1966" s="2" t="inlineStr"/>
    </row>
    <row r="1967" ht="15" customHeight="1">
      <c r="A1967" t="inlineStr">
        <is>
          <t>A 42541-2024</t>
        </is>
      </c>
      <c r="B1967" s="1" t="n">
        <v>45565.58790509259</v>
      </c>
      <c r="C1967" s="1" t="n">
        <v>45911</v>
      </c>
      <c r="D1967" t="inlineStr">
        <is>
          <t>GÄVLEBORGS LÄN</t>
        </is>
      </c>
      <c r="E1967" t="inlineStr">
        <is>
          <t>BOLLNÄS</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36059-2023</t>
        </is>
      </c>
      <c r="B1968" s="1" t="n">
        <v>45149.45503472222</v>
      </c>
      <c r="C1968" s="1" t="n">
        <v>45911</v>
      </c>
      <c r="D1968" t="inlineStr">
        <is>
          <t>GÄVLEBORGS LÄN</t>
        </is>
      </c>
      <c r="E1968" t="inlineStr">
        <is>
          <t>SÖDERHAMN</t>
        </is>
      </c>
      <c r="G1968" t="n">
        <v>6.2</v>
      </c>
      <c r="H1968" t="n">
        <v>0</v>
      </c>
      <c r="I1968" t="n">
        <v>0</v>
      </c>
      <c r="J1968" t="n">
        <v>0</v>
      </c>
      <c r="K1968" t="n">
        <v>0</v>
      </c>
      <c r="L1968" t="n">
        <v>0</v>
      </c>
      <c r="M1968" t="n">
        <v>0</v>
      </c>
      <c r="N1968" t="n">
        <v>0</v>
      </c>
      <c r="O1968" t="n">
        <v>0</v>
      </c>
      <c r="P1968" t="n">
        <v>0</v>
      </c>
      <c r="Q1968" t="n">
        <v>0</v>
      </c>
      <c r="R1968" s="2" t="inlineStr"/>
    </row>
    <row r="1969" ht="15" customHeight="1">
      <c r="A1969" t="inlineStr">
        <is>
          <t>A 4818-2023</t>
        </is>
      </c>
      <c r="B1969" s="1" t="n">
        <v>44957.6449537037</v>
      </c>
      <c r="C1969" s="1" t="n">
        <v>45911</v>
      </c>
      <c r="D1969" t="inlineStr">
        <is>
          <t>GÄVLEBORGS LÄN</t>
        </is>
      </c>
      <c r="E1969" t="inlineStr">
        <is>
          <t>LJUSDAL</t>
        </is>
      </c>
      <c r="F1969" t="inlineStr">
        <is>
          <t>Holmen skog AB</t>
        </is>
      </c>
      <c r="G1969" t="n">
        <v>5.1</v>
      </c>
      <c r="H1969" t="n">
        <v>0</v>
      </c>
      <c r="I1969" t="n">
        <v>0</v>
      </c>
      <c r="J1969" t="n">
        <v>0</v>
      </c>
      <c r="K1969" t="n">
        <v>0</v>
      </c>
      <c r="L1969" t="n">
        <v>0</v>
      </c>
      <c r="M1969" t="n">
        <v>0</v>
      </c>
      <c r="N1969" t="n">
        <v>0</v>
      </c>
      <c r="O1969" t="n">
        <v>0</v>
      </c>
      <c r="P1969" t="n">
        <v>0</v>
      </c>
      <c r="Q1969" t="n">
        <v>0</v>
      </c>
      <c r="R1969" s="2" t="inlineStr"/>
    </row>
    <row r="1970" ht="15" customHeight="1">
      <c r="A1970" t="inlineStr">
        <is>
          <t>A 5415-2025</t>
        </is>
      </c>
      <c r="B1970" s="1" t="n">
        <v>45692.67747685185</v>
      </c>
      <c r="C1970" s="1" t="n">
        <v>45911</v>
      </c>
      <c r="D1970" t="inlineStr">
        <is>
          <t>GÄVLEBORGS LÄN</t>
        </is>
      </c>
      <c r="E1970" t="inlineStr">
        <is>
          <t>LJUSDAL</t>
        </is>
      </c>
      <c r="F1970" t="inlineStr">
        <is>
          <t>SCA</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5262-2025</t>
        </is>
      </c>
      <c r="B1971" s="1" t="n">
        <v>45692.37174768518</v>
      </c>
      <c r="C1971" s="1" t="n">
        <v>45911</v>
      </c>
      <c r="D1971" t="inlineStr">
        <is>
          <t>GÄVLEBORGS LÄN</t>
        </is>
      </c>
      <c r="E1971" t="inlineStr">
        <is>
          <t>BOLLNÄS</t>
        </is>
      </c>
      <c r="F1971" t="inlineStr">
        <is>
          <t>Bergvik skog öst AB</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24988-2023</t>
        </is>
      </c>
      <c r="B1972" s="1" t="n">
        <v>45085.64087962963</v>
      </c>
      <c r="C1972" s="1" t="n">
        <v>45911</v>
      </c>
      <c r="D1972" t="inlineStr">
        <is>
          <t>GÄVLEBORGS LÄN</t>
        </is>
      </c>
      <c r="E1972" t="inlineStr">
        <is>
          <t>HOFORS</t>
        </is>
      </c>
      <c r="F1972" t="inlineStr">
        <is>
          <t>Sveaskog</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18466-2024</t>
        </is>
      </c>
      <c r="B1973" s="1" t="n">
        <v>45425.49216435185</v>
      </c>
      <c r="C1973" s="1" t="n">
        <v>45911</v>
      </c>
      <c r="D1973" t="inlineStr">
        <is>
          <t>GÄVLEBORGS LÄN</t>
        </is>
      </c>
      <c r="E1973" t="inlineStr">
        <is>
          <t>SÖDERHAMN</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29016-2023</t>
        </is>
      </c>
      <c r="B1974" s="1" t="n">
        <v>45104.67638888889</v>
      </c>
      <c r="C1974" s="1" t="n">
        <v>45911</v>
      </c>
      <c r="D1974" t="inlineStr">
        <is>
          <t>GÄVLEBORGS LÄN</t>
        </is>
      </c>
      <c r="E1974" t="inlineStr">
        <is>
          <t>GÄVLE</t>
        </is>
      </c>
      <c r="F1974" t="inlineStr">
        <is>
          <t>Bergvik skog öst AB</t>
        </is>
      </c>
      <c r="G1974" t="n">
        <v>6.8</v>
      </c>
      <c r="H1974" t="n">
        <v>0</v>
      </c>
      <c r="I1974" t="n">
        <v>0</v>
      </c>
      <c r="J1974" t="n">
        <v>0</v>
      </c>
      <c r="K1974" t="n">
        <v>0</v>
      </c>
      <c r="L1974" t="n">
        <v>0</v>
      </c>
      <c r="M1974" t="n">
        <v>0</v>
      </c>
      <c r="N1974" t="n">
        <v>0</v>
      </c>
      <c r="O1974" t="n">
        <v>0</v>
      </c>
      <c r="P1974" t="n">
        <v>0</v>
      </c>
      <c r="Q1974" t="n">
        <v>0</v>
      </c>
      <c r="R1974" s="2" t="inlineStr"/>
    </row>
    <row r="1975" ht="15" customHeight="1">
      <c r="A1975" t="inlineStr">
        <is>
          <t>A 6617-2025</t>
        </is>
      </c>
      <c r="B1975" s="1" t="n">
        <v>45700</v>
      </c>
      <c r="C1975" s="1" t="n">
        <v>45911</v>
      </c>
      <c r="D1975" t="inlineStr">
        <is>
          <t>GÄVLEBORGS LÄN</t>
        </is>
      </c>
      <c r="E1975" t="inlineStr">
        <is>
          <t>OCKELBO</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8027-2024</t>
        </is>
      </c>
      <c r="B1976" s="1" t="n">
        <v>45350</v>
      </c>
      <c r="C1976" s="1" t="n">
        <v>45911</v>
      </c>
      <c r="D1976" t="inlineStr">
        <is>
          <t>GÄVLEBORGS LÄN</t>
        </is>
      </c>
      <c r="E1976" t="inlineStr">
        <is>
          <t>HUDIKSVALL</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6085-2025</t>
        </is>
      </c>
      <c r="B1977" s="1" t="n">
        <v>45697.62211805556</v>
      </c>
      <c r="C1977" s="1" t="n">
        <v>45911</v>
      </c>
      <c r="D1977" t="inlineStr">
        <is>
          <t>GÄVLEBORGS LÄN</t>
        </is>
      </c>
      <c r="E1977" t="inlineStr">
        <is>
          <t>HUDIKSVALL</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45302-2023</t>
        </is>
      </c>
      <c r="B1978" s="1" t="n">
        <v>45191</v>
      </c>
      <c r="C1978" s="1" t="n">
        <v>45911</v>
      </c>
      <c r="D1978" t="inlineStr">
        <is>
          <t>GÄVLEBORGS LÄN</t>
        </is>
      </c>
      <c r="E1978" t="inlineStr">
        <is>
          <t>SANDVIKEN</t>
        </is>
      </c>
      <c r="F1978" t="inlineStr">
        <is>
          <t>Sveaskog</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2010-2023</t>
        </is>
      </c>
      <c r="B1979" s="1" t="n">
        <v>44939</v>
      </c>
      <c r="C1979" s="1" t="n">
        <v>45911</v>
      </c>
      <c r="D1979" t="inlineStr">
        <is>
          <t>GÄVLEBORGS LÄN</t>
        </is>
      </c>
      <c r="E1979" t="inlineStr">
        <is>
          <t>HUDIKSVALL</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16849-2023</t>
        </is>
      </c>
      <c r="B1980" s="1" t="n">
        <v>45033</v>
      </c>
      <c r="C1980" s="1" t="n">
        <v>45911</v>
      </c>
      <c r="D1980" t="inlineStr">
        <is>
          <t>GÄVLEBORGS LÄN</t>
        </is>
      </c>
      <c r="E1980" t="inlineStr">
        <is>
          <t>HUDIKSVALL</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24994-2024</t>
        </is>
      </c>
      <c r="B1981" s="1" t="n">
        <v>45461</v>
      </c>
      <c r="C1981" s="1" t="n">
        <v>45911</v>
      </c>
      <c r="D1981" t="inlineStr">
        <is>
          <t>GÄVLEBORGS LÄN</t>
        </is>
      </c>
      <c r="E1981" t="inlineStr">
        <is>
          <t>BOLLNÄS</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44120-2022</t>
        </is>
      </c>
      <c r="B1982" s="1" t="n">
        <v>44839.39199074074</v>
      </c>
      <c r="C1982" s="1" t="n">
        <v>45911</v>
      </c>
      <c r="D1982" t="inlineStr">
        <is>
          <t>GÄVLEBORGS LÄN</t>
        </is>
      </c>
      <c r="E1982" t="inlineStr">
        <is>
          <t>BOLLNÄS</t>
        </is>
      </c>
      <c r="G1982" t="n">
        <v>10.3</v>
      </c>
      <c r="H1982" t="n">
        <v>0</v>
      </c>
      <c r="I1982" t="n">
        <v>0</v>
      </c>
      <c r="J1982" t="n">
        <v>0</v>
      </c>
      <c r="K1982" t="n">
        <v>0</v>
      </c>
      <c r="L1982" t="n">
        <v>0</v>
      </c>
      <c r="M1982" t="n">
        <v>0</v>
      </c>
      <c r="N1982" t="n">
        <v>0</v>
      </c>
      <c r="O1982" t="n">
        <v>0</v>
      </c>
      <c r="P1982" t="n">
        <v>0</v>
      </c>
      <c r="Q1982" t="n">
        <v>0</v>
      </c>
      <c r="R1982" s="2" t="inlineStr"/>
    </row>
    <row r="1983" ht="15" customHeight="1">
      <c r="A1983" t="inlineStr">
        <is>
          <t>A 1039-2025</t>
        </is>
      </c>
      <c r="B1983" s="1" t="n">
        <v>45666.54069444445</v>
      </c>
      <c r="C1983" s="1" t="n">
        <v>45911</v>
      </c>
      <c r="D1983" t="inlineStr">
        <is>
          <t>GÄVLEBORGS LÄN</t>
        </is>
      </c>
      <c r="E1983" t="inlineStr">
        <is>
          <t>SANDVIKEN</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11301-2025</t>
        </is>
      </c>
      <c r="B1984" s="1" t="n">
        <v>45726.44162037037</v>
      </c>
      <c r="C1984" s="1" t="n">
        <v>45911</v>
      </c>
      <c r="D1984" t="inlineStr">
        <is>
          <t>GÄVLEBORGS LÄN</t>
        </is>
      </c>
      <c r="E1984" t="inlineStr">
        <is>
          <t>OVANÅKER</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22454-2025</t>
        </is>
      </c>
      <c r="B1985" s="1" t="n">
        <v>45786.60467592593</v>
      </c>
      <c r="C1985" s="1" t="n">
        <v>45911</v>
      </c>
      <c r="D1985" t="inlineStr">
        <is>
          <t>GÄVLEBORGS LÄN</t>
        </is>
      </c>
      <c r="E1985" t="inlineStr">
        <is>
          <t>HUDIKSVALL</t>
        </is>
      </c>
      <c r="F1985" t="inlineStr">
        <is>
          <t>Holmen skog AB</t>
        </is>
      </c>
      <c r="G1985" t="n">
        <v>5.3</v>
      </c>
      <c r="H1985" t="n">
        <v>0</v>
      </c>
      <c r="I1985" t="n">
        <v>0</v>
      </c>
      <c r="J1985" t="n">
        <v>0</v>
      </c>
      <c r="K1985" t="n">
        <v>0</v>
      </c>
      <c r="L1985" t="n">
        <v>0</v>
      </c>
      <c r="M1985" t="n">
        <v>0</v>
      </c>
      <c r="N1985" t="n">
        <v>0</v>
      </c>
      <c r="O1985" t="n">
        <v>0</v>
      </c>
      <c r="P1985" t="n">
        <v>0</v>
      </c>
      <c r="Q1985" t="n">
        <v>0</v>
      </c>
      <c r="R1985" s="2" t="inlineStr"/>
    </row>
    <row r="1986" ht="15" customHeight="1">
      <c r="A1986" t="inlineStr">
        <is>
          <t>A 23780-2024</t>
        </is>
      </c>
      <c r="B1986" s="1" t="n">
        <v>45455.39258101852</v>
      </c>
      <c r="C1986" s="1" t="n">
        <v>45911</v>
      </c>
      <c r="D1986" t="inlineStr">
        <is>
          <t>GÄVLEBORGS LÄN</t>
        </is>
      </c>
      <c r="E1986" t="inlineStr">
        <is>
          <t>OCKELBO</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17245-2024</t>
        </is>
      </c>
      <c r="B1987" s="1" t="n">
        <v>45414</v>
      </c>
      <c r="C1987" s="1" t="n">
        <v>45911</v>
      </c>
      <c r="D1987" t="inlineStr">
        <is>
          <t>GÄVLEBORGS LÄN</t>
        </is>
      </c>
      <c r="E1987" t="inlineStr">
        <is>
          <t>GÄVLE</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42657-2024</t>
        </is>
      </c>
      <c r="B1988" s="1" t="n">
        <v>45566.33591435185</v>
      </c>
      <c r="C1988" s="1" t="n">
        <v>45911</v>
      </c>
      <c r="D1988" t="inlineStr">
        <is>
          <t>GÄVLEBORGS LÄN</t>
        </is>
      </c>
      <c r="E1988" t="inlineStr">
        <is>
          <t>HUDIKSVALL</t>
        </is>
      </c>
      <c r="F1988" t="inlineStr">
        <is>
          <t>Holmen skog AB</t>
        </is>
      </c>
      <c r="G1988" t="n">
        <v>10</v>
      </c>
      <c r="H1988" t="n">
        <v>0</v>
      </c>
      <c r="I1988" t="n">
        <v>0</v>
      </c>
      <c r="J1988" t="n">
        <v>0</v>
      </c>
      <c r="K1988" t="n">
        <v>0</v>
      </c>
      <c r="L1988" t="n">
        <v>0</v>
      </c>
      <c r="M1988" t="n">
        <v>0</v>
      </c>
      <c r="N1988" t="n">
        <v>0</v>
      </c>
      <c r="O1988" t="n">
        <v>0</v>
      </c>
      <c r="P1988" t="n">
        <v>0</v>
      </c>
      <c r="Q1988" t="n">
        <v>0</v>
      </c>
      <c r="R1988" s="2" t="inlineStr"/>
    </row>
    <row r="1989" ht="15" customHeight="1">
      <c r="A1989" t="inlineStr">
        <is>
          <t>A 22385-2025</t>
        </is>
      </c>
      <c r="B1989" s="1" t="n">
        <v>45786.50641203704</v>
      </c>
      <c r="C1989" s="1" t="n">
        <v>45911</v>
      </c>
      <c r="D1989" t="inlineStr">
        <is>
          <t>GÄVLEBORGS LÄN</t>
        </is>
      </c>
      <c r="E1989" t="inlineStr">
        <is>
          <t>OCKELBO</t>
        </is>
      </c>
      <c r="F1989" t="inlineStr">
        <is>
          <t>Bergvik skog väst AB</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33623-2024</t>
        </is>
      </c>
      <c r="B1990" s="1" t="n">
        <v>45520.41766203703</v>
      </c>
      <c r="C1990" s="1" t="n">
        <v>45911</v>
      </c>
      <c r="D1990" t="inlineStr">
        <is>
          <t>GÄVLEBORGS LÄN</t>
        </is>
      </c>
      <c r="E1990" t="inlineStr">
        <is>
          <t>SANDVIKEN</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42796-2024</t>
        </is>
      </c>
      <c r="B1991" s="1" t="n">
        <v>45566.55170138889</v>
      </c>
      <c r="C1991" s="1" t="n">
        <v>45911</v>
      </c>
      <c r="D1991" t="inlineStr">
        <is>
          <t>GÄVLEBORGS LÄN</t>
        </is>
      </c>
      <c r="E1991" t="inlineStr">
        <is>
          <t>NORDANSTIG</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49455-2024</t>
        </is>
      </c>
      <c r="B1992" s="1" t="n">
        <v>45596.27561342593</v>
      </c>
      <c r="C1992" s="1" t="n">
        <v>45911</v>
      </c>
      <c r="D1992" t="inlineStr">
        <is>
          <t>GÄVLEBORGS LÄN</t>
        </is>
      </c>
      <c r="E1992" t="inlineStr">
        <is>
          <t>NORDANSTIG</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18135-2025</t>
        </is>
      </c>
      <c r="B1993" s="1" t="n">
        <v>45761.60195601852</v>
      </c>
      <c r="C1993" s="1" t="n">
        <v>45911</v>
      </c>
      <c r="D1993" t="inlineStr">
        <is>
          <t>GÄVLEBORGS LÄN</t>
        </is>
      </c>
      <c r="E1993" t="inlineStr">
        <is>
          <t>SÖDERHAMN</t>
        </is>
      </c>
      <c r="G1993" t="n">
        <v>6.8</v>
      </c>
      <c r="H1993" t="n">
        <v>0</v>
      </c>
      <c r="I1993" t="n">
        <v>0</v>
      </c>
      <c r="J1993" t="n">
        <v>0</v>
      </c>
      <c r="K1993" t="n">
        <v>0</v>
      </c>
      <c r="L1993" t="n">
        <v>0</v>
      </c>
      <c r="M1993" t="n">
        <v>0</v>
      </c>
      <c r="N1993" t="n">
        <v>0</v>
      </c>
      <c r="O1993" t="n">
        <v>0</v>
      </c>
      <c r="P1993" t="n">
        <v>0</v>
      </c>
      <c r="Q1993" t="n">
        <v>0</v>
      </c>
      <c r="R1993" s="2" t="inlineStr"/>
    </row>
    <row r="1994" ht="15" customHeight="1">
      <c r="A1994" t="inlineStr">
        <is>
          <t>A 16895-2025</t>
        </is>
      </c>
      <c r="B1994" s="1" t="n">
        <v>45755.33472222222</v>
      </c>
      <c r="C1994" s="1" t="n">
        <v>45911</v>
      </c>
      <c r="D1994" t="inlineStr">
        <is>
          <t>GÄVLEBORGS LÄN</t>
        </is>
      </c>
      <c r="E1994" t="inlineStr">
        <is>
          <t>GÄVLE</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41451-2023</t>
        </is>
      </c>
      <c r="B1995" s="1" t="n">
        <v>45175.38716435185</v>
      </c>
      <c r="C1995" s="1" t="n">
        <v>45911</v>
      </c>
      <c r="D1995" t="inlineStr">
        <is>
          <t>GÄVLEBORGS LÄN</t>
        </is>
      </c>
      <c r="E1995" t="inlineStr">
        <is>
          <t>OVANÅKER</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10327-2024</t>
        </is>
      </c>
      <c r="B1996" s="1" t="n">
        <v>45365.55339120371</v>
      </c>
      <c r="C1996" s="1" t="n">
        <v>45911</v>
      </c>
      <c r="D1996" t="inlineStr">
        <is>
          <t>GÄVLEBORGS LÄN</t>
        </is>
      </c>
      <c r="E1996" t="inlineStr">
        <is>
          <t>SÖDERHAMN</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28584-2024</t>
        </is>
      </c>
      <c r="B1997" s="1" t="n">
        <v>45478</v>
      </c>
      <c r="C1997" s="1" t="n">
        <v>45911</v>
      </c>
      <c r="D1997" t="inlineStr">
        <is>
          <t>GÄVLEBORGS LÄN</t>
        </is>
      </c>
      <c r="E1997" t="inlineStr">
        <is>
          <t>OCKELBO</t>
        </is>
      </c>
      <c r="F1997" t="inlineStr">
        <is>
          <t>Bergvik skog väst AB</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36256-2024</t>
        </is>
      </c>
      <c r="B1998" s="1" t="n">
        <v>45534</v>
      </c>
      <c r="C1998" s="1" t="n">
        <v>45911</v>
      </c>
      <c r="D1998" t="inlineStr">
        <is>
          <t>GÄVLEBORGS LÄN</t>
        </is>
      </c>
      <c r="E1998" t="inlineStr">
        <is>
          <t>BOLLNÄS</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43504-2024</t>
        </is>
      </c>
      <c r="B1999" s="1" t="n">
        <v>45569.30541666667</v>
      </c>
      <c r="C1999" s="1" t="n">
        <v>45911</v>
      </c>
      <c r="D1999" t="inlineStr">
        <is>
          <t>GÄVLEBORGS LÄN</t>
        </is>
      </c>
      <c r="E1999" t="inlineStr">
        <is>
          <t>OVANÅKER</t>
        </is>
      </c>
      <c r="G1999" t="n">
        <v>6.5</v>
      </c>
      <c r="H1999" t="n">
        <v>0</v>
      </c>
      <c r="I1999" t="n">
        <v>0</v>
      </c>
      <c r="J1999" t="n">
        <v>0</v>
      </c>
      <c r="K1999" t="n">
        <v>0</v>
      </c>
      <c r="L1999" t="n">
        <v>0</v>
      </c>
      <c r="M1999" t="n">
        <v>0</v>
      </c>
      <c r="N1999" t="n">
        <v>0</v>
      </c>
      <c r="O1999" t="n">
        <v>0</v>
      </c>
      <c r="P1999" t="n">
        <v>0</v>
      </c>
      <c r="Q1999" t="n">
        <v>0</v>
      </c>
      <c r="R1999" s="2" t="inlineStr"/>
    </row>
    <row r="2000" ht="15" customHeight="1">
      <c r="A2000" t="inlineStr">
        <is>
          <t>A 12629-2025</t>
        </is>
      </c>
      <c r="B2000" s="1" t="n">
        <v>45733.369375</v>
      </c>
      <c r="C2000" s="1" t="n">
        <v>45911</v>
      </c>
      <c r="D2000" t="inlineStr">
        <is>
          <t>GÄVLEBORGS LÄN</t>
        </is>
      </c>
      <c r="E2000" t="inlineStr">
        <is>
          <t>SANDVIKEN</t>
        </is>
      </c>
      <c r="F2000" t="inlineStr">
        <is>
          <t>Bergvik skog öst AB</t>
        </is>
      </c>
      <c r="G2000" t="n">
        <v>4.8</v>
      </c>
      <c r="H2000" t="n">
        <v>0</v>
      </c>
      <c r="I2000" t="n">
        <v>0</v>
      </c>
      <c r="J2000" t="n">
        <v>0</v>
      </c>
      <c r="K2000" t="n">
        <v>0</v>
      </c>
      <c r="L2000" t="n">
        <v>0</v>
      </c>
      <c r="M2000" t="n">
        <v>0</v>
      </c>
      <c r="N2000" t="n">
        <v>0</v>
      </c>
      <c r="O2000" t="n">
        <v>0</v>
      </c>
      <c r="P2000" t="n">
        <v>0</v>
      </c>
      <c r="Q2000" t="n">
        <v>0</v>
      </c>
      <c r="R2000" s="2" t="inlineStr"/>
    </row>
    <row r="2001" ht="15" customHeight="1">
      <c r="A2001" t="inlineStr">
        <is>
          <t>A 22310-2025</t>
        </is>
      </c>
      <c r="B2001" s="1" t="n">
        <v>45786.36578703704</v>
      </c>
      <c r="C2001" s="1" t="n">
        <v>45911</v>
      </c>
      <c r="D2001" t="inlineStr">
        <is>
          <t>GÄVLEBORGS LÄN</t>
        </is>
      </c>
      <c r="E2001" t="inlineStr">
        <is>
          <t>NORDANSTIG</t>
        </is>
      </c>
      <c r="F2001" t="inlineStr">
        <is>
          <t>Holmen skog AB</t>
        </is>
      </c>
      <c r="G2001" t="n">
        <v>27.9</v>
      </c>
      <c r="H2001" t="n">
        <v>0</v>
      </c>
      <c r="I2001" t="n">
        <v>0</v>
      </c>
      <c r="J2001" t="n">
        <v>0</v>
      </c>
      <c r="K2001" t="n">
        <v>0</v>
      </c>
      <c r="L2001" t="n">
        <v>0</v>
      </c>
      <c r="M2001" t="n">
        <v>0</v>
      </c>
      <c r="N2001" t="n">
        <v>0</v>
      </c>
      <c r="O2001" t="n">
        <v>0</v>
      </c>
      <c r="P2001" t="n">
        <v>0</v>
      </c>
      <c r="Q2001" t="n">
        <v>0</v>
      </c>
      <c r="R2001" s="2" t="inlineStr"/>
    </row>
    <row r="2002" ht="15" customHeight="1">
      <c r="A2002" t="inlineStr">
        <is>
          <t>A 17113-2024</t>
        </is>
      </c>
      <c r="B2002" s="1" t="n">
        <v>45412</v>
      </c>
      <c r="C2002" s="1" t="n">
        <v>45911</v>
      </c>
      <c r="D2002" t="inlineStr">
        <is>
          <t>GÄVLEBORGS LÄN</t>
        </is>
      </c>
      <c r="E2002" t="inlineStr">
        <is>
          <t>GÄVLE</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59912-2023</t>
        </is>
      </c>
      <c r="B2003" s="1" t="n">
        <v>45257.63767361111</v>
      </c>
      <c r="C2003" s="1" t="n">
        <v>45911</v>
      </c>
      <c r="D2003" t="inlineStr">
        <is>
          <t>GÄVLEBORGS LÄN</t>
        </is>
      </c>
      <c r="E2003" t="inlineStr">
        <is>
          <t>OVANÅKER</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59922-2023</t>
        </is>
      </c>
      <c r="B2004" s="1" t="n">
        <v>45254</v>
      </c>
      <c r="C2004" s="1" t="n">
        <v>45911</v>
      </c>
      <c r="D2004" t="inlineStr">
        <is>
          <t>GÄVLEBORGS LÄN</t>
        </is>
      </c>
      <c r="E2004" t="inlineStr">
        <is>
          <t>SÖDERHAMN</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37686-2024</t>
        </is>
      </c>
      <c r="B2005" s="1" t="n">
        <v>45541.59466435185</v>
      </c>
      <c r="C2005" s="1" t="n">
        <v>45911</v>
      </c>
      <c r="D2005" t="inlineStr">
        <is>
          <t>GÄVLEBORGS LÄN</t>
        </is>
      </c>
      <c r="E2005" t="inlineStr">
        <is>
          <t>NORDANSTIG</t>
        </is>
      </c>
      <c r="F2005" t="inlineStr">
        <is>
          <t>Holmen skog AB</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46502-2024</t>
        </is>
      </c>
      <c r="B2006" s="1" t="n">
        <v>45582.60079861111</v>
      </c>
      <c r="C2006" s="1" t="n">
        <v>45911</v>
      </c>
      <c r="D2006" t="inlineStr">
        <is>
          <t>GÄVLEBORGS LÄN</t>
        </is>
      </c>
      <c r="E2006" t="inlineStr">
        <is>
          <t>LJUSDAL</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6581-2022</t>
        </is>
      </c>
      <c r="B2007" s="1" t="n">
        <v>44601.62753472223</v>
      </c>
      <c r="C2007" s="1" t="n">
        <v>45911</v>
      </c>
      <c r="D2007" t="inlineStr">
        <is>
          <t>GÄVLEBORGS LÄN</t>
        </is>
      </c>
      <c r="E2007" t="inlineStr">
        <is>
          <t>NORDANSTIG</t>
        </is>
      </c>
      <c r="G2007" t="n">
        <v>3.6</v>
      </c>
      <c r="H2007" t="n">
        <v>0</v>
      </c>
      <c r="I2007" t="n">
        <v>0</v>
      </c>
      <c r="J2007" t="n">
        <v>0</v>
      </c>
      <c r="K2007" t="n">
        <v>0</v>
      </c>
      <c r="L2007" t="n">
        <v>0</v>
      </c>
      <c r="M2007" t="n">
        <v>0</v>
      </c>
      <c r="N2007" t="n">
        <v>0</v>
      </c>
      <c r="O2007" t="n">
        <v>0</v>
      </c>
      <c r="P2007" t="n">
        <v>0</v>
      </c>
      <c r="Q2007" t="n">
        <v>0</v>
      </c>
      <c r="R2007" s="2" t="inlineStr"/>
    </row>
    <row r="2008" ht="15" customHeight="1">
      <c r="A2008" t="inlineStr">
        <is>
          <t>A 9427-2024</t>
        </is>
      </c>
      <c r="B2008" s="1" t="n">
        <v>45359.46438657407</v>
      </c>
      <c r="C2008" s="1" t="n">
        <v>45911</v>
      </c>
      <c r="D2008" t="inlineStr">
        <is>
          <t>GÄVLEBORGS LÄN</t>
        </is>
      </c>
      <c r="E2008" t="inlineStr">
        <is>
          <t>HUDIKSVALL</t>
        </is>
      </c>
      <c r="F2008" t="inlineStr">
        <is>
          <t>Holmen skog AB</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12178-2025</t>
        </is>
      </c>
      <c r="B2009" s="1" t="n">
        <v>45729.45340277778</v>
      </c>
      <c r="C2009" s="1" t="n">
        <v>45911</v>
      </c>
      <c r="D2009" t="inlineStr">
        <is>
          <t>GÄVLEBORGS LÄN</t>
        </is>
      </c>
      <c r="E2009" t="inlineStr">
        <is>
          <t>BOLLNÄS</t>
        </is>
      </c>
      <c r="F2009" t="inlineStr">
        <is>
          <t>Kyrkan</t>
        </is>
      </c>
      <c r="G2009" t="n">
        <v>7</v>
      </c>
      <c r="H2009" t="n">
        <v>0</v>
      </c>
      <c r="I2009" t="n">
        <v>0</v>
      </c>
      <c r="J2009" t="n">
        <v>0</v>
      </c>
      <c r="K2009" t="n">
        <v>0</v>
      </c>
      <c r="L2009" t="n">
        <v>0</v>
      </c>
      <c r="M2009" t="n">
        <v>0</v>
      </c>
      <c r="N2009" t="n">
        <v>0</v>
      </c>
      <c r="O2009" t="n">
        <v>0</v>
      </c>
      <c r="P2009" t="n">
        <v>0</v>
      </c>
      <c r="Q2009" t="n">
        <v>0</v>
      </c>
      <c r="R2009" s="2" t="inlineStr"/>
    </row>
    <row r="2010" ht="15" customHeight="1">
      <c r="A2010" t="inlineStr">
        <is>
          <t>A 624-2025</t>
        </is>
      </c>
      <c r="B2010" s="1" t="n">
        <v>45664</v>
      </c>
      <c r="C2010" s="1" t="n">
        <v>45911</v>
      </c>
      <c r="D2010" t="inlineStr">
        <is>
          <t>GÄVLEBORGS LÄN</t>
        </is>
      </c>
      <c r="E2010" t="inlineStr">
        <is>
          <t>HUDIKSVALL</t>
        </is>
      </c>
      <c r="F2010" t="inlineStr">
        <is>
          <t>Holmen skog AB</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16731-2025</t>
        </is>
      </c>
      <c r="B2011" s="1" t="n">
        <v>45754.53108796296</v>
      </c>
      <c r="C2011" s="1" t="n">
        <v>45911</v>
      </c>
      <c r="D2011" t="inlineStr">
        <is>
          <t>GÄVLEBORGS LÄN</t>
        </is>
      </c>
      <c r="E2011" t="inlineStr">
        <is>
          <t>SÖDERHAMN</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16737-2025</t>
        </is>
      </c>
      <c r="B2012" s="1" t="n">
        <v>45754.54491898148</v>
      </c>
      <c r="C2012" s="1" t="n">
        <v>45911</v>
      </c>
      <c r="D2012" t="inlineStr">
        <is>
          <t>GÄVLEBORGS LÄN</t>
        </is>
      </c>
      <c r="E2012" t="inlineStr">
        <is>
          <t>OCKELBO</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30330-2021</t>
        </is>
      </c>
      <c r="B2013" s="1" t="n">
        <v>44364.38038194444</v>
      </c>
      <c r="C2013" s="1" t="n">
        <v>45911</v>
      </c>
      <c r="D2013" t="inlineStr">
        <is>
          <t>GÄVLEBORGS LÄN</t>
        </is>
      </c>
      <c r="E2013" t="inlineStr">
        <is>
          <t>GÄVLE</t>
        </is>
      </c>
      <c r="F2013" t="inlineStr">
        <is>
          <t>Bergvik skog öst AB</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58821-2024</t>
        </is>
      </c>
      <c r="B2014" s="1" t="n">
        <v>45636.36251157407</v>
      </c>
      <c r="C2014" s="1" t="n">
        <v>45911</v>
      </c>
      <c r="D2014" t="inlineStr">
        <is>
          <t>GÄVLEBORGS LÄN</t>
        </is>
      </c>
      <c r="E2014" t="inlineStr">
        <is>
          <t>SÖDERHAMN</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54207-2023</t>
        </is>
      </c>
      <c r="B2015" s="1" t="n">
        <v>45232.56643518519</v>
      </c>
      <c r="C2015" s="1" t="n">
        <v>45911</v>
      </c>
      <c r="D2015" t="inlineStr">
        <is>
          <t>GÄVLEBORGS LÄN</t>
        </is>
      </c>
      <c r="E2015" t="inlineStr">
        <is>
          <t>GÄVLE</t>
        </is>
      </c>
      <c r="F2015" t="inlineStr">
        <is>
          <t>Bergvik skog väst AB</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54209-2023</t>
        </is>
      </c>
      <c r="B2016" s="1" t="n">
        <v>45232.56831018518</v>
      </c>
      <c r="C2016" s="1" t="n">
        <v>45911</v>
      </c>
      <c r="D2016" t="inlineStr">
        <is>
          <t>GÄVLEBORGS LÄN</t>
        </is>
      </c>
      <c r="E2016" t="inlineStr">
        <is>
          <t>BOLLNÄS</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51868-2020</t>
        </is>
      </c>
      <c r="B2017" s="1" t="n">
        <v>44116</v>
      </c>
      <c r="C2017" s="1" t="n">
        <v>45911</v>
      </c>
      <c r="D2017" t="inlineStr">
        <is>
          <t>GÄVLEBORGS LÄN</t>
        </is>
      </c>
      <c r="E2017" t="inlineStr">
        <is>
          <t>SANDVIKEN</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13227-2024</t>
        </is>
      </c>
      <c r="B2018" s="1" t="n">
        <v>45386</v>
      </c>
      <c r="C2018" s="1" t="n">
        <v>45911</v>
      </c>
      <c r="D2018" t="inlineStr">
        <is>
          <t>GÄVLEBORGS LÄN</t>
        </is>
      </c>
      <c r="E2018" t="inlineStr">
        <is>
          <t>GÄVLE</t>
        </is>
      </c>
      <c r="F2018" t="inlineStr">
        <is>
          <t>Övriga statliga verk och myndigheter</t>
        </is>
      </c>
      <c r="G2018" t="n">
        <v>5.9</v>
      </c>
      <c r="H2018" t="n">
        <v>0</v>
      </c>
      <c r="I2018" t="n">
        <v>0</v>
      </c>
      <c r="J2018" t="n">
        <v>0</v>
      </c>
      <c r="K2018" t="n">
        <v>0</v>
      </c>
      <c r="L2018" t="n">
        <v>0</v>
      </c>
      <c r="M2018" t="n">
        <v>0</v>
      </c>
      <c r="N2018" t="n">
        <v>0</v>
      </c>
      <c r="O2018" t="n">
        <v>0</v>
      </c>
      <c r="P2018" t="n">
        <v>0</v>
      </c>
      <c r="Q2018" t="n">
        <v>0</v>
      </c>
      <c r="R2018" s="2" t="inlineStr"/>
    </row>
    <row r="2019" ht="15" customHeight="1">
      <c r="A2019" t="inlineStr">
        <is>
          <t>A 61060-2023</t>
        </is>
      </c>
      <c r="B2019" s="1" t="n">
        <v>45261.61160879629</v>
      </c>
      <c r="C2019" s="1" t="n">
        <v>45911</v>
      </c>
      <c r="D2019" t="inlineStr">
        <is>
          <t>GÄVLEBORGS LÄN</t>
        </is>
      </c>
      <c r="E2019" t="inlineStr">
        <is>
          <t>BOLLNÄS</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18576-2024</t>
        </is>
      </c>
      <c r="B2020" s="1" t="n">
        <v>45425</v>
      </c>
      <c r="C2020" s="1" t="n">
        <v>45911</v>
      </c>
      <c r="D2020" t="inlineStr">
        <is>
          <t>GÄVLEBORGS LÄN</t>
        </is>
      </c>
      <c r="E2020" t="inlineStr">
        <is>
          <t>LJUSDAL</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60428-2024</t>
        </is>
      </c>
      <c r="B2021" s="1" t="n">
        <v>45643</v>
      </c>
      <c r="C2021" s="1" t="n">
        <v>45911</v>
      </c>
      <c r="D2021" t="inlineStr">
        <is>
          <t>GÄVLEBORGS LÄN</t>
        </is>
      </c>
      <c r="E2021" t="inlineStr">
        <is>
          <t>BOLLNÄS</t>
        </is>
      </c>
      <c r="G2021" t="n">
        <v>5.5</v>
      </c>
      <c r="H2021" t="n">
        <v>0</v>
      </c>
      <c r="I2021" t="n">
        <v>0</v>
      </c>
      <c r="J2021" t="n">
        <v>0</v>
      </c>
      <c r="K2021" t="n">
        <v>0</v>
      </c>
      <c r="L2021" t="n">
        <v>0</v>
      </c>
      <c r="M2021" t="n">
        <v>0</v>
      </c>
      <c r="N2021" t="n">
        <v>0</v>
      </c>
      <c r="O2021" t="n">
        <v>0</v>
      </c>
      <c r="P2021" t="n">
        <v>0</v>
      </c>
      <c r="Q2021" t="n">
        <v>0</v>
      </c>
      <c r="R2021" s="2" t="inlineStr"/>
    </row>
    <row r="2022" ht="15" customHeight="1">
      <c r="A2022" t="inlineStr">
        <is>
          <t>A 18829-2024</t>
        </is>
      </c>
      <c r="B2022" s="1" t="n">
        <v>45426.64759259259</v>
      </c>
      <c r="C2022" s="1" t="n">
        <v>45911</v>
      </c>
      <c r="D2022" t="inlineStr">
        <is>
          <t>GÄVLEBORGS LÄN</t>
        </is>
      </c>
      <c r="E2022" t="inlineStr">
        <is>
          <t>HUDIKSVALL</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11842-2024</t>
        </is>
      </c>
      <c r="B2023" s="1" t="n">
        <v>45376.3809837963</v>
      </c>
      <c r="C2023" s="1" t="n">
        <v>45911</v>
      </c>
      <c r="D2023" t="inlineStr">
        <is>
          <t>GÄVLEBORGS LÄN</t>
        </is>
      </c>
      <c r="E2023" t="inlineStr">
        <is>
          <t>HUDIKSVALL</t>
        </is>
      </c>
      <c r="G2023" t="n">
        <v>5.1</v>
      </c>
      <c r="H2023" t="n">
        <v>0</v>
      </c>
      <c r="I2023" t="n">
        <v>0</v>
      </c>
      <c r="J2023" t="n">
        <v>0</v>
      </c>
      <c r="K2023" t="n">
        <v>0</v>
      </c>
      <c r="L2023" t="n">
        <v>0</v>
      </c>
      <c r="M2023" t="n">
        <v>0</v>
      </c>
      <c r="N2023" t="n">
        <v>0</v>
      </c>
      <c r="O2023" t="n">
        <v>0</v>
      </c>
      <c r="P2023" t="n">
        <v>0</v>
      </c>
      <c r="Q2023" t="n">
        <v>0</v>
      </c>
      <c r="R2023" s="2" t="inlineStr"/>
    </row>
    <row r="2024" ht="15" customHeight="1">
      <c r="A2024" t="inlineStr">
        <is>
          <t>A 54713-2024</t>
        </is>
      </c>
      <c r="B2024" s="1" t="n">
        <v>45618.42712962963</v>
      </c>
      <c r="C2024" s="1" t="n">
        <v>45911</v>
      </c>
      <c r="D2024" t="inlineStr">
        <is>
          <t>GÄVLEBORGS LÄN</t>
        </is>
      </c>
      <c r="E2024" t="inlineStr">
        <is>
          <t>NORDANSTIG</t>
        </is>
      </c>
      <c r="F2024" t="inlineStr">
        <is>
          <t>Holmen skog AB</t>
        </is>
      </c>
      <c r="G2024" t="n">
        <v>5.7</v>
      </c>
      <c r="H2024" t="n">
        <v>0</v>
      </c>
      <c r="I2024" t="n">
        <v>0</v>
      </c>
      <c r="J2024" t="n">
        <v>0</v>
      </c>
      <c r="K2024" t="n">
        <v>0</v>
      </c>
      <c r="L2024" t="n">
        <v>0</v>
      </c>
      <c r="M2024" t="n">
        <v>0</v>
      </c>
      <c r="N2024" t="n">
        <v>0</v>
      </c>
      <c r="O2024" t="n">
        <v>0</v>
      </c>
      <c r="P2024" t="n">
        <v>0</v>
      </c>
      <c r="Q2024" t="n">
        <v>0</v>
      </c>
      <c r="R2024" s="2" t="inlineStr"/>
    </row>
    <row r="2025" ht="15" customHeight="1">
      <c r="A2025" t="inlineStr">
        <is>
          <t>A 35879-2024</t>
        </is>
      </c>
      <c r="B2025" s="1" t="n">
        <v>45533.35337962963</v>
      </c>
      <c r="C2025" s="1" t="n">
        <v>45911</v>
      </c>
      <c r="D2025" t="inlineStr">
        <is>
          <t>GÄVLEBORGS LÄN</t>
        </is>
      </c>
      <c r="E2025" t="inlineStr">
        <is>
          <t>HUDIKSVALL</t>
        </is>
      </c>
      <c r="G2025" t="n">
        <v>3.8</v>
      </c>
      <c r="H2025" t="n">
        <v>0</v>
      </c>
      <c r="I2025" t="n">
        <v>0</v>
      </c>
      <c r="J2025" t="n">
        <v>0</v>
      </c>
      <c r="K2025" t="n">
        <v>0</v>
      </c>
      <c r="L2025" t="n">
        <v>0</v>
      </c>
      <c r="M2025" t="n">
        <v>0</v>
      </c>
      <c r="N2025" t="n">
        <v>0</v>
      </c>
      <c r="O2025" t="n">
        <v>0</v>
      </c>
      <c r="P2025" t="n">
        <v>0</v>
      </c>
      <c r="Q2025" t="n">
        <v>0</v>
      </c>
      <c r="R2025" s="2" t="inlineStr"/>
    </row>
    <row r="2026" ht="15" customHeight="1">
      <c r="A2026" t="inlineStr">
        <is>
          <t>A 25564-2023</t>
        </is>
      </c>
      <c r="B2026" s="1" t="n">
        <v>45089.60670138889</v>
      </c>
      <c r="C2026" s="1" t="n">
        <v>45911</v>
      </c>
      <c r="D2026" t="inlineStr">
        <is>
          <t>GÄVLEBORGS LÄN</t>
        </is>
      </c>
      <c r="E2026" t="inlineStr">
        <is>
          <t>LJUSDAL</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17256-2024</t>
        </is>
      </c>
      <c r="B2027" s="1" t="n">
        <v>45414.41319444445</v>
      </c>
      <c r="C2027" s="1" t="n">
        <v>45911</v>
      </c>
      <c r="D2027" t="inlineStr">
        <is>
          <t>GÄVLEBORGS LÄN</t>
        </is>
      </c>
      <c r="E2027" t="inlineStr">
        <is>
          <t>SANDVIKEN</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22495-2025</t>
        </is>
      </c>
      <c r="B2028" s="1" t="n">
        <v>45786.65537037037</v>
      </c>
      <c r="C2028" s="1" t="n">
        <v>45911</v>
      </c>
      <c r="D2028" t="inlineStr">
        <is>
          <t>GÄVLEBORGS LÄN</t>
        </is>
      </c>
      <c r="E2028" t="inlineStr">
        <is>
          <t>SANDVIKEN</t>
        </is>
      </c>
      <c r="F2028" t="inlineStr">
        <is>
          <t>Sveaskog</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43016-2022</t>
        </is>
      </c>
      <c r="B2029" s="1" t="n">
        <v>44833</v>
      </c>
      <c r="C2029" s="1" t="n">
        <v>45911</v>
      </c>
      <c r="D2029" t="inlineStr">
        <is>
          <t>GÄVLEBORGS LÄN</t>
        </is>
      </c>
      <c r="E2029" t="inlineStr">
        <is>
          <t>LJUSDAL</t>
        </is>
      </c>
      <c r="F2029" t="inlineStr">
        <is>
          <t>Naturvårdsverket</t>
        </is>
      </c>
      <c r="G2029" t="n">
        <v>4.9</v>
      </c>
      <c r="H2029" t="n">
        <v>0</v>
      </c>
      <c r="I2029" t="n">
        <v>0</v>
      </c>
      <c r="J2029" t="n">
        <v>0</v>
      </c>
      <c r="K2029" t="n">
        <v>0</v>
      </c>
      <c r="L2029" t="n">
        <v>0</v>
      </c>
      <c r="M2029" t="n">
        <v>0</v>
      </c>
      <c r="N2029" t="n">
        <v>0</v>
      </c>
      <c r="O2029" t="n">
        <v>0</v>
      </c>
      <c r="P2029" t="n">
        <v>0</v>
      </c>
      <c r="Q2029" t="n">
        <v>0</v>
      </c>
      <c r="R2029" s="2" t="inlineStr"/>
    </row>
    <row r="2030" ht="15" customHeight="1">
      <c r="A2030" t="inlineStr">
        <is>
          <t>A 32164-2024</t>
        </is>
      </c>
      <c r="B2030" s="1" t="n">
        <v>45511.59428240741</v>
      </c>
      <c r="C2030" s="1" t="n">
        <v>45911</v>
      </c>
      <c r="D2030" t="inlineStr">
        <is>
          <t>GÄVLEBORGS LÄN</t>
        </is>
      </c>
      <c r="E2030" t="inlineStr">
        <is>
          <t>LJUSDAL</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23854-2021</t>
        </is>
      </c>
      <c r="B2031" s="1" t="n">
        <v>44335</v>
      </c>
      <c r="C2031" s="1" t="n">
        <v>45911</v>
      </c>
      <c r="D2031" t="inlineStr">
        <is>
          <t>GÄVLEBORGS LÄN</t>
        </is>
      </c>
      <c r="E2031" t="inlineStr">
        <is>
          <t>SANDVIKEN</t>
        </is>
      </c>
      <c r="G2031" t="n">
        <v>5.4</v>
      </c>
      <c r="H2031" t="n">
        <v>0</v>
      </c>
      <c r="I2031" t="n">
        <v>0</v>
      </c>
      <c r="J2031" t="n">
        <v>0</v>
      </c>
      <c r="K2031" t="n">
        <v>0</v>
      </c>
      <c r="L2031" t="n">
        <v>0</v>
      </c>
      <c r="M2031" t="n">
        <v>0</v>
      </c>
      <c r="N2031" t="n">
        <v>0</v>
      </c>
      <c r="O2031" t="n">
        <v>0</v>
      </c>
      <c r="P2031" t="n">
        <v>0</v>
      </c>
      <c r="Q2031" t="n">
        <v>0</v>
      </c>
      <c r="R2031" s="2" t="inlineStr"/>
    </row>
    <row r="2032" ht="15" customHeight="1">
      <c r="A2032" t="inlineStr">
        <is>
          <t>A 49855-2023</t>
        </is>
      </c>
      <c r="B2032" s="1" t="n">
        <v>45212.92893518518</v>
      </c>
      <c r="C2032" s="1" t="n">
        <v>45911</v>
      </c>
      <c r="D2032" t="inlineStr">
        <is>
          <t>GÄVLEBORGS LÄN</t>
        </is>
      </c>
      <c r="E2032" t="inlineStr">
        <is>
          <t>LJUSDAL</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32353-2023</t>
        </is>
      </c>
      <c r="B2033" s="1" t="n">
        <v>45120.51550925926</v>
      </c>
      <c r="C2033" s="1" t="n">
        <v>45911</v>
      </c>
      <c r="D2033" t="inlineStr">
        <is>
          <t>GÄVLEBORGS LÄN</t>
        </is>
      </c>
      <c r="E2033" t="inlineStr">
        <is>
          <t>GÄVLE</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835-2023</t>
        </is>
      </c>
      <c r="B2034" s="1" t="n">
        <v>44931</v>
      </c>
      <c r="C2034" s="1" t="n">
        <v>45911</v>
      </c>
      <c r="D2034" t="inlineStr">
        <is>
          <t>GÄVLEBORGS LÄN</t>
        </is>
      </c>
      <c r="E2034" t="inlineStr">
        <is>
          <t>LJUSDAL</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48755-2024</t>
        </is>
      </c>
      <c r="B2035" s="1" t="n">
        <v>45593.59631944444</v>
      </c>
      <c r="C2035" s="1" t="n">
        <v>45911</v>
      </c>
      <c r="D2035" t="inlineStr">
        <is>
          <t>GÄVLEBORGS LÄN</t>
        </is>
      </c>
      <c r="E2035" t="inlineStr">
        <is>
          <t>OVANÅKER</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23638-2024</t>
        </is>
      </c>
      <c r="B2036" s="1" t="n">
        <v>45454.48969907407</v>
      </c>
      <c r="C2036" s="1" t="n">
        <v>45911</v>
      </c>
      <c r="D2036" t="inlineStr">
        <is>
          <t>GÄVLEBORGS LÄN</t>
        </is>
      </c>
      <c r="E2036" t="inlineStr">
        <is>
          <t>GÄVLE</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22600-2025</t>
        </is>
      </c>
      <c r="B2037" s="1" t="n">
        <v>45789.41515046296</v>
      </c>
      <c r="C2037" s="1" t="n">
        <v>45911</v>
      </c>
      <c r="D2037" t="inlineStr">
        <is>
          <t>GÄVLEBORGS LÄN</t>
        </is>
      </c>
      <c r="E2037" t="inlineStr">
        <is>
          <t>HUDIKSVALL</t>
        </is>
      </c>
      <c r="F2037" t="inlineStr">
        <is>
          <t>Holmen skog AB</t>
        </is>
      </c>
      <c r="G2037" t="n">
        <v>4.9</v>
      </c>
      <c r="H2037" t="n">
        <v>0</v>
      </c>
      <c r="I2037" t="n">
        <v>0</v>
      </c>
      <c r="J2037" t="n">
        <v>0</v>
      </c>
      <c r="K2037" t="n">
        <v>0</v>
      </c>
      <c r="L2037" t="n">
        <v>0</v>
      </c>
      <c r="M2037" t="n">
        <v>0</v>
      </c>
      <c r="N2037" t="n">
        <v>0</v>
      </c>
      <c r="O2037" t="n">
        <v>0</v>
      </c>
      <c r="P2037" t="n">
        <v>0</v>
      </c>
      <c r="Q2037" t="n">
        <v>0</v>
      </c>
      <c r="R2037" s="2" t="inlineStr"/>
    </row>
    <row r="2038" ht="15" customHeight="1">
      <c r="A2038" t="inlineStr">
        <is>
          <t>A 62646-2023</t>
        </is>
      </c>
      <c r="B2038" s="1" t="n">
        <v>45271.42679398148</v>
      </c>
      <c r="C2038" s="1" t="n">
        <v>45911</v>
      </c>
      <c r="D2038" t="inlineStr">
        <is>
          <t>GÄVLEBORGS LÄN</t>
        </is>
      </c>
      <c r="E2038" t="inlineStr">
        <is>
          <t>NORDANSTIG</t>
        </is>
      </c>
      <c r="G2038" t="n">
        <v>4.1</v>
      </c>
      <c r="H2038" t="n">
        <v>0</v>
      </c>
      <c r="I2038" t="n">
        <v>0</v>
      </c>
      <c r="J2038" t="n">
        <v>0</v>
      </c>
      <c r="K2038" t="n">
        <v>0</v>
      </c>
      <c r="L2038" t="n">
        <v>0</v>
      </c>
      <c r="M2038" t="n">
        <v>0</v>
      </c>
      <c r="N2038" t="n">
        <v>0</v>
      </c>
      <c r="O2038" t="n">
        <v>0</v>
      </c>
      <c r="P2038" t="n">
        <v>0</v>
      </c>
      <c r="Q2038" t="n">
        <v>0</v>
      </c>
      <c r="R2038" s="2" t="inlineStr"/>
    </row>
    <row r="2039" ht="15" customHeight="1">
      <c r="A2039" t="inlineStr">
        <is>
          <t>A 48649-2024</t>
        </is>
      </c>
      <c r="B2039" s="1" t="n">
        <v>45593.47898148148</v>
      </c>
      <c r="C2039" s="1" t="n">
        <v>45911</v>
      </c>
      <c r="D2039" t="inlineStr">
        <is>
          <t>GÄVLEBORGS LÄN</t>
        </is>
      </c>
      <c r="E2039" t="inlineStr">
        <is>
          <t>HUDIKSVALL</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60193-2024</t>
        </is>
      </c>
      <c r="B2040" s="1" t="n">
        <v>45642.65353009259</v>
      </c>
      <c r="C2040" s="1" t="n">
        <v>45911</v>
      </c>
      <c r="D2040" t="inlineStr">
        <is>
          <t>GÄVLEBORGS LÄN</t>
        </is>
      </c>
      <c r="E2040" t="inlineStr">
        <is>
          <t>NORDANSTIG</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60359-2024</t>
        </is>
      </c>
      <c r="B2041" s="1" t="n">
        <v>45643.44834490741</v>
      </c>
      <c r="C2041" s="1" t="n">
        <v>45911</v>
      </c>
      <c r="D2041" t="inlineStr">
        <is>
          <t>GÄVLEBORGS LÄN</t>
        </is>
      </c>
      <c r="E2041" t="inlineStr">
        <is>
          <t>HUDIKSVALL</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32291-2024</t>
        </is>
      </c>
      <c r="B2042" s="1" t="n">
        <v>45512.42832175926</v>
      </c>
      <c r="C2042" s="1" t="n">
        <v>45911</v>
      </c>
      <c r="D2042" t="inlineStr">
        <is>
          <t>GÄVLEBORGS LÄN</t>
        </is>
      </c>
      <c r="E2042" t="inlineStr">
        <is>
          <t>SANDVIKEN</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42780-2022</t>
        </is>
      </c>
      <c r="B2043" s="1" t="n">
        <v>44832.5190625</v>
      </c>
      <c r="C2043" s="1" t="n">
        <v>45911</v>
      </c>
      <c r="D2043" t="inlineStr">
        <is>
          <t>GÄVLEBORGS LÄN</t>
        </is>
      </c>
      <c r="E2043" t="inlineStr">
        <is>
          <t>NORDANSTIG</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20282-2025</t>
        </is>
      </c>
      <c r="B2044" s="1" t="n">
        <v>45774.49193287037</v>
      </c>
      <c r="C2044" s="1" t="n">
        <v>45911</v>
      </c>
      <c r="D2044" t="inlineStr">
        <is>
          <t>GÄVLEBORGS LÄN</t>
        </is>
      </c>
      <c r="E2044" t="inlineStr">
        <is>
          <t>BOLLNÄS</t>
        </is>
      </c>
      <c r="F2044" t="inlineStr">
        <is>
          <t>Bergvik skog väst AB</t>
        </is>
      </c>
      <c r="G2044" t="n">
        <v>5.3</v>
      </c>
      <c r="H2044" t="n">
        <v>0</v>
      </c>
      <c r="I2044" t="n">
        <v>0</v>
      </c>
      <c r="J2044" t="n">
        <v>0</v>
      </c>
      <c r="K2044" t="n">
        <v>0</v>
      </c>
      <c r="L2044" t="n">
        <v>0</v>
      </c>
      <c r="M2044" t="n">
        <v>0</v>
      </c>
      <c r="N2044" t="n">
        <v>0</v>
      </c>
      <c r="O2044" t="n">
        <v>0</v>
      </c>
      <c r="P2044" t="n">
        <v>0</v>
      </c>
      <c r="Q2044" t="n">
        <v>0</v>
      </c>
      <c r="R2044" s="2" t="inlineStr"/>
    </row>
    <row r="2045" ht="15" customHeight="1">
      <c r="A2045" t="inlineStr">
        <is>
          <t>A 32308-2024</t>
        </is>
      </c>
      <c r="B2045" s="1" t="n">
        <v>45512.45641203703</v>
      </c>
      <c r="C2045" s="1" t="n">
        <v>45911</v>
      </c>
      <c r="D2045" t="inlineStr">
        <is>
          <t>GÄVLEBORGS LÄN</t>
        </is>
      </c>
      <c r="E2045" t="inlineStr">
        <is>
          <t>HUDIKSVALL</t>
        </is>
      </c>
      <c r="F2045" t="inlineStr">
        <is>
          <t>Holmen skog AB</t>
        </is>
      </c>
      <c r="G2045" t="n">
        <v>6.8</v>
      </c>
      <c r="H2045" t="n">
        <v>0</v>
      </c>
      <c r="I2045" t="n">
        <v>0</v>
      </c>
      <c r="J2045" t="n">
        <v>0</v>
      </c>
      <c r="K2045" t="n">
        <v>0</v>
      </c>
      <c r="L2045" t="n">
        <v>0</v>
      </c>
      <c r="M2045" t="n">
        <v>0</v>
      </c>
      <c r="N2045" t="n">
        <v>0</v>
      </c>
      <c r="O2045" t="n">
        <v>0</v>
      </c>
      <c r="P2045" t="n">
        <v>0</v>
      </c>
      <c r="Q2045" t="n">
        <v>0</v>
      </c>
      <c r="R2045" s="2" t="inlineStr"/>
    </row>
    <row r="2046" ht="15" customHeight="1">
      <c r="A2046" t="inlineStr">
        <is>
          <t>A 32345-2024</t>
        </is>
      </c>
      <c r="B2046" s="1" t="n">
        <v>45512.52994212963</v>
      </c>
      <c r="C2046" s="1" t="n">
        <v>45911</v>
      </c>
      <c r="D2046" t="inlineStr">
        <is>
          <t>GÄVLEBORGS LÄN</t>
        </is>
      </c>
      <c r="E2046" t="inlineStr">
        <is>
          <t>OVANÅKER</t>
        </is>
      </c>
      <c r="F2046" t="inlineStr">
        <is>
          <t>Bergvik skog väst AB</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20572-2024</t>
        </is>
      </c>
      <c r="B2047" s="1" t="n">
        <v>45436</v>
      </c>
      <c r="C2047" s="1" t="n">
        <v>45911</v>
      </c>
      <c r="D2047" t="inlineStr">
        <is>
          <t>GÄVLEBORGS LÄN</t>
        </is>
      </c>
      <c r="E2047" t="inlineStr">
        <is>
          <t>BOLLNÄS</t>
        </is>
      </c>
      <c r="F2047" t="inlineStr">
        <is>
          <t>Bergvik skog väst AB</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23417-2023</t>
        </is>
      </c>
      <c r="B2048" s="1" t="n">
        <v>45076</v>
      </c>
      <c r="C2048" s="1" t="n">
        <v>45911</v>
      </c>
      <c r="D2048" t="inlineStr">
        <is>
          <t>GÄVLEBORGS LÄN</t>
        </is>
      </c>
      <c r="E2048" t="inlineStr">
        <is>
          <t>NORDANSTIG</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59817-2023</t>
        </is>
      </c>
      <c r="B2049" s="1" t="n">
        <v>45257.52494212963</v>
      </c>
      <c r="C2049" s="1" t="n">
        <v>45911</v>
      </c>
      <c r="D2049" t="inlineStr">
        <is>
          <t>GÄVLEBORGS LÄN</t>
        </is>
      </c>
      <c r="E2049" t="inlineStr">
        <is>
          <t>GÄVLE</t>
        </is>
      </c>
      <c r="F2049" t="inlineStr">
        <is>
          <t>Bergvik skog väst AB</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51734-2022</t>
        </is>
      </c>
      <c r="B2050" s="1" t="n">
        <v>44872.47747685185</v>
      </c>
      <c r="C2050" s="1" t="n">
        <v>45911</v>
      </c>
      <c r="D2050" t="inlineStr">
        <is>
          <t>GÄVLEBORGS LÄN</t>
        </is>
      </c>
      <c r="E2050" t="inlineStr">
        <is>
          <t>OVANÅKER</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39156-2021</t>
        </is>
      </c>
      <c r="B2051" s="1" t="n">
        <v>44412.7115162037</v>
      </c>
      <c r="C2051" s="1" t="n">
        <v>45911</v>
      </c>
      <c r="D2051" t="inlineStr">
        <is>
          <t>GÄVLEBORGS LÄN</t>
        </is>
      </c>
      <c r="E2051" t="inlineStr">
        <is>
          <t>HUDIKSVALL</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7149-2022</t>
        </is>
      </c>
      <c r="B2052" s="1" t="n">
        <v>44603</v>
      </c>
      <c r="C2052" s="1" t="n">
        <v>45911</v>
      </c>
      <c r="D2052" t="inlineStr">
        <is>
          <t>GÄVLEBORGS LÄN</t>
        </is>
      </c>
      <c r="E2052" t="inlineStr">
        <is>
          <t>NORDANSTIG</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46724-2024</t>
        </is>
      </c>
      <c r="B2053" s="1" t="n">
        <v>45583.46032407408</v>
      </c>
      <c r="C2053" s="1" t="n">
        <v>45911</v>
      </c>
      <c r="D2053" t="inlineStr">
        <is>
          <t>GÄVLEBORGS LÄN</t>
        </is>
      </c>
      <c r="E2053" t="inlineStr">
        <is>
          <t>BOLLNÄS</t>
        </is>
      </c>
      <c r="G2053" t="n">
        <v>6.9</v>
      </c>
      <c r="H2053" t="n">
        <v>0</v>
      </c>
      <c r="I2053" t="n">
        <v>0</v>
      </c>
      <c r="J2053" t="n">
        <v>0</v>
      </c>
      <c r="K2053" t="n">
        <v>0</v>
      </c>
      <c r="L2053" t="n">
        <v>0</v>
      </c>
      <c r="M2053" t="n">
        <v>0</v>
      </c>
      <c r="N2053" t="n">
        <v>0</v>
      </c>
      <c r="O2053" t="n">
        <v>0</v>
      </c>
      <c r="P2053" t="n">
        <v>0</v>
      </c>
      <c r="Q2053" t="n">
        <v>0</v>
      </c>
      <c r="R2053" s="2" t="inlineStr"/>
    </row>
    <row r="2054" ht="15" customHeight="1">
      <c r="A2054" t="inlineStr">
        <is>
          <t>A 70264-2021</t>
        </is>
      </c>
      <c r="B2054" s="1" t="n">
        <v>44536</v>
      </c>
      <c r="C2054" s="1" t="n">
        <v>45911</v>
      </c>
      <c r="D2054" t="inlineStr">
        <is>
          <t>GÄVLEBORGS LÄN</t>
        </is>
      </c>
      <c r="E2054" t="inlineStr">
        <is>
          <t>HUDIKSVALL</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22645-2025</t>
        </is>
      </c>
      <c r="B2055" s="1" t="n">
        <v>45789.4640162037</v>
      </c>
      <c r="C2055" s="1" t="n">
        <v>45911</v>
      </c>
      <c r="D2055" t="inlineStr">
        <is>
          <t>GÄVLEBORGS LÄN</t>
        </is>
      </c>
      <c r="E2055" t="inlineStr">
        <is>
          <t>GÄVLE</t>
        </is>
      </c>
      <c r="F2055" t="inlineStr">
        <is>
          <t>Bergvik skog väst AB</t>
        </is>
      </c>
      <c r="G2055" t="n">
        <v>5</v>
      </c>
      <c r="H2055" t="n">
        <v>0</v>
      </c>
      <c r="I2055" t="n">
        <v>0</v>
      </c>
      <c r="J2055" t="n">
        <v>0</v>
      </c>
      <c r="K2055" t="n">
        <v>0</v>
      </c>
      <c r="L2055" t="n">
        <v>0</v>
      </c>
      <c r="M2055" t="n">
        <v>0</v>
      </c>
      <c r="N2055" t="n">
        <v>0</v>
      </c>
      <c r="O2055" t="n">
        <v>0</v>
      </c>
      <c r="P2055" t="n">
        <v>0</v>
      </c>
      <c r="Q2055" t="n">
        <v>0</v>
      </c>
      <c r="R2055" s="2" t="inlineStr"/>
    </row>
    <row r="2056" ht="15" customHeight="1">
      <c r="A2056" t="inlineStr">
        <is>
          <t>A 22689-2025</t>
        </is>
      </c>
      <c r="B2056" s="1" t="n">
        <v>45789.52925925926</v>
      </c>
      <c r="C2056" s="1" t="n">
        <v>45911</v>
      </c>
      <c r="D2056" t="inlineStr">
        <is>
          <t>GÄVLEBORGS LÄN</t>
        </is>
      </c>
      <c r="E2056" t="inlineStr">
        <is>
          <t>NORDANSTIG</t>
        </is>
      </c>
      <c r="F2056" t="inlineStr">
        <is>
          <t>Holmen skog AB</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66418-2021</t>
        </is>
      </c>
      <c r="B2057" s="1" t="n">
        <v>44518</v>
      </c>
      <c r="C2057" s="1" t="n">
        <v>45911</v>
      </c>
      <c r="D2057" t="inlineStr">
        <is>
          <t>GÄVLEBORGS LÄN</t>
        </is>
      </c>
      <c r="E2057" t="inlineStr">
        <is>
          <t>HUDIKSVALL</t>
        </is>
      </c>
      <c r="F2057" t="inlineStr">
        <is>
          <t>Holmen skog AB</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23772-2024</t>
        </is>
      </c>
      <c r="B2058" s="1" t="n">
        <v>45455.3833912037</v>
      </c>
      <c r="C2058" s="1" t="n">
        <v>45911</v>
      </c>
      <c r="D2058" t="inlineStr">
        <is>
          <t>GÄVLEBORGS LÄN</t>
        </is>
      </c>
      <c r="E2058" t="inlineStr">
        <is>
          <t>OCKELBO</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25828-2024</t>
        </is>
      </c>
      <c r="B2059" s="1" t="n">
        <v>45467.40458333334</v>
      </c>
      <c r="C2059" s="1" t="n">
        <v>45911</v>
      </c>
      <c r="D2059" t="inlineStr">
        <is>
          <t>GÄVLEBORGS LÄN</t>
        </is>
      </c>
      <c r="E2059" t="inlineStr">
        <is>
          <t>SANDVIKEN</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23809-2024</t>
        </is>
      </c>
      <c r="B2060" s="1" t="n">
        <v>45455.44559027778</v>
      </c>
      <c r="C2060" s="1" t="n">
        <v>45911</v>
      </c>
      <c r="D2060" t="inlineStr">
        <is>
          <t>GÄVLEBORGS LÄN</t>
        </is>
      </c>
      <c r="E2060" t="inlineStr">
        <is>
          <t>BOLLNÄS</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12228-2022</t>
        </is>
      </c>
      <c r="B2061" s="1" t="n">
        <v>44637.36871527778</v>
      </c>
      <c r="C2061" s="1" t="n">
        <v>45911</v>
      </c>
      <c r="D2061" t="inlineStr">
        <is>
          <t>GÄVLEBORGS LÄN</t>
        </is>
      </c>
      <c r="E2061" t="inlineStr">
        <is>
          <t>GÄVLE</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46539-2021</t>
        </is>
      </c>
      <c r="B2062" s="1" t="n">
        <v>44445.46751157408</v>
      </c>
      <c r="C2062" s="1" t="n">
        <v>45911</v>
      </c>
      <c r="D2062" t="inlineStr">
        <is>
          <t>GÄVLEBORGS LÄN</t>
        </is>
      </c>
      <c r="E2062" t="inlineStr">
        <is>
          <t>GÄVLE</t>
        </is>
      </c>
      <c r="F2062" t="inlineStr">
        <is>
          <t>Bergvik skog väst AB</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61774-2023</t>
        </is>
      </c>
      <c r="B2063" s="1" t="n">
        <v>45265</v>
      </c>
      <c r="C2063" s="1" t="n">
        <v>45911</v>
      </c>
      <c r="D2063" t="inlineStr">
        <is>
          <t>GÄVLEBORGS LÄN</t>
        </is>
      </c>
      <c r="E2063" t="inlineStr">
        <is>
          <t>HUDIKSVALL</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46733-2021</t>
        </is>
      </c>
      <c r="B2064" s="1" t="n">
        <v>44445.67016203704</v>
      </c>
      <c r="C2064" s="1" t="n">
        <v>45911</v>
      </c>
      <c r="D2064" t="inlineStr">
        <is>
          <t>GÄVLEBORGS LÄN</t>
        </is>
      </c>
      <c r="E2064" t="inlineStr">
        <is>
          <t>OVANÅKER</t>
        </is>
      </c>
      <c r="F2064" t="inlineStr">
        <is>
          <t>Sveaskog</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48191-2020</t>
        </is>
      </c>
      <c r="B2065" s="1" t="n">
        <v>44102</v>
      </c>
      <c r="C2065" s="1" t="n">
        <v>45911</v>
      </c>
      <c r="D2065" t="inlineStr">
        <is>
          <t>GÄVLEBORGS LÄN</t>
        </is>
      </c>
      <c r="E2065" t="inlineStr">
        <is>
          <t>HUDIKSVALL</t>
        </is>
      </c>
      <c r="F2065" t="inlineStr">
        <is>
          <t>Holmen skog AB</t>
        </is>
      </c>
      <c r="G2065" t="n">
        <v>6.2</v>
      </c>
      <c r="H2065" t="n">
        <v>0</v>
      </c>
      <c r="I2065" t="n">
        <v>0</v>
      </c>
      <c r="J2065" t="n">
        <v>0</v>
      </c>
      <c r="K2065" t="n">
        <v>0</v>
      </c>
      <c r="L2065" t="n">
        <v>0</v>
      </c>
      <c r="M2065" t="n">
        <v>0</v>
      </c>
      <c r="N2065" t="n">
        <v>0</v>
      </c>
      <c r="O2065" t="n">
        <v>0</v>
      </c>
      <c r="P2065" t="n">
        <v>0</v>
      </c>
      <c r="Q2065" t="n">
        <v>0</v>
      </c>
      <c r="R2065" s="2" t="inlineStr"/>
    </row>
    <row r="2066" ht="15" customHeight="1">
      <c r="A2066" t="inlineStr">
        <is>
          <t>A 57949-2022</t>
        </is>
      </c>
      <c r="B2066" s="1" t="n">
        <v>44900.41127314815</v>
      </c>
      <c r="C2066" s="1" t="n">
        <v>45911</v>
      </c>
      <c r="D2066" t="inlineStr">
        <is>
          <t>GÄVLEBORGS LÄN</t>
        </is>
      </c>
      <c r="E2066" t="inlineStr">
        <is>
          <t>LJUSDAL</t>
        </is>
      </c>
      <c r="F2066" t="inlineStr">
        <is>
          <t>Holmen skog AB</t>
        </is>
      </c>
      <c r="G2066" t="n">
        <v>6.4</v>
      </c>
      <c r="H2066" t="n">
        <v>0</v>
      </c>
      <c r="I2066" t="n">
        <v>0</v>
      </c>
      <c r="J2066" t="n">
        <v>0</v>
      </c>
      <c r="K2066" t="n">
        <v>0</v>
      </c>
      <c r="L2066" t="n">
        <v>0</v>
      </c>
      <c r="M2066" t="n">
        <v>0</v>
      </c>
      <c r="N2066" t="n">
        <v>0</v>
      </c>
      <c r="O2066" t="n">
        <v>0</v>
      </c>
      <c r="P2066" t="n">
        <v>0</v>
      </c>
      <c r="Q2066" t="n">
        <v>0</v>
      </c>
      <c r="R2066" s="2" t="inlineStr"/>
    </row>
    <row r="2067" ht="15" customHeight="1">
      <c r="A2067" t="inlineStr">
        <is>
          <t>A 61848-2023</t>
        </is>
      </c>
      <c r="B2067" s="1" t="n">
        <v>45265</v>
      </c>
      <c r="C2067" s="1" t="n">
        <v>45911</v>
      </c>
      <c r="D2067" t="inlineStr">
        <is>
          <t>GÄVLEBORGS LÄN</t>
        </is>
      </c>
      <c r="E2067" t="inlineStr">
        <is>
          <t>SANDVIKEN</t>
        </is>
      </c>
      <c r="G2067" t="n">
        <v>4.4</v>
      </c>
      <c r="H2067" t="n">
        <v>0</v>
      </c>
      <c r="I2067" t="n">
        <v>0</v>
      </c>
      <c r="J2067" t="n">
        <v>0</v>
      </c>
      <c r="K2067" t="n">
        <v>0</v>
      </c>
      <c r="L2067" t="n">
        <v>0</v>
      </c>
      <c r="M2067" t="n">
        <v>0</v>
      </c>
      <c r="N2067" t="n">
        <v>0</v>
      </c>
      <c r="O2067" t="n">
        <v>0</v>
      </c>
      <c r="P2067" t="n">
        <v>0</v>
      </c>
      <c r="Q2067" t="n">
        <v>0</v>
      </c>
      <c r="R2067" s="2" t="inlineStr"/>
    </row>
    <row r="2068" ht="15" customHeight="1">
      <c r="A2068" t="inlineStr">
        <is>
          <t>A 18614-2023</t>
        </is>
      </c>
      <c r="B2068" s="1" t="n">
        <v>45043</v>
      </c>
      <c r="C2068" s="1" t="n">
        <v>45911</v>
      </c>
      <c r="D2068" t="inlineStr">
        <is>
          <t>GÄVLEBORGS LÄN</t>
        </is>
      </c>
      <c r="E2068" t="inlineStr">
        <is>
          <t>BOLLNÄS</t>
        </is>
      </c>
      <c r="G2068" t="n">
        <v>5.4</v>
      </c>
      <c r="H2068" t="n">
        <v>0</v>
      </c>
      <c r="I2068" t="n">
        <v>0</v>
      </c>
      <c r="J2068" t="n">
        <v>0</v>
      </c>
      <c r="K2068" t="n">
        <v>0</v>
      </c>
      <c r="L2068" t="n">
        <v>0</v>
      </c>
      <c r="M2068" t="n">
        <v>0</v>
      </c>
      <c r="N2068" t="n">
        <v>0</v>
      </c>
      <c r="O2068" t="n">
        <v>0</v>
      </c>
      <c r="P2068" t="n">
        <v>0</v>
      </c>
      <c r="Q2068" t="n">
        <v>0</v>
      </c>
      <c r="R2068" s="2" t="inlineStr"/>
    </row>
    <row r="2069" ht="15" customHeight="1">
      <c r="A2069" t="inlineStr">
        <is>
          <t>A 22903-2025</t>
        </is>
      </c>
      <c r="B2069" s="1" t="n">
        <v>45790.41447916667</v>
      </c>
      <c r="C2069" s="1" t="n">
        <v>45911</v>
      </c>
      <c r="D2069" t="inlineStr">
        <is>
          <t>GÄVLEBORGS LÄN</t>
        </is>
      </c>
      <c r="E2069" t="inlineStr">
        <is>
          <t>HUDIKSVALL</t>
        </is>
      </c>
      <c r="F2069" t="inlineStr">
        <is>
          <t>Holmen skog AB</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60194-2023</t>
        </is>
      </c>
      <c r="B2070" s="1" t="n">
        <v>45258.58299768518</v>
      </c>
      <c r="C2070" s="1" t="n">
        <v>45911</v>
      </c>
      <c r="D2070" t="inlineStr">
        <is>
          <t>GÄVLEBORGS LÄN</t>
        </is>
      </c>
      <c r="E2070" t="inlineStr">
        <is>
          <t>HUDIKSVALL</t>
        </is>
      </c>
      <c r="F2070" t="inlineStr">
        <is>
          <t>Holmen skog AB</t>
        </is>
      </c>
      <c r="G2070" t="n">
        <v>5.8</v>
      </c>
      <c r="H2070" t="n">
        <v>0</v>
      </c>
      <c r="I2070" t="n">
        <v>0</v>
      </c>
      <c r="J2070" t="n">
        <v>0</v>
      </c>
      <c r="K2070" t="n">
        <v>0</v>
      </c>
      <c r="L2070" t="n">
        <v>0</v>
      </c>
      <c r="M2070" t="n">
        <v>0</v>
      </c>
      <c r="N2070" t="n">
        <v>0</v>
      </c>
      <c r="O2070" t="n">
        <v>0</v>
      </c>
      <c r="P2070" t="n">
        <v>0</v>
      </c>
      <c r="Q2070" t="n">
        <v>0</v>
      </c>
      <c r="R2070" s="2" t="inlineStr"/>
    </row>
    <row r="2071" ht="15" customHeight="1">
      <c r="A2071" t="inlineStr">
        <is>
          <t>A 60218-2023</t>
        </is>
      </c>
      <c r="B2071" s="1" t="n">
        <v>45258.61202546296</v>
      </c>
      <c r="C2071" s="1" t="n">
        <v>45911</v>
      </c>
      <c r="D2071" t="inlineStr">
        <is>
          <t>GÄVLEBORGS LÄN</t>
        </is>
      </c>
      <c r="E2071" t="inlineStr">
        <is>
          <t>OVANÅKER</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9988-2025</t>
        </is>
      </c>
      <c r="B2072" s="1" t="n">
        <v>45719.42697916667</v>
      </c>
      <c r="C2072" s="1" t="n">
        <v>45911</v>
      </c>
      <c r="D2072" t="inlineStr">
        <is>
          <t>GÄVLEBORGS LÄN</t>
        </is>
      </c>
      <c r="E2072" t="inlineStr">
        <is>
          <t>GÄVLE</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10001-2025</t>
        </is>
      </c>
      <c r="B2073" s="1" t="n">
        <v>45719.44918981481</v>
      </c>
      <c r="C2073" s="1" t="n">
        <v>45911</v>
      </c>
      <c r="D2073" t="inlineStr">
        <is>
          <t>GÄVLEBORGS LÄN</t>
        </is>
      </c>
      <c r="E2073" t="inlineStr">
        <is>
          <t>GÄVLE</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56082-2024</t>
        </is>
      </c>
      <c r="B2074" s="1" t="n">
        <v>45624.39293981482</v>
      </c>
      <c r="C2074" s="1" t="n">
        <v>45911</v>
      </c>
      <c r="D2074" t="inlineStr">
        <is>
          <t>GÄVLEBORGS LÄN</t>
        </is>
      </c>
      <c r="E2074" t="inlineStr">
        <is>
          <t>LJUSDAL</t>
        </is>
      </c>
      <c r="G2074" t="n">
        <v>3.9</v>
      </c>
      <c r="H2074" t="n">
        <v>0</v>
      </c>
      <c r="I2074" t="n">
        <v>0</v>
      </c>
      <c r="J2074" t="n">
        <v>0</v>
      </c>
      <c r="K2074" t="n">
        <v>0</v>
      </c>
      <c r="L2074" t="n">
        <v>0</v>
      </c>
      <c r="M2074" t="n">
        <v>0</v>
      </c>
      <c r="N2074" t="n">
        <v>0</v>
      </c>
      <c r="O2074" t="n">
        <v>0</v>
      </c>
      <c r="P2074" t="n">
        <v>0</v>
      </c>
      <c r="Q2074" t="n">
        <v>0</v>
      </c>
      <c r="R2074" s="2" t="inlineStr"/>
    </row>
    <row r="2075" ht="15" customHeight="1">
      <c r="A2075" t="inlineStr">
        <is>
          <t>A 56087-2024</t>
        </is>
      </c>
      <c r="B2075" s="1" t="n">
        <v>45624</v>
      </c>
      <c r="C2075" s="1" t="n">
        <v>45911</v>
      </c>
      <c r="D2075" t="inlineStr">
        <is>
          <t>GÄVLEBORGS LÄN</t>
        </is>
      </c>
      <c r="E2075" t="inlineStr">
        <is>
          <t>OVANÅKER</t>
        </is>
      </c>
      <c r="G2075" t="n">
        <v>5.4</v>
      </c>
      <c r="H2075" t="n">
        <v>0</v>
      </c>
      <c r="I2075" t="n">
        <v>0</v>
      </c>
      <c r="J2075" t="n">
        <v>0</v>
      </c>
      <c r="K2075" t="n">
        <v>0</v>
      </c>
      <c r="L2075" t="n">
        <v>0</v>
      </c>
      <c r="M2075" t="n">
        <v>0</v>
      </c>
      <c r="N2075" t="n">
        <v>0</v>
      </c>
      <c r="O2075" t="n">
        <v>0</v>
      </c>
      <c r="P2075" t="n">
        <v>0</v>
      </c>
      <c r="Q2075" t="n">
        <v>0</v>
      </c>
      <c r="R2075" s="2" t="inlineStr"/>
    </row>
    <row r="2076" ht="15" customHeight="1">
      <c r="A2076" t="inlineStr">
        <is>
          <t>A 50937-2022</t>
        </is>
      </c>
      <c r="B2076" s="1" t="n">
        <v>44867.65224537037</v>
      </c>
      <c r="C2076" s="1" t="n">
        <v>45911</v>
      </c>
      <c r="D2076" t="inlineStr">
        <is>
          <t>GÄVLEBORGS LÄN</t>
        </is>
      </c>
      <c r="E2076" t="inlineStr">
        <is>
          <t>OVANÅKER</t>
        </is>
      </c>
      <c r="F2076" t="inlineStr">
        <is>
          <t>Bergvik skog väst AB</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60879-2023</t>
        </is>
      </c>
      <c r="B2077" s="1" t="n">
        <v>45261</v>
      </c>
      <c r="C2077" s="1" t="n">
        <v>45911</v>
      </c>
      <c r="D2077" t="inlineStr">
        <is>
          <t>GÄVLEBORGS LÄN</t>
        </is>
      </c>
      <c r="E2077" t="inlineStr">
        <is>
          <t>GÄVLE</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29981-2023</t>
        </is>
      </c>
      <c r="B2078" s="1" t="n">
        <v>45108.92454861111</v>
      </c>
      <c r="C2078" s="1" t="n">
        <v>45911</v>
      </c>
      <c r="D2078" t="inlineStr">
        <is>
          <t>GÄVLEBORGS LÄN</t>
        </is>
      </c>
      <c r="E2078" t="inlineStr">
        <is>
          <t>SÖDERHAMN</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29983-2023</t>
        </is>
      </c>
      <c r="B2079" s="1" t="n">
        <v>45108.92465277778</v>
      </c>
      <c r="C2079" s="1" t="n">
        <v>45911</v>
      </c>
      <c r="D2079" t="inlineStr">
        <is>
          <t>GÄVLEBORGS LÄN</t>
        </is>
      </c>
      <c r="E2079" t="inlineStr">
        <is>
          <t>SÖDERHAMN</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16776-2025</t>
        </is>
      </c>
      <c r="B2080" s="1" t="n">
        <v>45754.58342592593</v>
      </c>
      <c r="C2080" s="1" t="n">
        <v>45911</v>
      </c>
      <c r="D2080" t="inlineStr">
        <is>
          <t>GÄVLEBORGS LÄN</t>
        </is>
      </c>
      <c r="E2080" t="inlineStr">
        <is>
          <t>OCKELBO</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52785-2023</t>
        </is>
      </c>
      <c r="B2081" s="1" t="n">
        <v>45226.34331018518</v>
      </c>
      <c r="C2081" s="1" t="n">
        <v>45911</v>
      </c>
      <c r="D2081" t="inlineStr">
        <is>
          <t>GÄVLEBORGS LÄN</t>
        </is>
      </c>
      <c r="E2081" t="inlineStr">
        <is>
          <t>SANDVIKEN</t>
        </is>
      </c>
      <c r="F2081" t="inlineStr">
        <is>
          <t>Bergvik skog öst AB</t>
        </is>
      </c>
      <c r="G2081" t="n">
        <v>5.4</v>
      </c>
      <c r="H2081" t="n">
        <v>0</v>
      </c>
      <c r="I2081" t="n">
        <v>0</v>
      </c>
      <c r="J2081" t="n">
        <v>0</v>
      </c>
      <c r="K2081" t="n">
        <v>0</v>
      </c>
      <c r="L2081" t="n">
        <v>0</v>
      </c>
      <c r="M2081" t="n">
        <v>0</v>
      </c>
      <c r="N2081" t="n">
        <v>0</v>
      </c>
      <c r="O2081" t="n">
        <v>0</v>
      </c>
      <c r="P2081" t="n">
        <v>0</v>
      </c>
      <c r="Q2081" t="n">
        <v>0</v>
      </c>
      <c r="R2081" s="2" t="inlineStr"/>
    </row>
    <row r="2082" ht="15" customHeight="1">
      <c r="A2082" t="inlineStr">
        <is>
          <t>A 33231-2023</t>
        </is>
      </c>
      <c r="B2082" s="1" t="n">
        <v>45127.48289351852</v>
      </c>
      <c r="C2082" s="1" t="n">
        <v>45911</v>
      </c>
      <c r="D2082" t="inlineStr">
        <is>
          <t>GÄVLEBORGS LÄN</t>
        </is>
      </c>
      <c r="E2082" t="inlineStr">
        <is>
          <t>OVANÅKER</t>
        </is>
      </c>
      <c r="F2082" t="inlineStr">
        <is>
          <t>Bergvik skog öst AB</t>
        </is>
      </c>
      <c r="G2082" t="n">
        <v>5.8</v>
      </c>
      <c r="H2082" t="n">
        <v>0</v>
      </c>
      <c r="I2082" t="n">
        <v>0</v>
      </c>
      <c r="J2082" t="n">
        <v>0</v>
      </c>
      <c r="K2082" t="n">
        <v>0</v>
      </c>
      <c r="L2082" t="n">
        <v>0</v>
      </c>
      <c r="M2082" t="n">
        <v>0</v>
      </c>
      <c r="N2082" t="n">
        <v>0</v>
      </c>
      <c r="O2082" t="n">
        <v>0</v>
      </c>
      <c r="P2082" t="n">
        <v>0</v>
      </c>
      <c r="Q2082" t="n">
        <v>0</v>
      </c>
      <c r="R2082" s="2" t="inlineStr"/>
    </row>
    <row r="2083" ht="15" customHeight="1">
      <c r="A2083" t="inlineStr">
        <is>
          <t>A 42947-2022</t>
        </is>
      </c>
      <c r="B2083" s="1" t="n">
        <v>44833.38618055556</v>
      </c>
      <c r="C2083" s="1" t="n">
        <v>45911</v>
      </c>
      <c r="D2083" t="inlineStr">
        <is>
          <t>GÄVLEBORGS LÄN</t>
        </is>
      </c>
      <c r="E2083" t="inlineStr">
        <is>
          <t>NORDANSTIG</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42964-2022</t>
        </is>
      </c>
      <c r="B2084" s="1" t="n">
        <v>44833.41857638889</v>
      </c>
      <c r="C2084" s="1" t="n">
        <v>45911</v>
      </c>
      <c r="D2084" t="inlineStr">
        <is>
          <t>GÄVLEBORGS LÄN</t>
        </is>
      </c>
      <c r="E2084" t="inlineStr">
        <is>
          <t>LJUSDAL</t>
        </is>
      </c>
      <c r="F2084" t="inlineStr">
        <is>
          <t>Bergvik skog väst AB</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53137-2024</t>
        </is>
      </c>
      <c r="B2085" s="1" t="n">
        <v>45611.59655092593</v>
      </c>
      <c r="C2085" s="1" t="n">
        <v>45911</v>
      </c>
      <c r="D2085" t="inlineStr">
        <is>
          <t>GÄVLEBORGS LÄN</t>
        </is>
      </c>
      <c r="E2085" t="inlineStr">
        <is>
          <t>OCKELBO</t>
        </is>
      </c>
      <c r="F2085" t="inlineStr">
        <is>
          <t>Bergvik skog väst AB</t>
        </is>
      </c>
      <c r="G2085" t="n">
        <v>5.5</v>
      </c>
      <c r="H2085" t="n">
        <v>0</v>
      </c>
      <c r="I2085" t="n">
        <v>0</v>
      </c>
      <c r="J2085" t="n">
        <v>0</v>
      </c>
      <c r="K2085" t="n">
        <v>0</v>
      </c>
      <c r="L2085" t="n">
        <v>0</v>
      </c>
      <c r="M2085" t="n">
        <v>0</v>
      </c>
      <c r="N2085" t="n">
        <v>0</v>
      </c>
      <c r="O2085" t="n">
        <v>0</v>
      </c>
      <c r="P2085" t="n">
        <v>0</v>
      </c>
      <c r="Q2085" t="n">
        <v>0</v>
      </c>
      <c r="R2085" s="2" t="inlineStr"/>
    </row>
    <row r="2086" ht="15" customHeight="1">
      <c r="A2086" t="inlineStr">
        <is>
          <t>A 25647-2024</t>
        </is>
      </c>
      <c r="B2086" s="1" t="n">
        <v>45463.6680324074</v>
      </c>
      <c r="C2086" s="1" t="n">
        <v>45911</v>
      </c>
      <c r="D2086" t="inlineStr">
        <is>
          <t>GÄVLEBORGS LÄN</t>
        </is>
      </c>
      <c r="E2086" t="inlineStr">
        <is>
          <t>HUDIKSVALL</t>
        </is>
      </c>
      <c r="F2086" t="inlineStr">
        <is>
          <t>Sveaskog</t>
        </is>
      </c>
      <c r="G2086" t="n">
        <v>7.7</v>
      </c>
      <c r="H2086" t="n">
        <v>0</v>
      </c>
      <c r="I2086" t="n">
        <v>0</v>
      </c>
      <c r="J2086" t="n">
        <v>0</v>
      </c>
      <c r="K2086" t="n">
        <v>0</v>
      </c>
      <c r="L2086" t="n">
        <v>0</v>
      </c>
      <c r="M2086" t="n">
        <v>0</v>
      </c>
      <c r="N2086" t="n">
        <v>0</v>
      </c>
      <c r="O2086" t="n">
        <v>0</v>
      </c>
      <c r="P2086" t="n">
        <v>0</v>
      </c>
      <c r="Q2086" t="n">
        <v>0</v>
      </c>
      <c r="R2086" s="2" t="inlineStr"/>
    </row>
    <row r="2087" ht="15" customHeight="1">
      <c r="A2087" t="inlineStr">
        <is>
          <t>A 53796-2023</t>
        </is>
      </c>
      <c r="B2087" s="1" t="n">
        <v>45231.35012731481</v>
      </c>
      <c r="C2087" s="1" t="n">
        <v>45911</v>
      </c>
      <c r="D2087" t="inlineStr">
        <is>
          <t>GÄVLEBORGS LÄN</t>
        </is>
      </c>
      <c r="E2087" t="inlineStr">
        <is>
          <t>HUDIKSVALL</t>
        </is>
      </c>
      <c r="G2087" t="n">
        <v>17.6</v>
      </c>
      <c r="H2087" t="n">
        <v>0</v>
      </c>
      <c r="I2087" t="n">
        <v>0</v>
      </c>
      <c r="J2087" t="n">
        <v>0</v>
      </c>
      <c r="K2087" t="n">
        <v>0</v>
      </c>
      <c r="L2087" t="n">
        <v>0</v>
      </c>
      <c r="M2087" t="n">
        <v>0</v>
      </c>
      <c r="N2087" t="n">
        <v>0</v>
      </c>
      <c r="O2087" t="n">
        <v>0</v>
      </c>
      <c r="P2087" t="n">
        <v>0</v>
      </c>
      <c r="Q2087" t="n">
        <v>0</v>
      </c>
      <c r="R2087" s="2" t="inlineStr"/>
    </row>
    <row r="2088" ht="15" customHeight="1">
      <c r="A2088" t="inlineStr">
        <is>
          <t>A 53821-2023</t>
        </is>
      </c>
      <c r="B2088" s="1" t="n">
        <v>45231.40760416666</v>
      </c>
      <c r="C2088" s="1" t="n">
        <v>45911</v>
      </c>
      <c r="D2088" t="inlineStr">
        <is>
          <t>GÄVLEBORGS LÄN</t>
        </is>
      </c>
      <c r="E2088" t="inlineStr">
        <is>
          <t>OVANÅKER</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19518-2025</t>
        </is>
      </c>
      <c r="B2089" s="1" t="n">
        <v>45770.44512731482</v>
      </c>
      <c r="C2089" s="1" t="n">
        <v>45911</v>
      </c>
      <c r="D2089" t="inlineStr">
        <is>
          <t>GÄVLEBORGS LÄN</t>
        </is>
      </c>
      <c r="E2089" t="inlineStr">
        <is>
          <t>GÄVLE</t>
        </is>
      </c>
      <c r="G2089" t="n">
        <v>8.6</v>
      </c>
      <c r="H2089" t="n">
        <v>0</v>
      </c>
      <c r="I2089" t="n">
        <v>0</v>
      </c>
      <c r="J2089" t="n">
        <v>0</v>
      </c>
      <c r="K2089" t="n">
        <v>0</v>
      </c>
      <c r="L2089" t="n">
        <v>0</v>
      </c>
      <c r="M2089" t="n">
        <v>0</v>
      </c>
      <c r="N2089" t="n">
        <v>0</v>
      </c>
      <c r="O2089" t="n">
        <v>0</v>
      </c>
      <c r="P2089" t="n">
        <v>0</v>
      </c>
      <c r="Q2089" t="n">
        <v>0</v>
      </c>
      <c r="R2089" s="2" t="inlineStr"/>
    </row>
    <row r="2090" ht="15" customHeight="1">
      <c r="A2090" t="inlineStr">
        <is>
          <t>A 34103-2023</t>
        </is>
      </c>
      <c r="B2090" s="1" t="n">
        <v>45135.59890046297</v>
      </c>
      <c r="C2090" s="1" t="n">
        <v>45911</v>
      </c>
      <c r="D2090" t="inlineStr">
        <is>
          <t>GÄVLEBORGS LÄN</t>
        </is>
      </c>
      <c r="E2090" t="inlineStr">
        <is>
          <t>LJUSDAL</t>
        </is>
      </c>
      <c r="F2090" t="inlineStr">
        <is>
          <t>Holmen skog AB</t>
        </is>
      </c>
      <c r="G2090" t="n">
        <v>4.4</v>
      </c>
      <c r="H2090" t="n">
        <v>0</v>
      </c>
      <c r="I2090" t="n">
        <v>0</v>
      </c>
      <c r="J2090" t="n">
        <v>0</v>
      </c>
      <c r="K2090" t="n">
        <v>0</v>
      </c>
      <c r="L2090" t="n">
        <v>0</v>
      </c>
      <c r="M2090" t="n">
        <v>0</v>
      </c>
      <c r="N2090" t="n">
        <v>0</v>
      </c>
      <c r="O2090" t="n">
        <v>0</v>
      </c>
      <c r="P2090" t="n">
        <v>0</v>
      </c>
      <c r="Q2090" t="n">
        <v>0</v>
      </c>
      <c r="R2090" s="2" t="inlineStr"/>
    </row>
    <row r="2091" ht="15" customHeight="1">
      <c r="A2091" t="inlineStr">
        <is>
          <t>A 22832-2025</t>
        </is>
      </c>
      <c r="B2091" s="1" t="n">
        <v>45789.88387731482</v>
      </c>
      <c r="C2091" s="1" t="n">
        <v>45911</v>
      </c>
      <c r="D2091" t="inlineStr">
        <is>
          <t>GÄVLEBORGS LÄN</t>
        </is>
      </c>
      <c r="E2091" t="inlineStr">
        <is>
          <t>HUDIKSVALL</t>
        </is>
      </c>
      <c r="F2091" t="inlineStr">
        <is>
          <t>Holmen skog AB</t>
        </is>
      </c>
      <c r="G2091" t="n">
        <v>82.3</v>
      </c>
      <c r="H2091" t="n">
        <v>0</v>
      </c>
      <c r="I2091" t="n">
        <v>0</v>
      </c>
      <c r="J2091" t="n">
        <v>0</v>
      </c>
      <c r="K2091" t="n">
        <v>0</v>
      </c>
      <c r="L2091" t="n">
        <v>0</v>
      </c>
      <c r="M2091" t="n">
        <v>0</v>
      </c>
      <c r="N2091" t="n">
        <v>0</v>
      </c>
      <c r="O2091" t="n">
        <v>0</v>
      </c>
      <c r="P2091" t="n">
        <v>0</v>
      </c>
      <c r="Q2091" t="n">
        <v>0</v>
      </c>
      <c r="R2091" s="2" t="inlineStr"/>
    </row>
    <row r="2092" ht="15" customHeight="1">
      <c r="A2092" t="inlineStr">
        <is>
          <t>A 61351-2021</t>
        </is>
      </c>
      <c r="B2092" s="1" t="n">
        <v>44498.8419212963</v>
      </c>
      <c r="C2092" s="1" t="n">
        <v>45911</v>
      </c>
      <c r="D2092" t="inlineStr">
        <is>
          <t>GÄVLEBORGS LÄN</t>
        </is>
      </c>
      <c r="E2092" t="inlineStr">
        <is>
          <t>GÄVLE</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58240-2021</t>
        </is>
      </c>
      <c r="B2093" s="1" t="n">
        <v>44487.88978009259</v>
      </c>
      <c r="C2093" s="1" t="n">
        <v>45911</v>
      </c>
      <c r="D2093" t="inlineStr">
        <is>
          <t>GÄVLEBORGS LÄN</t>
        </is>
      </c>
      <c r="E2093" t="inlineStr">
        <is>
          <t>HOFORS</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9400-2024</t>
        </is>
      </c>
      <c r="B2094" s="1" t="n">
        <v>45359.42087962963</v>
      </c>
      <c r="C2094" s="1" t="n">
        <v>45911</v>
      </c>
      <c r="D2094" t="inlineStr">
        <is>
          <t>GÄVLEBORGS LÄN</t>
        </is>
      </c>
      <c r="E2094" t="inlineStr">
        <is>
          <t>HUDIKSVALL</t>
        </is>
      </c>
      <c r="F2094" t="inlineStr">
        <is>
          <t>Holmen skog AB</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14240-2023</t>
        </is>
      </c>
      <c r="B2095" s="1" t="n">
        <v>45009.6615625</v>
      </c>
      <c r="C2095" s="1" t="n">
        <v>45911</v>
      </c>
      <c r="D2095" t="inlineStr">
        <is>
          <t>GÄVLEBORGS LÄN</t>
        </is>
      </c>
      <c r="E2095" t="inlineStr">
        <is>
          <t>OVANÅKER</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9382-2022</t>
        </is>
      </c>
      <c r="B2096" s="1" t="n">
        <v>44616.63564814815</v>
      </c>
      <c r="C2096" s="1" t="n">
        <v>45911</v>
      </c>
      <c r="D2096" t="inlineStr">
        <is>
          <t>GÄVLEBORGS LÄN</t>
        </is>
      </c>
      <c r="E2096" t="inlineStr">
        <is>
          <t>NORDANSTIG</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64010-2023</t>
        </is>
      </c>
      <c r="B2097" s="1" t="n">
        <v>45278.92585648148</v>
      </c>
      <c r="C2097" s="1" t="n">
        <v>45911</v>
      </c>
      <c r="D2097" t="inlineStr">
        <is>
          <t>GÄVLEBORGS LÄN</t>
        </is>
      </c>
      <c r="E2097" t="inlineStr">
        <is>
          <t>HUDIKSVALL</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64019-2023</t>
        </is>
      </c>
      <c r="B2098" s="1" t="n">
        <v>45278.92652777778</v>
      </c>
      <c r="C2098" s="1" t="n">
        <v>45911</v>
      </c>
      <c r="D2098" t="inlineStr">
        <is>
          <t>GÄVLEBORGS LÄN</t>
        </is>
      </c>
      <c r="E2098" t="inlineStr">
        <is>
          <t>LJUSDAL</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35465-2024</t>
        </is>
      </c>
      <c r="B2099" s="1" t="n">
        <v>45531.46347222223</v>
      </c>
      <c r="C2099" s="1" t="n">
        <v>45911</v>
      </c>
      <c r="D2099" t="inlineStr">
        <is>
          <t>GÄVLEBORGS LÄN</t>
        </is>
      </c>
      <c r="E2099" t="inlineStr">
        <is>
          <t>LJUSDAL</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35505-2024</t>
        </is>
      </c>
      <c r="B2100" s="1" t="n">
        <v>45531.53869212963</v>
      </c>
      <c r="C2100" s="1" t="n">
        <v>45911</v>
      </c>
      <c r="D2100" t="inlineStr">
        <is>
          <t>GÄVLEBORGS LÄN</t>
        </is>
      </c>
      <c r="E2100" t="inlineStr">
        <is>
          <t>HOFORS</t>
        </is>
      </c>
      <c r="F2100" t="inlineStr">
        <is>
          <t>Sveaskog</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35514-2024</t>
        </is>
      </c>
      <c r="B2101" s="1" t="n">
        <v>45531.56472222223</v>
      </c>
      <c r="C2101" s="1" t="n">
        <v>45911</v>
      </c>
      <c r="D2101" t="inlineStr">
        <is>
          <t>GÄVLEBORGS LÄN</t>
        </is>
      </c>
      <c r="E2101" t="inlineStr">
        <is>
          <t>HOFORS</t>
        </is>
      </c>
      <c r="F2101" t="inlineStr">
        <is>
          <t>Sveaskog</t>
        </is>
      </c>
      <c r="G2101" t="n">
        <v>6.5</v>
      </c>
      <c r="H2101" t="n">
        <v>0</v>
      </c>
      <c r="I2101" t="n">
        <v>0</v>
      </c>
      <c r="J2101" t="n">
        <v>0</v>
      </c>
      <c r="K2101" t="n">
        <v>0</v>
      </c>
      <c r="L2101" t="n">
        <v>0</v>
      </c>
      <c r="M2101" t="n">
        <v>0</v>
      </c>
      <c r="N2101" t="n">
        <v>0</v>
      </c>
      <c r="O2101" t="n">
        <v>0</v>
      </c>
      <c r="P2101" t="n">
        <v>0</v>
      </c>
      <c r="Q2101" t="n">
        <v>0</v>
      </c>
      <c r="R2101" s="2" t="inlineStr"/>
    </row>
    <row r="2102" ht="15" customHeight="1">
      <c r="A2102" t="inlineStr">
        <is>
          <t>A 22664-2025</t>
        </is>
      </c>
      <c r="B2102" s="1" t="n">
        <v>45789.48466435185</v>
      </c>
      <c r="C2102" s="1" t="n">
        <v>45911</v>
      </c>
      <c r="D2102" t="inlineStr">
        <is>
          <t>GÄVLEBORGS LÄN</t>
        </is>
      </c>
      <c r="E2102" t="inlineStr">
        <is>
          <t>GÄVLE</t>
        </is>
      </c>
      <c r="F2102" t="inlineStr">
        <is>
          <t>Bergvik skog väst AB</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45352-2021</t>
        </is>
      </c>
      <c r="B2103" s="1" t="n">
        <v>44439</v>
      </c>
      <c r="C2103" s="1" t="n">
        <v>45911</v>
      </c>
      <c r="D2103" t="inlineStr">
        <is>
          <t>GÄVLEBORGS LÄN</t>
        </is>
      </c>
      <c r="E2103" t="inlineStr">
        <is>
          <t>HUDIKSVALL</t>
        </is>
      </c>
      <c r="G2103" t="n">
        <v>7.3</v>
      </c>
      <c r="H2103" t="n">
        <v>0</v>
      </c>
      <c r="I2103" t="n">
        <v>0</v>
      </c>
      <c r="J2103" t="n">
        <v>0</v>
      </c>
      <c r="K2103" t="n">
        <v>0</v>
      </c>
      <c r="L2103" t="n">
        <v>0</v>
      </c>
      <c r="M2103" t="n">
        <v>0</v>
      </c>
      <c r="N2103" t="n">
        <v>0</v>
      </c>
      <c r="O2103" t="n">
        <v>0</v>
      </c>
      <c r="P2103" t="n">
        <v>0</v>
      </c>
      <c r="Q2103" t="n">
        <v>0</v>
      </c>
      <c r="R2103" s="2" t="inlineStr"/>
    </row>
    <row r="2104" ht="15" customHeight="1">
      <c r="A2104" t="inlineStr">
        <is>
          <t>A 30877-2023</t>
        </is>
      </c>
      <c r="B2104" s="1" t="n">
        <v>45113.32282407407</v>
      </c>
      <c r="C2104" s="1" t="n">
        <v>45911</v>
      </c>
      <c r="D2104" t="inlineStr">
        <is>
          <t>GÄVLEBORGS LÄN</t>
        </is>
      </c>
      <c r="E2104" t="inlineStr">
        <is>
          <t>BOLLNÄS</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32722-2023</t>
        </is>
      </c>
      <c r="B2105" s="1" t="n">
        <v>45121.92335648148</v>
      </c>
      <c r="C2105" s="1" t="n">
        <v>45911</v>
      </c>
      <c r="D2105" t="inlineStr">
        <is>
          <t>GÄVLEBORGS LÄN</t>
        </is>
      </c>
      <c r="E2105" t="inlineStr">
        <is>
          <t>NORDANSTIG</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22611-2025</t>
        </is>
      </c>
      <c r="B2106" s="1" t="n">
        <v>45789.42327546296</v>
      </c>
      <c r="C2106" s="1" t="n">
        <v>45911</v>
      </c>
      <c r="D2106" t="inlineStr">
        <is>
          <t>GÄVLEBORGS LÄN</t>
        </is>
      </c>
      <c r="E2106" t="inlineStr">
        <is>
          <t>HUDIKSVALL</t>
        </is>
      </c>
      <c r="F2106" t="inlineStr">
        <is>
          <t>Holmen skog AB</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10445-2024</t>
        </is>
      </c>
      <c r="B2107" s="1" t="n">
        <v>45366.33762731482</v>
      </c>
      <c r="C2107" s="1" t="n">
        <v>45911</v>
      </c>
      <c r="D2107" t="inlineStr">
        <is>
          <t>GÄVLEBORGS LÄN</t>
        </is>
      </c>
      <c r="E2107" t="inlineStr">
        <is>
          <t>OCKELBO</t>
        </is>
      </c>
      <c r="F2107" t="inlineStr">
        <is>
          <t>Bergvik skog väst AB</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72083-2021</t>
        </is>
      </c>
      <c r="B2108" s="1" t="n">
        <v>44544.51949074074</v>
      </c>
      <c r="C2108" s="1" t="n">
        <v>45911</v>
      </c>
      <c r="D2108" t="inlineStr">
        <is>
          <t>GÄVLEBORGS LÄN</t>
        </is>
      </c>
      <c r="E2108" t="inlineStr">
        <is>
          <t>HUDIKSVALL</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16020-2024</t>
        </is>
      </c>
      <c r="B2109" s="1" t="n">
        <v>45405</v>
      </c>
      <c r="C2109" s="1" t="n">
        <v>45911</v>
      </c>
      <c r="D2109" t="inlineStr">
        <is>
          <t>GÄVLEBORGS LÄN</t>
        </is>
      </c>
      <c r="E2109" t="inlineStr">
        <is>
          <t>BOLLNÄS</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23016-2025</t>
        </is>
      </c>
      <c r="B2110" s="1" t="n">
        <v>45790.6394212963</v>
      </c>
      <c r="C2110" s="1" t="n">
        <v>45911</v>
      </c>
      <c r="D2110" t="inlineStr">
        <is>
          <t>GÄVLEBORGS LÄN</t>
        </is>
      </c>
      <c r="E2110" t="inlineStr">
        <is>
          <t>LJUSDAL</t>
        </is>
      </c>
      <c r="G2110" t="n">
        <v>3.7</v>
      </c>
      <c r="H2110" t="n">
        <v>0</v>
      </c>
      <c r="I2110" t="n">
        <v>0</v>
      </c>
      <c r="J2110" t="n">
        <v>0</v>
      </c>
      <c r="K2110" t="n">
        <v>0</v>
      </c>
      <c r="L2110" t="n">
        <v>0</v>
      </c>
      <c r="M2110" t="n">
        <v>0</v>
      </c>
      <c r="N2110" t="n">
        <v>0</v>
      </c>
      <c r="O2110" t="n">
        <v>0</v>
      </c>
      <c r="P2110" t="n">
        <v>0</v>
      </c>
      <c r="Q2110" t="n">
        <v>0</v>
      </c>
      <c r="R2110" s="2" t="inlineStr"/>
    </row>
    <row r="2111" ht="15" customHeight="1">
      <c r="A2111" t="inlineStr">
        <is>
          <t>A 47116-2024</t>
        </is>
      </c>
      <c r="B2111" s="1" t="n">
        <v>45586.56028935185</v>
      </c>
      <c r="C2111" s="1" t="n">
        <v>45911</v>
      </c>
      <c r="D2111" t="inlineStr">
        <is>
          <t>GÄVLEBORGS LÄN</t>
        </is>
      </c>
      <c r="E2111" t="inlineStr">
        <is>
          <t>HUDIKSVALL</t>
        </is>
      </c>
      <c r="F2111" t="inlineStr">
        <is>
          <t>Holmen skog AB</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64587-2023</t>
        </is>
      </c>
      <c r="B2112" s="1" t="n">
        <v>45281.46988425926</v>
      </c>
      <c r="C2112" s="1" t="n">
        <v>45911</v>
      </c>
      <c r="D2112" t="inlineStr">
        <is>
          <t>GÄVLEBORGS LÄN</t>
        </is>
      </c>
      <c r="E2112" t="inlineStr">
        <is>
          <t>SANDVIKEN</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64593-2023</t>
        </is>
      </c>
      <c r="B2113" s="1" t="n">
        <v>45281</v>
      </c>
      <c r="C2113" s="1" t="n">
        <v>45911</v>
      </c>
      <c r="D2113" t="inlineStr">
        <is>
          <t>GÄVLEBORGS LÄN</t>
        </is>
      </c>
      <c r="E2113" t="inlineStr">
        <is>
          <t>HUDIKSVALL</t>
        </is>
      </c>
      <c r="F2113" t="inlineStr">
        <is>
          <t>Holmen skog AB</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2547-2022</t>
        </is>
      </c>
      <c r="B2114" s="1" t="n">
        <v>44579.98798611111</v>
      </c>
      <c r="C2114" s="1" t="n">
        <v>45911</v>
      </c>
      <c r="D2114" t="inlineStr">
        <is>
          <t>GÄVLEBORGS LÄN</t>
        </is>
      </c>
      <c r="E2114" t="inlineStr">
        <is>
          <t>GÄVLE</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13670-2024</t>
        </is>
      </c>
      <c r="B2115" s="1" t="n">
        <v>45390.52055555556</v>
      </c>
      <c r="C2115" s="1" t="n">
        <v>45911</v>
      </c>
      <c r="D2115" t="inlineStr">
        <is>
          <t>GÄVLEBORGS LÄN</t>
        </is>
      </c>
      <c r="E2115" t="inlineStr">
        <is>
          <t>HUDIKSVALL</t>
        </is>
      </c>
      <c r="F2115" t="inlineStr">
        <is>
          <t>Holmen skog AB</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67879-2021</t>
        </is>
      </c>
      <c r="B2116" s="1" t="n">
        <v>44525.53486111111</v>
      </c>
      <c r="C2116" s="1" t="n">
        <v>45911</v>
      </c>
      <c r="D2116" t="inlineStr">
        <is>
          <t>GÄVLEBORGS LÄN</t>
        </is>
      </c>
      <c r="E2116" t="inlineStr">
        <is>
          <t>NORDANSTIG</t>
        </is>
      </c>
      <c r="F2116" t="inlineStr">
        <is>
          <t>Holmen skog AB</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22010-2024</t>
        </is>
      </c>
      <c r="B2117" s="1" t="n">
        <v>45443.57775462963</v>
      </c>
      <c r="C2117" s="1" t="n">
        <v>45911</v>
      </c>
      <c r="D2117" t="inlineStr">
        <is>
          <t>GÄVLEBORGS LÄN</t>
        </is>
      </c>
      <c r="E2117" t="inlineStr">
        <is>
          <t>BOLLNÄS</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22016-2024</t>
        </is>
      </c>
      <c r="B2118" s="1" t="n">
        <v>45443.58246527778</v>
      </c>
      <c r="C2118" s="1" t="n">
        <v>45911</v>
      </c>
      <c r="D2118" t="inlineStr">
        <is>
          <t>GÄVLEBORGS LÄN</t>
        </is>
      </c>
      <c r="E2118" t="inlineStr">
        <is>
          <t>NORDANSTIG</t>
        </is>
      </c>
      <c r="F2118" t="inlineStr">
        <is>
          <t>Holmen skog AB</t>
        </is>
      </c>
      <c r="G2118" t="n">
        <v>15.5</v>
      </c>
      <c r="H2118" t="n">
        <v>0</v>
      </c>
      <c r="I2118" t="n">
        <v>0</v>
      </c>
      <c r="J2118" t="n">
        <v>0</v>
      </c>
      <c r="K2118" t="n">
        <v>0</v>
      </c>
      <c r="L2118" t="n">
        <v>0</v>
      </c>
      <c r="M2118" t="n">
        <v>0</v>
      </c>
      <c r="N2118" t="n">
        <v>0</v>
      </c>
      <c r="O2118" t="n">
        <v>0</v>
      </c>
      <c r="P2118" t="n">
        <v>0</v>
      </c>
      <c r="Q2118" t="n">
        <v>0</v>
      </c>
      <c r="R2118" s="2" t="inlineStr"/>
    </row>
    <row r="2119" ht="15" customHeight="1">
      <c r="A2119" t="inlineStr">
        <is>
          <t>A 5131-2024</t>
        </is>
      </c>
      <c r="B2119" s="1" t="n">
        <v>45330.44824074074</v>
      </c>
      <c r="C2119" s="1" t="n">
        <v>45911</v>
      </c>
      <c r="D2119" t="inlineStr">
        <is>
          <t>GÄVLEBORGS LÄN</t>
        </is>
      </c>
      <c r="E2119" t="inlineStr">
        <is>
          <t>OCKELBO</t>
        </is>
      </c>
      <c r="F2119" t="inlineStr">
        <is>
          <t>Bergvik skog väst AB</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47524-2024</t>
        </is>
      </c>
      <c r="B2120" s="1" t="n">
        <v>45587.63166666667</v>
      </c>
      <c r="C2120" s="1" t="n">
        <v>45911</v>
      </c>
      <c r="D2120" t="inlineStr">
        <is>
          <t>GÄVLEBORGS LÄN</t>
        </is>
      </c>
      <c r="E2120" t="inlineStr">
        <is>
          <t>HOFORS</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16093-2024</t>
        </is>
      </c>
      <c r="B2121" s="1" t="n">
        <v>45406.41305555555</v>
      </c>
      <c r="C2121" s="1" t="n">
        <v>45911</v>
      </c>
      <c r="D2121" t="inlineStr">
        <is>
          <t>GÄVLEBORGS LÄN</t>
        </is>
      </c>
      <c r="E2121" t="inlineStr">
        <is>
          <t>HUDIKSVALL</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47924-2021</t>
        </is>
      </c>
      <c r="B2122" s="1" t="n">
        <v>44448</v>
      </c>
      <c r="C2122" s="1" t="n">
        <v>45911</v>
      </c>
      <c r="D2122" t="inlineStr">
        <is>
          <t>GÄVLEBORGS LÄN</t>
        </is>
      </c>
      <c r="E2122" t="inlineStr">
        <is>
          <t>LJUSDAL</t>
        </is>
      </c>
      <c r="G2122" t="n">
        <v>6</v>
      </c>
      <c r="H2122" t="n">
        <v>0</v>
      </c>
      <c r="I2122" t="n">
        <v>0</v>
      </c>
      <c r="J2122" t="n">
        <v>0</v>
      </c>
      <c r="K2122" t="n">
        <v>0</v>
      </c>
      <c r="L2122" t="n">
        <v>0</v>
      </c>
      <c r="M2122" t="n">
        <v>0</v>
      </c>
      <c r="N2122" t="n">
        <v>0</v>
      </c>
      <c r="O2122" t="n">
        <v>0</v>
      </c>
      <c r="P2122" t="n">
        <v>0</v>
      </c>
      <c r="Q2122" t="n">
        <v>0</v>
      </c>
      <c r="R2122" s="2" t="inlineStr"/>
    </row>
    <row r="2123" ht="15" customHeight="1">
      <c r="A2123" t="inlineStr">
        <is>
          <t>A 23643-2024</t>
        </is>
      </c>
      <c r="B2123" s="1" t="n">
        <v>45454.49773148148</v>
      </c>
      <c r="C2123" s="1" t="n">
        <v>45911</v>
      </c>
      <c r="D2123" t="inlineStr">
        <is>
          <t>GÄVLEBORGS LÄN</t>
        </is>
      </c>
      <c r="E2123" t="inlineStr">
        <is>
          <t>GÄVLE</t>
        </is>
      </c>
      <c r="G2123" t="n">
        <v>4.5</v>
      </c>
      <c r="H2123" t="n">
        <v>0</v>
      </c>
      <c r="I2123" t="n">
        <v>0</v>
      </c>
      <c r="J2123" t="n">
        <v>0</v>
      </c>
      <c r="K2123" t="n">
        <v>0</v>
      </c>
      <c r="L2123" t="n">
        <v>0</v>
      </c>
      <c r="M2123" t="n">
        <v>0</v>
      </c>
      <c r="N2123" t="n">
        <v>0</v>
      </c>
      <c r="O2123" t="n">
        <v>0</v>
      </c>
      <c r="P2123" t="n">
        <v>0</v>
      </c>
      <c r="Q2123" t="n">
        <v>0</v>
      </c>
      <c r="R2123" s="2" t="inlineStr"/>
    </row>
    <row r="2124" ht="15" customHeight="1">
      <c r="A2124" t="inlineStr">
        <is>
          <t>A 48110-2022</t>
        </is>
      </c>
      <c r="B2124" s="1" t="n">
        <v>44856.96982638889</v>
      </c>
      <c r="C2124" s="1" t="n">
        <v>45911</v>
      </c>
      <c r="D2124" t="inlineStr">
        <is>
          <t>GÄVLEBORGS LÄN</t>
        </is>
      </c>
      <c r="E2124" t="inlineStr">
        <is>
          <t>BOLLNÄS</t>
        </is>
      </c>
      <c r="F2124" t="inlineStr">
        <is>
          <t>Bergvik skog väst AB</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60700-2023</t>
        </is>
      </c>
      <c r="B2125" s="1" t="n">
        <v>45260.50872685185</v>
      </c>
      <c r="C2125" s="1" t="n">
        <v>45911</v>
      </c>
      <c r="D2125" t="inlineStr">
        <is>
          <t>GÄVLEBORGS LÄN</t>
        </is>
      </c>
      <c r="E2125" t="inlineStr">
        <is>
          <t>SANDVIKEN</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28965-2024</t>
        </is>
      </c>
      <c r="B2126" s="1" t="n">
        <v>45481.43787037037</v>
      </c>
      <c r="C2126" s="1" t="n">
        <v>45911</v>
      </c>
      <c r="D2126" t="inlineStr">
        <is>
          <t>GÄVLEBORGS LÄN</t>
        </is>
      </c>
      <c r="E2126" t="inlineStr">
        <is>
          <t>OCKELBO</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54173-2023</t>
        </is>
      </c>
      <c r="B2127" s="1" t="n">
        <v>45232</v>
      </c>
      <c r="C2127" s="1" t="n">
        <v>45911</v>
      </c>
      <c r="D2127" t="inlineStr">
        <is>
          <t>GÄVLEBORGS LÄN</t>
        </is>
      </c>
      <c r="E2127" t="inlineStr">
        <is>
          <t>HUDIKSVALL</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16768-2024</t>
        </is>
      </c>
      <c r="B2128" s="1" t="n">
        <v>45411.38644675926</v>
      </c>
      <c r="C2128" s="1" t="n">
        <v>45911</v>
      </c>
      <c r="D2128" t="inlineStr">
        <is>
          <t>GÄVLEBORGS LÄN</t>
        </is>
      </c>
      <c r="E2128" t="inlineStr">
        <is>
          <t>HUDIKSVALL</t>
        </is>
      </c>
      <c r="F2128" t="inlineStr">
        <is>
          <t>Holmen skog AB</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53852-2023</t>
        </is>
      </c>
      <c r="B2129" s="1" t="n">
        <v>45231.46224537037</v>
      </c>
      <c r="C2129" s="1" t="n">
        <v>45911</v>
      </c>
      <c r="D2129" t="inlineStr">
        <is>
          <t>GÄVLEBORGS LÄN</t>
        </is>
      </c>
      <c r="E2129" t="inlineStr">
        <is>
          <t>LJUSDAL</t>
        </is>
      </c>
      <c r="G2129" t="n">
        <v>0.1</v>
      </c>
      <c r="H2129" t="n">
        <v>0</v>
      </c>
      <c r="I2129" t="n">
        <v>0</v>
      </c>
      <c r="J2129" t="n">
        <v>0</v>
      </c>
      <c r="K2129" t="n">
        <v>0</v>
      </c>
      <c r="L2129" t="n">
        <v>0</v>
      </c>
      <c r="M2129" t="n">
        <v>0</v>
      </c>
      <c r="N2129" t="n">
        <v>0</v>
      </c>
      <c r="O2129" t="n">
        <v>0</v>
      </c>
      <c r="P2129" t="n">
        <v>0</v>
      </c>
      <c r="Q2129" t="n">
        <v>0</v>
      </c>
      <c r="R2129" s="2" t="inlineStr"/>
    </row>
    <row r="2130" ht="15" customHeight="1">
      <c r="A2130" t="inlineStr">
        <is>
          <t>A 16827-2024</t>
        </is>
      </c>
      <c r="B2130" s="1" t="n">
        <v>45411.47578703704</v>
      </c>
      <c r="C2130" s="1" t="n">
        <v>45911</v>
      </c>
      <c r="D2130" t="inlineStr">
        <is>
          <t>GÄVLEBORGS LÄN</t>
        </is>
      </c>
      <c r="E2130" t="inlineStr">
        <is>
          <t>HUDIKSVALL</t>
        </is>
      </c>
      <c r="F2130" t="inlineStr">
        <is>
          <t>Holmen skog AB</t>
        </is>
      </c>
      <c r="G2130" t="n">
        <v>5.9</v>
      </c>
      <c r="H2130" t="n">
        <v>0</v>
      </c>
      <c r="I2130" t="n">
        <v>0</v>
      </c>
      <c r="J2130" t="n">
        <v>0</v>
      </c>
      <c r="K2130" t="n">
        <v>0</v>
      </c>
      <c r="L2130" t="n">
        <v>0</v>
      </c>
      <c r="M2130" t="n">
        <v>0</v>
      </c>
      <c r="N2130" t="n">
        <v>0</v>
      </c>
      <c r="O2130" t="n">
        <v>0</v>
      </c>
      <c r="P2130" t="n">
        <v>0</v>
      </c>
      <c r="Q2130" t="n">
        <v>0</v>
      </c>
      <c r="R2130" s="2" t="inlineStr"/>
    </row>
    <row r="2131" ht="15" customHeight="1">
      <c r="A2131" t="inlineStr">
        <is>
          <t>A 42981-2022</t>
        </is>
      </c>
      <c r="B2131" s="1" t="n">
        <v>44833.46821759259</v>
      </c>
      <c r="C2131" s="1" t="n">
        <v>45911</v>
      </c>
      <c r="D2131" t="inlineStr">
        <is>
          <t>GÄVLEBORGS LÄN</t>
        </is>
      </c>
      <c r="E2131" t="inlineStr">
        <is>
          <t>HUDIKSVALL</t>
        </is>
      </c>
      <c r="F2131" t="inlineStr">
        <is>
          <t>Holmen skog AB</t>
        </is>
      </c>
      <c r="G2131" t="n">
        <v>4.3</v>
      </c>
      <c r="H2131" t="n">
        <v>0</v>
      </c>
      <c r="I2131" t="n">
        <v>0</v>
      </c>
      <c r="J2131" t="n">
        <v>0</v>
      </c>
      <c r="K2131" t="n">
        <v>0</v>
      </c>
      <c r="L2131" t="n">
        <v>0</v>
      </c>
      <c r="M2131" t="n">
        <v>0</v>
      </c>
      <c r="N2131" t="n">
        <v>0</v>
      </c>
      <c r="O2131" t="n">
        <v>0</v>
      </c>
      <c r="P2131" t="n">
        <v>0</v>
      </c>
      <c r="Q2131" t="n">
        <v>0</v>
      </c>
      <c r="R2131" s="2" t="inlineStr"/>
    </row>
    <row r="2132" ht="15" customHeight="1">
      <c r="A2132" t="inlineStr">
        <is>
          <t>A 25724-2024</t>
        </is>
      </c>
      <c r="B2132" s="1" t="n">
        <v>45463.95799768518</v>
      </c>
      <c r="C2132" s="1" t="n">
        <v>45911</v>
      </c>
      <c r="D2132" t="inlineStr">
        <is>
          <t>GÄVLEBORGS LÄN</t>
        </is>
      </c>
      <c r="E2132" t="inlineStr">
        <is>
          <t>NORDANSTIG</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12474-2021</t>
        </is>
      </c>
      <c r="B2133" s="1" t="n">
        <v>44267</v>
      </c>
      <c r="C2133" s="1" t="n">
        <v>45911</v>
      </c>
      <c r="D2133" t="inlineStr">
        <is>
          <t>GÄVLEBORGS LÄN</t>
        </is>
      </c>
      <c r="E2133" t="inlineStr">
        <is>
          <t>BOLLNÄS</t>
        </is>
      </c>
      <c r="G2133" t="n">
        <v>0.1</v>
      </c>
      <c r="H2133" t="n">
        <v>0</v>
      </c>
      <c r="I2133" t="n">
        <v>0</v>
      </c>
      <c r="J2133" t="n">
        <v>0</v>
      </c>
      <c r="K2133" t="n">
        <v>0</v>
      </c>
      <c r="L2133" t="n">
        <v>0</v>
      </c>
      <c r="M2133" t="n">
        <v>0</v>
      </c>
      <c r="N2133" t="n">
        <v>0</v>
      </c>
      <c r="O2133" t="n">
        <v>0</v>
      </c>
      <c r="P2133" t="n">
        <v>0</v>
      </c>
      <c r="Q2133" t="n">
        <v>0</v>
      </c>
      <c r="R2133" s="2" t="inlineStr"/>
    </row>
    <row r="2134" ht="15" customHeight="1">
      <c r="A2134" t="inlineStr">
        <is>
          <t>A 4565-2024</t>
        </is>
      </c>
      <c r="B2134" s="1" t="n">
        <v>45327</v>
      </c>
      <c r="C2134" s="1" t="n">
        <v>45911</v>
      </c>
      <c r="D2134" t="inlineStr">
        <is>
          <t>GÄVLEBORGS LÄN</t>
        </is>
      </c>
      <c r="E2134" t="inlineStr">
        <is>
          <t>HUDIKSVALL</t>
        </is>
      </c>
      <c r="F2134" t="inlineStr">
        <is>
          <t>Holmen skog AB</t>
        </is>
      </c>
      <c r="G2134" t="n">
        <v>34.7</v>
      </c>
      <c r="H2134" t="n">
        <v>0</v>
      </c>
      <c r="I2134" t="n">
        <v>0</v>
      </c>
      <c r="J2134" t="n">
        <v>0</v>
      </c>
      <c r="K2134" t="n">
        <v>0</v>
      </c>
      <c r="L2134" t="n">
        <v>0</v>
      </c>
      <c r="M2134" t="n">
        <v>0</v>
      </c>
      <c r="N2134" t="n">
        <v>0</v>
      </c>
      <c r="O2134" t="n">
        <v>0</v>
      </c>
      <c r="P2134" t="n">
        <v>0</v>
      </c>
      <c r="Q2134" t="n">
        <v>0</v>
      </c>
      <c r="R2134" s="2" t="inlineStr"/>
    </row>
    <row r="2135" ht="15" customHeight="1">
      <c r="A2135" t="inlineStr">
        <is>
          <t>A 64727-2023</t>
        </is>
      </c>
      <c r="B2135" s="1" t="n">
        <v>45281.76929398148</v>
      </c>
      <c r="C2135" s="1" t="n">
        <v>45911</v>
      </c>
      <c r="D2135" t="inlineStr">
        <is>
          <t>GÄVLEBORGS LÄN</t>
        </is>
      </c>
      <c r="E2135" t="inlineStr">
        <is>
          <t>HUDIKSVALL</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60884-2022</t>
        </is>
      </c>
      <c r="B2136" s="1" t="n">
        <v>44914.56515046296</v>
      </c>
      <c r="C2136" s="1" t="n">
        <v>45911</v>
      </c>
      <c r="D2136" t="inlineStr">
        <is>
          <t>GÄVLEBORGS LÄN</t>
        </is>
      </c>
      <c r="E2136" t="inlineStr">
        <is>
          <t>BOLLNÄS</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60908-2022</t>
        </is>
      </c>
      <c r="B2137" s="1" t="n">
        <v>44914</v>
      </c>
      <c r="C2137" s="1" t="n">
        <v>45911</v>
      </c>
      <c r="D2137" t="inlineStr">
        <is>
          <t>GÄVLEBORGS LÄN</t>
        </is>
      </c>
      <c r="E2137" t="inlineStr">
        <is>
          <t>SANDVIKEN</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30224-2023</t>
        </is>
      </c>
      <c r="B2138" s="1" t="n">
        <v>45110</v>
      </c>
      <c r="C2138" s="1" t="n">
        <v>45911</v>
      </c>
      <c r="D2138" t="inlineStr">
        <is>
          <t>GÄVLEBORGS LÄN</t>
        </is>
      </c>
      <c r="E2138" t="inlineStr">
        <is>
          <t>BOLLNÄS</t>
        </is>
      </c>
      <c r="G2138" t="n">
        <v>5.2</v>
      </c>
      <c r="H2138" t="n">
        <v>0</v>
      </c>
      <c r="I2138" t="n">
        <v>0</v>
      </c>
      <c r="J2138" t="n">
        <v>0</v>
      </c>
      <c r="K2138" t="n">
        <v>0</v>
      </c>
      <c r="L2138" t="n">
        <v>0</v>
      </c>
      <c r="M2138" t="n">
        <v>0</v>
      </c>
      <c r="N2138" t="n">
        <v>0</v>
      </c>
      <c r="O2138" t="n">
        <v>0</v>
      </c>
      <c r="P2138" t="n">
        <v>0</v>
      </c>
      <c r="Q2138" t="n">
        <v>0</v>
      </c>
      <c r="R2138" s="2" t="inlineStr"/>
    </row>
    <row r="2139" ht="15" customHeight="1">
      <c r="A2139" t="inlineStr">
        <is>
          <t>A 30242-2024</t>
        </is>
      </c>
      <c r="B2139" s="1" t="n">
        <v>45490</v>
      </c>
      <c r="C2139" s="1" t="n">
        <v>45911</v>
      </c>
      <c r="D2139" t="inlineStr">
        <is>
          <t>GÄVLEBORGS LÄN</t>
        </is>
      </c>
      <c r="E2139" t="inlineStr">
        <is>
          <t>OCKELBO</t>
        </is>
      </c>
      <c r="F2139" t="inlineStr">
        <is>
          <t>Bergvik skog väst AB</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30083-2024</t>
        </is>
      </c>
      <c r="B2140" s="1" t="n">
        <v>45489</v>
      </c>
      <c r="C2140" s="1" t="n">
        <v>45911</v>
      </c>
      <c r="D2140" t="inlineStr">
        <is>
          <t>GÄVLEBORGS LÄN</t>
        </is>
      </c>
      <c r="E2140" t="inlineStr">
        <is>
          <t>HUDIKSVALL</t>
        </is>
      </c>
      <c r="F2140" t="inlineStr">
        <is>
          <t>Holmen skog AB</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36048-2024</t>
        </is>
      </c>
      <c r="B2141" s="1" t="n">
        <v>45533.61841435185</v>
      </c>
      <c r="C2141" s="1" t="n">
        <v>45911</v>
      </c>
      <c r="D2141" t="inlineStr">
        <is>
          <t>GÄVLEBORGS LÄN</t>
        </is>
      </c>
      <c r="E2141" t="inlineStr">
        <is>
          <t>OVANÅKER</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14479-2023</t>
        </is>
      </c>
      <c r="B2142" s="1" t="n">
        <v>45012</v>
      </c>
      <c r="C2142" s="1" t="n">
        <v>45911</v>
      </c>
      <c r="D2142" t="inlineStr">
        <is>
          <t>GÄVLEBORGS LÄN</t>
        </is>
      </c>
      <c r="E2142" t="inlineStr">
        <is>
          <t>LJUSDAL</t>
        </is>
      </c>
      <c r="F2142" t="inlineStr">
        <is>
          <t>Kyrkan</t>
        </is>
      </c>
      <c r="G2142" t="n">
        <v>27.5</v>
      </c>
      <c r="H2142" t="n">
        <v>0</v>
      </c>
      <c r="I2142" t="n">
        <v>0</v>
      </c>
      <c r="J2142" t="n">
        <v>0</v>
      </c>
      <c r="K2142" t="n">
        <v>0</v>
      </c>
      <c r="L2142" t="n">
        <v>0</v>
      </c>
      <c r="M2142" t="n">
        <v>0</v>
      </c>
      <c r="N2142" t="n">
        <v>0</v>
      </c>
      <c r="O2142" t="n">
        <v>0</v>
      </c>
      <c r="P2142" t="n">
        <v>0</v>
      </c>
      <c r="Q2142" t="n">
        <v>0</v>
      </c>
      <c r="R2142" s="2" t="inlineStr"/>
    </row>
    <row r="2143" ht="15" customHeight="1">
      <c r="A2143" t="inlineStr">
        <is>
          <t>A 30150-2024</t>
        </is>
      </c>
      <c r="B2143" s="1" t="n">
        <v>45489.60886574074</v>
      </c>
      <c r="C2143" s="1" t="n">
        <v>45911</v>
      </c>
      <c r="D2143" t="inlineStr">
        <is>
          <t>GÄVLEBORGS LÄN</t>
        </is>
      </c>
      <c r="E2143" t="inlineStr">
        <is>
          <t>NORDANSTIG</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30229-2024</t>
        </is>
      </c>
      <c r="B2144" s="1" t="n">
        <v>45490.46946759259</v>
      </c>
      <c r="C2144" s="1" t="n">
        <v>45911</v>
      </c>
      <c r="D2144" t="inlineStr">
        <is>
          <t>GÄVLEBORGS LÄN</t>
        </is>
      </c>
      <c r="E2144" t="inlineStr">
        <is>
          <t>HOFORS</t>
        </is>
      </c>
      <c r="F2144" t="inlineStr">
        <is>
          <t>Sveaskog</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35963-2023</t>
        </is>
      </c>
      <c r="B2145" s="1" t="n">
        <v>45148.86685185185</v>
      </c>
      <c r="C2145" s="1" t="n">
        <v>45911</v>
      </c>
      <c r="D2145" t="inlineStr">
        <is>
          <t>GÄVLEBORGS LÄN</t>
        </is>
      </c>
      <c r="E2145" t="inlineStr">
        <is>
          <t>HUDIKSVALL</t>
        </is>
      </c>
      <c r="G2145" t="n">
        <v>9.699999999999999</v>
      </c>
      <c r="H2145" t="n">
        <v>0</v>
      </c>
      <c r="I2145" t="n">
        <v>0</v>
      </c>
      <c r="J2145" t="n">
        <v>0</v>
      </c>
      <c r="K2145" t="n">
        <v>0</v>
      </c>
      <c r="L2145" t="n">
        <v>0</v>
      </c>
      <c r="M2145" t="n">
        <v>0</v>
      </c>
      <c r="N2145" t="n">
        <v>0</v>
      </c>
      <c r="O2145" t="n">
        <v>0</v>
      </c>
      <c r="P2145" t="n">
        <v>0</v>
      </c>
      <c r="Q2145" t="n">
        <v>0</v>
      </c>
      <c r="R2145" s="2" t="inlineStr"/>
    </row>
    <row r="2146" ht="15" customHeight="1">
      <c r="A2146" t="inlineStr">
        <is>
          <t>A 32412-2024</t>
        </is>
      </c>
      <c r="B2146" s="1" t="n">
        <v>45512.71197916667</v>
      </c>
      <c r="C2146" s="1" t="n">
        <v>45911</v>
      </c>
      <c r="D2146" t="inlineStr">
        <is>
          <t>GÄVLEBORGS LÄN</t>
        </is>
      </c>
      <c r="E2146" t="inlineStr">
        <is>
          <t>HUDIKSVALL</t>
        </is>
      </c>
      <c r="F2146" t="inlineStr">
        <is>
          <t>Holmen skog AB</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32414-2024</t>
        </is>
      </c>
      <c r="B2147" s="1" t="n">
        <v>45512.72439814815</v>
      </c>
      <c r="C2147" s="1" t="n">
        <v>45911</v>
      </c>
      <c r="D2147" t="inlineStr">
        <is>
          <t>GÄVLEBORGS LÄN</t>
        </is>
      </c>
      <c r="E2147" t="inlineStr">
        <is>
          <t>HUDIKSVALL</t>
        </is>
      </c>
      <c r="F2147" t="inlineStr">
        <is>
          <t>Holmen skog AB</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39858-2023</t>
        </is>
      </c>
      <c r="B2148" s="1" t="n">
        <v>45168.37981481481</v>
      </c>
      <c r="C2148" s="1" t="n">
        <v>45911</v>
      </c>
      <c r="D2148" t="inlineStr">
        <is>
          <t>GÄVLEBORGS LÄN</t>
        </is>
      </c>
      <c r="E2148" t="inlineStr">
        <is>
          <t>HUDIKSVALL</t>
        </is>
      </c>
      <c r="F2148" t="inlineStr">
        <is>
          <t>Holmen skog AB</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11482-2025</t>
        </is>
      </c>
      <c r="B2149" s="1" t="n">
        <v>45726.69202546297</v>
      </c>
      <c r="C2149" s="1" t="n">
        <v>45911</v>
      </c>
      <c r="D2149" t="inlineStr">
        <is>
          <t>GÄVLEBORGS LÄN</t>
        </is>
      </c>
      <c r="E2149" t="inlineStr">
        <is>
          <t>OVANÅKER</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6678-2021</t>
        </is>
      </c>
      <c r="B2150" s="1" t="n">
        <v>44236</v>
      </c>
      <c r="C2150" s="1" t="n">
        <v>45911</v>
      </c>
      <c r="D2150" t="inlineStr">
        <is>
          <t>GÄVLEBORGS LÄN</t>
        </is>
      </c>
      <c r="E2150" t="inlineStr">
        <is>
          <t>SANDVIKEN</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19632-2024</t>
        </is>
      </c>
      <c r="B2151" s="1" t="n">
        <v>45432.36549768518</v>
      </c>
      <c r="C2151" s="1" t="n">
        <v>45911</v>
      </c>
      <c r="D2151" t="inlineStr">
        <is>
          <t>GÄVLEBORGS LÄN</t>
        </is>
      </c>
      <c r="E2151" t="inlineStr">
        <is>
          <t>OVANÅKER</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28586-2024</t>
        </is>
      </c>
      <c r="B2152" s="1" t="n">
        <v>45478</v>
      </c>
      <c r="C2152" s="1" t="n">
        <v>45911</v>
      </c>
      <c r="D2152" t="inlineStr">
        <is>
          <t>GÄVLEBORGS LÄN</t>
        </is>
      </c>
      <c r="E2152" t="inlineStr">
        <is>
          <t>OCKELBO</t>
        </is>
      </c>
      <c r="F2152" t="inlineStr">
        <is>
          <t>Bergvik skog väst AB</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54203-2023</t>
        </is>
      </c>
      <c r="B2153" s="1" t="n">
        <v>45232.56078703704</v>
      </c>
      <c r="C2153" s="1" t="n">
        <v>45911</v>
      </c>
      <c r="D2153" t="inlineStr">
        <is>
          <t>GÄVLEBORGS LÄN</t>
        </is>
      </c>
      <c r="E2153" t="inlineStr">
        <is>
          <t>BOLLNÄS</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9926-2023</t>
        </is>
      </c>
      <c r="B2154" s="1" t="n">
        <v>44985</v>
      </c>
      <c r="C2154" s="1" t="n">
        <v>45911</v>
      </c>
      <c r="D2154" t="inlineStr">
        <is>
          <t>GÄVLEBORGS LÄN</t>
        </is>
      </c>
      <c r="E2154" t="inlineStr">
        <is>
          <t>LJUSDAL</t>
        </is>
      </c>
      <c r="F2154" t="inlineStr">
        <is>
          <t>Bergvik skog väst AB</t>
        </is>
      </c>
      <c r="G2154" t="n">
        <v>17.5</v>
      </c>
      <c r="H2154" t="n">
        <v>0</v>
      </c>
      <c r="I2154" t="n">
        <v>0</v>
      </c>
      <c r="J2154" t="n">
        <v>0</v>
      </c>
      <c r="K2154" t="n">
        <v>0</v>
      </c>
      <c r="L2154" t="n">
        <v>0</v>
      </c>
      <c r="M2154" t="n">
        <v>0</v>
      </c>
      <c r="N2154" t="n">
        <v>0</v>
      </c>
      <c r="O2154" t="n">
        <v>0</v>
      </c>
      <c r="P2154" t="n">
        <v>0</v>
      </c>
      <c r="Q2154" t="n">
        <v>0</v>
      </c>
      <c r="R2154" s="2" t="inlineStr"/>
    </row>
    <row r="2155" ht="15" customHeight="1">
      <c r="A2155" t="inlineStr">
        <is>
          <t>A 44058-2022</t>
        </is>
      </c>
      <c r="B2155" s="1" t="n">
        <v>44839</v>
      </c>
      <c r="C2155" s="1" t="n">
        <v>45911</v>
      </c>
      <c r="D2155" t="inlineStr">
        <is>
          <t>GÄVLEBORGS LÄN</t>
        </is>
      </c>
      <c r="E2155" t="inlineStr">
        <is>
          <t>HUDIKSVALL</t>
        </is>
      </c>
      <c r="F2155" t="inlineStr">
        <is>
          <t>Holmen skog AB</t>
        </is>
      </c>
      <c r="G2155" t="n">
        <v>4.7</v>
      </c>
      <c r="H2155" t="n">
        <v>0</v>
      </c>
      <c r="I2155" t="n">
        <v>0</v>
      </c>
      <c r="J2155" t="n">
        <v>0</v>
      </c>
      <c r="K2155" t="n">
        <v>0</v>
      </c>
      <c r="L2155" t="n">
        <v>0</v>
      </c>
      <c r="M2155" t="n">
        <v>0</v>
      </c>
      <c r="N2155" t="n">
        <v>0</v>
      </c>
      <c r="O2155" t="n">
        <v>0</v>
      </c>
      <c r="P2155" t="n">
        <v>0</v>
      </c>
      <c r="Q2155" t="n">
        <v>0</v>
      </c>
      <c r="R2155" s="2" t="inlineStr"/>
    </row>
    <row r="2156" ht="15" customHeight="1">
      <c r="A2156" t="inlineStr">
        <is>
          <t>A 9946-2023</t>
        </is>
      </c>
      <c r="B2156" s="1" t="n">
        <v>44985</v>
      </c>
      <c r="C2156" s="1" t="n">
        <v>45911</v>
      </c>
      <c r="D2156" t="inlineStr">
        <is>
          <t>GÄVLEBORGS LÄN</t>
        </is>
      </c>
      <c r="E2156" t="inlineStr">
        <is>
          <t>LJUSDAL</t>
        </is>
      </c>
      <c r="F2156" t="inlineStr">
        <is>
          <t>Bergvik skog väst AB</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43799-2022</t>
        </is>
      </c>
      <c r="B2157" s="1" t="n">
        <v>44838</v>
      </c>
      <c r="C2157" s="1" t="n">
        <v>45911</v>
      </c>
      <c r="D2157" t="inlineStr">
        <is>
          <t>GÄVLEBORGS LÄN</t>
        </is>
      </c>
      <c r="E2157" t="inlineStr">
        <is>
          <t>OCKELBO</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28181-2022</t>
        </is>
      </c>
      <c r="B2158" s="1" t="n">
        <v>44746.58283564815</v>
      </c>
      <c r="C2158" s="1" t="n">
        <v>45911</v>
      </c>
      <c r="D2158" t="inlineStr">
        <is>
          <t>GÄVLEBORGS LÄN</t>
        </is>
      </c>
      <c r="E2158" t="inlineStr">
        <is>
          <t>OCKELBO</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19456-2025</t>
        </is>
      </c>
      <c r="B2159" s="1" t="n">
        <v>45770.36226851852</v>
      </c>
      <c r="C2159" s="1" t="n">
        <v>45911</v>
      </c>
      <c r="D2159" t="inlineStr">
        <is>
          <t>GÄVLEBORGS LÄN</t>
        </is>
      </c>
      <c r="E2159" t="inlineStr">
        <is>
          <t>HUDIKSVALL</t>
        </is>
      </c>
      <c r="G2159" t="n">
        <v>5.2</v>
      </c>
      <c r="H2159" t="n">
        <v>0</v>
      </c>
      <c r="I2159" t="n">
        <v>0</v>
      </c>
      <c r="J2159" t="n">
        <v>0</v>
      </c>
      <c r="K2159" t="n">
        <v>0</v>
      </c>
      <c r="L2159" t="n">
        <v>0</v>
      </c>
      <c r="M2159" t="n">
        <v>0</v>
      </c>
      <c r="N2159" t="n">
        <v>0</v>
      </c>
      <c r="O2159" t="n">
        <v>0</v>
      </c>
      <c r="P2159" t="n">
        <v>0</v>
      </c>
      <c r="Q2159" t="n">
        <v>0</v>
      </c>
      <c r="R2159" s="2" t="inlineStr"/>
    </row>
    <row r="2160" ht="15" customHeight="1">
      <c r="A2160" t="inlineStr">
        <is>
          <t>A 2348-2024</t>
        </is>
      </c>
      <c r="B2160" s="1" t="n">
        <v>45310.5827662037</v>
      </c>
      <c r="C2160" s="1" t="n">
        <v>45911</v>
      </c>
      <c r="D2160" t="inlineStr">
        <is>
          <t>GÄVLEBORGS LÄN</t>
        </is>
      </c>
      <c r="E2160" t="inlineStr">
        <is>
          <t>BOLLNÄS</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7600-2025</t>
        </is>
      </c>
      <c r="B2161" s="1" t="n">
        <v>45705.65464120371</v>
      </c>
      <c r="C2161" s="1" t="n">
        <v>45911</v>
      </c>
      <c r="D2161" t="inlineStr">
        <is>
          <t>GÄVLEBORGS LÄN</t>
        </is>
      </c>
      <c r="E2161" t="inlineStr">
        <is>
          <t>LJUSDAL</t>
        </is>
      </c>
      <c r="G2161" t="n">
        <v>3.9</v>
      </c>
      <c r="H2161" t="n">
        <v>0</v>
      </c>
      <c r="I2161" t="n">
        <v>0</v>
      </c>
      <c r="J2161" t="n">
        <v>0</v>
      </c>
      <c r="K2161" t="n">
        <v>0</v>
      </c>
      <c r="L2161" t="n">
        <v>0</v>
      </c>
      <c r="M2161" t="n">
        <v>0</v>
      </c>
      <c r="N2161" t="n">
        <v>0</v>
      </c>
      <c r="O2161" t="n">
        <v>0</v>
      </c>
      <c r="P2161" t="n">
        <v>0</v>
      </c>
      <c r="Q2161" t="n">
        <v>0</v>
      </c>
      <c r="R2161" s="2" t="inlineStr"/>
    </row>
    <row r="2162" ht="15" customHeight="1">
      <c r="A2162" t="inlineStr">
        <is>
          <t>A 72644-2021</t>
        </is>
      </c>
      <c r="B2162" s="1" t="n">
        <v>44546.58009259259</v>
      </c>
      <c r="C2162" s="1" t="n">
        <v>45911</v>
      </c>
      <c r="D2162" t="inlineStr">
        <is>
          <t>GÄVLEBORGS LÄN</t>
        </is>
      </c>
      <c r="E2162" t="inlineStr">
        <is>
          <t>SÖDERHAMN</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22932-2025</t>
        </is>
      </c>
      <c r="B2163" s="1" t="n">
        <v>45790.45025462963</v>
      </c>
      <c r="C2163" s="1" t="n">
        <v>45911</v>
      </c>
      <c r="D2163" t="inlineStr">
        <is>
          <t>GÄVLEBORGS LÄN</t>
        </is>
      </c>
      <c r="E2163" t="inlineStr">
        <is>
          <t>OVANÅKER</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10101-2025</t>
        </is>
      </c>
      <c r="B2164" s="1" t="n">
        <v>45719.57923611111</v>
      </c>
      <c r="C2164" s="1" t="n">
        <v>45911</v>
      </c>
      <c r="D2164" t="inlineStr">
        <is>
          <t>GÄVLEBORGS LÄN</t>
        </is>
      </c>
      <c r="E2164" t="inlineStr">
        <is>
          <t>OVANÅKER</t>
        </is>
      </c>
      <c r="G2164" t="n">
        <v>5.3</v>
      </c>
      <c r="H2164" t="n">
        <v>0</v>
      </c>
      <c r="I2164" t="n">
        <v>0</v>
      </c>
      <c r="J2164" t="n">
        <v>0</v>
      </c>
      <c r="K2164" t="n">
        <v>0</v>
      </c>
      <c r="L2164" t="n">
        <v>0</v>
      </c>
      <c r="M2164" t="n">
        <v>0</v>
      </c>
      <c r="N2164" t="n">
        <v>0</v>
      </c>
      <c r="O2164" t="n">
        <v>0</v>
      </c>
      <c r="P2164" t="n">
        <v>0</v>
      </c>
      <c r="Q2164" t="n">
        <v>0</v>
      </c>
      <c r="R2164" s="2" t="inlineStr"/>
    </row>
    <row r="2165" ht="15" customHeight="1">
      <c r="A2165" t="inlineStr">
        <is>
          <t>A 22579-2025</t>
        </is>
      </c>
      <c r="B2165" s="1" t="n">
        <v>45789.37967592593</v>
      </c>
      <c r="C2165" s="1" t="n">
        <v>45911</v>
      </c>
      <c r="D2165" t="inlineStr">
        <is>
          <t>GÄVLEBORGS LÄN</t>
        </is>
      </c>
      <c r="E2165" t="inlineStr">
        <is>
          <t>HUDIKSVALL</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4300-2024</t>
        </is>
      </c>
      <c r="B2166" s="1" t="n">
        <v>45324.62636574074</v>
      </c>
      <c r="C2166" s="1" t="n">
        <v>45911</v>
      </c>
      <c r="D2166" t="inlineStr">
        <is>
          <t>GÄVLEBORGS LÄN</t>
        </is>
      </c>
      <c r="E2166" t="inlineStr">
        <is>
          <t>HUDIKSVALL</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57679-2022</t>
        </is>
      </c>
      <c r="B2167" s="1" t="n">
        <v>44897.46665509259</v>
      </c>
      <c r="C2167" s="1" t="n">
        <v>45911</v>
      </c>
      <c r="D2167" t="inlineStr">
        <is>
          <t>GÄVLEBORGS LÄN</t>
        </is>
      </c>
      <c r="E2167" t="inlineStr">
        <is>
          <t>HUDIKSVALL</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23284-2024</t>
        </is>
      </c>
      <c r="B2168" s="1" t="n">
        <v>45453</v>
      </c>
      <c r="C2168" s="1" t="n">
        <v>45911</v>
      </c>
      <c r="D2168" t="inlineStr">
        <is>
          <t>GÄVLEBORGS LÄN</t>
        </is>
      </c>
      <c r="E2168" t="inlineStr">
        <is>
          <t>LJUSDAL</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37767-2024</t>
        </is>
      </c>
      <c r="B2169" s="1" t="n">
        <v>45541.80368055555</v>
      </c>
      <c r="C2169" s="1" t="n">
        <v>45911</v>
      </c>
      <c r="D2169" t="inlineStr">
        <is>
          <t>GÄVLEBORGS LÄN</t>
        </is>
      </c>
      <c r="E2169" t="inlineStr">
        <is>
          <t>LJUSDAL</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69613-2021</t>
        </is>
      </c>
      <c r="B2170" s="1" t="n">
        <v>44532</v>
      </c>
      <c r="C2170" s="1" t="n">
        <v>45911</v>
      </c>
      <c r="D2170" t="inlineStr">
        <is>
          <t>GÄVLEBORGS LÄN</t>
        </is>
      </c>
      <c r="E2170" t="inlineStr">
        <is>
          <t>BOLLNÄS</t>
        </is>
      </c>
      <c r="F2170" t="inlineStr">
        <is>
          <t>Bergvik skog väst AB</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58611-2023</t>
        </is>
      </c>
      <c r="B2171" s="1" t="n">
        <v>45251.50232638889</v>
      </c>
      <c r="C2171" s="1" t="n">
        <v>45911</v>
      </c>
      <c r="D2171" t="inlineStr">
        <is>
          <t>GÄVLEBORGS LÄN</t>
        </is>
      </c>
      <c r="E2171" t="inlineStr">
        <is>
          <t>SÖDERHAMN</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36186-2023</t>
        </is>
      </c>
      <c r="B2172" s="1" t="n">
        <v>45149.70965277778</v>
      </c>
      <c r="C2172" s="1" t="n">
        <v>45911</v>
      </c>
      <c r="D2172" t="inlineStr">
        <is>
          <t>GÄVLEBORGS LÄN</t>
        </is>
      </c>
      <c r="E2172" t="inlineStr">
        <is>
          <t>NORDANSTIG</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35114-2023</t>
        </is>
      </c>
      <c r="B2173" s="1" t="n">
        <v>45145</v>
      </c>
      <c r="C2173" s="1" t="n">
        <v>45911</v>
      </c>
      <c r="D2173" t="inlineStr">
        <is>
          <t>GÄVLEBORGS LÄN</t>
        </is>
      </c>
      <c r="E2173" t="inlineStr">
        <is>
          <t>HOFORS</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7227-2023</t>
        </is>
      </c>
      <c r="B2174" s="1" t="n">
        <v>44970.59476851852</v>
      </c>
      <c r="C2174" s="1" t="n">
        <v>45911</v>
      </c>
      <c r="D2174" t="inlineStr">
        <is>
          <t>GÄVLEBORGS LÄN</t>
        </is>
      </c>
      <c r="E2174" t="inlineStr">
        <is>
          <t>OVANÅKER</t>
        </is>
      </c>
      <c r="G2174" t="n">
        <v>14.6</v>
      </c>
      <c r="H2174" t="n">
        <v>0</v>
      </c>
      <c r="I2174" t="n">
        <v>0</v>
      </c>
      <c r="J2174" t="n">
        <v>0</v>
      </c>
      <c r="K2174" t="n">
        <v>0</v>
      </c>
      <c r="L2174" t="n">
        <v>0</v>
      </c>
      <c r="M2174" t="n">
        <v>0</v>
      </c>
      <c r="N2174" t="n">
        <v>0</v>
      </c>
      <c r="O2174" t="n">
        <v>0</v>
      </c>
      <c r="P2174" t="n">
        <v>0</v>
      </c>
      <c r="Q2174" t="n">
        <v>0</v>
      </c>
      <c r="R2174" s="2" t="inlineStr"/>
    </row>
    <row r="2175" ht="15" customHeight="1">
      <c r="A2175" t="inlineStr">
        <is>
          <t>A 15788-2025</t>
        </is>
      </c>
      <c r="B2175" s="1" t="n">
        <v>45748.62546296296</v>
      </c>
      <c r="C2175" s="1" t="n">
        <v>45911</v>
      </c>
      <c r="D2175" t="inlineStr">
        <is>
          <t>GÄVLEBORGS LÄN</t>
        </is>
      </c>
      <c r="E2175" t="inlineStr">
        <is>
          <t>SANDVIKEN</t>
        </is>
      </c>
      <c r="G2175" t="n">
        <v>4.7</v>
      </c>
      <c r="H2175" t="n">
        <v>0</v>
      </c>
      <c r="I2175" t="n">
        <v>0</v>
      </c>
      <c r="J2175" t="n">
        <v>0</v>
      </c>
      <c r="K2175" t="n">
        <v>0</v>
      </c>
      <c r="L2175" t="n">
        <v>0</v>
      </c>
      <c r="M2175" t="n">
        <v>0</v>
      </c>
      <c r="N2175" t="n">
        <v>0</v>
      </c>
      <c r="O2175" t="n">
        <v>0</v>
      </c>
      <c r="P2175" t="n">
        <v>0</v>
      </c>
      <c r="Q2175" t="n">
        <v>0</v>
      </c>
      <c r="R2175" s="2" t="inlineStr"/>
    </row>
    <row r="2176" ht="15" customHeight="1">
      <c r="A2176" t="inlineStr">
        <is>
          <t>A 35136-2023</t>
        </is>
      </c>
      <c r="B2176" s="1" t="n">
        <v>45145.52915509259</v>
      </c>
      <c r="C2176" s="1" t="n">
        <v>45911</v>
      </c>
      <c r="D2176" t="inlineStr">
        <is>
          <t>GÄVLEBORGS LÄN</t>
        </is>
      </c>
      <c r="E2176" t="inlineStr">
        <is>
          <t>HOFORS</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56631-2022</t>
        </is>
      </c>
      <c r="B2177" s="1" t="n">
        <v>44893.61184027778</v>
      </c>
      <c r="C2177" s="1" t="n">
        <v>45911</v>
      </c>
      <c r="D2177" t="inlineStr">
        <is>
          <t>GÄVLEBORGS LÄN</t>
        </is>
      </c>
      <c r="E2177" t="inlineStr">
        <is>
          <t>OCKELBO</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56637-2022</t>
        </is>
      </c>
      <c r="B2178" s="1" t="n">
        <v>44893.61770833333</v>
      </c>
      <c r="C2178" s="1" t="n">
        <v>45911</v>
      </c>
      <c r="D2178" t="inlineStr">
        <is>
          <t>GÄVLEBORGS LÄN</t>
        </is>
      </c>
      <c r="E2178" t="inlineStr">
        <is>
          <t>HUDIKSVALL</t>
        </is>
      </c>
      <c r="F2178" t="inlineStr">
        <is>
          <t>Holmen skog AB</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40459-2024</t>
        </is>
      </c>
      <c r="B2179" s="1" t="n">
        <v>45555.50454861111</v>
      </c>
      <c r="C2179" s="1" t="n">
        <v>45911</v>
      </c>
      <c r="D2179" t="inlineStr">
        <is>
          <t>GÄVLEBORGS LÄN</t>
        </is>
      </c>
      <c r="E2179" t="inlineStr">
        <is>
          <t>BOLLNÄS</t>
        </is>
      </c>
      <c r="F2179" t="inlineStr">
        <is>
          <t>Bergvik skog väst AB</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35164-2023</t>
        </is>
      </c>
      <c r="B2180" s="1" t="n">
        <v>45145</v>
      </c>
      <c r="C2180" s="1" t="n">
        <v>45911</v>
      </c>
      <c r="D2180" t="inlineStr">
        <is>
          <t>GÄVLEBORGS LÄN</t>
        </is>
      </c>
      <c r="E2180" t="inlineStr">
        <is>
          <t>HUDIKSVALL</t>
        </is>
      </c>
      <c r="F2180" t="inlineStr">
        <is>
          <t>Holmen skog AB</t>
        </is>
      </c>
      <c r="G2180" t="n">
        <v>8.800000000000001</v>
      </c>
      <c r="H2180" t="n">
        <v>0</v>
      </c>
      <c r="I2180" t="n">
        <v>0</v>
      </c>
      <c r="J2180" t="n">
        <v>0</v>
      </c>
      <c r="K2180" t="n">
        <v>0</v>
      </c>
      <c r="L2180" t="n">
        <v>0</v>
      </c>
      <c r="M2180" t="n">
        <v>0</v>
      </c>
      <c r="N2180" t="n">
        <v>0</v>
      </c>
      <c r="O2180" t="n">
        <v>0</v>
      </c>
      <c r="P2180" t="n">
        <v>0</v>
      </c>
      <c r="Q2180" t="n">
        <v>0</v>
      </c>
      <c r="R2180" s="2" t="inlineStr"/>
    </row>
    <row r="2181" ht="15" customHeight="1">
      <c r="A2181" t="inlineStr">
        <is>
          <t>A 23255-2024</t>
        </is>
      </c>
      <c r="B2181" s="1" t="n">
        <v>45453.36412037037</v>
      </c>
      <c r="C2181" s="1" t="n">
        <v>45911</v>
      </c>
      <c r="D2181" t="inlineStr">
        <is>
          <t>GÄVLEBORGS LÄN</t>
        </is>
      </c>
      <c r="E2181" t="inlineStr">
        <is>
          <t>OCKELBO</t>
        </is>
      </c>
      <c r="G2181" t="n">
        <v>4.5</v>
      </c>
      <c r="H2181" t="n">
        <v>0</v>
      </c>
      <c r="I2181" t="n">
        <v>0</v>
      </c>
      <c r="J2181" t="n">
        <v>0</v>
      </c>
      <c r="K2181" t="n">
        <v>0</v>
      </c>
      <c r="L2181" t="n">
        <v>0</v>
      </c>
      <c r="M2181" t="n">
        <v>0</v>
      </c>
      <c r="N2181" t="n">
        <v>0</v>
      </c>
      <c r="O2181" t="n">
        <v>0</v>
      </c>
      <c r="P2181" t="n">
        <v>0</v>
      </c>
      <c r="Q2181" t="n">
        <v>0</v>
      </c>
      <c r="R2181" s="2" t="inlineStr"/>
    </row>
    <row r="2182" ht="15" customHeight="1">
      <c r="A2182" t="inlineStr">
        <is>
          <t>A 73748-2021</t>
        </is>
      </c>
      <c r="B2182" s="1" t="n">
        <v>44552.57103009259</v>
      </c>
      <c r="C2182" s="1" t="n">
        <v>45911</v>
      </c>
      <c r="D2182" t="inlineStr">
        <is>
          <t>GÄVLEBORGS LÄN</t>
        </is>
      </c>
      <c r="E2182" t="inlineStr">
        <is>
          <t>NORDANSTIG</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18457-2025</t>
        </is>
      </c>
      <c r="B2183" s="1" t="n">
        <v>45762.67177083333</v>
      </c>
      <c r="C2183" s="1" t="n">
        <v>45911</v>
      </c>
      <c r="D2183" t="inlineStr">
        <is>
          <t>GÄVLEBORGS LÄN</t>
        </is>
      </c>
      <c r="E2183" t="inlineStr">
        <is>
          <t>HUDIKSVALL</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10238-2024</t>
        </is>
      </c>
      <c r="B2184" s="1" t="n">
        <v>45365.36416666667</v>
      </c>
      <c r="C2184" s="1" t="n">
        <v>45911</v>
      </c>
      <c r="D2184" t="inlineStr">
        <is>
          <t>GÄVLEBORGS LÄN</t>
        </is>
      </c>
      <c r="E2184" t="inlineStr">
        <is>
          <t>OCKELBO</t>
        </is>
      </c>
      <c r="F2184" t="inlineStr">
        <is>
          <t>Kyrkan</t>
        </is>
      </c>
      <c r="G2184" t="n">
        <v>4.1</v>
      </c>
      <c r="H2184" t="n">
        <v>0</v>
      </c>
      <c r="I2184" t="n">
        <v>0</v>
      </c>
      <c r="J2184" t="n">
        <v>0</v>
      </c>
      <c r="K2184" t="n">
        <v>0</v>
      </c>
      <c r="L2184" t="n">
        <v>0</v>
      </c>
      <c r="M2184" t="n">
        <v>0</v>
      </c>
      <c r="N2184" t="n">
        <v>0</v>
      </c>
      <c r="O2184" t="n">
        <v>0</v>
      </c>
      <c r="P2184" t="n">
        <v>0</v>
      </c>
      <c r="Q2184" t="n">
        <v>0</v>
      </c>
      <c r="R2184" s="2" t="inlineStr"/>
    </row>
    <row r="2185" ht="15" customHeight="1">
      <c r="A2185" t="inlineStr">
        <is>
          <t>A 49654-2022</t>
        </is>
      </c>
      <c r="B2185" s="1" t="n">
        <v>44862</v>
      </c>
      <c r="C2185" s="1" t="n">
        <v>45911</v>
      </c>
      <c r="D2185" t="inlineStr">
        <is>
          <t>GÄVLEBORGS LÄN</t>
        </is>
      </c>
      <c r="E2185" t="inlineStr">
        <is>
          <t>OVANÅKER</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10260-2024</t>
        </is>
      </c>
      <c r="B2186" s="1" t="n">
        <v>45365.42304398148</v>
      </c>
      <c r="C2186" s="1" t="n">
        <v>45911</v>
      </c>
      <c r="D2186" t="inlineStr">
        <is>
          <t>GÄVLEBORGS LÄN</t>
        </is>
      </c>
      <c r="E2186" t="inlineStr">
        <is>
          <t>SANDVIKEN</t>
        </is>
      </c>
      <c r="F2186" t="inlineStr">
        <is>
          <t>Kommuner</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20043-2025</t>
        </is>
      </c>
      <c r="B2187" s="1" t="n">
        <v>45772.38306712963</v>
      </c>
      <c r="C2187" s="1" t="n">
        <v>45911</v>
      </c>
      <c r="D2187" t="inlineStr">
        <is>
          <t>GÄVLEBORGS LÄN</t>
        </is>
      </c>
      <c r="E2187" t="inlineStr">
        <is>
          <t>HUDIKSVALL</t>
        </is>
      </c>
      <c r="G2187" t="n">
        <v>4.9</v>
      </c>
      <c r="H2187" t="n">
        <v>0</v>
      </c>
      <c r="I2187" t="n">
        <v>0</v>
      </c>
      <c r="J2187" t="n">
        <v>0</v>
      </c>
      <c r="K2187" t="n">
        <v>0</v>
      </c>
      <c r="L2187" t="n">
        <v>0</v>
      </c>
      <c r="M2187" t="n">
        <v>0</v>
      </c>
      <c r="N2187" t="n">
        <v>0</v>
      </c>
      <c r="O2187" t="n">
        <v>0</v>
      </c>
      <c r="P2187" t="n">
        <v>0</v>
      </c>
      <c r="Q2187" t="n">
        <v>0</v>
      </c>
      <c r="R2187" s="2" t="inlineStr"/>
    </row>
    <row r="2188" ht="15" customHeight="1">
      <c r="A2188" t="inlineStr">
        <is>
          <t>A 46636-2024</t>
        </is>
      </c>
      <c r="B2188" s="1" t="n">
        <v>45583.34546296296</v>
      </c>
      <c r="C2188" s="1" t="n">
        <v>45911</v>
      </c>
      <c r="D2188" t="inlineStr">
        <is>
          <t>GÄVLEBORGS LÄN</t>
        </is>
      </c>
      <c r="E2188" t="inlineStr">
        <is>
          <t>OCKELBO</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16616-2025</t>
        </is>
      </c>
      <c r="B2189" s="1" t="n">
        <v>45754</v>
      </c>
      <c r="C2189" s="1" t="n">
        <v>45911</v>
      </c>
      <c r="D2189" t="inlineStr">
        <is>
          <t>GÄVLEBORGS LÄN</t>
        </is>
      </c>
      <c r="E2189" t="inlineStr">
        <is>
          <t>NORDANSTIG</t>
        </is>
      </c>
      <c r="F2189" t="inlineStr">
        <is>
          <t>Holmen skog AB</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30398-2023</t>
        </is>
      </c>
      <c r="B2190" s="1" t="n">
        <v>45111.47403935185</v>
      </c>
      <c r="C2190" s="1" t="n">
        <v>45911</v>
      </c>
      <c r="D2190" t="inlineStr">
        <is>
          <t>GÄVLEBORGS LÄN</t>
        </is>
      </c>
      <c r="E2190" t="inlineStr">
        <is>
          <t>HUDIKSVALL</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3434-2024</t>
        </is>
      </c>
      <c r="B2191" s="1" t="n">
        <v>45320.35980324074</v>
      </c>
      <c r="C2191" s="1" t="n">
        <v>45911</v>
      </c>
      <c r="D2191" t="inlineStr">
        <is>
          <t>GÄVLEBORGS LÄN</t>
        </is>
      </c>
      <c r="E2191" t="inlineStr">
        <is>
          <t>LJUSDAL</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34233-2023</t>
        </is>
      </c>
      <c r="B2192" s="1" t="n">
        <v>45138.52274305555</v>
      </c>
      <c r="C2192" s="1" t="n">
        <v>45911</v>
      </c>
      <c r="D2192" t="inlineStr">
        <is>
          <t>GÄVLEBORGS LÄN</t>
        </is>
      </c>
      <c r="E2192" t="inlineStr">
        <is>
          <t>GÄVLE</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14415-2025</t>
        </is>
      </c>
      <c r="B2193" s="1" t="n">
        <v>45741.47692129629</v>
      </c>
      <c r="C2193" s="1" t="n">
        <v>45911</v>
      </c>
      <c r="D2193" t="inlineStr">
        <is>
          <t>GÄVLEBORGS LÄN</t>
        </is>
      </c>
      <c r="E2193" t="inlineStr">
        <is>
          <t>NORDANSTIG</t>
        </is>
      </c>
      <c r="G2193" t="n">
        <v>16.7</v>
      </c>
      <c r="H2193" t="n">
        <v>0</v>
      </c>
      <c r="I2193" t="n">
        <v>0</v>
      </c>
      <c r="J2193" t="n">
        <v>0</v>
      </c>
      <c r="K2193" t="n">
        <v>0</v>
      </c>
      <c r="L2193" t="n">
        <v>0</v>
      </c>
      <c r="M2193" t="n">
        <v>0</v>
      </c>
      <c r="N2193" t="n">
        <v>0</v>
      </c>
      <c r="O2193" t="n">
        <v>0</v>
      </c>
      <c r="P2193" t="n">
        <v>0</v>
      </c>
      <c r="Q2193" t="n">
        <v>0</v>
      </c>
      <c r="R2193" s="2" t="inlineStr"/>
    </row>
    <row r="2194" ht="15" customHeight="1">
      <c r="A2194" t="inlineStr">
        <is>
          <t>A 1372-2025</t>
        </is>
      </c>
      <c r="B2194" s="1" t="n">
        <v>45667.64702546296</v>
      </c>
      <c r="C2194" s="1" t="n">
        <v>45911</v>
      </c>
      <c r="D2194" t="inlineStr">
        <is>
          <t>GÄVLEBORGS LÄN</t>
        </is>
      </c>
      <c r="E2194" t="inlineStr">
        <is>
          <t>SANDVIKEN</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18568-2023</t>
        </is>
      </c>
      <c r="B2195" s="1" t="n">
        <v>45043.32208333333</v>
      </c>
      <c r="C2195" s="1" t="n">
        <v>45911</v>
      </c>
      <c r="D2195" t="inlineStr">
        <is>
          <t>GÄVLEBORGS LÄN</t>
        </is>
      </c>
      <c r="E2195" t="inlineStr">
        <is>
          <t>HUDIKSVALL</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11107-2024</t>
        </is>
      </c>
      <c r="B2196" s="1" t="n">
        <v>45371.35532407407</v>
      </c>
      <c r="C2196" s="1" t="n">
        <v>45911</v>
      </c>
      <c r="D2196" t="inlineStr">
        <is>
          <t>GÄVLEBORGS LÄN</t>
        </is>
      </c>
      <c r="E2196" t="inlineStr">
        <is>
          <t>HUDIKSVALL</t>
        </is>
      </c>
      <c r="F2196" t="inlineStr">
        <is>
          <t>Holmen skog AB</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22923-2025</t>
        </is>
      </c>
      <c r="B2197" s="1" t="n">
        <v>45790.44008101852</v>
      </c>
      <c r="C2197" s="1" t="n">
        <v>45911</v>
      </c>
      <c r="D2197" t="inlineStr">
        <is>
          <t>GÄVLEBORGS LÄN</t>
        </is>
      </c>
      <c r="E2197" t="inlineStr">
        <is>
          <t>GÄVLE</t>
        </is>
      </c>
      <c r="G2197" t="n">
        <v>20.8</v>
      </c>
      <c r="H2197" t="n">
        <v>0</v>
      </c>
      <c r="I2197" t="n">
        <v>0</v>
      </c>
      <c r="J2197" t="n">
        <v>0</v>
      </c>
      <c r="K2197" t="n">
        <v>0</v>
      </c>
      <c r="L2197" t="n">
        <v>0</v>
      </c>
      <c r="M2197" t="n">
        <v>0</v>
      </c>
      <c r="N2197" t="n">
        <v>0</v>
      </c>
      <c r="O2197" t="n">
        <v>0</v>
      </c>
      <c r="P2197" t="n">
        <v>0</v>
      </c>
      <c r="Q2197" t="n">
        <v>0</v>
      </c>
      <c r="R2197" s="2" t="inlineStr"/>
    </row>
    <row r="2198" ht="15" customHeight="1">
      <c r="A2198" t="inlineStr">
        <is>
          <t>A 22935-2025</t>
        </is>
      </c>
      <c r="B2198" s="1" t="n">
        <v>45790.45569444444</v>
      </c>
      <c r="C2198" s="1" t="n">
        <v>45911</v>
      </c>
      <c r="D2198" t="inlineStr">
        <is>
          <t>GÄVLEBORGS LÄN</t>
        </is>
      </c>
      <c r="E2198" t="inlineStr">
        <is>
          <t>HUDIKSVALL</t>
        </is>
      </c>
      <c r="F2198" t="inlineStr">
        <is>
          <t>Holmen skog AB</t>
        </is>
      </c>
      <c r="G2198" t="n">
        <v>11.5</v>
      </c>
      <c r="H2198" t="n">
        <v>0</v>
      </c>
      <c r="I2198" t="n">
        <v>0</v>
      </c>
      <c r="J2198" t="n">
        <v>0</v>
      </c>
      <c r="K2198" t="n">
        <v>0</v>
      </c>
      <c r="L2198" t="n">
        <v>0</v>
      </c>
      <c r="M2198" t="n">
        <v>0</v>
      </c>
      <c r="N2198" t="n">
        <v>0</v>
      </c>
      <c r="O2198" t="n">
        <v>0</v>
      </c>
      <c r="P2198" t="n">
        <v>0</v>
      </c>
      <c r="Q2198" t="n">
        <v>0</v>
      </c>
      <c r="R2198" s="2" t="inlineStr"/>
    </row>
    <row r="2199" ht="15" customHeight="1">
      <c r="A2199" t="inlineStr">
        <is>
          <t>A 26038-2024</t>
        </is>
      </c>
      <c r="B2199" s="1" t="n">
        <v>45468.26278935185</v>
      </c>
      <c r="C2199" s="1" t="n">
        <v>45911</v>
      </c>
      <c r="D2199" t="inlineStr">
        <is>
          <t>GÄVLEBORGS LÄN</t>
        </is>
      </c>
      <c r="E2199" t="inlineStr">
        <is>
          <t>BOLLNÄS</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12925-2025</t>
        </is>
      </c>
      <c r="B2200" s="1" t="n">
        <v>45734.31555555556</v>
      </c>
      <c r="C2200" s="1" t="n">
        <v>45911</v>
      </c>
      <c r="D2200" t="inlineStr">
        <is>
          <t>GÄVLEBORGS LÄN</t>
        </is>
      </c>
      <c r="E2200" t="inlineStr">
        <is>
          <t>SANDVIKEN</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60956-2022</t>
        </is>
      </c>
      <c r="B2201" s="1" t="n">
        <v>44914</v>
      </c>
      <c r="C2201" s="1" t="n">
        <v>45911</v>
      </c>
      <c r="D2201" t="inlineStr">
        <is>
          <t>GÄVLEBORGS LÄN</t>
        </is>
      </c>
      <c r="E2201" t="inlineStr">
        <is>
          <t>BOLLNÄS</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12935-2025</t>
        </is>
      </c>
      <c r="B2202" s="1" t="n">
        <v>45734.35393518519</v>
      </c>
      <c r="C2202" s="1" t="n">
        <v>45911</v>
      </c>
      <c r="D2202" t="inlineStr">
        <is>
          <t>GÄVLEBORGS LÄN</t>
        </is>
      </c>
      <c r="E2202" t="inlineStr">
        <is>
          <t>BOLLNÄS</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23014-2025</t>
        </is>
      </c>
      <c r="B2203" s="1" t="n">
        <v>45790.63721064815</v>
      </c>
      <c r="C2203" s="1" t="n">
        <v>45911</v>
      </c>
      <c r="D2203" t="inlineStr">
        <is>
          <t>GÄVLEBORGS LÄN</t>
        </is>
      </c>
      <c r="E2203" t="inlineStr">
        <is>
          <t>HUDIKSVALL</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38146-2023</t>
        </is>
      </c>
      <c r="B2204" s="1" t="n">
        <v>45161</v>
      </c>
      <c r="C2204" s="1" t="n">
        <v>45911</v>
      </c>
      <c r="D2204" t="inlineStr">
        <is>
          <t>GÄVLEBORGS LÄN</t>
        </is>
      </c>
      <c r="E2204" t="inlineStr">
        <is>
          <t>BOLLNÄS</t>
        </is>
      </c>
      <c r="F2204" t="inlineStr">
        <is>
          <t>Bergvik skog väst AB</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49963-2024</t>
        </is>
      </c>
      <c r="B2205" s="1" t="n">
        <v>45597.63175925926</v>
      </c>
      <c r="C2205" s="1" t="n">
        <v>45911</v>
      </c>
      <c r="D2205" t="inlineStr">
        <is>
          <t>GÄVLEBORGS LÄN</t>
        </is>
      </c>
      <c r="E2205" t="inlineStr">
        <is>
          <t>SÖDERHAMN</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40498-2022</t>
        </is>
      </c>
      <c r="B2206" s="1" t="n">
        <v>44823.600625</v>
      </c>
      <c r="C2206" s="1" t="n">
        <v>45911</v>
      </c>
      <c r="D2206" t="inlineStr">
        <is>
          <t>GÄVLEBORGS LÄN</t>
        </is>
      </c>
      <c r="E2206" t="inlineStr">
        <is>
          <t>GÄVLE</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60197-2023</t>
        </is>
      </c>
      <c r="B2207" s="1" t="n">
        <v>45258.58435185185</v>
      </c>
      <c r="C2207" s="1" t="n">
        <v>45911</v>
      </c>
      <c r="D2207" t="inlineStr">
        <is>
          <t>GÄVLEBORGS LÄN</t>
        </is>
      </c>
      <c r="E2207" t="inlineStr">
        <is>
          <t>LJUSDAL</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47889-2022</t>
        </is>
      </c>
      <c r="B2208" s="1" t="n">
        <v>44855</v>
      </c>
      <c r="C2208" s="1" t="n">
        <v>45911</v>
      </c>
      <c r="D2208" t="inlineStr">
        <is>
          <t>GÄVLEBORGS LÄN</t>
        </is>
      </c>
      <c r="E2208" t="inlineStr">
        <is>
          <t>SANDVIKEN</t>
        </is>
      </c>
      <c r="F2208" t="inlineStr">
        <is>
          <t>Sveaskog</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40738-2023</t>
        </is>
      </c>
      <c r="B2209" s="1" t="n">
        <v>45170</v>
      </c>
      <c r="C2209" s="1" t="n">
        <v>45911</v>
      </c>
      <c r="D2209" t="inlineStr">
        <is>
          <t>GÄVLEBORGS LÄN</t>
        </is>
      </c>
      <c r="E2209" t="inlineStr">
        <is>
          <t>NORDANSTIG</t>
        </is>
      </c>
      <c r="F2209" t="inlineStr">
        <is>
          <t>Holmen skog AB</t>
        </is>
      </c>
      <c r="G2209" t="n">
        <v>9.5</v>
      </c>
      <c r="H2209" t="n">
        <v>0</v>
      </c>
      <c r="I2209" t="n">
        <v>0</v>
      </c>
      <c r="J2209" t="n">
        <v>0</v>
      </c>
      <c r="K2209" t="n">
        <v>0</v>
      </c>
      <c r="L2209" t="n">
        <v>0</v>
      </c>
      <c r="M2209" t="n">
        <v>0</v>
      </c>
      <c r="N2209" t="n">
        <v>0</v>
      </c>
      <c r="O2209" t="n">
        <v>0</v>
      </c>
      <c r="P2209" t="n">
        <v>0</v>
      </c>
      <c r="Q2209" t="n">
        <v>0</v>
      </c>
      <c r="R2209" s="2" t="inlineStr"/>
    </row>
    <row r="2210" ht="15" customHeight="1">
      <c r="A2210" t="inlineStr">
        <is>
          <t>A 22722-2025</t>
        </is>
      </c>
      <c r="B2210" s="1" t="n">
        <v>45789.57319444444</v>
      </c>
      <c r="C2210" s="1" t="n">
        <v>45911</v>
      </c>
      <c r="D2210" t="inlineStr">
        <is>
          <t>GÄVLEBORGS LÄN</t>
        </is>
      </c>
      <c r="E2210" t="inlineStr">
        <is>
          <t>HUDIKSVALL</t>
        </is>
      </c>
      <c r="G2210" t="n">
        <v>5</v>
      </c>
      <c r="H2210" t="n">
        <v>0</v>
      </c>
      <c r="I2210" t="n">
        <v>0</v>
      </c>
      <c r="J2210" t="n">
        <v>0</v>
      </c>
      <c r="K2210" t="n">
        <v>0</v>
      </c>
      <c r="L2210" t="n">
        <v>0</v>
      </c>
      <c r="M2210" t="n">
        <v>0</v>
      </c>
      <c r="N2210" t="n">
        <v>0</v>
      </c>
      <c r="O2210" t="n">
        <v>0</v>
      </c>
      <c r="P2210" t="n">
        <v>0</v>
      </c>
      <c r="Q2210" t="n">
        <v>0</v>
      </c>
      <c r="R2210" s="2" t="inlineStr"/>
    </row>
    <row r="2211" ht="15" customHeight="1">
      <c r="A2211" t="inlineStr">
        <is>
          <t>A 4290-2024</t>
        </is>
      </c>
      <c r="B2211" s="1" t="n">
        <v>45324.60200231482</v>
      </c>
      <c r="C2211" s="1" t="n">
        <v>45911</v>
      </c>
      <c r="D2211" t="inlineStr">
        <is>
          <t>GÄVLEBORGS LÄN</t>
        </is>
      </c>
      <c r="E2211" t="inlineStr">
        <is>
          <t>GÄVLE</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26027-2024</t>
        </is>
      </c>
      <c r="B2212" s="1" t="n">
        <v>45467.96223379629</v>
      </c>
      <c r="C2212" s="1" t="n">
        <v>45911</v>
      </c>
      <c r="D2212" t="inlineStr">
        <is>
          <t>GÄVLEBORGS LÄN</t>
        </is>
      </c>
      <c r="E2212" t="inlineStr">
        <is>
          <t>OVANÅKER</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8081-2024</t>
        </is>
      </c>
      <c r="B2213" s="1" t="n">
        <v>45351.43940972222</v>
      </c>
      <c r="C2213" s="1" t="n">
        <v>45911</v>
      </c>
      <c r="D2213" t="inlineStr">
        <is>
          <t>GÄVLEBORGS LÄN</t>
        </is>
      </c>
      <c r="E2213" t="inlineStr">
        <is>
          <t>LJUSDAL</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22695-2025</t>
        </is>
      </c>
      <c r="B2214" s="1" t="n">
        <v>45789.54197916666</v>
      </c>
      <c r="C2214" s="1" t="n">
        <v>45911</v>
      </c>
      <c r="D2214" t="inlineStr">
        <is>
          <t>GÄVLEBORGS LÄN</t>
        </is>
      </c>
      <c r="E2214" t="inlineStr">
        <is>
          <t>NORDANSTIG</t>
        </is>
      </c>
      <c r="F2214" t="inlineStr">
        <is>
          <t>Holmen skog AB</t>
        </is>
      </c>
      <c r="G2214" t="n">
        <v>9.6</v>
      </c>
      <c r="H2214" t="n">
        <v>0</v>
      </c>
      <c r="I2214" t="n">
        <v>0</v>
      </c>
      <c r="J2214" t="n">
        <v>0</v>
      </c>
      <c r="K2214" t="n">
        <v>0</v>
      </c>
      <c r="L2214" t="n">
        <v>0</v>
      </c>
      <c r="M2214" t="n">
        <v>0</v>
      </c>
      <c r="N2214" t="n">
        <v>0</v>
      </c>
      <c r="O2214" t="n">
        <v>0</v>
      </c>
      <c r="P2214" t="n">
        <v>0</v>
      </c>
      <c r="Q2214" t="n">
        <v>0</v>
      </c>
      <c r="R2214" s="2" t="inlineStr"/>
    </row>
    <row r="2215" ht="15" customHeight="1">
      <c r="A2215" t="inlineStr">
        <is>
          <t>A 62465-2021</t>
        </is>
      </c>
      <c r="B2215" s="1" t="n">
        <v>44503.53527777778</v>
      </c>
      <c r="C2215" s="1" t="n">
        <v>45911</v>
      </c>
      <c r="D2215" t="inlineStr">
        <is>
          <t>GÄVLEBORGS LÄN</t>
        </is>
      </c>
      <c r="E2215" t="inlineStr">
        <is>
          <t>NORDANSTIG</t>
        </is>
      </c>
      <c r="G2215" t="n">
        <v>3.1</v>
      </c>
      <c r="H2215" t="n">
        <v>0</v>
      </c>
      <c r="I2215" t="n">
        <v>0</v>
      </c>
      <c r="J2215" t="n">
        <v>0</v>
      </c>
      <c r="K2215" t="n">
        <v>0</v>
      </c>
      <c r="L2215" t="n">
        <v>0</v>
      </c>
      <c r="M2215" t="n">
        <v>0</v>
      </c>
      <c r="N2215" t="n">
        <v>0</v>
      </c>
      <c r="O2215" t="n">
        <v>0</v>
      </c>
      <c r="P2215" t="n">
        <v>0</v>
      </c>
      <c r="Q2215" t="n">
        <v>0</v>
      </c>
      <c r="R2215" s="2" t="inlineStr"/>
    </row>
    <row r="2216" ht="15" customHeight="1">
      <c r="A2216" t="inlineStr">
        <is>
          <t>A 8486-2024</t>
        </is>
      </c>
      <c r="B2216" s="1" t="n">
        <v>45355</v>
      </c>
      <c r="C2216" s="1" t="n">
        <v>45911</v>
      </c>
      <c r="D2216" t="inlineStr">
        <is>
          <t>GÄVLEBORGS LÄN</t>
        </is>
      </c>
      <c r="E2216" t="inlineStr">
        <is>
          <t>HUDIKSVALL</t>
        </is>
      </c>
      <c r="G2216" t="n">
        <v>4.7</v>
      </c>
      <c r="H2216" t="n">
        <v>0</v>
      </c>
      <c r="I2216" t="n">
        <v>0</v>
      </c>
      <c r="J2216" t="n">
        <v>0</v>
      </c>
      <c r="K2216" t="n">
        <v>0</v>
      </c>
      <c r="L2216" t="n">
        <v>0</v>
      </c>
      <c r="M2216" t="n">
        <v>0</v>
      </c>
      <c r="N2216" t="n">
        <v>0</v>
      </c>
      <c r="O2216" t="n">
        <v>0</v>
      </c>
      <c r="P2216" t="n">
        <v>0</v>
      </c>
      <c r="Q2216" t="n">
        <v>0</v>
      </c>
      <c r="R2216" s="2" t="inlineStr"/>
    </row>
    <row r="2217" ht="15" customHeight="1">
      <c r="A2217" t="inlineStr">
        <is>
          <t>A 27015-2024</t>
        </is>
      </c>
      <c r="B2217" s="1" t="n">
        <v>45471.40547453704</v>
      </c>
      <c r="C2217" s="1" t="n">
        <v>45911</v>
      </c>
      <c r="D2217" t="inlineStr">
        <is>
          <t>GÄVLEBORGS LÄN</t>
        </is>
      </c>
      <c r="E2217" t="inlineStr">
        <is>
          <t>BOLLNÄS</t>
        </is>
      </c>
      <c r="F2217" t="inlineStr">
        <is>
          <t>Sveaskog</t>
        </is>
      </c>
      <c r="G2217" t="n">
        <v>4.2</v>
      </c>
      <c r="H2217" t="n">
        <v>0</v>
      </c>
      <c r="I2217" t="n">
        <v>0</v>
      </c>
      <c r="J2217" t="n">
        <v>0</v>
      </c>
      <c r="K2217" t="n">
        <v>0</v>
      </c>
      <c r="L2217" t="n">
        <v>0</v>
      </c>
      <c r="M2217" t="n">
        <v>0</v>
      </c>
      <c r="N2217" t="n">
        <v>0</v>
      </c>
      <c r="O2217" t="n">
        <v>0</v>
      </c>
      <c r="P2217" t="n">
        <v>0</v>
      </c>
      <c r="Q2217" t="n">
        <v>0</v>
      </c>
      <c r="R2217" s="2" t="inlineStr"/>
    </row>
    <row r="2218" ht="15" customHeight="1">
      <c r="A2218" t="inlineStr">
        <is>
          <t>A 34339-2023</t>
        </is>
      </c>
      <c r="B2218" s="1" t="n">
        <v>45139.35453703703</v>
      </c>
      <c r="C2218" s="1" t="n">
        <v>45911</v>
      </c>
      <c r="D2218" t="inlineStr">
        <is>
          <t>GÄVLEBORGS LÄN</t>
        </is>
      </c>
      <c r="E2218" t="inlineStr">
        <is>
          <t>NORDANSTIG</t>
        </is>
      </c>
      <c r="F2218" t="inlineStr">
        <is>
          <t>Holmen skog AB</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58983-2023</t>
        </is>
      </c>
      <c r="B2219" s="1" t="n">
        <v>45252</v>
      </c>
      <c r="C2219" s="1" t="n">
        <v>45911</v>
      </c>
      <c r="D2219" t="inlineStr">
        <is>
          <t>GÄVLEBORGS LÄN</t>
        </is>
      </c>
      <c r="E2219" t="inlineStr">
        <is>
          <t>SANDVIKEN</t>
        </is>
      </c>
      <c r="F2219" t="inlineStr">
        <is>
          <t>Bergvik skog öst AB</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26131-2024</t>
        </is>
      </c>
      <c r="B2220" s="1" t="n">
        <v>45468.47575231481</v>
      </c>
      <c r="C2220" s="1" t="n">
        <v>45911</v>
      </c>
      <c r="D2220" t="inlineStr">
        <is>
          <t>GÄVLEBORGS LÄN</t>
        </is>
      </c>
      <c r="E2220" t="inlineStr">
        <is>
          <t>GÄVLE</t>
        </is>
      </c>
      <c r="F2220" t="inlineStr">
        <is>
          <t>Bergvik skog väst AB</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26149-2024</t>
        </is>
      </c>
      <c r="B2221" s="1" t="n">
        <v>45468.50820601852</v>
      </c>
      <c r="C2221" s="1" t="n">
        <v>45911</v>
      </c>
      <c r="D2221" t="inlineStr">
        <is>
          <t>GÄVLEBORGS LÄN</t>
        </is>
      </c>
      <c r="E2221" t="inlineStr">
        <is>
          <t>SANDVIKEN</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61010-2021</t>
        </is>
      </c>
      <c r="B2222" s="1" t="n">
        <v>44497</v>
      </c>
      <c r="C2222" s="1" t="n">
        <v>45911</v>
      </c>
      <c r="D2222" t="inlineStr">
        <is>
          <t>GÄVLEBORGS LÄN</t>
        </is>
      </c>
      <c r="E2222" t="inlineStr">
        <is>
          <t>LJUSDAL</t>
        </is>
      </c>
      <c r="F2222" t="inlineStr">
        <is>
          <t>Holmen skog AB</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254-2022</t>
        </is>
      </c>
      <c r="B2223" s="1" t="n">
        <v>44564</v>
      </c>
      <c r="C2223" s="1" t="n">
        <v>45911</v>
      </c>
      <c r="D2223" t="inlineStr">
        <is>
          <t>GÄVLEBORGS LÄN</t>
        </is>
      </c>
      <c r="E2223" t="inlineStr">
        <is>
          <t>SÖDERHAMN</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4095-2024</t>
        </is>
      </c>
      <c r="B2224" s="1" t="n">
        <v>45323</v>
      </c>
      <c r="C2224" s="1" t="n">
        <v>45911</v>
      </c>
      <c r="D2224" t="inlineStr">
        <is>
          <t>GÄVLEBORGS LÄN</t>
        </is>
      </c>
      <c r="E2224" t="inlineStr">
        <is>
          <t>LJUSDAL</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26377-2023</t>
        </is>
      </c>
      <c r="B2225" s="1" t="n">
        <v>45092.28179398148</v>
      </c>
      <c r="C2225" s="1" t="n">
        <v>45911</v>
      </c>
      <c r="D2225" t="inlineStr">
        <is>
          <t>GÄVLEBORGS LÄN</t>
        </is>
      </c>
      <c r="E2225" t="inlineStr">
        <is>
          <t>BOLLNÄS</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46828-2024</t>
        </is>
      </c>
      <c r="B2226" s="1" t="n">
        <v>45583</v>
      </c>
      <c r="C2226" s="1" t="n">
        <v>45911</v>
      </c>
      <c r="D2226" t="inlineStr">
        <is>
          <t>GÄVLEBORGS LÄN</t>
        </is>
      </c>
      <c r="E2226" t="inlineStr">
        <is>
          <t>HUDIKSVALL</t>
        </is>
      </c>
      <c r="F2226" t="inlineStr">
        <is>
          <t>Holmen skog AB</t>
        </is>
      </c>
      <c r="G2226" t="n">
        <v>19.1</v>
      </c>
      <c r="H2226" t="n">
        <v>0</v>
      </c>
      <c r="I2226" t="n">
        <v>0</v>
      </c>
      <c r="J2226" t="n">
        <v>0</v>
      </c>
      <c r="K2226" t="n">
        <v>0</v>
      </c>
      <c r="L2226" t="n">
        <v>0</v>
      </c>
      <c r="M2226" t="n">
        <v>0</v>
      </c>
      <c r="N2226" t="n">
        <v>0</v>
      </c>
      <c r="O2226" t="n">
        <v>0</v>
      </c>
      <c r="P2226" t="n">
        <v>0</v>
      </c>
      <c r="Q2226" t="n">
        <v>0</v>
      </c>
      <c r="R2226" s="2" t="inlineStr"/>
    </row>
    <row r="2227" ht="15" customHeight="1">
      <c r="A2227" t="inlineStr">
        <is>
          <t>A 51431-2021</t>
        </is>
      </c>
      <c r="B2227" s="1" t="n">
        <v>44461</v>
      </c>
      <c r="C2227" s="1" t="n">
        <v>45911</v>
      </c>
      <c r="D2227" t="inlineStr">
        <is>
          <t>GÄVLEBORGS LÄN</t>
        </is>
      </c>
      <c r="E2227" t="inlineStr">
        <is>
          <t>LJUSDAL</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14796-2023</t>
        </is>
      </c>
      <c r="B2228" s="1" t="n">
        <v>45014</v>
      </c>
      <c r="C2228" s="1" t="n">
        <v>45911</v>
      </c>
      <c r="D2228" t="inlineStr">
        <is>
          <t>GÄVLEBORGS LÄN</t>
        </is>
      </c>
      <c r="E2228" t="inlineStr">
        <is>
          <t>HUDIKSVALL</t>
        </is>
      </c>
      <c r="F2228" t="inlineStr">
        <is>
          <t>Holmen skog AB</t>
        </is>
      </c>
      <c r="G2228" t="n">
        <v>10.4</v>
      </c>
      <c r="H2228" t="n">
        <v>0</v>
      </c>
      <c r="I2228" t="n">
        <v>0</v>
      </c>
      <c r="J2228" t="n">
        <v>0</v>
      </c>
      <c r="K2228" t="n">
        <v>0</v>
      </c>
      <c r="L2228" t="n">
        <v>0</v>
      </c>
      <c r="M2228" t="n">
        <v>0</v>
      </c>
      <c r="N2228" t="n">
        <v>0</v>
      </c>
      <c r="O2228" t="n">
        <v>0</v>
      </c>
      <c r="P2228" t="n">
        <v>0</v>
      </c>
      <c r="Q2228" t="n">
        <v>0</v>
      </c>
      <c r="R2228" s="2" t="inlineStr"/>
    </row>
    <row r="2229" ht="15" customHeight="1">
      <c r="A2229" t="inlineStr">
        <is>
          <t>A 26531-2023</t>
        </is>
      </c>
      <c r="B2229" s="1" t="n">
        <v>45092.57606481481</v>
      </c>
      <c r="C2229" s="1" t="n">
        <v>45911</v>
      </c>
      <c r="D2229" t="inlineStr">
        <is>
          <t>GÄVLEBORGS LÄN</t>
        </is>
      </c>
      <c r="E2229" t="inlineStr">
        <is>
          <t>BOLLNÄS</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24742-2024</t>
        </is>
      </c>
      <c r="B2230" s="1" t="n">
        <v>45460.66289351852</v>
      </c>
      <c r="C2230" s="1" t="n">
        <v>45911</v>
      </c>
      <c r="D2230" t="inlineStr">
        <is>
          <t>GÄVLEBORGS LÄN</t>
        </is>
      </c>
      <c r="E2230" t="inlineStr">
        <is>
          <t>BOLLNÄS</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27497-2023</t>
        </is>
      </c>
      <c r="B2231" s="1" t="n">
        <v>45097</v>
      </c>
      <c r="C2231" s="1" t="n">
        <v>45911</v>
      </c>
      <c r="D2231" t="inlineStr">
        <is>
          <t>GÄVLEBORGS LÄN</t>
        </is>
      </c>
      <c r="E2231" t="inlineStr">
        <is>
          <t>LJUSDAL</t>
        </is>
      </c>
      <c r="F2231" t="inlineStr">
        <is>
          <t>Bergvik skog väst AB</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27512-2023</t>
        </is>
      </c>
      <c r="B2232" s="1" t="n">
        <v>45097</v>
      </c>
      <c r="C2232" s="1" t="n">
        <v>45911</v>
      </c>
      <c r="D2232" t="inlineStr">
        <is>
          <t>GÄVLEBORGS LÄN</t>
        </is>
      </c>
      <c r="E2232" t="inlineStr">
        <is>
          <t>LJUSDAL</t>
        </is>
      </c>
      <c r="F2232" t="inlineStr">
        <is>
          <t>Holmen skog AB</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9359-2024</t>
        </is>
      </c>
      <c r="B2233" s="1" t="n">
        <v>45359.32847222222</v>
      </c>
      <c r="C2233" s="1" t="n">
        <v>45911</v>
      </c>
      <c r="D2233" t="inlineStr">
        <is>
          <t>GÄVLEBORGS LÄN</t>
        </is>
      </c>
      <c r="E2233" t="inlineStr">
        <is>
          <t>LJUSDAL</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49924-2020</t>
        </is>
      </c>
      <c r="B2234" s="1" t="n">
        <v>44109</v>
      </c>
      <c r="C2234" s="1" t="n">
        <v>45911</v>
      </c>
      <c r="D2234" t="inlineStr">
        <is>
          <t>GÄVLEBORGS LÄN</t>
        </is>
      </c>
      <c r="E2234" t="inlineStr">
        <is>
          <t>LJUSDAL</t>
        </is>
      </c>
      <c r="F2234" t="inlineStr">
        <is>
          <t>Kommuner</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22608-2025</t>
        </is>
      </c>
      <c r="B2235" s="1" t="n">
        <v>45789.42083333333</v>
      </c>
      <c r="C2235" s="1" t="n">
        <v>45911</v>
      </c>
      <c r="D2235" t="inlineStr">
        <is>
          <t>GÄVLEBORGS LÄN</t>
        </is>
      </c>
      <c r="E2235" t="inlineStr">
        <is>
          <t>HUDIKSVALL</t>
        </is>
      </c>
      <c r="F2235" t="inlineStr">
        <is>
          <t>Holmen skog AB</t>
        </is>
      </c>
      <c r="G2235" t="n">
        <v>6.2</v>
      </c>
      <c r="H2235" t="n">
        <v>0</v>
      </c>
      <c r="I2235" t="n">
        <v>0</v>
      </c>
      <c r="J2235" t="n">
        <v>0</v>
      </c>
      <c r="K2235" t="n">
        <v>0</v>
      </c>
      <c r="L2235" t="n">
        <v>0</v>
      </c>
      <c r="M2235" t="n">
        <v>0</v>
      </c>
      <c r="N2235" t="n">
        <v>0</v>
      </c>
      <c r="O2235" t="n">
        <v>0</v>
      </c>
      <c r="P2235" t="n">
        <v>0</v>
      </c>
      <c r="Q2235" t="n">
        <v>0</v>
      </c>
      <c r="R2235" s="2" t="inlineStr"/>
    </row>
    <row r="2236" ht="15" customHeight="1">
      <c r="A2236" t="inlineStr">
        <is>
          <t>A 42934-2023</t>
        </is>
      </c>
      <c r="B2236" s="1" t="n">
        <v>45182.56731481481</v>
      </c>
      <c r="C2236" s="1" t="n">
        <v>45911</v>
      </c>
      <c r="D2236" t="inlineStr">
        <is>
          <t>GÄVLEBORGS LÄN</t>
        </is>
      </c>
      <c r="E2236" t="inlineStr">
        <is>
          <t>GÄVLE</t>
        </is>
      </c>
      <c r="F2236" t="inlineStr">
        <is>
          <t>Bergvik skog väst AB</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22844-2025</t>
        </is>
      </c>
      <c r="B2237" s="1" t="n">
        <v>45790.32160879629</v>
      </c>
      <c r="C2237" s="1" t="n">
        <v>45911</v>
      </c>
      <c r="D2237" t="inlineStr">
        <is>
          <t>GÄVLEBORGS LÄN</t>
        </is>
      </c>
      <c r="E2237" t="inlineStr">
        <is>
          <t>HOFORS</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10483-2024</t>
        </is>
      </c>
      <c r="B2238" s="1" t="n">
        <v>45366</v>
      </c>
      <c r="C2238" s="1" t="n">
        <v>45911</v>
      </c>
      <c r="D2238" t="inlineStr">
        <is>
          <t>GÄVLEBORGS LÄN</t>
        </is>
      </c>
      <c r="E2238" t="inlineStr">
        <is>
          <t>BOLLNÄS</t>
        </is>
      </c>
      <c r="G2238" t="n">
        <v>3.3</v>
      </c>
      <c r="H2238" t="n">
        <v>0</v>
      </c>
      <c r="I2238" t="n">
        <v>0</v>
      </c>
      <c r="J2238" t="n">
        <v>0</v>
      </c>
      <c r="K2238" t="n">
        <v>0</v>
      </c>
      <c r="L2238" t="n">
        <v>0</v>
      </c>
      <c r="M2238" t="n">
        <v>0</v>
      </c>
      <c r="N2238" t="n">
        <v>0</v>
      </c>
      <c r="O2238" t="n">
        <v>0</v>
      </c>
      <c r="P2238" t="n">
        <v>0</v>
      </c>
      <c r="Q2238" t="n">
        <v>0</v>
      </c>
      <c r="R2238" s="2" t="inlineStr"/>
    </row>
    <row r="2239" ht="15" customHeight="1">
      <c r="A2239" t="inlineStr">
        <is>
          <t>A 26180-2023</t>
        </is>
      </c>
      <c r="B2239" s="1" t="n">
        <v>45091.52903935185</v>
      </c>
      <c r="C2239" s="1" t="n">
        <v>45911</v>
      </c>
      <c r="D2239" t="inlineStr">
        <is>
          <t>GÄVLEBORGS LÄN</t>
        </is>
      </c>
      <c r="E2239" t="inlineStr">
        <is>
          <t>LJUSDAL</t>
        </is>
      </c>
      <c r="F2239" t="inlineStr">
        <is>
          <t>Sveaskog</t>
        </is>
      </c>
      <c r="G2239" t="n">
        <v>3.7</v>
      </c>
      <c r="H2239" t="n">
        <v>0</v>
      </c>
      <c r="I2239" t="n">
        <v>0</v>
      </c>
      <c r="J2239" t="n">
        <v>0</v>
      </c>
      <c r="K2239" t="n">
        <v>0</v>
      </c>
      <c r="L2239" t="n">
        <v>0</v>
      </c>
      <c r="M2239" t="n">
        <v>0</v>
      </c>
      <c r="N2239" t="n">
        <v>0</v>
      </c>
      <c r="O2239" t="n">
        <v>0</v>
      </c>
      <c r="P2239" t="n">
        <v>0</v>
      </c>
      <c r="Q2239" t="n">
        <v>0</v>
      </c>
      <c r="R2239" s="2" t="inlineStr"/>
    </row>
    <row r="2240" ht="15" customHeight="1">
      <c r="A2240" t="inlineStr">
        <is>
          <t>A 22859-2025</t>
        </is>
      </c>
      <c r="B2240" s="1" t="n">
        <v>45790</v>
      </c>
      <c r="C2240" s="1" t="n">
        <v>45911</v>
      </c>
      <c r="D2240" t="inlineStr">
        <is>
          <t>GÄVLEBORGS LÄN</t>
        </is>
      </c>
      <c r="E2240" t="inlineStr">
        <is>
          <t>HUDIKSVALL</t>
        </is>
      </c>
      <c r="F2240" t="inlineStr">
        <is>
          <t>Holmen skog AB</t>
        </is>
      </c>
      <c r="G2240" t="n">
        <v>14.7</v>
      </c>
      <c r="H2240" t="n">
        <v>0</v>
      </c>
      <c r="I2240" t="n">
        <v>0</v>
      </c>
      <c r="J2240" t="n">
        <v>0</v>
      </c>
      <c r="K2240" t="n">
        <v>0</v>
      </c>
      <c r="L2240" t="n">
        <v>0</v>
      </c>
      <c r="M2240" t="n">
        <v>0</v>
      </c>
      <c r="N2240" t="n">
        <v>0</v>
      </c>
      <c r="O2240" t="n">
        <v>0</v>
      </c>
      <c r="P2240" t="n">
        <v>0</v>
      </c>
      <c r="Q2240" t="n">
        <v>0</v>
      </c>
      <c r="R2240" s="2" t="inlineStr"/>
      <c r="U2240">
        <f>HYPERLINK("https://klasma.github.io/Logging_2184/knärot/A 22859-2025 karta knärot.png", "A 22859-2025")</f>
        <v/>
      </c>
      <c r="V2240">
        <f>HYPERLINK("https://klasma.github.io/Logging_2184/klagomål/A 22859-2025 FSC-klagomål.docx", "A 22859-2025")</f>
        <v/>
      </c>
      <c r="W2240">
        <f>HYPERLINK("https://klasma.github.io/Logging_2184/klagomålsmail/A 22859-2025 FSC-klagomål mail.docx", "A 22859-2025")</f>
        <v/>
      </c>
      <c r="X2240">
        <f>HYPERLINK("https://klasma.github.io/Logging_2184/tillsyn/A 22859-2025 tillsynsbegäran.docx", "A 22859-2025")</f>
        <v/>
      </c>
      <c r="Y2240">
        <f>HYPERLINK("https://klasma.github.io/Logging_2184/tillsynsmail/A 22859-2025 tillsynsbegäran mail.docx", "A 22859-2025")</f>
        <v/>
      </c>
    </row>
    <row r="2241" ht="15" customHeight="1">
      <c r="A2241" t="inlineStr">
        <is>
          <t>A 24220-2024</t>
        </is>
      </c>
      <c r="B2241" s="1" t="n">
        <v>45457.32453703704</v>
      </c>
      <c r="C2241" s="1" t="n">
        <v>45911</v>
      </c>
      <c r="D2241" t="inlineStr">
        <is>
          <t>GÄVLEBORGS LÄN</t>
        </is>
      </c>
      <c r="E2241" t="inlineStr">
        <is>
          <t>HUDIKSVALL</t>
        </is>
      </c>
      <c r="F2241" t="inlineStr">
        <is>
          <t>Holmen skog AB</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22319-2025</t>
        </is>
      </c>
      <c r="B2242" s="1" t="n">
        <v>45786.39515046297</v>
      </c>
      <c r="C2242" s="1" t="n">
        <v>45911</v>
      </c>
      <c r="D2242" t="inlineStr">
        <is>
          <t>GÄVLEBORGS LÄN</t>
        </is>
      </c>
      <c r="E2242" t="inlineStr">
        <is>
          <t>NORDANSTIG</t>
        </is>
      </c>
      <c r="F2242" t="inlineStr">
        <is>
          <t>Holmen skog AB</t>
        </is>
      </c>
      <c r="G2242" t="n">
        <v>4.3</v>
      </c>
      <c r="H2242" t="n">
        <v>0</v>
      </c>
      <c r="I2242" t="n">
        <v>0</v>
      </c>
      <c r="J2242" t="n">
        <v>0</v>
      </c>
      <c r="K2242" t="n">
        <v>0</v>
      </c>
      <c r="L2242" t="n">
        <v>0</v>
      </c>
      <c r="M2242" t="n">
        <v>0</v>
      </c>
      <c r="N2242" t="n">
        <v>0</v>
      </c>
      <c r="O2242" t="n">
        <v>0</v>
      </c>
      <c r="P2242" t="n">
        <v>0</v>
      </c>
      <c r="Q2242" t="n">
        <v>0</v>
      </c>
      <c r="R2242" s="2" t="inlineStr"/>
    </row>
    <row r="2243" ht="15" customHeight="1">
      <c r="A2243" t="inlineStr">
        <is>
          <t>A 23365-2024</t>
        </is>
      </c>
      <c r="B2243" s="1" t="n">
        <v>45453.54730324074</v>
      </c>
      <c r="C2243" s="1" t="n">
        <v>45911</v>
      </c>
      <c r="D2243" t="inlineStr">
        <is>
          <t>GÄVLEBORGS LÄN</t>
        </is>
      </c>
      <c r="E2243" t="inlineStr">
        <is>
          <t>BOLLNÄS</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40140-2022</t>
        </is>
      </c>
      <c r="B2244" s="1" t="n">
        <v>44820</v>
      </c>
      <c r="C2244" s="1" t="n">
        <v>45911</v>
      </c>
      <c r="D2244" t="inlineStr">
        <is>
          <t>GÄVLEBORGS LÄN</t>
        </is>
      </c>
      <c r="E2244" t="inlineStr">
        <is>
          <t>OCKELBO</t>
        </is>
      </c>
      <c r="F2244" t="inlineStr">
        <is>
          <t>Bergvik skog väst AB</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4384-2023</t>
        </is>
      </c>
      <c r="B2245" s="1" t="n">
        <v>44955</v>
      </c>
      <c r="C2245" s="1" t="n">
        <v>45911</v>
      </c>
      <c r="D2245" t="inlineStr">
        <is>
          <t>GÄVLEBORGS LÄN</t>
        </is>
      </c>
      <c r="E2245" t="inlineStr">
        <is>
          <t>SANDVIKEN</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21473-2023</t>
        </is>
      </c>
      <c r="B2246" s="1" t="n">
        <v>45063</v>
      </c>
      <c r="C2246" s="1" t="n">
        <v>45911</v>
      </c>
      <c r="D2246" t="inlineStr">
        <is>
          <t>GÄVLEBORGS LÄN</t>
        </is>
      </c>
      <c r="E2246" t="inlineStr">
        <is>
          <t>NORDANSTIG</t>
        </is>
      </c>
      <c r="F2246" t="inlineStr">
        <is>
          <t>Holmen skog AB</t>
        </is>
      </c>
      <c r="G2246" t="n">
        <v>5.7</v>
      </c>
      <c r="H2246" t="n">
        <v>0</v>
      </c>
      <c r="I2246" t="n">
        <v>0</v>
      </c>
      <c r="J2246" t="n">
        <v>0</v>
      </c>
      <c r="K2246" t="n">
        <v>0</v>
      </c>
      <c r="L2246" t="n">
        <v>0</v>
      </c>
      <c r="M2246" t="n">
        <v>0</v>
      </c>
      <c r="N2246" t="n">
        <v>0</v>
      </c>
      <c r="O2246" t="n">
        <v>0</v>
      </c>
      <c r="P2246" t="n">
        <v>0</v>
      </c>
      <c r="Q2246" t="n">
        <v>0</v>
      </c>
      <c r="R2246" s="2" t="inlineStr"/>
    </row>
    <row r="2247" ht="15" customHeight="1">
      <c r="A2247" t="inlineStr">
        <is>
          <t>A 64344-2021</t>
        </is>
      </c>
      <c r="B2247" s="1" t="n">
        <v>44511</v>
      </c>
      <c r="C2247" s="1" t="n">
        <v>45911</v>
      </c>
      <c r="D2247" t="inlineStr">
        <is>
          <t>GÄVLEBORGS LÄN</t>
        </is>
      </c>
      <c r="E2247" t="inlineStr">
        <is>
          <t>HUDIKSVALL</t>
        </is>
      </c>
      <c r="G2247" t="n">
        <v>5.2</v>
      </c>
      <c r="H2247" t="n">
        <v>0</v>
      </c>
      <c r="I2247" t="n">
        <v>0</v>
      </c>
      <c r="J2247" t="n">
        <v>0</v>
      </c>
      <c r="K2247" t="n">
        <v>0</v>
      </c>
      <c r="L2247" t="n">
        <v>0</v>
      </c>
      <c r="M2247" t="n">
        <v>0</v>
      </c>
      <c r="N2247" t="n">
        <v>0</v>
      </c>
      <c r="O2247" t="n">
        <v>0</v>
      </c>
      <c r="P2247" t="n">
        <v>0</v>
      </c>
      <c r="Q2247" t="n">
        <v>0</v>
      </c>
      <c r="R2247" s="2" t="inlineStr"/>
    </row>
    <row r="2248" ht="15" customHeight="1">
      <c r="A2248" t="inlineStr">
        <is>
          <t>A 34113-2023</t>
        </is>
      </c>
      <c r="B2248" s="1" t="n">
        <v>45135.62081018519</v>
      </c>
      <c r="C2248" s="1" t="n">
        <v>45911</v>
      </c>
      <c r="D2248" t="inlineStr">
        <is>
          <t>GÄVLEBORGS LÄN</t>
        </is>
      </c>
      <c r="E2248" t="inlineStr">
        <is>
          <t>LJUSDAL</t>
        </is>
      </c>
      <c r="F2248" t="inlineStr">
        <is>
          <t>Holmen skog AB</t>
        </is>
      </c>
      <c r="G2248" t="n">
        <v>6.6</v>
      </c>
      <c r="H2248" t="n">
        <v>0</v>
      </c>
      <c r="I2248" t="n">
        <v>0</v>
      </c>
      <c r="J2248" t="n">
        <v>0</v>
      </c>
      <c r="K2248" t="n">
        <v>0</v>
      </c>
      <c r="L2248" t="n">
        <v>0</v>
      </c>
      <c r="M2248" t="n">
        <v>0</v>
      </c>
      <c r="N2248" t="n">
        <v>0</v>
      </c>
      <c r="O2248" t="n">
        <v>0</v>
      </c>
      <c r="P2248" t="n">
        <v>0</v>
      </c>
      <c r="Q2248" t="n">
        <v>0</v>
      </c>
      <c r="R2248" s="2" t="inlineStr"/>
    </row>
    <row r="2249" ht="15" customHeight="1">
      <c r="A2249" t="inlineStr">
        <is>
          <t>A 22597-2025</t>
        </is>
      </c>
      <c r="B2249" s="1" t="n">
        <v>45789.41380787037</v>
      </c>
      <c r="C2249" s="1" t="n">
        <v>45911</v>
      </c>
      <c r="D2249" t="inlineStr">
        <is>
          <t>GÄVLEBORGS LÄN</t>
        </is>
      </c>
      <c r="E2249" t="inlineStr">
        <is>
          <t>OCKELBO</t>
        </is>
      </c>
      <c r="G2249" t="n">
        <v>8.9</v>
      </c>
      <c r="H2249" t="n">
        <v>0</v>
      </c>
      <c r="I2249" t="n">
        <v>0</v>
      </c>
      <c r="J2249" t="n">
        <v>0</v>
      </c>
      <c r="K2249" t="n">
        <v>0</v>
      </c>
      <c r="L2249" t="n">
        <v>0</v>
      </c>
      <c r="M2249" t="n">
        <v>0</v>
      </c>
      <c r="N2249" t="n">
        <v>0</v>
      </c>
      <c r="O2249" t="n">
        <v>0</v>
      </c>
      <c r="P2249" t="n">
        <v>0</v>
      </c>
      <c r="Q2249" t="n">
        <v>0</v>
      </c>
      <c r="R2249" s="2" t="inlineStr"/>
    </row>
    <row r="2250" ht="15" customHeight="1">
      <c r="A2250" t="inlineStr">
        <is>
          <t>A 22598-2025</t>
        </is>
      </c>
      <c r="B2250" s="1" t="n">
        <v>45789.41481481482</v>
      </c>
      <c r="C2250" s="1" t="n">
        <v>45911</v>
      </c>
      <c r="D2250" t="inlineStr">
        <is>
          <t>GÄVLEBORGS LÄN</t>
        </is>
      </c>
      <c r="E2250" t="inlineStr">
        <is>
          <t>LJUSDAL</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22784-2025</t>
        </is>
      </c>
      <c r="B2251" s="1" t="n">
        <v>45789.63913194444</v>
      </c>
      <c r="C2251" s="1" t="n">
        <v>45911</v>
      </c>
      <c r="D2251" t="inlineStr">
        <is>
          <t>GÄVLEBORGS LÄN</t>
        </is>
      </c>
      <c r="E2251" t="inlineStr">
        <is>
          <t>NORDANSTIG</t>
        </is>
      </c>
      <c r="F2251" t="inlineStr">
        <is>
          <t>Holmen skog AB</t>
        </is>
      </c>
      <c r="G2251" t="n">
        <v>55.6</v>
      </c>
      <c r="H2251" t="n">
        <v>0</v>
      </c>
      <c r="I2251" t="n">
        <v>0</v>
      </c>
      <c r="J2251" t="n">
        <v>0</v>
      </c>
      <c r="K2251" t="n">
        <v>0</v>
      </c>
      <c r="L2251" t="n">
        <v>0</v>
      </c>
      <c r="M2251" t="n">
        <v>0</v>
      </c>
      <c r="N2251" t="n">
        <v>0</v>
      </c>
      <c r="O2251" t="n">
        <v>0</v>
      </c>
      <c r="P2251" t="n">
        <v>0</v>
      </c>
      <c r="Q2251" t="n">
        <v>0</v>
      </c>
      <c r="R2251" s="2" t="inlineStr"/>
    </row>
    <row r="2252" ht="15" customHeight="1">
      <c r="A2252" t="inlineStr">
        <is>
          <t>A 72535-2021</t>
        </is>
      </c>
      <c r="B2252" s="1" t="n">
        <v>44546</v>
      </c>
      <c r="C2252" s="1" t="n">
        <v>45911</v>
      </c>
      <c r="D2252" t="inlineStr">
        <is>
          <t>GÄVLEBORGS LÄN</t>
        </is>
      </c>
      <c r="E2252" t="inlineStr">
        <is>
          <t>HUDIKSVALL</t>
        </is>
      </c>
      <c r="F2252" t="inlineStr">
        <is>
          <t>Sveaskog</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9194-2022</t>
        </is>
      </c>
      <c r="B2253" s="1" t="n">
        <v>44615</v>
      </c>
      <c r="C2253" s="1" t="n">
        <v>45911</v>
      </c>
      <c r="D2253" t="inlineStr">
        <is>
          <t>GÄVLEBORGS LÄN</t>
        </is>
      </c>
      <c r="E2253" t="inlineStr">
        <is>
          <t>LJUSDAL</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48580-2024</t>
        </is>
      </c>
      <c r="B2254" s="1" t="n">
        <v>45593.41601851852</v>
      </c>
      <c r="C2254" s="1" t="n">
        <v>45911</v>
      </c>
      <c r="D2254" t="inlineStr">
        <is>
          <t>GÄVLEBORGS LÄN</t>
        </is>
      </c>
      <c r="E2254" t="inlineStr">
        <is>
          <t>LJUSDAL</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48597-2024</t>
        </is>
      </c>
      <c r="B2255" s="1" t="n">
        <v>45593.44456018518</v>
      </c>
      <c r="C2255" s="1" t="n">
        <v>45911</v>
      </c>
      <c r="D2255" t="inlineStr">
        <is>
          <t>GÄVLEBORGS LÄN</t>
        </is>
      </c>
      <c r="E2255" t="inlineStr">
        <is>
          <t>HUDIKSVALL</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22927-2025</t>
        </is>
      </c>
      <c r="B2256" s="1" t="n">
        <v>45790.4482175926</v>
      </c>
      <c r="C2256" s="1" t="n">
        <v>45911</v>
      </c>
      <c r="D2256" t="inlineStr">
        <is>
          <t>GÄVLEBORGS LÄN</t>
        </is>
      </c>
      <c r="E2256" t="inlineStr">
        <is>
          <t>BOLLNÄS</t>
        </is>
      </c>
      <c r="F2256" t="inlineStr">
        <is>
          <t>Bergvik skog väst AB</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18505-2024</t>
        </is>
      </c>
      <c r="B2257" s="1" t="n">
        <v>45425</v>
      </c>
      <c r="C2257" s="1" t="n">
        <v>45911</v>
      </c>
      <c r="D2257" t="inlineStr">
        <is>
          <t>GÄVLEBORGS LÄN</t>
        </is>
      </c>
      <c r="E2257" t="inlineStr">
        <is>
          <t>SÖDERHAMN</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16106-2023</t>
        </is>
      </c>
      <c r="B2258" s="1" t="n">
        <v>45027</v>
      </c>
      <c r="C2258" s="1" t="n">
        <v>45911</v>
      </c>
      <c r="D2258" t="inlineStr">
        <is>
          <t>GÄVLEBORGS LÄN</t>
        </is>
      </c>
      <c r="E2258" t="inlineStr">
        <is>
          <t>SÖDERHAMN</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24852-2024</t>
        </is>
      </c>
      <c r="B2259" s="1" t="n">
        <v>45461.45328703704</v>
      </c>
      <c r="C2259" s="1" t="n">
        <v>45911</v>
      </c>
      <c r="D2259" t="inlineStr">
        <is>
          <t>GÄVLEBORGS LÄN</t>
        </is>
      </c>
      <c r="E2259" t="inlineStr">
        <is>
          <t>HUDIKSVALL</t>
        </is>
      </c>
      <c r="F2259" t="inlineStr">
        <is>
          <t>Holmen skog AB</t>
        </is>
      </c>
      <c r="G2259" t="n">
        <v>19.2</v>
      </c>
      <c r="H2259" t="n">
        <v>0</v>
      </c>
      <c r="I2259" t="n">
        <v>0</v>
      </c>
      <c r="J2259" t="n">
        <v>0</v>
      </c>
      <c r="K2259" t="n">
        <v>0</v>
      </c>
      <c r="L2259" t="n">
        <v>0</v>
      </c>
      <c r="M2259" t="n">
        <v>0</v>
      </c>
      <c r="N2259" t="n">
        <v>0</v>
      </c>
      <c r="O2259" t="n">
        <v>0</v>
      </c>
      <c r="P2259" t="n">
        <v>0</v>
      </c>
      <c r="Q2259" t="n">
        <v>0</v>
      </c>
      <c r="R2259" s="2" t="inlineStr"/>
    </row>
    <row r="2260" ht="15" customHeight="1">
      <c r="A2260" t="inlineStr">
        <is>
          <t>A 51137-2023</t>
        </is>
      </c>
      <c r="B2260" s="1" t="n">
        <v>45219</v>
      </c>
      <c r="C2260" s="1" t="n">
        <v>45911</v>
      </c>
      <c r="D2260" t="inlineStr">
        <is>
          <t>GÄVLEBORGS LÄN</t>
        </is>
      </c>
      <c r="E2260" t="inlineStr">
        <is>
          <t>BOLLNÄS</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24374-2024</t>
        </is>
      </c>
      <c r="B2261" s="1" t="n">
        <v>45457.61493055556</v>
      </c>
      <c r="C2261" s="1" t="n">
        <v>45911</v>
      </c>
      <c r="D2261" t="inlineStr">
        <is>
          <t>GÄVLEBORGS LÄN</t>
        </is>
      </c>
      <c r="E2261" t="inlineStr">
        <is>
          <t>NORDANSTIG</t>
        </is>
      </c>
      <c r="F2261" t="inlineStr">
        <is>
          <t>Holmen skog AB</t>
        </is>
      </c>
      <c r="G2261" t="n">
        <v>5.4</v>
      </c>
      <c r="H2261" t="n">
        <v>0</v>
      </c>
      <c r="I2261" t="n">
        <v>0</v>
      </c>
      <c r="J2261" t="n">
        <v>0</v>
      </c>
      <c r="K2261" t="n">
        <v>0</v>
      </c>
      <c r="L2261" t="n">
        <v>0</v>
      </c>
      <c r="M2261" t="n">
        <v>0</v>
      </c>
      <c r="N2261" t="n">
        <v>0</v>
      </c>
      <c r="O2261" t="n">
        <v>0</v>
      </c>
      <c r="P2261" t="n">
        <v>0</v>
      </c>
      <c r="Q2261" t="n">
        <v>0</v>
      </c>
      <c r="R2261" s="2" t="inlineStr"/>
    </row>
    <row r="2262" ht="15" customHeight="1">
      <c r="A2262" t="inlineStr">
        <is>
          <t>A 18096-2021</t>
        </is>
      </c>
      <c r="B2262" s="1" t="n">
        <v>44302.4797800926</v>
      </c>
      <c r="C2262" s="1" t="n">
        <v>45911</v>
      </c>
      <c r="D2262" t="inlineStr">
        <is>
          <t>GÄVLEBORGS LÄN</t>
        </is>
      </c>
      <c r="E2262" t="inlineStr">
        <is>
          <t>LJUSDAL</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31803-2024</t>
        </is>
      </c>
      <c r="B2263" s="1" t="n">
        <v>45509</v>
      </c>
      <c r="C2263" s="1" t="n">
        <v>45911</v>
      </c>
      <c r="D2263" t="inlineStr">
        <is>
          <t>GÄVLEBORGS LÄN</t>
        </is>
      </c>
      <c r="E2263" t="inlineStr">
        <is>
          <t>SÖDERHAMN</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54705-2024</t>
        </is>
      </c>
      <c r="B2264" s="1" t="n">
        <v>45618.41390046296</v>
      </c>
      <c r="C2264" s="1" t="n">
        <v>45911</v>
      </c>
      <c r="D2264" t="inlineStr">
        <is>
          <t>GÄVLEBORGS LÄN</t>
        </is>
      </c>
      <c r="E2264" t="inlineStr">
        <is>
          <t>NORDANSTIG</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44594-2022</t>
        </is>
      </c>
      <c r="B2265" s="1" t="n">
        <v>44840</v>
      </c>
      <c r="C2265" s="1" t="n">
        <v>45911</v>
      </c>
      <c r="D2265" t="inlineStr">
        <is>
          <t>GÄVLEBORGS LÄN</t>
        </is>
      </c>
      <c r="E2265" t="inlineStr">
        <is>
          <t>OVANÅKER</t>
        </is>
      </c>
      <c r="G2265" t="n">
        <v>5</v>
      </c>
      <c r="H2265" t="n">
        <v>0</v>
      </c>
      <c r="I2265" t="n">
        <v>0</v>
      </c>
      <c r="J2265" t="n">
        <v>0</v>
      </c>
      <c r="K2265" t="n">
        <v>0</v>
      </c>
      <c r="L2265" t="n">
        <v>0</v>
      </c>
      <c r="M2265" t="n">
        <v>0</v>
      </c>
      <c r="N2265" t="n">
        <v>0</v>
      </c>
      <c r="O2265" t="n">
        <v>0</v>
      </c>
      <c r="P2265" t="n">
        <v>0</v>
      </c>
      <c r="Q2265" t="n">
        <v>0</v>
      </c>
      <c r="R2265" s="2" t="inlineStr"/>
    </row>
    <row r="2266" ht="15" customHeight="1">
      <c r="A2266" t="inlineStr">
        <is>
          <t>A 22458-2025</t>
        </is>
      </c>
      <c r="B2266" s="1" t="n">
        <v>45786.60678240741</v>
      </c>
      <c r="C2266" s="1" t="n">
        <v>45911</v>
      </c>
      <c r="D2266" t="inlineStr">
        <is>
          <t>GÄVLEBORGS LÄN</t>
        </is>
      </c>
      <c r="E2266" t="inlineStr">
        <is>
          <t>BOLLNÄS</t>
        </is>
      </c>
      <c r="G2266" t="n">
        <v>4.2</v>
      </c>
      <c r="H2266" t="n">
        <v>0</v>
      </c>
      <c r="I2266" t="n">
        <v>0</v>
      </c>
      <c r="J2266" t="n">
        <v>0</v>
      </c>
      <c r="K2266" t="n">
        <v>0</v>
      </c>
      <c r="L2266" t="n">
        <v>0</v>
      </c>
      <c r="M2266" t="n">
        <v>0</v>
      </c>
      <c r="N2266" t="n">
        <v>0</v>
      </c>
      <c r="O2266" t="n">
        <v>0</v>
      </c>
      <c r="P2266" t="n">
        <v>0</v>
      </c>
      <c r="Q2266" t="n">
        <v>0</v>
      </c>
      <c r="R2266" s="2" t="inlineStr"/>
    </row>
    <row r="2267" ht="15" customHeight="1">
      <c r="A2267" t="inlineStr">
        <is>
          <t>A 46485-2024</t>
        </is>
      </c>
      <c r="B2267" s="1" t="n">
        <v>45582.57607638889</v>
      </c>
      <c r="C2267" s="1" t="n">
        <v>45911</v>
      </c>
      <c r="D2267" t="inlineStr">
        <is>
          <t>GÄVLEBORGS LÄN</t>
        </is>
      </c>
      <c r="E2267" t="inlineStr">
        <is>
          <t>OCKELBO</t>
        </is>
      </c>
      <c r="F2267" t="inlineStr">
        <is>
          <t>Bergvik skog väst AB</t>
        </is>
      </c>
      <c r="G2267" t="n">
        <v>6.7</v>
      </c>
      <c r="H2267" t="n">
        <v>0</v>
      </c>
      <c r="I2267" t="n">
        <v>0</v>
      </c>
      <c r="J2267" t="n">
        <v>0</v>
      </c>
      <c r="K2267" t="n">
        <v>0</v>
      </c>
      <c r="L2267" t="n">
        <v>0</v>
      </c>
      <c r="M2267" t="n">
        <v>0</v>
      </c>
      <c r="N2267" t="n">
        <v>0</v>
      </c>
      <c r="O2267" t="n">
        <v>0</v>
      </c>
      <c r="P2267" t="n">
        <v>0</v>
      </c>
      <c r="Q2267" t="n">
        <v>0</v>
      </c>
      <c r="R2267" s="2" t="inlineStr"/>
    </row>
    <row r="2268" ht="15" customHeight="1">
      <c r="A2268" t="inlineStr">
        <is>
          <t>A 38570-2023</t>
        </is>
      </c>
      <c r="B2268" s="1" t="n">
        <v>45162</v>
      </c>
      <c r="C2268" s="1" t="n">
        <v>45911</v>
      </c>
      <c r="D2268" t="inlineStr">
        <is>
          <t>GÄVLEBORGS LÄN</t>
        </is>
      </c>
      <c r="E2268" t="inlineStr">
        <is>
          <t>SANDVIKEN</t>
        </is>
      </c>
      <c r="G2268" t="n">
        <v>6.3</v>
      </c>
      <c r="H2268" t="n">
        <v>0</v>
      </c>
      <c r="I2268" t="n">
        <v>0</v>
      </c>
      <c r="J2268" t="n">
        <v>0</v>
      </c>
      <c r="K2268" t="n">
        <v>0</v>
      </c>
      <c r="L2268" t="n">
        <v>0</v>
      </c>
      <c r="M2268" t="n">
        <v>0</v>
      </c>
      <c r="N2268" t="n">
        <v>0</v>
      </c>
      <c r="O2268" t="n">
        <v>0</v>
      </c>
      <c r="P2268" t="n">
        <v>0</v>
      </c>
      <c r="Q2268" t="n">
        <v>0</v>
      </c>
      <c r="R2268" s="2" t="inlineStr"/>
    </row>
    <row r="2269" ht="15" customHeight="1">
      <c r="A2269" t="inlineStr">
        <is>
          <t>A 15207-2024</t>
        </is>
      </c>
      <c r="B2269" s="1" t="n">
        <v>45400.44844907407</v>
      </c>
      <c r="C2269" s="1" t="n">
        <v>45911</v>
      </c>
      <c r="D2269" t="inlineStr">
        <is>
          <t>GÄVLEBORGS LÄN</t>
        </is>
      </c>
      <c r="E2269" t="inlineStr">
        <is>
          <t>GÄVLE</t>
        </is>
      </c>
      <c r="G2269" t="n">
        <v>6.3</v>
      </c>
      <c r="H2269" t="n">
        <v>0</v>
      </c>
      <c r="I2269" t="n">
        <v>0</v>
      </c>
      <c r="J2269" t="n">
        <v>0</v>
      </c>
      <c r="K2269" t="n">
        <v>0</v>
      </c>
      <c r="L2269" t="n">
        <v>0</v>
      </c>
      <c r="M2269" t="n">
        <v>0</v>
      </c>
      <c r="N2269" t="n">
        <v>0</v>
      </c>
      <c r="O2269" t="n">
        <v>0</v>
      </c>
      <c r="P2269" t="n">
        <v>0</v>
      </c>
      <c r="Q2269" t="n">
        <v>0</v>
      </c>
      <c r="R2269" s="2" t="inlineStr"/>
    </row>
    <row r="2270" ht="15" customHeight="1">
      <c r="A2270" t="inlineStr">
        <is>
          <t>A 22622-2025</t>
        </is>
      </c>
      <c r="B2270" s="1" t="n">
        <v>45789.43271990741</v>
      </c>
      <c r="C2270" s="1" t="n">
        <v>45911</v>
      </c>
      <c r="D2270" t="inlineStr">
        <is>
          <t>GÄVLEBORGS LÄN</t>
        </is>
      </c>
      <c r="E2270" t="inlineStr">
        <is>
          <t>BOLLNÄS</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36638-2022</t>
        </is>
      </c>
      <c r="B2271" s="1" t="n">
        <v>44804.72409722222</v>
      </c>
      <c r="C2271" s="1" t="n">
        <v>45911</v>
      </c>
      <c r="D2271" t="inlineStr">
        <is>
          <t>GÄVLEBORGS LÄN</t>
        </is>
      </c>
      <c r="E2271" t="inlineStr">
        <is>
          <t>GÄVLE</t>
        </is>
      </c>
      <c r="G2271" t="n">
        <v>4.2</v>
      </c>
      <c r="H2271" t="n">
        <v>0</v>
      </c>
      <c r="I2271" t="n">
        <v>0</v>
      </c>
      <c r="J2271" t="n">
        <v>0</v>
      </c>
      <c r="K2271" t="n">
        <v>0</v>
      </c>
      <c r="L2271" t="n">
        <v>0</v>
      </c>
      <c r="M2271" t="n">
        <v>0</v>
      </c>
      <c r="N2271" t="n">
        <v>0</v>
      </c>
      <c r="O2271" t="n">
        <v>0</v>
      </c>
      <c r="P2271" t="n">
        <v>0</v>
      </c>
      <c r="Q2271" t="n">
        <v>0</v>
      </c>
      <c r="R2271" s="2" t="inlineStr"/>
    </row>
    <row r="2272" ht="15" customHeight="1">
      <c r="A2272" t="inlineStr">
        <is>
          <t>A 15929-2021</t>
        </is>
      </c>
      <c r="B2272" s="1" t="n">
        <v>44287</v>
      </c>
      <c r="C2272" s="1" t="n">
        <v>45911</v>
      </c>
      <c r="D2272" t="inlineStr">
        <is>
          <t>GÄVLEBORGS LÄN</t>
        </is>
      </c>
      <c r="E2272" t="inlineStr">
        <is>
          <t>SÖDERHAMN</t>
        </is>
      </c>
      <c r="G2272" t="n">
        <v>0.3</v>
      </c>
      <c r="H2272" t="n">
        <v>0</v>
      </c>
      <c r="I2272" t="n">
        <v>0</v>
      </c>
      <c r="J2272" t="n">
        <v>0</v>
      </c>
      <c r="K2272" t="n">
        <v>0</v>
      </c>
      <c r="L2272" t="n">
        <v>0</v>
      </c>
      <c r="M2272" t="n">
        <v>0</v>
      </c>
      <c r="N2272" t="n">
        <v>0</v>
      </c>
      <c r="O2272" t="n">
        <v>0</v>
      </c>
      <c r="P2272" t="n">
        <v>0</v>
      </c>
      <c r="Q2272" t="n">
        <v>0</v>
      </c>
      <c r="R2272" s="2" t="inlineStr"/>
    </row>
    <row r="2273" ht="15" customHeight="1">
      <c r="A2273" t="inlineStr">
        <is>
          <t>A 17834-2021</t>
        </is>
      </c>
      <c r="B2273" s="1" t="n">
        <v>44300.80547453704</v>
      </c>
      <c r="C2273" s="1" t="n">
        <v>45911</v>
      </c>
      <c r="D2273" t="inlineStr">
        <is>
          <t>GÄVLEBORGS LÄN</t>
        </is>
      </c>
      <c r="E2273" t="inlineStr">
        <is>
          <t>GÄVLE</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34429-2024</t>
        </is>
      </c>
      <c r="B2274" s="1" t="n">
        <v>45525.51678240741</v>
      </c>
      <c r="C2274" s="1" t="n">
        <v>45911</v>
      </c>
      <c r="D2274" t="inlineStr">
        <is>
          <t>GÄVLEBORGS LÄN</t>
        </is>
      </c>
      <c r="E2274" t="inlineStr">
        <is>
          <t>SANDVIKEN</t>
        </is>
      </c>
      <c r="F2274" t="inlineStr">
        <is>
          <t>Bergvik skog öst AB</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30296-2024</t>
        </is>
      </c>
      <c r="B2275" s="1" t="n">
        <v>45490</v>
      </c>
      <c r="C2275" s="1" t="n">
        <v>45911</v>
      </c>
      <c r="D2275" t="inlineStr">
        <is>
          <t>GÄVLEBORGS LÄN</t>
        </is>
      </c>
      <c r="E2275" t="inlineStr">
        <is>
          <t>LJUSDAL</t>
        </is>
      </c>
      <c r="G2275" t="n">
        <v>5.7</v>
      </c>
      <c r="H2275" t="n">
        <v>0</v>
      </c>
      <c r="I2275" t="n">
        <v>0</v>
      </c>
      <c r="J2275" t="n">
        <v>0</v>
      </c>
      <c r="K2275" t="n">
        <v>0</v>
      </c>
      <c r="L2275" t="n">
        <v>0</v>
      </c>
      <c r="M2275" t="n">
        <v>0</v>
      </c>
      <c r="N2275" t="n">
        <v>0</v>
      </c>
      <c r="O2275" t="n">
        <v>0</v>
      </c>
      <c r="P2275" t="n">
        <v>0</v>
      </c>
      <c r="Q2275" t="n">
        <v>0</v>
      </c>
      <c r="R2275" s="2" t="inlineStr"/>
    </row>
    <row r="2276" ht="15" customHeight="1">
      <c r="A2276" t="inlineStr">
        <is>
          <t>A 46588-2022</t>
        </is>
      </c>
      <c r="B2276" s="1" t="n">
        <v>44848.69696759259</v>
      </c>
      <c r="C2276" s="1" t="n">
        <v>45911</v>
      </c>
      <c r="D2276" t="inlineStr">
        <is>
          <t>GÄVLEBORGS LÄN</t>
        </is>
      </c>
      <c r="E2276" t="inlineStr">
        <is>
          <t>NORDANSTIG</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9366-2024</t>
        </is>
      </c>
      <c r="B2277" s="1" t="n">
        <v>45359.34866898148</v>
      </c>
      <c r="C2277" s="1" t="n">
        <v>45911</v>
      </c>
      <c r="D2277" t="inlineStr">
        <is>
          <t>GÄVLEBORGS LÄN</t>
        </is>
      </c>
      <c r="E2277" t="inlineStr">
        <is>
          <t>HUDIKSVALL</t>
        </is>
      </c>
      <c r="F2277" t="inlineStr">
        <is>
          <t>Holmen skog AB</t>
        </is>
      </c>
      <c r="G2277" t="n">
        <v>13.6</v>
      </c>
      <c r="H2277" t="n">
        <v>0</v>
      </c>
      <c r="I2277" t="n">
        <v>0</v>
      </c>
      <c r="J2277" t="n">
        <v>0</v>
      </c>
      <c r="K2277" t="n">
        <v>0</v>
      </c>
      <c r="L2277" t="n">
        <v>0</v>
      </c>
      <c r="M2277" t="n">
        <v>0</v>
      </c>
      <c r="N2277" t="n">
        <v>0</v>
      </c>
      <c r="O2277" t="n">
        <v>0</v>
      </c>
      <c r="P2277" t="n">
        <v>0</v>
      </c>
      <c r="Q2277" t="n">
        <v>0</v>
      </c>
      <c r="R2277" s="2" t="inlineStr"/>
    </row>
    <row r="2278" ht="15" customHeight="1">
      <c r="A2278" t="inlineStr">
        <is>
          <t>A 31303-2023</t>
        </is>
      </c>
      <c r="B2278" s="1" t="n">
        <v>45114.44133101852</v>
      </c>
      <c r="C2278" s="1" t="n">
        <v>45911</v>
      </c>
      <c r="D2278" t="inlineStr">
        <is>
          <t>GÄVLEBORGS LÄN</t>
        </is>
      </c>
      <c r="E2278" t="inlineStr">
        <is>
          <t>OCKELBO</t>
        </is>
      </c>
      <c r="F2278" t="inlineStr">
        <is>
          <t>Bergvik skog väst AB</t>
        </is>
      </c>
      <c r="G2278" t="n">
        <v>9.699999999999999</v>
      </c>
      <c r="H2278" t="n">
        <v>0</v>
      </c>
      <c r="I2278" t="n">
        <v>0</v>
      </c>
      <c r="J2278" t="n">
        <v>0</v>
      </c>
      <c r="K2278" t="n">
        <v>0</v>
      </c>
      <c r="L2278" t="n">
        <v>0</v>
      </c>
      <c r="M2278" t="n">
        <v>0</v>
      </c>
      <c r="N2278" t="n">
        <v>0</v>
      </c>
      <c r="O2278" t="n">
        <v>0</v>
      </c>
      <c r="P2278" t="n">
        <v>0</v>
      </c>
      <c r="Q2278" t="n">
        <v>0</v>
      </c>
      <c r="R2278" s="2" t="inlineStr"/>
    </row>
    <row r="2279" ht="15" customHeight="1">
      <c r="A2279" t="inlineStr">
        <is>
          <t>A 34242-2021</t>
        </is>
      </c>
      <c r="B2279" s="1" t="n">
        <v>44379.5612962963</v>
      </c>
      <c r="C2279" s="1" t="n">
        <v>45911</v>
      </c>
      <c r="D2279" t="inlineStr">
        <is>
          <t>GÄVLEBORGS LÄN</t>
        </is>
      </c>
      <c r="E2279" t="inlineStr">
        <is>
          <t>SANDVIKEN</t>
        </is>
      </c>
      <c r="F2279" t="inlineStr">
        <is>
          <t>Bergvik skog öst AB</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23004-2025</t>
        </is>
      </c>
      <c r="B2280" s="1" t="n">
        <v>45790.60747685185</v>
      </c>
      <c r="C2280" s="1" t="n">
        <v>45911</v>
      </c>
      <c r="D2280" t="inlineStr">
        <is>
          <t>GÄVLEBORGS LÄN</t>
        </is>
      </c>
      <c r="E2280" t="inlineStr">
        <is>
          <t>OCKELBO</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38893-2022</t>
        </is>
      </c>
      <c r="B2281" s="1" t="n">
        <v>44816.58288194444</v>
      </c>
      <c r="C2281" s="1" t="n">
        <v>45911</v>
      </c>
      <c r="D2281" t="inlineStr">
        <is>
          <t>GÄVLEBORGS LÄN</t>
        </is>
      </c>
      <c r="E2281" t="inlineStr">
        <is>
          <t>OCKELBO</t>
        </is>
      </c>
      <c r="F2281" t="inlineStr">
        <is>
          <t>Bergvik skog väst AB</t>
        </is>
      </c>
      <c r="G2281" t="n">
        <v>3.1</v>
      </c>
      <c r="H2281" t="n">
        <v>0</v>
      </c>
      <c r="I2281" t="n">
        <v>0</v>
      </c>
      <c r="J2281" t="n">
        <v>0</v>
      </c>
      <c r="K2281" t="n">
        <v>0</v>
      </c>
      <c r="L2281" t="n">
        <v>0</v>
      </c>
      <c r="M2281" t="n">
        <v>0</v>
      </c>
      <c r="N2281" t="n">
        <v>0</v>
      </c>
      <c r="O2281" t="n">
        <v>0</v>
      </c>
      <c r="P2281" t="n">
        <v>0</v>
      </c>
      <c r="Q2281" t="n">
        <v>0</v>
      </c>
      <c r="R2281" s="2" t="inlineStr"/>
    </row>
    <row r="2282" ht="15" customHeight="1">
      <c r="A2282" t="inlineStr">
        <is>
          <t>A 23036-2025</t>
        </is>
      </c>
      <c r="B2282" s="1" t="n">
        <v>45790.66123842593</v>
      </c>
      <c r="C2282" s="1" t="n">
        <v>45911</v>
      </c>
      <c r="D2282" t="inlineStr">
        <is>
          <t>GÄVLEBORGS LÄN</t>
        </is>
      </c>
      <c r="E2282" t="inlineStr">
        <is>
          <t>LJUSDAL</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17887-2024</t>
        </is>
      </c>
      <c r="B2283" s="1" t="n">
        <v>45419.4737962963</v>
      </c>
      <c r="C2283" s="1" t="n">
        <v>45911</v>
      </c>
      <c r="D2283" t="inlineStr">
        <is>
          <t>GÄVLEBORGS LÄN</t>
        </is>
      </c>
      <c r="E2283" t="inlineStr">
        <is>
          <t>NORDANSTIG</t>
        </is>
      </c>
      <c r="F2283" t="inlineStr">
        <is>
          <t>Holmen skog AB</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47710-2022</t>
        </is>
      </c>
      <c r="B2284" s="1" t="n">
        <v>44854</v>
      </c>
      <c r="C2284" s="1" t="n">
        <v>45911</v>
      </c>
      <c r="D2284" t="inlineStr">
        <is>
          <t>GÄVLEBORGS LÄN</t>
        </is>
      </c>
      <c r="E2284" t="inlineStr">
        <is>
          <t>SANDVIKEN</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47711-2022</t>
        </is>
      </c>
      <c r="B2285" s="1" t="n">
        <v>44854</v>
      </c>
      <c r="C2285" s="1" t="n">
        <v>45911</v>
      </c>
      <c r="D2285" t="inlineStr">
        <is>
          <t>GÄVLEBORGS LÄN</t>
        </is>
      </c>
      <c r="E2285" t="inlineStr">
        <is>
          <t>SANDVIKEN</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11409-2024</t>
        </is>
      </c>
      <c r="B2286" s="1" t="n">
        <v>45372.46600694444</v>
      </c>
      <c r="C2286" s="1" t="n">
        <v>45911</v>
      </c>
      <c r="D2286" t="inlineStr">
        <is>
          <t>GÄVLEBORGS LÄN</t>
        </is>
      </c>
      <c r="E2286" t="inlineStr">
        <is>
          <t>HUDIKSVALL</t>
        </is>
      </c>
      <c r="F2286" t="inlineStr">
        <is>
          <t>Holmen skog AB</t>
        </is>
      </c>
      <c r="G2286" t="n">
        <v>8.199999999999999</v>
      </c>
      <c r="H2286" t="n">
        <v>0</v>
      </c>
      <c r="I2286" t="n">
        <v>0</v>
      </c>
      <c r="J2286" t="n">
        <v>0</v>
      </c>
      <c r="K2286" t="n">
        <v>0</v>
      </c>
      <c r="L2286" t="n">
        <v>0</v>
      </c>
      <c r="M2286" t="n">
        <v>0</v>
      </c>
      <c r="N2286" t="n">
        <v>0</v>
      </c>
      <c r="O2286" t="n">
        <v>0</v>
      </c>
      <c r="P2286" t="n">
        <v>0</v>
      </c>
      <c r="Q2286" t="n">
        <v>0</v>
      </c>
      <c r="R2286" s="2" t="inlineStr"/>
    </row>
    <row r="2287" ht="15" customHeight="1">
      <c r="A2287" t="inlineStr">
        <is>
          <t>A 20231-2024</t>
        </is>
      </c>
      <c r="B2287" s="1" t="n">
        <v>45434</v>
      </c>
      <c r="C2287" s="1" t="n">
        <v>45911</v>
      </c>
      <c r="D2287" t="inlineStr">
        <is>
          <t>GÄVLEBORGS LÄN</t>
        </is>
      </c>
      <c r="E2287" t="inlineStr">
        <is>
          <t>OCKELBO</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22938-2025</t>
        </is>
      </c>
      <c r="B2288" s="1" t="n">
        <v>45790.46480324074</v>
      </c>
      <c r="C2288" s="1" t="n">
        <v>45911</v>
      </c>
      <c r="D2288" t="inlineStr">
        <is>
          <t>GÄVLEBORGS LÄN</t>
        </is>
      </c>
      <c r="E2288" t="inlineStr">
        <is>
          <t>OVANÅKER</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22879-2025</t>
        </is>
      </c>
      <c r="B2289" s="1" t="n">
        <v>45790.38057870371</v>
      </c>
      <c r="C2289" s="1" t="n">
        <v>45911</v>
      </c>
      <c r="D2289" t="inlineStr">
        <is>
          <t>GÄVLEBORGS LÄN</t>
        </is>
      </c>
      <c r="E2289" t="inlineStr">
        <is>
          <t>GÄVLE</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41097-2023</t>
        </is>
      </c>
      <c r="B2290" s="1" t="n">
        <v>45173.67476851852</v>
      </c>
      <c r="C2290" s="1" t="n">
        <v>45911</v>
      </c>
      <c r="D2290" t="inlineStr">
        <is>
          <t>GÄVLEBORGS LÄN</t>
        </is>
      </c>
      <c r="E2290" t="inlineStr">
        <is>
          <t>SANDVIKEN</t>
        </is>
      </c>
      <c r="F2290" t="inlineStr">
        <is>
          <t>Sveaskog</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35910-2024</t>
        </is>
      </c>
      <c r="B2291" s="1" t="n">
        <v>45533.41340277778</v>
      </c>
      <c r="C2291" s="1" t="n">
        <v>45911</v>
      </c>
      <c r="D2291" t="inlineStr">
        <is>
          <t>GÄVLEBORGS LÄN</t>
        </is>
      </c>
      <c r="E2291" t="inlineStr">
        <is>
          <t>GÄVLE</t>
        </is>
      </c>
      <c r="G2291" t="n">
        <v>4</v>
      </c>
      <c r="H2291" t="n">
        <v>0</v>
      </c>
      <c r="I2291" t="n">
        <v>0</v>
      </c>
      <c r="J2291" t="n">
        <v>0</v>
      </c>
      <c r="K2291" t="n">
        <v>0</v>
      </c>
      <c r="L2291" t="n">
        <v>0</v>
      </c>
      <c r="M2291" t="n">
        <v>0</v>
      </c>
      <c r="N2291" t="n">
        <v>0</v>
      </c>
      <c r="O2291" t="n">
        <v>0</v>
      </c>
      <c r="P2291" t="n">
        <v>0</v>
      </c>
      <c r="Q2291" t="n">
        <v>0</v>
      </c>
      <c r="R2291" s="2" t="inlineStr"/>
    </row>
    <row r="2292" ht="15" customHeight="1">
      <c r="A2292" t="inlineStr">
        <is>
          <t>A 22916-2025</t>
        </is>
      </c>
      <c r="B2292" s="1" t="n">
        <v>45790.43091435185</v>
      </c>
      <c r="C2292" s="1" t="n">
        <v>45911</v>
      </c>
      <c r="D2292" t="inlineStr">
        <is>
          <t>GÄVLEBORGS LÄN</t>
        </is>
      </c>
      <c r="E2292" t="inlineStr">
        <is>
          <t>HUDIKSVALL</t>
        </is>
      </c>
      <c r="F2292" t="inlineStr">
        <is>
          <t>Holmen skog AB</t>
        </is>
      </c>
      <c r="G2292" t="n">
        <v>15.8</v>
      </c>
      <c r="H2292" t="n">
        <v>0</v>
      </c>
      <c r="I2292" t="n">
        <v>0</v>
      </c>
      <c r="J2292" t="n">
        <v>0</v>
      </c>
      <c r="K2292" t="n">
        <v>0</v>
      </c>
      <c r="L2292" t="n">
        <v>0</v>
      </c>
      <c r="M2292" t="n">
        <v>0</v>
      </c>
      <c r="N2292" t="n">
        <v>0</v>
      </c>
      <c r="O2292" t="n">
        <v>0</v>
      </c>
      <c r="P2292" t="n">
        <v>0</v>
      </c>
      <c r="Q2292" t="n">
        <v>0</v>
      </c>
      <c r="R2292" s="2" t="inlineStr"/>
    </row>
    <row r="2293" ht="15" customHeight="1">
      <c r="A2293" t="inlineStr">
        <is>
          <t>A 55422-2022</t>
        </is>
      </c>
      <c r="B2293" s="1" t="n">
        <v>44887</v>
      </c>
      <c r="C2293" s="1" t="n">
        <v>45911</v>
      </c>
      <c r="D2293" t="inlineStr">
        <is>
          <t>GÄVLEBORGS LÄN</t>
        </is>
      </c>
      <c r="E2293" t="inlineStr">
        <is>
          <t>OCKELBO</t>
        </is>
      </c>
      <c r="G2293" t="n">
        <v>0.1</v>
      </c>
      <c r="H2293" t="n">
        <v>0</v>
      </c>
      <c r="I2293" t="n">
        <v>0</v>
      </c>
      <c r="J2293" t="n">
        <v>0</v>
      </c>
      <c r="K2293" t="n">
        <v>0</v>
      </c>
      <c r="L2293" t="n">
        <v>0</v>
      </c>
      <c r="M2293" t="n">
        <v>0</v>
      </c>
      <c r="N2293" t="n">
        <v>0</v>
      </c>
      <c r="O2293" t="n">
        <v>0</v>
      </c>
      <c r="P2293" t="n">
        <v>0</v>
      </c>
      <c r="Q2293" t="n">
        <v>0</v>
      </c>
      <c r="R2293" s="2" t="inlineStr"/>
    </row>
    <row r="2294" ht="15" customHeight="1">
      <c r="A2294" t="inlineStr">
        <is>
          <t>A 32918-2023</t>
        </is>
      </c>
      <c r="B2294" s="1" t="n">
        <v>45125.34423611111</v>
      </c>
      <c r="C2294" s="1" t="n">
        <v>45911</v>
      </c>
      <c r="D2294" t="inlineStr">
        <is>
          <t>GÄVLEBORGS LÄN</t>
        </is>
      </c>
      <c r="E2294" t="inlineStr">
        <is>
          <t>LJUSDAL</t>
        </is>
      </c>
      <c r="F2294" t="inlineStr">
        <is>
          <t>Holmen skog AB</t>
        </is>
      </c>
      <c r="G2294" t="n">
        <v>4.1</v>
      </c>
      <c r="H2294" t="n">
        <v>0</v>
      </c>
      <c r="I2294" t="n">
        <v>0</v>
      </c>
      <c r="J2294" t="n">
        <v>0</v>
      </c>
      <c r="K2294" t="n">
        <v>0</v>
      </c>
      <c r="L2294" t="n">
        <v>0</v>
      </c>
      <c r="M2294" t="n">
        <v>0</v>
      </c>
      <c r="N2294" t="n">
        <v>0</v>
      </c>
      <c r="O2294" t="n">
        <v>0</v>
      </c>
      <c r="P2294" t="n">
        <v>0</v>
      </c>
      <c r="Q2294" t="n">
        <v>0</v>
      </c>
      <c r="R2294" s="2" t="inlineStr"/>
    </row>
    <row r="2295" ht="15" customHeight="1">
      <c r="A2295" t="inlineStr">
        <is>
          <t>A 32925-2023</t>
        </is>
      </c>
      <c r="B2295" s="1" t="n">
        <v>45125</v>
      </c>
      <c r="C2295" s="1" t="n">
        <v>45911</v>
      </c>
      <c r="D2295" t="inlineStr">
        <is>
          <t>GÄVLEBORGS LÄN</t>
        </is>
      </c>
      <c r="E2295" t="inlineStr">
        <is>
          <t>NORDANSTIG</t>
        </is>
      </c>
      <c r="F2295" t="inlineStr">
        <is>
          <t>Holmen skog AB</t>
        </is>
      </c>
      <c r="G2295" t="n">
        <v>7</v>
      </c>
      <c r="H2295" t="n">
        <v>0</v>
      </c>
      <c r="I2295" t="n">
        <v>0</v>
      </c>
      <c r="J2295" t="n">
        <v>0</v>
      </c>
      <c r="K2295" t="n">
        <v>0</v>
      </c>
      <c r="L2295" t="n">
        <v>0</v>
      </c>
      <c r="M2295" t="n">
        <v>0</v>
      </c>
      <c r="N2295" t="n">
        <v>0</v>
      </c>
      <c r="O2295" t="n">
        <v>0</v>
      </c>
      <c r="P2295" t="n">
        <v>0</v>
      </c>
      <c r="Q2295" t="n">
        <v>0</v>
      </c>
      <c r="R2295" s="2" t="inlineStr"/>
    </row>
    <row r="2296" ht="15" customHeight="1">
      <c r="A2296" t="inlineStr">
        <is>
          <t>A 36028-2024</t>
        </is>
      </c>
      <c r="B2296" s="1" t="n">
        <v>45533.57940972222</v>
      </c>
      <c r="C2296" s="1" t="n">
        <v>45911</v>
      </c>
      <c r="D2296" t="inlineStr">
        <is>
          <t>GÄVLEBORGS LÄN</t>
        </is>
      </c>
      <c r="E2296" t="inlineStr">
        <is>
          <t>NORDANSTIG</t>
        </is>
      </c>
      <c r="F2296" t="inlineStr">
        <is>
          <t>Holmen skog AB</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38332-2024</t>
        </is>
      </c>
      <c r="B2297" s="1" t="n">
        <v>45545.68222222223</v>
      </c>
      <c r="C2297" s="1" t="n">
        <v>45911</v>
      </c>
      <c r="D2297" t="inlineStr">
        <is>
          <t>GÄVLEBORGS LÄN</t>
        </is>
      </c>
      <c r="E2297" t="inlineStr">
        <is>
          <t>NORDANSTIG</t>
        </is>
      </c>
      <c r="G2297" t="n">
        <v>11.5</v>
      </c>
      <c r="H2297" t="n">
        <v>0</v>
      </c>
      <c r="I2297" t="n">
        <v>0</v>
      </c>
      <c r="J2297" t="n">
        <v>0</v>
      </c>
      <c r="K2297" t="n">
        <v>0</v>
      </c>
      <c r="L2297" t="n">
        <v>0</v>
      </c>
      <c r="M2297" t="n">
        <v>0</v>
      </c>
      <c r="N2297" t="n">
        <v>0</v>
      </c>
      <c r="O2297" t="n">
        <v>0</v>
      </c>
      <c r="P2297" t="n">
        <v>0</v>
      </c>
      <c r="Q2297" t="n">
        <v>0</v>
      </c>
      <c r="R2297" s="2" t="inlineStr"/>
    </row>
    <row r="2298" ht="15" customHeight="1">
      <c r="A2298" t="inlineStr">
        <is>
          <t>A 38346-2024</t>
        </is>
      </c>
      <c r="B2298" s="1" t="n">
        <v>45545.70670138889</v>
      </c>
      <c r="C2298" s="1" t="n">
        <v>45911</v>
      </c>
      <c r="D2298" t="inlineStr">
        <is>
          <t>GÄVLEBORGS LÄN</t>
        </is>
      </c>
      <c r="E2298" t="inlineStr">
        <is>
          <t>NORDANSTIG</t>
        </is>
      </c>
      <c r="F2298" t="inlineStr">
        <is>
          <t>Holmen skog AB</t>
        </is>
      </c>
      <c r="G2298" t="n">
        <v>3.4</v>
      </c>
      <c r="H2298" t="n">
        <v>0</v>
      </c>
      <c r="I2298" t="n">
        <v>0</v>
      </c>
      <c r="J2298" t="n">
        <v>0</v>
      </c>
      <c r="K2298" t="n">
        <v>0</v>
      </c>
      <c r="L2298" t="n">
        <v>0</v>
      </c>
      <c r="M2298" t="n">
        <v>0</v>
      </c>
      <c r="N2298" t="n">
        <v>0</v>
      </c>
      <c r="O2298" t="n">
        <v>0</v>
      </c>
      <c r="P2298" t="n">
        <v>0</v>
      </c>
      <c r="Q2298" t="n">
        <v>0</v>
      </c>
      <c r="R2298" s="2" t="inlineStr"/>
    </row>
    <row r="2299" ht="15" customHeight="1">
      <c r="A2299" t="inlineStr">
        <is>
          <t>A 38369-2024</t>
        </is>
      </c>
      <c r="B2299" s="1" t="n">
        <v>45545.83730324074</v>
      </c>
      <c r="C2299" s="1" t="n">
        <v>45911</v>
      </c>
      <c r="D2299" t="inlineStr">
        <is>
          <t>GÄVLEBORGS LÄN</t>
        </is>
      </c>
      <c r="E2299" t="inlineStr">
        <is>
          <t>OVANÅKER</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21418-2024</t>
        </is>
      </c>
      <c r="B2300" s="1" t="n">
        <v>45441</v>
      </c>
      <c r="C2300" s="1" t="n">
        <v>45911</v>
      </c>
      <c r="D2300" t="inlineStr">
        <is>
          <t>GÄVLEBORGS LÄN</t>
        </is>
      </c>
      <c r="E2300" t="inlineStr">
        <is>
          <t>OCKELBO</t>
        </is>
      </c>
      <c r="F2300" t="inlineStr">
        <is>
          <t>Bergvik skog väst AB</t>
        </is>
      </c>
      <c r="G2300" t="n">
        <v>7.1</v>
      </c>
      <c r="H2300" t="n">
        <v>0</v>
      </c>
      <c r="I2300" t="n">
        <v>0</v>
      </c>
      <c r="J2300" t="n">
        <v>0</v>
      </c>
      <c r="K2300" t="n">
        <v>0</v>
      </c>
      <c r="L2300" t="n">
        <v>0</v>
      </c>
      <c r="M2300" t="n">
        <v>0</v>
      </c>
      <c r="N2300" t="n">
        <v>0</v>
      </c>
      <c r="O2300" t="n">
        <v>0</v>
      </c>
      <c r="P2300" t="n">
        <v>0</v>
      </c>
      <c r="Q2300" t="n">
        <v>0</v>
      </c>
      <c r="R2300" s="2" t="inlineStr"/>
    </row>
    <row r="2301" ht="15" customHeight="1">
      <c r="A2301" t="inlineStr">
        <is>
          <t>A 63932-2023</t>
        </is>
      </c>
      <c r="B2301" s="1" t="n">
        <v>45278.6055324074</v>
      </c>
      <c r="C2301" s="1" t="n">
        <v>45911</v>
      </c>
      <c r="D2301" t="inlineStr">
        <is>
          <t>GÄVLEBORGS LÄN</t>
        </is>
      </c>
      <c r="E2301" t="inlineStr">
        <is>
          <t>SÖDERHAMN</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48803-2024</t>
        </is>
      </c>
      <c r="B2302" s="1" t="n">
        <v>45593.66165509259</v>
      </c>
      <c r="C2302" s="1" t="n">
        <v>45911</v>
      </c>
      <c r="D2302" t="inlineStr">
        <is>
          <t>GÄVLEBORGS LÄN</t>
        </is>
      </c>
      <c r="E2302" t="inlineStr">
        <is>
          <t>OCKELBO</t>
        </is>
      </c>
      <c r="G2302" t="n">
        <v>9.4</v>
      </c>
      <c r="H2302" t="n">
        <v>0</v>
      </c>
      <c r="I2302" t="n">
        <v>0</v>
      </c>
      <c r="J2302" t="n">
        <v>0</v>
      </c>
      <c r="K2302" t="n">
        <v>0</v>
      </c>
      <c r="L2302" t="n">
        <v>0</v>
      </c>
      <c r="M2302" t="n">
        <v>0</v>
      </c>
      <c r="N2302" t="n">
        <v>0</v>
      </c>
      <c r="O2302" t="n">
        <v>0</v>
      </c>
      <c r="P2302" t="n">
        <v>0</v>
      </c>
      <c r="Q2302" t="n">
        <v>0</v>
      </c>
      <c r="R2302" s="2" t="inlineStr"/>
    </row>
    <row r="2303" ht="15" customHeight="1">
      <c r="A2303" t="inlineStr">
        <is>
          <t>A 10485-2024</t>
        </is>
      </c>
      <c r="B2303" s="1" t="n">
        <v>45366</v>
      </c>
      <c r="C2303" s="1" t="n">
        <v>45911</v>
      </c>
      <c r="D2303" t="inlineStr">
        <is>
          <t>GÄVLEBORGS LÄN</t>
        </is>
      </c>
      <c r="E2303" t="inlineStr">
        <is>
          <t>BOLLNÄS</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255-2025</t>
        </is>
      </c>
      <c r="B2304" s="1" t="n">
        <v>45660.43380787037</v>
      </c>
      <c r="C2304" s="1" t="n">
        <v>45911</v>
      </c>
      <c r="D2304" t="inlineStr">
        <is>
          <t>GÄVLEBORGS LÄN</t>
        </is>
      </c>
      <c r="E2304" t="inlineStr">
        <is>
          <t>GÄVLE</t>
        </is>
      </c>
      <c r="F2304" t="inlineStr">
        <is>
          <t>Bergvik skog väst AB</t>
        </is>
      </c>
      <c r="G2304" t="n">
        <v>3.7</v>
      </c>
      <c r="H2304" t="n">
        <v>0</v>
      </c>
      <c r="I2304" t="n">
        <v>0</v>
      </c>
      <c r="J2304" t="n">
        <v>0</v>
      </c>
      <c r="K2304" t="n">
        <v>0</v>
      </c>
      <c r="L2304" t="n">
        <v>0</v>
      </c>
      <c r="M2304" t="n">
        <v>0</v>
      </c>
      <c r="N2304" t="n">
        <v>0</v>
      </c>
      <c r="O2304" t="n">
        <v>0</v>
      </c>
      <c r="P2304" t="n">
        <v>0</v>
      </c>
      <c r="Q2304" t="n">
        <v>0</v>
      </c>
      <c r="R2304" s="2" t="inlineStr"/>
    </row>
    <row r="2305" ht="15" customHeight="1">
      <c r="A2305" t="inlineStr">
        <is>
          <t>A 20689-2024</t>
        </is>
      </c>
      <c r="B2305" s="1" t="n">
        <v>45436</v>
      </c>
      <c r="C2305" s="1" t="n">
        <v>45911</v>
      </c>
      <c r="D2305" t="inlineStr">
        <is>
          <t>GÄVLEBORGS LÄN</t>
        </is>
      </c>
      <c r="E2305" t="inlineStr">
        <is>
          <t>GÄVLE</t>
        </is>
      </c>
      <c r="G2305" t="n">
        <v>0.2</v>
      </c>
      <c r="H2305" t="n">
        <v>0</v>
      </c>
      <c r="I2305" t="n">
        <v>0</v>
      </c>
      <c r="J2305" t="n">
        <v>0</v>
      </c>
      <c r="K2305" t="n">
        <v>0</v>
      </c>
      <c r="L2305" t="n">
        <v>0</v>
      </c>
      <c r="M2305" t="n">
        <v>0</v>
      </c>
      <c r="N2305" t="n">
        <v>0</v>
      </c>
      <c r="O2305" t="n">
        <v>0</v>
      </c>
      <c r="P2305" t="n">
        <v>0</v>
      </c>
      <c r="Q2305" t="n">
        <v>0</v>
      </c>
      <c r="R2305" s="2" t="inlineStr"/>
    </row>
    <row r="2306" ht="15" customHeight="1">
      <c r="A2306" t="inlineStr">
        <is>
          <t>A 32360-2024</t>
        </is>
      </c>
      <c r="B2306" s="1" t="n">
        <v>45512.56657407407</v>
      </c>
      <c r="C2306" s="1" t="n">
        <v>45911</v>
      </c>
      <c r="D2306" t="inlineStr">
        <is>
          <t>GÄVLEBORGS LÄN</t>
        </is>
      </c>
      <c r="E2306" t="inlineStr">
        <is>
          <t>LJUSDAL</t>
        </is>
      </c>
      <c r="F2306" t="inlineStr">
        <is>
          <t>Sveaskog</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32402-2024</t>
        </is>
      </c>
      <c r="B2307" s="1" t="n">
        <v>45512.66758101852</v>
      </c>
      <c r="C2307" s="1" t="n">
        <v>45911</v>
      </c>
      <c r="D2307" t="inlineStr">
        <is>
          <t>GÄVLEBORGS LÄN</t>
        </is>
      </c>
      <c r="E2307" t="inlineStr">
        <is>
          <t>HUDIKSVALL</t>
        </is>
      </c>
      <c r="F2307" t="inlineStr">
        <is>
          <t>Holmen skog AB</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26073-2024</t>
        </is>
      </c>
      <c r="B2308" s="1" t="n">
        <v>45468.3650462963</v>
      </c>
      <c r="C2308" s="1" t="n">
        <v>45911</v>
      </c>
      <c r="D2308" t="inlineStr">
        <is>
          <t>GÄVLEBORGS LÄN</t>
        </is>
      </c>
      <c r="E2308" t="inlineStr">
        <is>
          <t>LJUSDAL</t>
        </is>
      </c>
      <c r="G2308" t="n">
        <v>5.9</v>
      </c>
      <c r="H2308" t="n">
        <v>0</v>
      </c>
      <c r="I2308" t="n">
        <v>0</v>
      </c>
      <c r="J2308" t="n">
        <v>0</v>
      </c>
      <c r="K2308" t="n">
        <v>0</v>
      </c>
      <c r="L2308" t="n">
        <v>0</v>
      </c>
      <c r="M2308" t="n">
        <v>0</v>
      </c>
      <c r="N2308" t="n">
        <v>0</v>
      </c>
      <c r="O2308" t="n">
        <v>0</v>
      </c>
      <c r="P2308" t="n">
        <v>0</v>
      </c>
      <c r="Q2308" t="n">
        <v>0</v>
      </c>
      <c r="R2308" s="2" t="inlineStr"/>
    </row>
    <row r="2309" ht="15" customHeight="1">
      <c r="A2309" t="inlineStr">
        <is>
          <t>A 26078-2024</t>
        </is>
      </c>
      <c r="B2309" s="1" t="n">
        <v>45468.37726851852</v>
      </c>
      <c r="C2309" s="1" t="n">
        <v>45911</v>
      </c>
      <c r="D2309" t="inlineStr">
        <is>
          <t>GÄVLEBORGS LÄN</t>
        </is>
      </c>
      <c r="E2309" t="inlineStr">
        <is>
          <t>LJUSDAL</t>
        </is>
      </c>
      <c r="G2309" t="n">
        <v>4</v>
      </c>
      <c r="H2309" t="n">
        <v>0</v>
      </c>
      <c r="I2309" t="n">
        <v>0</v>
      </c>
      <c r="J2309" t="n">
        <v>0</v>
      </c>
      <c r="K2309" t="n">
        <v>0</v>
      </c>
      <c r="L2309" t="n">
        <v>0</v>
      </c>
      <c r="M2309" t="n">
        <v>0</v>
      </c>
      <c r="N2309" t="n">
        <v>0</v>
      </c>
      <c r="O2309" t="n">
        <v>0</v>
      </c>
      <c r="P2309" t="n">
        <v>0</v>
      </c>
      <c r="Q2309" t="n">
        <v>0</v>
      </c>
      <c r="R2309" s="2" t="inlineStr"/>
    </row>
    <row r="2310" ht="15" customHeight="1">
      <c r="A2310" t="inlineStr">
        <is>
          <t>A 23176-2025</t>
        </is>
      </c>
      <c r="B2310" s="1" t="n">
        <v>45791.4331712963</v>
      </c>
      <c r="C2310" s="1" t="n">
        <v>45911</v>
      </c>
      <c r="D2310" t="inlineStr">
        <is>
          <t>GÄVLEBORGS LÄN</t>
        </is>
      </c>
      <c r="E2310" t="inlineStr">
        <is>
          <t>OVANÅKER</t>
        </is>
      </c>
      <c r="F2310" t="inlineStr">
        <is>
          <t>Bergvik skog väst AB</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23178-2025</t>
        </is>
      </c>
      <c r="B2311" s="1" t="n">
        <v>45791.43634259259</v>
      </c>
      <c r="C2311" s="1" t="n">
        <v>45911</v>
      </c>
      <c r="D2311" t="inlineStr">
        <is>
          <t>GÄVLEBORGS LÄN</t>
        </is>
      </c>
      <c r="E2311" t="inlineStr">
        <is>
          <t>OVANÅKER</t>
        </is>
      </c>
      <c r="F2311" t="inlineStr">
        <is>
          <t>Bergvik skog väst AB</t>
        </is>
      </c>
      <c r="G2311" t="n">
        <v>5</v>
      </c>
      <c r="H2311" t="n">
        <v>0</v>
      </c>
      <c r="I2311" t="n">
        <v>0</v>
      </c>
      <c r="J2311" t="n">
        <v>0</v>
      </c>
      <c r="K2311" t="n">
        <v>0</v>
      </c>
      <c r="L2311" t="n">
        <v>0</v>
      </c>
      <c r="M2311" t="n">
        <v>0</v>
      </c>
      <c r="N2311" t="n">
        <v>0</v>
      </c>
      <c r="O2311" t="n">
        <v>0</v>
      </c>
      <c r="P2311" t="n">
        <v>0</v>
      </c>
      <c r="Q2311" t="n">
        <v>0</v>
      </c>
      <c r="R2311" s="2" t="inlineStr"/>
    </row>
    <row r="2312" ht="15" customHeight="1">
      <c r="A2312" t="inlineStr">
        <is>
          <t>A 23122-2025</t>
        </is>
      </c>
      <c r="B2312" s="1" t="n">
        <v>45791</v>
      </c>
      <c r="C2312" s="1" t="n">
        <v>45911</v>
      </c>
      <c r="D2312" t="inlineStr">
        <is>
          <t>GÄVLEBORGS LÄN</t>
        </is>
      </c>
      <c r="E2312" t="inlineStr">
        <is>
          <t>NORDANSTIG</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23143-2025</t>
        </is>
      </c>
      <c r="B2313" s="1" t="n">
        <v>45791.39702546296</v>
      </c>
      <c r="C2313" s="1" t="n">
        <v>45911</v>
      </c>
      <c r="D2313" t="inlineStr">
        <is>
          <t>GÄVLEBORGS LÄN</t>
        </is>
      </c>
      <c r="E2313" t="inlineStr">
        <is>
          <t>OVANÅKER</t>
        </is>
      </c>
      <c r="F2313" t="inlineStr">
        <is>
          <t>Bergvik skog väst AB</t>
        </is>
      </c>
      <c r="G2313" t="n">
        <v>6.1</v>
      </c>
      <c r="H2313" t="n">
        <v>0</v>
      </c>
      <c r="I2313" t="n">
        <v>0</v>
      </c>
      <c r="J2313" t="n">
        <v>0</v>
      </c>
      <c r="K2313" t="n">
        <v>0</v>
      </c>
      <c r="L2313" t="n">
        <v>0</v>
      </c>
      <c r="M2313" t="n">
        <v>0</v>
      </c>
      <c r="N2313" t="n">
        <v>0</v>
      </c>
      <c r="O2313" t="n">
        <v>0</v>
      </c>
      <c r="P2313" t="n">
        <v>0</v>
      </c>
      <c r="Q2313" t="n">
        <v>0</v>
      </c>
      <c r="R2313" s="2" t="inlineStr"/>
    </row>
    <row r="2314" ht="15" customHeight="1">
      <c r="A2314" t="inlineStr">
        <is>
          <t>A 23175-2025</t>
        </is>
      </c>
      <c r="B2314" s="1" t="n">
        <v>45791.43109953704</v>
      </c>
      <c r="C2314" s="1" t="n">
        <v>45911</v>
      </c>
      <c r="D2314" t="inlineStr">
        <is>
          <t>GÄVLEBORGS LÄN</t>
        </is>
      </c>
      <c r="E2314" t="inlineStr">
        <is>
          <t>OVANÅKER</t>
        </is>
      </c>
      <c r="F2314" t="inlineStr">
        <is>
          <t>Bergvik skog väst AB</t>
        </is>
      </c>
      <c r="G2314" t="n">
        <v>5.6</v>
      </c>
      <c r="H2314" t="n">
        <v>0</v>
      </c>
      <c r="I2314" t="n">
        <v>0</v>
      </c>
      <c r="J2314" t="n">
        <v>0</v>
      </c>
      <c r="K2314" t="n">
        <v>0</v>
      </c>
      <c r="L2314" t="n">
        <v>0</v>
      </c>
      <c r="M2314" t="n">
        <v>0</v>
      </c>
      <c r="N2314" t="n">
        <v>0</v>
      </c>
      <c r="O2314" t="n">
        <v>0</v>
      </c>
      <c r="P2314" t="n">
        <v>0</v>
      </c>
      <c r="Q2314" t="n">
        <v>0</v>
      </c>
      <c r="R2314" s="2" t="inlineStr"/>
    </row>
    <row r="2315" ht="15" customHeight="1">
      <c r="A2315" t="inlineStr">
        <is>
          <t>A 20787-2024</t>
        </is>
      </c>
      <c r="B2315" s="1" t="n">
        <v>45438.31403935186</v>
      </c>
      <c r="C2315" s="1" t="n">
        <v>45911</v>
      </c>
      <c r="D2315" t="inlineStr">
        <is>
          <t>GÄVLEBORGS LÄN</t>
        </is>
      </c>
      <c r="E2315" t="inlineStr">
        <is>
          <t>LJUSDAL</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23180-2025</t>
        </is>
      </c>
      <c r="B2316" s="1" t="n">
        <v>45791.44038194444</v>
      </c>
      <c r="C2316" s="1" t="n">
        <v>45911</v>
      </c>
      <c r="D2316" t="inlineStr">
        <is>
          <t>GÄVLEBORGS LÄN</t>
        </is>
      </c>
      <c r="E2316" t="inlineStr">
        <is>
          <t>OVANÅKER</t>
        </is>
      </c>
      <c r="F2316" t="inlineStr">
        <is>
          <t>Bergvik skog väst AB</t>
        </is>
      </c>
      <c r="G2316" t="n">
        <v>12.1</v>
      </c>
      <c r="H2316" t="n">
        <v>0</v>
      </c>
      <c r="I2316" t="n">
        <v>0</v>
      </c>
      <c r="J2316" t="n">
        <v>0</v>
      </c>
      <c r="K2316" t="n">
        <v>0</v>
      </c>
      <c r="L2316" t="n">
        <v>0</v>
      </c>
      <c r="M2316" t="n">
        <v>0</v>
      </c>
      <c r="N2316" t="n">
        <v>0</v>
      </c>
      <c r="O2316" t="n">
        <v>0</v>
      </c>
      <c r="P2316" t="n">
        <v>0</v>
      </c>
      <c r="Q2316" t="n">
        <v>0</v>
      </c>
      <c r="R2316" s="2" t="inlineStr"/>
    </row>
    <row r="2317" ht="15" customHeight="1">
      <c r="A2317" t="inlineStr">
        <is>
          <t>A 23184-2025</t>
        </is>
      </c>
      <c r="B2317" s="1" t="n">
        <v>45791.44305555556</v>
      </c>
      <c r="C2317" s="1" t="n">
        <v>45911</v>
      </c>
      <c r="D2317" t="inlineStr">
        <is>
          <t>GÄVLEBORGS LÄN</t>
        </is>
      </c>
      <c r="E2317" t="inlineStr">
        <is>
          <t>OVANÅKER</t>
        </is>
      </c>
      <c r="F2317" t="inlineStr">
        <is>
          <t>Bergvik skog väst AB</t>
        </is>
      </c>
      <c r="G2317" t="n">
        <v>6.9</v>
      </c>
      <c r="H2317" t="n">
        <v>0</v>
      </c>
      <c r="I2317" t="n">
        <v>0</v>
      </c>
      <c r="J2317" t="n">
        <v>0</v>
      </c>
      <c r="K2317" t="n">
        <v>0</v>
      </c>
      <c r="L2317" t="n">
        <v>0</v>
      </c>
      <c r="M2317" t="n">
        <v>0</v>
      </c>
      <c r="N2317" t="n">
        <v>0</v>
      </c>
      <c r="O2317" t="n">
        <v>0</v>
      </c>
      <c r="P2317" t="n">
        <v>0</v>
      </c>
      <c r="Q2317" t="n">
        <v>0</v>
      </c>
      <c r="R2317" s="2" t="inlineStr"/>
    </row>
    <row r="2318" ht="15" customHeight="1">
      <c r="A2318" t="inlineStr">
        <is>
          <t>A 24161-2021</t>
        </is>
      </c>
      <c r="B2318" s="1" t="n">
        <v>44336.60329861111</v>
      </c>
      <c r="C2318" s="1" t="n">
        <v>45911</v>
      </c>
      <c r="D2318" t="inlineStr">
        <is>
          <t>GÄVLEBORGS LÄN</t>
        </is>
      </c>
      <c r="E2318" t="inlineStr">
        <is>
          <t>SÖDERHAMN</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62651-2023</t>
        </is>
      </c>
      <c r="B2319" s="1" t="n">
        <v>45271</v>
      </c>
      <c r="C2319" s="1" t="n">
        <v>45911</v>
      </c>
      <c r="D2319" t="inlineStr">
        <is>
          <t>GÄVLEBORGS LÄN</t>
        </is>
      </c>
      <c r="E2319" t="inlineStr">
        <is>
          <t>OVANÅKER</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23261-2025</t>
        </is>
      </c>
      <c r="B2320" s="1" t="n">
        <v>45791.55123842593</v>
      </c>
      <c r="C2320" s="1" t="n">
        <v>45911</v>
      </c>
      <c r="D2320" t="inlineStr">
        <is>
          <t>GÄVLEBORGS LÄN</t>
        </is>
      </c>
      <c r="E2320" t="inlineStr">
        <is>
          <t>SÖDERHAMN</t>
        </is>
      </c>
      <c r="F2320" t="inlineStr">
        <is>
          <t>Bergvik skog väst AB</t>
        </is>
      </c>
      <c r="G2320" t="n">
        <v>3.3</v>
      </c>
      <c r="H2320" t="n">
        <v>0</v>
      </c>
      <c r="I2320" t="n">
        <v>0</v>
      </c>
      <c r="J2320" t="n">
        <v>0</v>
      </c>
      <c r="K2320" t="n">
        <v>0</v>
      </c>
      <c r="L2320" t="n">
        <v>0</v>
      </c>
      <c r="M2320" t="n">
        <v>0</v>
      </c>
      <c r="N2320" t="n">
        <v>0</v>
      </c>
      <c r="O2320" t="n">
        <v>0</v>
      </c>
      <c r="P2320" t="n">
        <v>0</v>
      </c>
      <c r="Q2320" t="n">
        <v>0</v>
      </c>
      <c r="R2320" s="2" t="inlineStr"/>
    </row>
    <row r="2321" ht="15" customHeight="1">
      <c r="A2321" t="inlineStr">
        <is>
          <t>A 48666-2022</t>
        </is>
      </c>
      <c r="B2321" s="1" t="n">
        <v>44859.44630787037</v>
      </c>
      <c r="C2321" s="1" t="n">
        <v>45911</v>
      </c>
      <c r="D2321" t="inlineStr">
        <is>
          <t>GÄVLEBORGS LÄN</t>
        </is>
      </c>
      <c r="E2321" t="inlineStr">
        <is>
          <t>BOLLNÄS</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13405-2022</t>
        </is>
      </c>
      <c r="B2322" s="1" t="n">
        <v>44645.53158564815</v>
      </c>
      <c r="C2322" s="1" t="n">
        <v>45911</v>
      </c>
      <c r="D2322" t="inlineStr">
        <is>
          <t>GÄVLEBORGS LÄN</t>
        </is>
      </c>
      <c r="E2322" t="inlineStr">
        <is>
          <t>BOLLNÄS</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62738-2023</t>
        </is>
      </c>
      <c r="B2323" s="1" t="n">
        <v>45268</v>
      </c>
      <c r="C2323" s="1" t="n">
        <v>45911</v>
      </c>
      <c r="D2323" t="inlineStr">
        <is>
          <t>GÄVLEBORGS LÄN</t>
        </is>
      </c>
      <c r="E2323" t="inlineStr">
        <is>
          <t>OVANÅKER</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18322-2024</t>
        </is>
      </c>
      <c r="B2324" s="1" t="n">
        <v>45422.53849537037</v>
      </c>
      <c r="C2324" s="1" t="n">
        <v>45911</v>
      </c>
      <c r="D2324" t="inlineStr">
        <is>
          <t>GÄVLEBORGS LÄN</t>
        </is>
      </c>
      <c r="E2324" t="inlineStr">
        <is>
          <t>NORDANSTIG</t>
        </is>
      </c>
      <c r="F2324" t="inlineStr">
        <is>
          <t>Holmen skog AB</t>
        </is>
      </c>
      <c r="G2324" t="n">
        <v>3.3</v>
      </c>
      <c r="H2324" t="n">
        <v>0</v>
      </c>
      <c r="I2324" t="n">
        <v>0</v>
      </c>
      <c r="J2324" t="n">
        <v>0</v>
      </c>
      <c r="K2324" t="n">
        <v>0</v>
      </c>
      <c r="L2324" t="n">
        <v>0</v>
      </c>
      <c r="M2324" t="n">
        <v>0</v>
      </c>
      <c r="N2324" t="n">
        <v>0</v>
      </c>
      <c r="O2324" t="n">
        <v>0</v>
      </c>
      <c r="P2324" t="n">
        <v>0</v>
      </c>
      <c r="Q2324" t="n">
        <v>0</v>
      </c>
      <c r="R2324" s="2" t="inlineStr"/>
    </row>
    <row r="2325" ht="15" customHeight="1">
      <c r="A2325" t="inlineStr">
        <is>
          <t>A 44041-2022</t>
        </is>
      </c>
      <c r="B2325" s="1" t="n">
        <v>44838.94871527778</v>
      </c>
      <c r="C2325" s="1" t="n">
        <v>45911</v>
      </c>
      <c r="D2325" t="inlineStr">
        <is>
          <t>GÄVLEBORGS LÄN</t>
        </is>
      </c>
      <c r="E2325" t="inlineStr">
        <is>
          <t>LJUSDAL</t>
        </is>
      </c>
      <c r="F2325" t="inlineStr">
        <is>
          <t>Naturvårdsverket</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23265-2025</t>
        </is>
      </c>
      <c r="B2326" s="1" t="n">
        <v>45791.5553125</v>
      </c>
      <c r="C2326" s="1" t="n">
        <v>45911</v>
      </c>
      <c r="D2326" t="inlineStr">
        <is>
          <t>GÄVLEBORGS LÄN</t>
        </is>
      </c>
      <c r="E2326" t="inlineStr">
        <is>
          <t>SÖDERHAMN</t>
        </is>
      </c>
      <c r="F2326" t="inlineStr">
        <is>
          <t>Bergvik skog väst AB</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23353-2025</t>
        </is>
      </c>
      <c r="B2327" s="1" t="n">
        <v>45791.66635416666</v>
      </c>
      <c r="C2327" s="1" t="n">
        <v>45911</v>
      </c>
      <c r="D2327" t="inlineStr">
        <is>
          <t>GÄVLEBORGS LÄN</t>
        </is>
      </c>
      <c r="E2327" t="inlineStr">
        <is>
          <t>LJUSDAL</t>
        </is>
      </c>
      <c r="F2327" t="inlineStr">
        <is>
          <t>Bergvik skog väst AB</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17678-2025</t>
        </is>
      </c>
      <c r="B2328" s="1" t="n">
        <v>45758.37297453704</v>
      </c>
      <c r="C2328" s="1" t="n">
        <v>45911</v>
      </c>
      <c r="D2328" t="inlineStr">
        <is>
          <t>GÄVLEBORGS LÄN</t>
        </is>
      </c>
      <c r="E2328" t="inlineStr">
        <is>
          <t>NORDANSTIG</t>
        </is>
      </c>
      <c r="F2328" t="inlineStr">
        <is>
          <t>Holmen skog AB</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35857-2024</t>
        </is>
      </c>
      <c r="B2329" s="1" t="n">
        <v>45533.32619212963</v>
      </c>
      <c r="C2329" s="1" t="n">
        <v>45911</v>
      </c>
      <c r="D2329" t="inlineStr">
        <is>
          <t>GÄVLEBORGS LÄN</t>
        </is>
      </c>
      <c r="E2329" t="inlineStr">
        <is>
          <t>BOLLNÄS</t>
        </is>
      </c>
      <c r="F2329" t="inlineStr">
        <is>
          <t>Bergvik skog väst AB</t>
        </is>
      </c>
      <c r="G2329" t="n">
        <v>13.1</v>
      </c>
      <c r="H2329" t="n">
        <v>0</v>
      </c>
      <c r="I2329" t="n">
        <v>0</v>
      </c>
      <c r="J2329" t="n">
        <v>0</v>
      </c>
      <c r="K2329" t="n">
        <v>0</v>
      </c>
      <c r="L2329" t="n">
        <v>0</v>
      </c>
      <c r="M2329" t="n">
        <v>0</v>
      </c>
      <c r="N2329" t="n">
        <v>0</v>
      </c>
      <c r="O2329" t="n">
        <v>0</v>
      </c>
      <c r="P2329" t="n">
        <v>0</v>
      </c>
      <c r="Q2329" t="n">
        <v>0</v>
      </c>
      <c r="R2329" s="2" t="inlineStr"/>
    </row>
    <row r="2330" ht="15" customHeight="1">
      <c r="A2330" t="inlineStr">
        <is>
          <t>A 26806-2021</t>
        </is>
      </c>
      <c r="B2330" s="1" t="n">
        <v>44349.54518518518</v>
      </c>
      <c r="C2330" s="1" t="n">
        <v>45911</v>
      </c>
      <c r="D2330" t="inlineStr">
        <is>
          <t>GÄVLEBORGS LÄN</t>
        </is>
      </c>
      <c r="E2330" t="inlineStr">
        <is>
          <t>OVANÅKER</t>
        </is>
      </c>
      <c r="F2330" t="inlineStr">
        <is>
          <t>Sveaskog</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48636-2024</t>
        </is>
      </c>
      <c r="B2331" s="1" t="n">
        <v>45593.47171296296</v>
      </c>
      <c r="C2331" s="1" t="n">
        <v>45911</v>
      </c>
      <c r="D2331" t="inlineStr">
        <is>
          <t>GÄVLEBORGS LÄN</t>
        </is>
      </c>
      <c r="E2331" t="inlineStr">
        <is>
          <t>NORDANSTIG</t>
        </is>
      </c>
      <c r="G2331" t="n">
        <v>3.5</v>
      </c>
      <c r="H2331" t="n">
        <v>0</v>
      </c>
      <c r="I2331" t="n">
        <v>0</v>
      </c>
      <c r="J2331" t="n">
        <v>0</v>
      </c>
      <c r="K2331" t="n">
        <v>0</v>
      </c>
      <c r="L2331" t="n">
        <v>0</v>
      </c>
      <c r="M2331" t="n">
        <v>0</v>
      </c>
      <c r="N2331" t="n">
        <v>0</v>
      </c>
      <c r="O2331" t="n">
        <v>0</v>
      </c>
      <c r="P2331" t="n">
        <v>0</v>
      </c>
      <c r="Q2331" t="n">
        <v>0</v>
      </c>
      <c r="R2331" s="2" t="inlineStr"/>
    </row>
    <row r="2332" ht="15" customHeight="1">
      <c r="A2332" t="inlineStr">
        <is>
          <t>A 35067-2023</t>
        </is>
      </c>
      <c r="B2332" s="1" t="n">
        <v>45145.41471064815</v>
      </c>
      <c r="C2332" s="1" t="n">
        <v>45911</v>
      </c>
      <c r="D2332" t="inlineStr">
        <is>
          <t>GÄVLEBORGS LÄN</t>
        </is>
      </c>
      <c r="E2332" t="inlineStr">
        <is>
          <t>BOLLNÄS</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35782-2023</t>
        </is>
      </c>
      <c r="B2333" s="1" t="n">
        <v>45148</v>
      </c>
      <c r="C2333" s="1" t="n">
        <v>45911</v>
      </c>
      <c r="D2333" t="inlineStr">
        <is>
          <t>GÄVLEBORGS LÄN</t>
        </is>
      </c>
      <c r="E2333" t="inlineStr">
        <is>
          <t>LJUSDAL</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55206-2022</t>
        </is>
      </c>
      <c r="B2334" s="1" t="n">
        <v>44886</v>
      </c>
      <c r="C2334" s="1" t="n">
        <v>45911</v>
      </c>
      <c r="D2334" t="inlineStr">
        <is>
          <t>GÄVLEBORGS LÄN</t>
        </is>
      </c>
      <c r="E2334" t="inlineStr">
        <is>
          <t>NORDANSTIG</t>
        </is>
      </c>
      <c r="F2334" t="inlineStr">
        <is>
          <t>SCA</t>
        </is>
      </c>
      <c r="G2334" t="n">
        <v>5.3</v>
      </c>
      <c r="H2334" t="n">
        <v>0</v>
      </c>
      <c r="I2334" t="n">
        <v>0</v>
      </c>
      <c r="J2334" t="n">
        <v>0</v>
      </c>
      <c r="K2334" t="n">
        <v>0</v>
      </c>
      <c r="L2334" t="n">
        <v>0</v>
      </c>
      <c r="M2334" t="n">
        <v>0</v>
      </c>
      <c r="N2334" t="n">
        <v>0</v>
      </c>
      <c r="O2334" t="n">
        <v>0</v>
      </c>
      <c r="P2334" t="n">
        <v>0</v>
      </c>
      <c r="Q2334" t="n">
        <v>0</v>
      </c>
      <c r="R2334" s="2" t="inlineStr"/>
    </row>
    <row r="2335" ht="15" customHeight="1">
      <c r="A2335" t="inlineStr">
        <is>
          <t>A 49565-2021</t>
        </is>
      </c>
      <c r="B2335" s="1" t="n">
        <v>44455.36539351852</v>
      </c>
      <c r="C2335" s="1" t="n">
        <v>45911</v>
      </c>
      <c r="D2335" t="inlineStr">
        <is>
          <t>GÄVLEBORGS LÄN</t>
        </is>
      </c>
      <c r="E2335" t="inlineStr">
        <is>
          <t>OVANÅKER</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57702-2020</t>
        </is>
      </c>
      <c r="B2336" s="1" t="n">
        <v>44140.89601851852</v>
      </c>
      <c r="C2336" s="1" t="n">
        <v>45911</v>
      </c>
      <c r="D2336" t="inlineStr">
        <is>
          <t>GÄVLEBORGS LÄN</t>
        </is>
      </c>
      <c r="E2336" t="inlineStr">
        <is>
          <t>GÄVLE</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30721-2023</t>
        </is>
      </c>
      <c r="B2337" s="1" t="n">
        <v>45112</v>
      </c>
      <c r="C2337" s="1" t="n">
        <v>45911</v>
      </c>
      <c r="D2337" t="inlineStr">
        <is>
          <t>GÄVLEBORGS LÄN</t>
        </is>
      </c>
      <c r="E2337" t="inlineStr">
        <is>
          <t>SANDVIKEN</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15168-2024</t>
        </is>
      </c>
      <c r="B2338" s="1" t="n">
        <v>45400.34232638889</v>
      </c>
      <c r="C2338" s="1" t="n">
        <v>45911</v>
      </c>
      <c r="D2338" t="inlineStr">
        <is>
          <t>GÄVLEBORGS LÄN</t>
        </is>
      </c>
      <c r="E2338" t="inlineStr">
        <is>
          <t>LJUSDAL</t>
        </is>
      </c>
      <c r="F2338" t="inlineStr">
        <is>
          <t>Holmen skog AB</t>
        </is>
      </c>
      <c r="G2338" t="n">
        <v>6.6</v>
      </c>
      <c r="H2338" t="n">
        <v>0</v>
      </c>
      <c r="I2338" t="n">
        <v>0</v>
      </c>
      <c r="J2338" t="n">
        <v>0</v>
      </c>
      <c r="K2338" t="n">
        <v>0</v>
      </c>
      <c r="L2338" t="n">
        <v>0</v>
      </c>
      <c r="M2338" t="n">
        <v>0</v>
      </c>
      <c r="N2338" t="n">
        <v>0</v>
      </c>
      <c r="O2338" t="n">
        <v>0</v>
      </c>
      <c r="P2338" t="n">
        <v>0</v>
      </c>
      <c r="Q2338" t="n">
        <v>0</v>
      </c>
      <c r="R2338" s="2" t="inlineStr"/>
    </row>
    <row r="2339" ht="15" customHeight="1">
      <c r="A2339" t="inlineStr">
        <is>
          <t>A 18912-2025</t>
        </is>
      </c>
      <c r="B2339" s="1" t="n">
        <v>45764.46554398148</v>
      </c>
      <c r="C2339" s="1" t="n">
        <v>45911</v>
      </c>
      <c r="D2339" t="inlineStr">
        <is>
          <t>GÄVLEBORGS LÄN</t>
        </is>
      </c>
      <c r="E2339" t="inlineStr">
        <is>
          <t>HUDIKSVALL</t>
        </is>
      </c>
      <c r="F2339" t="inlineStr">
        <is>
          <t>Holmen skog AB</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18971-2025</t>
        </is>
      </c>
      <c r="B2340" s="1" t="n">
        <v>45764.53803240741</v>
      </c>
      <c r="C2340" s="1" t="n">
        <v>45911</v>
      </c>
      <c r="D2340" t="inlineStr">
        <is>
          <t>GÄVLEBORGS LÄN</t>
        </is>
      </c>
      <c r="E2340" t="inlineStr">
        <is>
          <t>LJUSDAL</t>
        </is>
      </c>
      <c r="F2340" t="inlineStr">
        <is>
          <t>Sveaskog</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16191-2025</t>
        </is>
      </c>
      <c r="B2341" s="1" t="n">
        <v>45750.59752314815</v>
      </c>
      <c r="C2341" s="1" t="n">
        <v>45911</v>
      </c>
      <c r="D2341" t="inlineStr">
        <is>
          <t>GÄVLEBORGS LÄN</t>
        </is>
      </c>
      <c r="E2341" t="inlineStr">
        <is>
          <t>SÖDERHAMN</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16196-2025</t>
        </is>
      </c>
      <c r="B2342" s="1" t="n">
        <v>45750.60038194444</v>
      </c>
      <c r="C2342" s="1" t="n">
        <v>45911</v>
      </c>
      <c r="D2342" t="inlineStr">
        <is>
          <t>GÄVLEBORGS LÄN</t>
        </is>
      </c>
      <c r="E2342" t="inlineStr">
        <is>
          <t>SÖDERHAMN</t>
        </is>
      </c>
      <c r="F2342" t="inlineStr">
        <is>
          <t>Kommuner</t>
        </is>
      </c>
      <c r="G2342" t="n">
        <v>4.2</v>
      </c>
      <c r="H2342" t="n">
        <v>0</v>
      </c>
      <c r="I2342" t="n">
        <v>0</v>
      </c>
      <c r="J2342" t="n">
        <v>0</v>
      </c>
      <c r="K2342" t="n">
        <v>0</v>
      </c>
      <c r="L2342" t="n">
        <v>0</v>
      </c>
      <c r="M2342" t="n">
        <v>0</v>
      </c>
      <c r="N2342" t="n">
        <v>0</v>
      </c>
      <c r="O2342" t="n">
        <v>0</v>
      </c>
      <c r="P2342" t="n">
        <v>0</v>
      </c>
      <c r="Q2342" t="n">
        <v>0</v>
      </c>
      <c r="R2342" s="2" t="inlineStr"/>
    </row>
    <row r="2343" ht="15" customHeight="1">
      <c r="A2343" t="inlineStr">
        <is>
          <t>A 16204-2025</t>
        </is>
      </c>
      <c r="B2343" s="1" t="n">
        <v>45750.62034722222</v>
      </c>
      <c r="C2343" s="1" t="n">
        <v>45911</v>
      </c>
      <c r="D2343" t="inlineStr">
        <is>
          <t>GÄVLEBORGS LÄN</t>
        </is>
      </c>
      <c r="E2343" t="inlineStr">
        <is>
          <t>OVANÅKER</t>
        </is>
      </c>
      <c r="G2343" t="n">
        <v>16.7</v>
      </c>
      <c r="H2343" t="n">
        <v>0</v>
      </c>
      <c r="I2343" t="n">
        <v>0</v>
      </c>
      <c r="J2343" t="n">
        <v>0</v>
      </c>
      <c r="K2343" t="n">
        <v>0</v>
      </c>
      <c r="L2343" t="n">
        <v>0</v>
      </c>
      <c r="M2343" t="n">
        <v>0</v>
      </c>
      <c r="N2343" t="n">
        <v>0</v>
      </c>
      <c r="O2343" t="n">
        <v>0</v>
      </c>
      <c r="P2343" t="n">
        <v>0</v>
      </c>
      <c r="Q2343" t="n">
        <v>0</v>
      </c>
      <c r="R2343" s="2" t="inlineStr"/>
    </row>
    <row r="2344" ht="15" customHeight="1">
      <c r="A2344" t="inlineStr">
        <is>
          <t>A 61718-2023</t>
        </is>
      </c>
      <c r="B2344" s="1" t="n">
        <v>45265</v>
      </c>
      <c r="C2344" s="1" t="n">
        <v>45911</v>
      </c>
      <c r="D2344" t="inlineStr">
        <is>
          <t>GÄVLEBORGS LÄN</t>
        </is>
      </c>
      <c r="E2344" t="inlineStr">
        <is>
          <t>LJUSDAL</t>
        </is>
      </c>
      <c r="F2344" t="inlineStr">
        <is>
          <t>Kommuner</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68599-2020</t>
        </is>
      </c>
      <c r="B2345" s="1" t="n">
        <v>44186</v>
      </c>
      <c r="C2345" s="1" t="n">
        <v>45911</v>
      </c>
      <c r="D2345" t="inlineStr">
        <is>
          <t>GÄVLEBORGS LÄN</t>
        </is>
      </c>
      <c r="E2345" t="inlineStr">
        <is>
          <t>HUDIKSVALL</t>
        </is>
      </c>
      <c r="F2345" t="inlineStr">
        <is>
          <t>Kommuner</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23447-2025</t>
        </is>
      </c>
      <c r="B2346" s="1" t="n">
        <v>45792.39951388889</v>
      </c>
      <c r="C2346" s="1" t="n">
        <v>45911</v>
      </c>
      <c r="D2346" t="inlineStr">
        <is>
          <t>GÄVLEBORGS LÄN</t>
        </is>
      </c>
      <c r="E2346" t="inlineStr">
        <is>
          <t>GÄVLE</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23448-2025</t>
        </is>
      </c>
      <c r="B2347" s="1" t="n">
        <v>45792.39993055556</v>
      </c>
      <c r="C2347" s="1" t="n">
        <v>45911</v>
      </c>
      <c r="D2347" t="inlineStr">
        <is>
          <t>GÄVLEBORGS LÄN</t>
        </is>
      </c>
      <c r="E2347" t="inlineStr">
        <is>
          <t>SÖDERHAMN</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23463-2025</t>
        </is>
      </c>
      <c r="B2348" s="1" t="n">
        <v>45792.43024305555</v>
      </c>
      <c r="C2348" s="1" t="n">
        <v>45911</v>
      </c>
      <c r="D2348" t="inlineStr">
        <is>
          <t>GÄVLEBORGS LÄN</t>
        </is>
      </c>
      <c r="E2348" t="inlineStr">
        <is>
          <t>GÄVLE</t>
        </is>
      </c>
      <c r="G2348" t="n">
        <v>7.2</v>
      </c>
      <c r="H2348" t="n">
        <v>0</v>
      </c>
      <c r="I2348" t="n">
        <v>0</v>
      </c>
      <c r="J2348" t="n">
        <v>0</v>
      </c>
      <c r="K2348" t="n">
        <v>0</v>
      </c>
      <c r="L2348" t="n">
        <v>0</v>
      </c>
      <c r="M2348" t="n">
        <v>0</v>
      </c>
      <c r="N2348" t="n">
        <v>0</v>
      </c>
      <c r="O2348" t="n">
        <v>0</v>
      </c>
      <c r="P2348" t="n">
        <v>0</v>
      </c>
      <c r="Q2348" t="n">
        <v>0</v>
      </c>
      <c r="R2348" s="2" t="inlineStr"/>
    </row>
    <row r="2349" ht="15" customHeight="1">
      <c r="A2349" t="inlineStr">
        <is>
          <t>A 23467-2025</t>
        </is>
      </c>
      <c r="B2349" s="1" t="n">
        <v>45792.43704861111</v>
      </c>
      <c r="C2349" s="1" t="n">
        <v>45911</v>
      </c>
      <c r="D2349" t="inlineStr">
        <is>
          <t>GÄVLEBORGS LÄN</t>
        </is>
      </c>
      <c r="E2349" t="inlineStr">
        <is>
          <t>NORDANSTIG</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37777-2024</t>
        </is>
      </c>
      <c r="B2350" s="1" t="n">
        <v>45542</v>
      </c>
      <c r="C2350" s="1" t="n">
        <v>45911</v>
      </c>
      <c r="D2350" t="inlineStr">
        <is>
          <t>GÄVLEBORGS LÄN</t>
        </is>
      </c>
      <c r="E2350" t="inlineStr">
        <is>
          <t>OVANÅKER</t>
        </is>
      </c>
      <c r="F2350" t="inlineStr">
        <is>
          <t>Bergvik skog väst AB</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23244-2025</t>
        </is>
      </c>
      <c r="B2351" s="1" t="n">
        <v>45791.50346064815</v>
      </c>
      <c r="C2351" s="1" t="n">
        <v>45911</v>
      </c>
      <c r="D2351" t="inlineStr">
        <is>
          <t>GÄVLEBORGS LÄN</t>
        </is>
      </c>
      <c r="E2351" t="inlineStr">
        <is>
          <t>OVANÅKER</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23324-2025</t>
        </is>
      </c>
      <c r="B2352" s="1" t="n">
        <v>45791.62157407407</v>
      </c>
      <c r="C2352" s="1" t="n">
        <v>45911</v>
      </c>
      <c r="D2352" t="inlineStr">
        <is>
          <t>GÄVLEBORGS LÄN</t>
        </is>
      </c>
      <c r="E2352" t="inlineStr">
        <is>
          <t>GÄVLE</t>
        </is>
      </c>
      <c r="G2352" t="n">
        <v>6.2</v>
      </c>
      <c r="H2352" t="n">
        <v>0</v>
      </c>
      <c r="I2352" t="n">
        <v>0</v>
      </c>
      <c r="J2352" t="n">
        <v>0</v>
      </c>
      <c r="K2352" t="n">
        <v>0</v>
      </c>
      <c r="L2352" t="n">
        <v>0</v>
      </c>
      <c r="M2352" t="n">
        <v>0</v>
      </c>
      <c r="N2352" t="n">
        <v>0</v>
      </c>
      <c r="O2352" t="n">
        <v>0</v>
      </c>
      <c r="P2352" t="n">
        <v>0</v>
      </c>
      <c r="Q2352" t="n">
        <v>0</v>
      </c>
      <c r="R2352" s="2" t="inlineStr"/>
    </row>
    <row r="2353" ht="15" customHeight="1">
      <c r="A2353" t="inlineStr">
        <is>
          <t>A 11532-2024</t>
        </is>
      </c>
      <c r="B2353" s="1" t="n">
        <v>45372.92857638889</v>
      </c>
      <c r="C2353" s="1" t="n">
        <v>45911</v>
      </c>
      <c r="D2353" t="inlineStr">
        <is>
          <t>GÄVLEBORGS LÄN</t>
        </is>
      </c>
      <c r="E2353" t="inlineStr">
        <is>
          <t>HUDIKSVALL</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45310-2022</t>
        </is>
      </c>
      <c r="B2354" s="1" t="n">
        <v>44844.57421296297</v>
      </c>
      <c r="C2354" s="1" t="n">
        <v>45911</v>
      </c>
      <c r="D2354" t="inlineStr">
        <is>
          <t>GÄVLEBORGS LÄN</t>
        </is>
      </c>
      <c r="E2354" t="inlineStr">
        <is>
          <t>NORDANSTIG</t>
        </is>
      </c>
      <c r="F2354" t="inlineStr">
        <is>
          <t>Holmen skog AB</t>
        </is>
      </c>
      <c r="G2354" t="n">
        <v>4.5</v>
      </c>
      <c r="H2354" t="n">
        <v>0</v>
      </c>
      <c r="I2354" t="n">
        <v>0</v>
      </c>
      <c r="J2354" t="n">
        <v>0</v>
      </c>
      <c r="K2354" t="n">
        <v>0</v>
      </c>
      <c r="L2354" t="n">
        <v>0</v>
      </c>
      <c r="M2354" t="n">
        <v>0</v>
      </c>
      <c r="N2354" t="n">
        <v>0</v>
      </c>
      <c r="O2354" t="n">
        <v>0</v>
      </c>
      <c r="P2354" t="n">
        <v>0</v>
      </c>
      <c r="Q2354" t="n">
        <v>0</v>
      </c>
      <c r="R2354" s="2" t="inlineStr"/>
    </row>
    <row r="2355" ht="15" customHeight="1">
      <c r="A2355" t="inlineStr">
        <is>
          <t>A 51986-2024</t>
        </is>
      </c>
      <c r="B2355" s="1" t="n">
        <v>45607.68255787037</v>
      </c>
      <c r="C2355" s="1" t="n">
        <v>45911</v>
      </c>
      <c r="D2355" t="inlineStr">
        <is>
          <t>GÄVLEBORGS LÄN</t>
        </is>
      </c>
      <c r="E2355" t="inlineStr">
        <is>
          <t>SÖDERHAMN</t>
        </is>
      </c>
      <c r="F2355" t="inlineStr">
        <is>
          <t>Bergvik skog väst AB</t>
        </is>
      </c>
      <c r="G2355" t="n">
        <v>5.7</v>
      </c>
      <c r="H2355" t="n">
        <v>0</v>
      </c>
      <c r="I2355" t="n">
        <v>0</v>
      </c>
      <c r="J2355" t="n">
        <v>0</v>
      </c>
      <c r="K2355" t="n">
        <v>0</v>
      </c>
      <c r="L2355" t="n">
        <v>0</v>
      </c>
      <c r="M2355" t="n">
        <v>0</v>
      </c>
      <c r="N2355" t="n">
        <v>0</v>
      </c>
      <c r="O2355" t="n">
        <v>0</v>
      </c>
      <c r="P2355" t="n">
        <v>0</v>
      </c>
      <c r="Q2355" t="n">
        <v>0</v>
      </c>
      <c r="R2355" s="2" t="inlineStr"/>
    </row>
    <row r="2356" ht="15" customHeight="1">
      <c r="A2356" t="inlineStr">
        <is>
          <t>A 52001-2024</t>
        </is>
      </c>
      <c r="B2356" s="1" t="n">
        <v>45607.75534722222</v>
      </c>
      <c r="C2356" s="1" t="n">
        <v>45911</v>
      </c>
      <c r="D2356" t="inlineStr">
        <is>
          <t>GÄVLEBORGS LÄN</t>
        </is>
      </c>
      <c r="E2356" t="inlineStr">
        <is>
          <t>NORDANSTIG</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45965-2024</t>
        </is>
      </c>
      <c r="B2357" s="1" t="n">
        <v>45580</v>
      </c>
      <c r="C2357" s="1" t="n">
        <v>45911</v>
      </c>
      <c r="D2357" t="inlineStr">
        <is>
          <t>GÄVLEBORGS LÄN</t>
        </is>
      </c>
      <c r="E2357" t="inlineStr">
        <is>
          <t>GÄVLE</t>
        </is>
      </c>
      <c r="F2357" t="inlineStr">
        <is>
          <t>Bergvik skog öst AB</t>
        </is>
      </c>
      <c r="G2357" t="n">
        <v>15.3</v>
      </c>
      <c r="H2357" t="n">
        <v>0</v>
      </c>
      <c r="I2357" t="n">
        <v>0</v>
      </c>
      <c r="J2357" t="n">
        <v>0</v>
      </c>
      <c r="K2357" t="n">
        <v>0</v>
      </c>
      <c r="L2357" t="n">
        <v>0</v>
      </c>
      <c r="M2357" t="n">
        <v>0</v>
      </c>
      <c r="N2357" t="n">
        <v>0</v>
      </c>
      <c r="O2357" t="n">
        <v>0</v>
      </c>
      <c r="P2357" t="n">
        <v>0</v>
      </c>
      <c r="Q2357" t="n">
        <v>0</v>
      </c>
      <c r="R2357" s="2" t="inlineStr"/>
    </row>
    <row r="2358" ht="15" customHeight="1">
      <c r="A2358" t="inlineStr">
        <is>
          <t>A 55629-2024</t>
        </is>
      </c>
      <c r="B2358" s="1" t="n">
        <v>45622.60282407407</v>
      </c>
      <c r="C2358" s="1" t="n">
        <v>45911</v>
      </c>
      <c r="D2358" t="inlineStr">
        <is>
          <t>GÄVLEBORGS LÄN</t>
        </is>
      </c>
      <c r="E2358" t="inlineStr">
        <is>
          <t>HUDIKSVALL</t>
        </is>
      </c>
      <c r="F2358" t="inlineStr">
        <is>
          <t>Holmen skog AB</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27718-2023</t>
        </is>
      </c>
      <c r="B2359" s="1" t="n">
        <v>45098</v>
      </c>
      <c r="C2359" s="1" t="n">
        <v>45911</v>
      </c>
      <c r="D2359" t="inlineStr">
        <is>
          <t>GÄVLEBORGS LÄN</t>
        </is>
      </c>
      <c r="E2359" t="inlineStr">
        <is>
          <t>LJUSDAL</t>
        </is>
      </c>
      <c r="F2359" t="inlineStr">
        <is>
          <t>Holmen skog AB</t>
        </is>
      </c>
      <c r="G2359" t="n">
        <v>23.3</v>
      </c>
      <c r="H2359" t="n">
        <v>0</v>
      </c>
      <c r="I2359" t="n">
        <v>0</v>
      </c>
      <c r="J2359" t="n">
        <v>0</v>
      </c>
      <c r="K2359" t="n">
        <v>0</v>
      </c>
      <c r="L2359" t="n">
        <v>0</v>
      </c>
      <c r="M2359" t="n">
        <v>0</v>
      </c>
      <c r="N2359" t="n">
        <v>0</v>
      </c>
      <c r="O2359" t="n">
        <v>0</v>
      </c>
      <c r="P2359" t="n">
        <v>0</v>
      </c>
      <c r="Q2359" t="n">
        <v>0</v>
      </c>
      <c r="R2359" s="2" t="inlineStr"/>
    </row>
    <row r="2360" ht="15" customHeight="1">
      <c r="A2360" t="inlineStr">
        <is>
          <t>A 46000-2024</t>
        </is>
      </c>
      <c r="B2360" s="1" t="n">
        <v>45580.65564814815</v>
      </c>
      <c r="C2360" s="1" t="n">
        <v>45911</v>
      </c>
      <c r="D2360" t="inlineStr">
        <is>
          <t>GÄVLEBORGS LÄN</t>
        </is>
      </c>
      <c r="E2360" t="inlineStr">
        <is>
          <t>OVANÅKER</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55715-2024</t>
        </is>
      </c>
      <c r="B2361" s="1" t="n">
        <v>45622.70284722222</v>
      </c>
      <c r="C2361" s="1" t="n">
        <v>45911</v>
      </c>
      <c r="D2361" t="inlineStr">
        <is>
          <t>GÄVLEBORGS LÄN</t>
        </is>
      </c>
      <c r="E2361" t="inlineStr">
        <is>
          <t>SÖDERHAMN</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46034-2024</t>
        </is>
      </c>
      <c r="B2362" s="1" t="n">
        <v>45580.72083333333</v>
      </c>
      <c r="C2362" s="1" t="n">
        <v>45911</v>
      </c>
      <c r="D2362" t="inlineStr">
        <is>
          <t>GÄVLEBORGS LÄN</t>
        </is>
      </c>
      <c r="E2362" t="inlineStr">
        <is>
          <t>OVANÅKER</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49883-2023</t>
        </is>
      </c>
      <c r="B2363" s="1" t="n">
        <v>45213.37230324074</v>
      </c>
      <c r="C2363" s="1" t="n">
        <v>45911</v>
      </c>
      <c r="D2363" t="inlineStr">
        <is>
          <t>GÄVLEBORGS LÄN</t>
        </is>
      </c>
      <c r="E2363" t="inlineStr">
        <is>
          <t>BOLLNÄS</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23591-2025</t>
        </is>
      </c>
      <c r="B2364" s="1" t="n">
        <v>45792.63633101852</v>
      </c>
      <c r="C2364" s="1" t="n">
        <v>45911</v>
      </c>
      <c r="D2364" t="inlineStr">
        <is>
          <t>GÄVLEBORGS LÄN</t>
        </is>
      </c>
      <c r="E2364" t="inlineStr">
        <is>
          <t>LJUSDAL</t>
        </is>
      </c>
      <c r="F2364" t="inlineStr">
        <is>
          <t>SCA</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23603-2025</t>
        </is>
      </c>
      <c r="B2365" s="1" t="n">
        <v>45792.65420138889</v>
      </c>
      <c r="C2365" s="1" t="n">
        <v>45911</v>
      </c>
      <c r="D2365" t="inlineStr">
        <is>
          <t>GÄVLEBORGS LÄN</t>
        </is>
      </c>
      <c r="E2365" t="inlineStr">
        <is>
          <t>LJUSDAL</t>
        </is>
      </c>
      <c r="F2365" t="inlineStr">
        <is>
          <t>Bergvik skog väst AB</t>
        </is>
      </c>
      <c r="G2365" t="n">
        <v>5.6</v>
      </c>
      <c r="H2365" t="n">
        <v>0</v>
      </c>
      <c r="I2365" t="n">
        <v>0</v>
      </c>
      <c r="J2365" t="n">
        <v>0</v>
      </c>
      <c r="K2365" t="n">
        <v>0</v>
      </c>
      <c r="L2365" t="n">
        <v>0</v>
      </c>
      <c r="M2365" t="n">
        <v>0</v>
      </c>
      <c r="N2365" t="n">
        <v>0</v>
      </c>
      <c r="O2365" t="n">
        <v>0</v>
      </c>
      <c r="P2365" t="n">
        <v>0</v>
      </c>
      <c r="Q2365" t="n">
        <v>0</v>
      </c>
      <c r="R2365" s="2" t="inlineStr"/>
    </row>
    <row r="2366" ht="15" customHeight="1">
      <c r="A2366" t="inlineStr">
        <is>
          <t>A 23623-2025</t>
        </is>
      </c>
      <c r="B2366" s="1" t="n">
        <v>45792</v>
      </c>
      <c r="C2366" s="1" t="n">
        <v>45911</v>
      </c>
      <c r="D2366" t="inlineStr">
        <is>
          <t>GÄVLEBORGS LÄN</t>
        </is>
      </c>
      <c r="E2366" t="inlineStr">
        <is>
          <t>NORDANSTIG</t>
        </is>
      </c>
      <c r="G2366" t="n">
        <v>12.9</v>
      </c>
      <c r="H2366" t="n">
        <v>0</v>
      </c>
      <c r="I2366" t="n">
        <v>0</v>
      </c>
      <c r="J2366" t="n">
        <v>0</v>
      </c>
      <c r="K2366" t="n">
        <v>0</v>
      </c>
      <c r="L2366" t="n">
        <v>0</v>
      </c>
      <c r="M2366" t="n">
        <v>0</v>
      </c>
      <c r="N2366" t="n">
        <v>0</v>
      </c>
      <c r="O2366" t="n">
        <v>0</v>
      </c>
      <c r="P2366" t="n">
        <v>0</v>
      </c>
      <c r="Q2366" t="n">
        <v>0</v>
      </c>
      <c r="R2366" s="2" t="inlineStr"/>
    </row>
    <row r="2367" ht="15" customHeight="1">
      <c r="A2367" t="inlineStr">
        <is>
          <t>A 16498-2025</t>
        </is>
      </c>
      <c r="B2367" s="1" t="n">
        <v>45751.601875</v>
      </c>
      <c r="C2367" s="1" t="n">
        <v>45911</v>
      </c>
      <c r="D2367" t="inlineStr">
        <is>
          <t>GÄVLEBORGS LÄN</t>
        </is>
      </c>
      <c r="E2367" t="inlineStr">
        <is>
          <t>LJUSDAL</t>
        </is>
      </c>
      <c r="G2367" t="n">
        <v>9.9</v>
      </c>
      <c r="H2367" t="n">
        <v>0</v>
      </c>
      <c r="I2367" t="n">
        <v>0</v>
      </c>
      <c r="J2367" t="n">
        <v>0</v>
      </c>
      <c r="K2367" t="n">
        <v>0</v>
      </c>
      <c r="L2367" t="n">
        <v>0</v>
      </c>
      <c r="M2367" t="n">
        <v>0</v>
      </c>
      <c r="N2367" t="n">
        <v>0</v>
      </c>
      <c r="O2367" t="n">
        <v>0</v>
      </c>
      <c r="P2367" t="n">
        <v>0</v>
      </c>
      <c r="Q2367" t="n">
        <v>0</v>
      </c>
      <c r="R2367" s="2" t="inlineStr"/>
    </row>
    <row r="2368" ht="15" customHeight="1">
      <c r="A2368" t="inlineStr">
        <is>
          <t>A 23656-2025</t>
        </is>
      </c>
      <c r="B2368" s="1" t="n">
        <v>45792.7308449074</v>
      </c>
      <c r="C2368" s="1" t="n">
        <v>45911</v>
      </c>
      <c r="D2368" t="inlineStr">
        <is>
          <t>GÄVLEBORGS LÄN</t>
        </is>
      </c>
      <c r="E2368" t="inlineStr">
        <is>
          <t>LJUSDAL</t>
        </is>
      </c>
      <c r="F2368" t="inlineStr">
        <is>
          <t>Sveaskog</t>
        </is>
      </c>
      <c r="G2368" t="n">
        <v>4</v>
      </c>
      <c r="H2368" t="n">
        <v>0</v>
      </c>
      <c r="I2368" t="n">
        <v>0</v>
      </c>
      <c r="J2368" t="n">
        <v>0</v>
      </c>
      <c r="K2368" t="n">
        <v>0</v>
      </c>
      <c r="L2368" t="n">
        <v>0</v>
      </c>
      <c r="M2368" t="n">
        <v>0</v>
      </c>
      <c r="N2368" t="n">
        <v>0</v>
      </c>
      <c r="O2368" t="n">
        <v>0</v>
      </c>
      <c r="P2368" t="n">
        <v>0</v>
      </c>
      <c r="Q2368" t="n">
        <v>0</v>
      </c>
      <c r="R2368" s="2" t="inlineStr"/>
    </row>
    <row r="2369" ht="15" customHeight="1">
      <c r="A2369" t="inlineStr">
        <is>
          <t>A 23594-2025</t>
        </is>
      </c>
      <c r="B2369" s="1" t="n">
        <v>45792.64136574074</v>
      </c>
      <c r="C2369" s="1" t="n">
        <v>45911</v>
      </c>
      <c r="D2369" t="inlineStr">
        <is>
          <t>GÄVLEBORGS LÄN</t>
        </is>
      </c>
      <c r="E2369" t="inlineStr">
        <is>
          <t>LJUSDAL</t>
        </is>
      </c>
      <c r="F2369" t="inlineStr">
        <is>
          <t>Bergvik skog väst AB</t>
        </is>
      </c>
      <c r="G2369" t="n">
        <v>10.6</v>
      </c>
      <c r="H2369" t="n">
        <v>0</v>
      </c>
      <c r="I2369" t="n">
        <v>0</v>
      </c>
      <c r="J2369" t="n">
        <v>0</v>
      </c>
      <c r="K2369" t="n">
        <v>0</v>
      </c>
      <c r="L2369" t="n">
        <v>0</v>
      </c>
      <c r="M2369" t="n">
        <v>0</v>
      </c>
      <c r="N2369" t="n">
        <v>0</v>
      </c>
      <c r="O2369" t="n">
        <v>0</v>
      </c>
      <c r="P2369" t="n">
        <v>0</v>
      </c>
      <c r="Q2369" t="n">
        <v>0</v>
      </c>
      <c r="R2369" s="2" t="inlineStr"/>
    </row>
    <row r="2370" ht="15" customHeight="1">
      <c r="A2370" t="inlineStr">
        <is>
          <t>A 18156-2024</t>
        </is>
      </c>
      <c r="B2370" s="1" t="n">
        <v>45420.60981481482</v>
      </c>
      <c r="C2370" s="1" t="n">
        <v>45911</v>
      </c>
      <c r="D2370" t="inlineStr">
        <is>
          <t>GÄVLEBORGS LÄN</t>
        </is>
      </c>
      <c r="E2370" t="inlineStr">
        <is>
          <t>OVANÅKER</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43547-2024</t>
        </is>
      </c>
      <c r="B2371" s="1" t="n">
        <v>45569.37582175926</v>
      </c>
      <c r="C2371" s="1" t="n">
        <v>45911</v>
      </c>
      <c r="D2371" t="inlineStr">
        <is>
          <t>GÄVLEBORGS LÄN</t>
        </is>
      </c>
      <c r="E2371" t="inlineStr">
        <is>
          <t>OVANÅKER</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3748-2022</t>
        </is>
      </c>
      <c r="B2372" s="1" t="n">
        <v>44586.71274305556</v>
      </c>
      <c r="C2372" s="1" t="n">
        <v>45911</v>
      </c>
      <c r="D2372" t="inlineStr">
        <is>
          <t>GÄVLEBORGS LÄN</t>
        </is>
      </c>
      <c r="E2372" t="inlineStr">
        <is>
          <t>SANDVIKEN</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58783-2022</t>
        </is>
      </c>
      <c r="B2373" s="1" t="n">
        <v>44903</v>
      </c>
      <c r="C2373" s="1" t="n">
        <v>45911</v>
      </c>
      <c r="D2373" t="inlineStr">
        <is>
          <t>GÄVLEBORGS LÄN</t>
        </is>
      </c>
      <c r="E2373" t="inlineStr">
        <is>
          <t>LJUSDAL</t>
        </is>
      </c>
      <c r="F2373" t="inlineStr">
        <is>
          <t>Kyrkan</t>
        </is>
      </c>
      <c r="G2373" t="n">
        <v>5.1</v>
      </c>
      <c r="H2373" t="n">
        <v>0</v>
      </c>
      <c r="I2373" t="n">
        <v>0</v>
      </c>
      <c r="J2373" t="n">
        <v>0</v>
      </c>
      <c r="K2373" t="n">
        <v>0</v>
      </c>
      <c r="L2373" t="n">
        <v>0</v>
      </c>
      <c r="M2373" t="n">
        <v>0</v>
      </c>
      <c r="N2373" t="n">
        <v>0</v>
      </c>
      <c r="O2373" t="n">
        <v>0</v>
      </c>
      <c r="P2373" t="n">
        <v>0</v>
      </c>
      <c r="Q2373" t="n">
        <v>0</v>
      </c>
      <c r="R2373" s="2" t="inlineStr"/>
    </row>
    <row r="2374" ht="15" customHeight="1">
      <c r="A2374" t="inlineStr">
        <is>
          <t>A 23541-2025</t>
        </is>
      </c>
      <c r="B2374" s="1" t="n">
        <v>45792.55434027778</v>
      </c>
      <c r="C2374" s="1" t="n">
        <v>45911</v>
      </c>
      <c r="D2374" t="inlineStr">
        <is>
          <t>GÄVLEBORGS LÄN</t>
        </is>
      </c>
      <c r="E2374" t="inlineStr">
        <is>
          <t>OCKELBO</t>
        </is>
      </c>
      <c r="F2374" t="inlineStr">
        <is>
          <t>Bergvik skog väst AB</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23575-2025</t>
        </is>
      </c>
      <c r="B2375" s="1" t="n">
        <v>45792.62024305556</v>
      </c>
      <c r="C2375" s="1" t="n">
        <v>45911</v>
      </c>
      <c r="D2375" t="inlineStr">
        <is>
          <t>GÄVLEBORGS LÄN</t>
        </is>
      </c>
      <c r="E2375" t="inlineStr">
        <is>
          <t>GÄVLE</t>
        </is>
      </c>
      <c r="F2375" t="inlineStr">
        <is>
          <t>Bergvik skog väst AB</t>
        </is>
      </c>
      <c r="G2375" t="n">
        <v>6.1</v>
      </c>
      <c r="H2375" t="n">
        <v>0</v>
      </c>
      <c r="I2375" t="n">
        <v>0</v>
      </c>
      <c r="J2375" t="n">
        <v>0</v>
      </c>
      <c r="K2375" t="n">
        <v>0</v>
      </c>
      <c r="L2375" t="n">
        <v>0</v>
      </c>
      <c r="M2375" t="n">
        <v>0</v>
      </c>
      <c r="N2375" t="n">
        <v>0</v>
      </c>
      <c r="O2375" t="n">
        <v>0</v>
      </c>
      <c r="P2375" t="n">
        <v>0</v>
      </c>
      <c r="Q2375" t="n">
        <v>0</v>
      </c>
      <c r="R2375" s="2" t="inlineStr"/>
    </row>
    <row r="2376" ht="15" customHeight="1">
      <c r="A2376" t="inlineStr">
        <is>
          <t>A 23477-2025</t>
        </is>
      </c>
      <c r="B2376" s="1" t="n">
        <v>45792.45667824074</v>
      </c>
      <c r="C2376" s="1" t="n">
        <v>45911</v>
      </c>
      <c r="D2376" t="inlineStr">
        <is>
          <t>GÄVLEBORGS LÄN</t>
        </is>
      </c>
      <c r="E2376" t="inlineStr">
        <is>
          <t>LJUSDAL</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23481-2025</t>
        </is>
      </c>
      <c r="B2377" s="1" t="n">
        <v>45792.45871527777</v>
      </c>
      <c r="C2377" s="1" t="n">
        <v>45911</v>
      </c>
      <c r="D2377" t="inlineStr">
        <is>
          <t>GÄVLEBORGS LÄN</t>
        </is>
      </c>
      <c r="E2377" t="inlineStr">
        <is>
          <t>BOLLNÄS</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23497-2025</t>
        </is>
      </c>
      <c r="B2378" s="1" t="n">
        <v>45792.47788194445</v>
      </c>
      <c r="C2378" s="1" t="n">
        <v>45911</v>
      </c>
      <c r="D2378" t="inlineStr">
        <is>
          <t>GÄVLEBORGS LÄN</t>
        </is>
      </c>
      <c r="E2378" t="inlineStr">
        <is>
          <t>SANDVIKEN</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50365-2023</t>
        </is>
      </c>
      <c r="B2379" s="1" t="n">
        <v>45216.60457175926</v>
      </c>
      <c r="C2379" s="1" t="n">
        <v>45911</v>
      </c>
      <c r="D2379" t="inlineStr">
        <is>
          <t>GÄVLEBORGS LÄN</t>
        </is>
      </c>
      <c r="E2379" t="inlineStr">
        <is>
          <t>NORDANSTIG</t>
        </is>
      </c>
      <c r="F2379" t="inlineStr">
        <is>
          <t>Holmen skog AB</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23332-2025</t>
        </is>
      </c>
      <c r="B2380" s="1" t="n">
        <v>45791.64822916667</v>
      </c>
      <c r="C2380" s="1" t="n">
        <v>45911</v>
      </c>
      <c r="D2380" t="inlineStr">
        <is>
          <t>GÄVLEBORGS LÄN</t>
        </is>
      </c>
      <c r="E2380" t="inlineStr">
        <is>
          <t>SÖDERHAMN</t>
        </is>
      </c>
      <c r="F2380" t="inlineStr">
        <is>
          <t>Bergvik skog väst AB</t>
        </is>
      </c>
      <c r="G2380" t="n">
        <v>3.8</v>
      </c>
      <c r="H2380" t="n">
        <v>0</v>
      </c>
      <c r="I2380" t="n">
        <v>0</v>
      </c>
      <c r="J2380" t="n">
        <v>0</v>
      </c>
      <c r="K2380" t="n">
        <v>0</v>
      </c>
      <c r="L2380" t="n">
        <v>0</v>
      </c>
      <c r="M2380" t="n">
        <v>0</v>
      </c>
      <c r="N2380" t="n">
        <v>0</v>
      </c>
      <c r="O2380" t="n">
        <v>0</v>
      </c>
      <c r="P2380" t="n">
        <v>0</v>
      </c>
      <c r="Q2380" t="n">
        <v>0</v>
      </c>
      <c r="R2380" s="2" t="inlineStr"/>
    </row>
    <row r="2381" ht="15" customHeight="1">
      <c r="A2381" t="inlineStr">
        <is>
          <t>A 23340-2025</t>
        </is>
      </c>
      <c r="B2381" s="1" t="n">
        <v>45791.65630787037</v>
      </c>
      <c r="C2381" s="1" t="n">
        <v>45911</v>
      </c>
      <c r="D2381" t="inlineStr">
        <is>
          <t>GÄVLEBORGS LÄN</t>
        </is>
      </c>
      <c r="E2381" t="inlineStr">
        <is>
          <t>LJUSDAL</t>
        </is>
      </c>
      <c r="F2381" t="inlineStr">
        <is>
          <t>Bergvik skog väst AB</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23316-2025</t>
        </is>
      </c>
      <c r="B2382" s="1" t="n">
        <v>45791.61199074074</v>
      </c>
      <c r="C2382" s="1" t="n">
        <v>45911</v>
      </c>
      <c r="D2382" t="inlineStr">
        <is>
          <t>GÄVLEBORGS LÄN</t>
        </is>
      </c>
      <c r="E2382" t="inlineStr">
        <is>
          <t>OCKELBO</t>
        </is>
      </c>
      <c r="F2382" t="inlineStr">
        <is>
          <t>Bergvik skog väst AB</t>
        </is>
      </c>
      <c r="G2382" t="n">
        <v>4.9</v>
      </c>
      <c r="H2382" t="n">
        <v>0</v>
      </c>
      <c r="I2382" t="n">
        <v>0</v>
      </c>
      <c r="J2382" t="n">
        <v>0</v>
      </c>
      <c r="K2382" t="n">
        <v>0</v>
      </c>
      <c r="L2382" t="n">
        <v>0</v>
      </c>
      <c r="M2382" t="n">
        <v>0</v>
      </c>
      <c r="N2382" t="n">
        <v>0</v>
      </c>
      <c r="O2382" t="n">
        <v>0</v>
      </c>
      <c r="P2382" t="n">
        <v>0</v>
      </c>
      <c r="Q2382" t="n">
        <v>0</v>
      </c>
      <c r="R2382" s="2" t="inlineStr"/>
    </row>
    <row r="2383" ht="15" customHeight="1">
      <c r="A2383" t="inlineStr">
        <is>
          <t>A 23140-2025</t>
        </is>
      </c>
      <c r="B2383" s="1" t="n">
        <v>45791.3959375</v>
      </c>
      <c r="C2383" s="1" t="n">
        <v>45911</v>
      </c>
      <c r="D2383" t="inlineStr">
        <is>
          <t>GÄVLEBORGS LÄN</t>
        </is>
      </c>
      <c r="E2383" t="inlineStr">
        <is>
          <t>OVANÅKER</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59593-2021</t>
        </is>
      </c>
      <c r="B2384" s="1" t="n">
        <v>44491</v>
      </c>
      <c r="C2384" s="1" t="n">
        <v>45911</v>
      </c>
      <c r="D2384" t="inlineStr">
        <is>
          <t>GÄVLEBORGS LÄN</t>
        </is>
      </c>
      <c r="E2384" t="inlineStr">
        <is>
          <t>HUDIKSVALL</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23154-2025</t>
        </is>
      </c>
      <c r="B2385" s="1" t="n">
        <v>45791</v>
      </c>
      <c r="C2385" s="1" t="n">
        <v>45911</v>
      </c>
      <c r="D2385" t="inlineStr">
        <is>
          <t>GÄVLEBORGS LÄN</t>
        </is>
      </c>
      <c r="E2385" t="inlineStr">
        <is>
          <t>NORDANSTIG</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23167-2025</t>
        </is>
      </c>
      <c r="B2386" s="1" t="n">
        <v>45791.42684027777</v>
      </c>
      <c r="C2386" s="1" t="n">
        <v>45911</v>
      </c>
      <c r="D2386" t="inlineStr">
        <is>
          <t>GÄVLEBORGS LÄN</t>
        </is>
      </c>
      <c r="E2386" t="inlineStr">
        <is>
          <t>OVANÅKER</t>
        </is>
      </c>
      <c r="F2386" t="inlineStr">
        <is>
          <t>Bergvik skog väst AB</t>
        </is>
      </c>
      <c r="G2386" t="n">
        <v>4.7</v>
      </c>
      <c r="H2386" t="n">
        <v>0</v>
      </c>
      <c r="I2386" t="n">
        <v>0</v>
      </c>
      <c r="J2386" t="n">
        <v>0</v>
      </c>
      <c r="K2386" t="n">
        <v>0</v>
      </c>
      <c r="L2386" t="n">
        <v>0</v>
      </c>
      <c r="M2386" t="n">
        <v>0</v>
      </c>
      <c r="N2386" t="n">
        <v>0</v>
      </c>
      <c r="O2386" t="n">
        <v>0</v>
      </c>
      <c r="P2386" t="n">
        <v>0</v>
      </c>
      <c r="Q2386" t="n">
        <v>0</v>
      </c>
      <c r="R2386" s="2" t="inlineStr"/>
    </row>
    <row r="2387" ht="15" customHeight="1">
      <c r="A2387" t="inlineStr">
        <is>
          <t>A 23595-2025</t>
        </is>
      </c>
      <c r="B2387" s="1" t="n">
        <v>45792.64585648148</v>
      </c>
      <c r="C2387" s="1" t="n">
        <v>45911</v>
      </c>
      <c r="D2387" t="inlineStr">
        <is>
          <t>GÄVLEBORGS LÄN</t>
        </is>
      </c>
      <c r="E2387" t="inlineStr">
        <is>
          <t>LJUSDAL</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23599-2025</t>
        </is>
      </c>
      <c r="B2388" s="1" t="n">
        <v>45792.6493287037</v>
      </c>
      <c r="C2388" s="1" t="n">
        <v>45911</v>
      </c>
      <c r="D2388" t="inlineStr">
        <is>
          <t>GÄVLEBORGS LÄN</t>
        </is>
      </c>
      <c r="E2388" t="inlineStr">
        <is>
          <t>SÖDERHAMN</t>
        </is>
      </c>
      <c r="F2388" t="inlineStr">
        <is>
          <t>Bergvik skog väst AB</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20137-2023</t>
        </is>
      </c>
      <c r="B2389" s="1" t="n">
        <v>45055</v>
      </c>
      <c r="C2389" s="1" t="n">
        <v>45911</v>
      </c>
      <c r="D2389" t="inlineStr">
        <is>
          <t>GÄVLEBORGS LÄN</t>
        </is>
      </c>
      <c r="E2389" t="inlineStr">
        <is>
          <t>NORDANSTIG</t>
        </is>
      </c>
      <c r="G2389" t="n">
        <v>3.4</v>
      </c>
      <c r="H2389" t="n">
        <v>0</v>
      </c>
      <c r="I2389" t="n">
        <v>0</v>
      </c>
      <c r="J2389" t="n">
        <v>0</v>
      </c>
      <c r="K2389" t="n">
        <v>0</v>
      </c>
      <c r="L2389" t="n">
        <v>0</v>
      </c>
      <c r="M2389" t="n">
        <v>0</v>
      </c>
      <c r="N2389" t="n">
        <v>0</v>
      </c>
      <c r="O2389" t="n">
        <v>0</v>
      </c>
      <c r="P2389" t="n">
        <v>0</v>
      </c>
      <c r="Q2389" t="n">
        <v>0</v>
      </c>
      <c r="R2389" s="2" t="inlineStr"/>
    </row>
    <row r="2390" ht="15" customHeight="1">
      <c r="A2390" t="inlineStr">
        <is>
          <t>A 23189-2025</t>
        </is>
      </c>
      <c r="B2390" s="1" t="n">
        <v>45791.44717592592</v>
      </c>
      <c r="C2390" s="1" t="n">
        <v>45911</v>
      </c>
      <c r="D2390" t="inlineStr">
        <is>
          <t>GÄVLEBORGS LÄN</t>
        </is>
      </c>
      <c r="E2390" t="inlineStr">
        <is>
          <t>SÖDERHAMN</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22869-2024</t>
        </is>
      </c>
      <c r="B2391" s="1" t="n">
        <v>45448.64054398148</v>
      </c>
      <c r="C2391" s="1" t="n">
        <v>45911</v>
      </c>
      <c r="D2391" t="inlineStr">
        <is>
          <t>GÄVLEBORGS LÄN</t>
        </is>
      </c>
      <c r="E2391" t="inlineStr">
        <is>
          <t>HUDIKSVALL</t>
        </is>
      </c>
      <c r="F2391" t="inlineStr">
        <is>
          <t>Holmen skog AB</t>
        </is>
      </c>
      <c r="G2391" t="n">
        <v>5.7</v>
      </c>
      <c r="H2391" t="n">
        <v>0</v>
      </c>
      <c r="I2391" t="n">
        <v>0</v>
      </c>
      <c r="J2391" t="n">
        <v>0</v>
      </c>
      <c r="K2391" t="n">
        <v>0</v>
      </c>
      <c r="L2391" t="n">
        <v>0</v>
      </c>
      <c r="M2391" t="n">
        <v>0</v>
      </c>
      <c r="N2391" t="n">
        <v>0</v>
      </c>
      <c r="O2391" t="n">
        <v>0</v>
      </c>
      <c r="P2391" t="n">
        <v>0</v>
      </c>
      <c r="Q2391" t="n">
        <v>0</v>
      </c>
      <c r="R2391" s="2" t="inlineStr"/>
    </row>
    <row r="2392" ht="15" customHeight="1">
      <c r="A2392" t="inlineStr">
        <is>
          <t>A 23217-2025</t>
        </is>
      </c>
      <c r="B2392" s="1" t="n">
        <v>45791.47516203704</v>
      </c>
      <c r="C2392" s="1" t="n">
        <v>45911</v>
      </c>
      <c r="D2392" t="inlineStr">
        <is>
          <t>GÄVLEBORGS LÄN</t>
        </is>
      </c>
      <c r="E2392" t="inlineStr">
        <is>
          <t>OVANÅKER</t>
        </is>
      </c>
      <c r="F2392" t="inlineStr">
        <is>
          <t>Bergvik skog väst AB</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23350-2025</t>
        </is>
      </c>
      <c r="B2393" s="1" t="n">
        <v>45791.660625</v>
      </c>
      <c r="C2393" s="1" t="n">
        <v>45911</v>
      </c>
      <c r="D2393" t="inlineStr">
        <is>
          <t>GÄVLEBORGS LÄN</t>
        </is>
      </c>
      <c r="E2393" t="inlineStr">
        <is>
          <t>LJUSDAL</t>
        </is>
      </c>
      <c r="F2393" t="inlineStr">
        <is>
          <t>Bergvik skog väst AB</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48953-2021</t>
        </is>
      </c>
      <c r="B2394" s="1" t="n">
        <v>44453.37505787037</v>
      </c>
      <c r="C2394" s="1" t="n">
        <v>45911</v>
      </c>
      <c r="D2394" t="inlineStr">
        <is>
          <t>GÄVLEBORGS LÄN</t>
        </is>
      </c>
      <c r="E2394" t="inlineStr">
        <is>
          <t>LJUSDAL</t>
        </is>
      </c>
      <c r="G2394" t="n">
        <v>0.1</v>
      </c>
      <c r="H2394" t="n">
        <v>0</v>
      </c>
      <c r="I2394" t="n">
        <v>0</v>
      </c>
      <c r="J2394" t="n">
        <v>0</v>
      </c>
      <c r="K2394" t="n">
        <v>0</v>
      </c>
      <c r="L2394" t="n">
        <v>0</v>
      </c>
      <c r="M2394" t="n">
        <v>0</v>
      </c>
      <c r="N2394" t="n">
        <v>0</v>
      </c>
      <c r="O2394" t="n">
        <v>0</v>
      </c>
      <c r="P2394" t="n">
        <v>0</v>
      </c>
      <c r="Q2394" t="n">
        <v>0</v>
      </c>
      <c r="R2394" s="2" t="inlineStr"/>
    </row>
    <row r="2395" ht="15" customHeight="1">
      <c r="A2395" t="inlineStr">
        <is>
          <t>A 15963-2025</t>
        </is>
      </c>
      <c r="B2395" s="1" t="n">
        <v>45749</v>
      </c>
      <c r="C2395" s="1" t="n">
        <v>45911</v>
      </c>
      <c r="D2395" t="inlineStr">
        <is>
          <t>GÄVLEBORGS LÄN</t>
        </is>
      </c>
      <c r="E2395" t="inlineStr">
        <is>
          <t>HUDIKSVALL</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23376-2024</t>
        </is>
      </c>
      <c r="B2396" s="1" t="n">
        <v>45453</v>
      </c>
      <c r="C2396" s="1" t="n">
        <v>45911</v>
      </c>
      <c r="D2396" t="inlineStr">
        <is>
          <t>GÄVLEBORGS LÄN</t>
        </is>
      </c>
      <c r="E2396" t="inlineStr">
        <is>
          <t>HOFORS</t>
        </is>
      </c>
      <c r="F2396" t="inlineStr">
        <is>
          <t>Sveaskog</t>
        </is>
      </c>
      <c r="G2396" t="n">
        <v>10.8</v>
      </c>
      <c r="H2396" t="n">
        <v>0</v>
      </c>
      <c r="I2396" t="n">
        <v>0</v>
      </c>
      <c r="J2396" t="n">
        <v>0</v>
      </c>
      <c r="K2396" t="n">
        <v>0</v>
      </c>
      <c r="L2396" t="n">
        <v>0</v>
      </c>
      <c r="M2396" t="n">
        <v>0</v>
      </c>
      <c r="N2396" t="n">
        <v>0</v>
      </c>
      <c r="O2396" t="n">
        <v>0</v>
      </c>
      <c r="P2396" t="n">
        <v>0</v>
      </c>
      <c r="Q2396" t="n">
        <v>0</v>
      </c>
      <c r="R2396" s="2" t="inlineStr"/>
    </row>
    <row r="2397" ht="15" customHeight="1">
      <c r="A2397" t="inlineStr">
        <is>
          <t>A 23420-2025</t>
        </is>
      </c>
      <c r="B2397" s="1" t="n">
        <v>45792.35361111111</v>
      </c>
      <c r="C2397" s="1" t="n">
        <v>45911</v>
      </c>
      <c r="D2397" t="inlineStr">
        <is>
          <t>GÄVLEBORGS LÄN</t>
        </is>
      </c>
      <c r="E2397" t="inlineStr">
        <is>
          <t>BOLLNÄS</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54803-2023</t>
        </is>
      </c>
      <c r="B2398" s="1" t="n">
        <v>45236</v>
      </c>
      <c r="C2398" s="1" t="n">
        <v>45911</v>
      </c>
      <c r="D2398" t="inlineStr">
        <is>
          <t>GÄVLEBORGS LÄN</t>
        </is>
      </c>
      <c r="E2398" t="inlineStr">
        <is>
          <t>NORDANSTIG</t>
        </is>
      </c>
      <c r="F2398" t="inlineStr">
        <is>
          <t>Holmen skog AB</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23476-2025</t>
        </is>
      </c>
      <c r="B2399" s="1" t="n">
        <v>45792.45457175926</v>
      </c>
      <c r="C2399" s="1" t="n">
        <v>45911</v>
      </c>
      <c r="D2399" t="inlineStr">
        <is>
          <t>GÄVLEBORGS LÄN</t>
        </is>
      </c>
      <c r="E2399" t="inlineStr">
        <is>
          <t>BOLLNÄS</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31529-2025</t>
        </is>
      </c>
      <c r="B2400" s="1" t="n">
        <v>45833.61640046296</v>
      </c>
      <c r="C2400" s="1" t="n">
        <v>45911</v>
      </c>
      <c r="D2400" t="inlineStr">
        <is>
          <t>GÄVLEBORGS LÄN</t>
        </is>
      </c>
      <c r="E2400" t="inlineStr">
        <is>
          <t>LJUSDAL</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21821-2025</t>
        </is>
      </c>
      <c r="B2401" s="1" t="n">
        <v>45783.79831018519</v>
      </c>
      <c r="C2401" s="1" t="n">
        <v>45911</v>
      </c>
      <c r="D2401" t="inlineStr">
        <is>
          <t>GÄVLEBORGS LÄN</t>
        </is>
      </c>
      <c r="E2401" t="inlineStr">
        <is>
          <t>HUDIKSVALL</t>
        </is>
      </c>
      <c r="F2401" t="inlineStr">
        <is>
          <t>Holmen skog AB</t>
        </is>
      </c>
      <c r="G2401" t="n">
        <v>44.8</v>
      </c>
      <c r="H2401" t="n">
        <v>0</v>
      </c>
      <c r="I2401" t="n">
        <v>0</v>
      </c>
      <c r="J2401" t="n">
        <v>0</v>
      </c>
      <c r="K2401" t="n">
        <v>0</v>
      </c>
      <c r="L2401" t="n">
        <v>0</v>
      </c>
      <c r="M2401" t="n">
        <v>0</v>
      </c>
      <c r="N2401" t="n">
        <v>0</v>
      </c>
      <c r="O2401" t="n">
        <v>0</v>
      </c>
      <c r="P2401" t="n">
        <v>0</v>
      </c>
      <c r="Q2401" t="n">
        <v>0</v>
      </c>
      <c r="R2401" s="2" t="inlineStr"/>
    </row>
    <row r="2402" ht="15" customHeight="1">
      <c r="A2402" t="inlineStr">
        <is>
          <t>A 8519-2025</t>
        </is>
      </c>
      <c r="B2402" s="1" t="n">
        <v>45709.55436342592</v>
      </c>
      <c r="C2402" s="1" t="n">
        <v>45911</v>
      </c>
      <c r="D2402" t="inlineStr">
        <is>
          <t>GÄVLEBORGS LÄN</t>
        </is>
      </c>
      <c r="E2402" t="inlineStr">
        <is>
          <t>BOLLNÄS</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55941-2024</t>
        </is>
      </c>
      <c r="B2403" s="1" t="n">
        <v>45623.61159722223</v>
      </c>
      <c r="C2403" s="1" t="n">
        <v>45911</v>
      </c>
      <c r="D2403" t="inlineStr">
        <is>
          <t>GÄVLEBORGS LÄN</t>
        </is>
      </c>
      <c r="E2403" t="inlineStr">
        <is>
          <t>BOLLNÄS</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23207-2025</t>
        </is>
      </c>
      <c r="B2404" s="1" t="n">
        <v>45791.46790509259</v>
      </c>
      <c r="C2404" s="1" t="n">
        <v>45911</v>
      </c>
      <c r="D2404" t="inlineStr">
        <is>
          <t>GÄVLEBORGS LÄN</t>
        </is>
      </c>
      <c r="E2404" t="inlineStr">
        <is>
          <t>NORDANSTIG</t>
        </is>
      </c>
      <c r="F2404" t="inlineStr">
        <is>
          <t>Holmen skog AB</t>
        </is>
      </c>
      <c r="G2404" t="n">
        <v>13.8</v>
      </c>
      <c r="H2404" t="n">
        <v>0</v>
      </c>
      <c r="I2404" t="n">
        <v>0</v>
      </c>
      <c r="J2404" t="n">
        <v>0</v>
      </c>
      <c r="K2404" t="n">
        <v>0</v>
      </c>
      <c r="L2404" t="n">
        <v>0</v>
      </c>
      <c r="M2404" t="n">
        <v>0</v>
      </c>
      <c r="N2404" t="n">
        <v>0</v>
      </c>
      <c r="O2404" t="n">
        <v>0</v>
      </c>
      <c r="P2404" t="n">
        <v>0</v>
      </c>
      <c r="Q2404" t="n">
        <v>0</v>
      </c>
      <c r="R2404" s="2" t="inlineStr"/>
    </row>
    <row r="2405" ht="15" customHeight="1">
      <c r="A2405" t="inlineStr">
        <is>
          <t>A 20689-2025</t>
        </is>
      </c>
      <c r="B2405" s="1" t="n">
        <v>45776.45578703703</v>
      </c>
      <c r="C2405" s="1" t="n">
        <v>45911</v>
      </c>
      <c r="D2405" t="inlineStr">
        <is>
          <t>GÄVLEBORGS LÄN</t>
        </is>
      </c>
      <c r="E2405" t="inlineStr">
        <is>
          <t>OCKELBO</t>
        </is>
      </c>
      <c r="F2405" t="inlineStr">
        <is>
          <t>Bergvik skog väst AB</t>
        </is>
      </c>
      <c r="G2405" t="n">
        <v>16.2</v>
      </c>
      <c r="H2405" t="n">
        <v>0</v>
      </c>
      <c r="I2405" t="n">
        <v>0</v>
      </c>
      <c r="J2405" t="n">
        <v>0</v>
      </c>
      <c r="K2405" t="n">
        <v>0</v>
      </c>
      <c r="L2405" t="n">
        <v>0</v>
      </c>
      <c r="M2405" t="n">
        <v>0</v>
      </c>
      <c r="N2405" t="n">
        <v>0</v>
      </c>
      <c r="O2405" t="n">
        <v>0</v>
      </c>
      <c r="P2405" t="n">
        <v>0</v>
      </c>
      <c r="Q2405" t="n">
        <v>0</v>
      </c>
      <c r="R2405" s="2" t="inlineStr"/>
    </row>
    <row r="2406" ht="15" customHeight="1">
      <c r="A2406" t="inlineStr">
        <is>
          <t>A 12992-2025</t>
        </is>
      </c>
      <c r="B2406" s="1" t="n">
        <v>45734.48538194445</v>
      </c>
      <c r="C2406" s="1" t="n">
        <v>45911</v>
      </c>
      <c r="D2406" t="inlineStr">
        <is>
          <t>GÄVLEBORGS LÄN</t>
        </is>
      </c>
      <c r="E2406" t="inlineStr">
        <is>
          <t>GÄVLE</t>
        </is>
      </c>
      <c r="F2406" t="inlineStr">
        <is>
          <t>Bergvik skog öst AB</t>
        </is>
      </c>
      <c r="G2406" t="n">
        <v>3.4</v>
      </c>
      <c r="H2406" t="n">
        <v>0</v>
      </c>
      <c r="I2406" t="n">
        <v>0</v>
      </c>
      <c r="J2406" t="n">
        <v>0</v>
      </c>
      <c r="K2406" t="n">
        <v>0</v>
      </c>
      <c r="L2406" t="n">
        <v>0</v>
      </c>
      <c r="M2406" t="n">
        <v>0</v>
      </c>
      <c r="N2406" t="n">
        <v>0</v>
      </c>
      <c r="O2406" t="n">
        <v>0</v>
      </c>
      <c r="P2406" t="n">
        <v>0</v>
      </c>
      <c r="Q2406" t="n">
        <v>0</v>
      </c>
      <c r="R2406" s="2" t="inlineStr"/>
    </row>
    <row r="2407" ht="15" customHeight="1">
      <c r="A2407" t="inlineStr">
        <is>
          <t>A 23098-2025</t>
        </is>
      </c>
      <c r="B2407" s="1" t="n">
        <v>45791.3475</v>
      </c>
      <c r="C2407" s="1" t="n">
        <v>45911</v>
      </c>
      <c r="D2407" t="inlineStr">
        <is>
          <t>GÄVLEBORGS LÄN</t>
        </is>
      </c>
      <c r="E2407" t="inlineStr">
        <is>
          <t>OVANÅKER</t>
        </is>
      </c>
      <c r="F2407" t="inlineStr">
        <is>
          <t>Bergvik skog väst AB</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13018-2025</t>
        </is>
      </c>
      <c r="B2408" s="1" t="n">
        <v>45734.54376157407</v>
      </c>
      <c r="C2408" s="1" t="n">
        <v>45911</v>
      </c>
      <c r="D2408" t="inlineStr">
        <is>
          <t>GÄVLEBORGS LÄN</t>
        </is>
      </c>
      <c r="E2408" t="inlineStr">
        <is>
          <t>NORDANSTIG</t>
        </is>
      </c>
      <c r="G2408" t="n">
        <v>33.1</v>
      </c>
      <c r="H2408" t="n">
        <v>0</v>
      </c>
      <c r="I2408" t="n">
        <v>0</v>
      </c>
      <c r="J2408" t="n">
        <v>0</v>
      </c>
      <c r="K2408" t="n">
        <v>0</v>
      </c>
      <c r="L2408" t="n">
        <v>0</v>
      </c>
      <c r="M2408" t="n">
        <v>0</v>
      </c>
      <c r="N2408" t="n">
        <v>0</v>
      </c>
      <c r="O2408" t="n">
        <v>0</v>
      </c>
      <c r="P2408" t="n">
        <v>0</v>
      </c>
      <c r="Q2408" t="n">
        <v>0</v>
      </c>
      <c r="R2408" s="2" t="inlineStr"/>
    </row>
    <row r="2409" ht="15" customHeight="1">
      <c r="A2409" t="inlineStr">
        <is>
          <t>A 23106-2025</t>
        </is>
      </c>
      <c r="B2409" s="1" t="n">
        <v>45791.35957175926</v>
      </c>
      <c r="C2409" s="1" t="n">
        <v>45911</v>
      </c>
      <c r="D2409" t="inlineStr">
        <is>
          <t>GÄVLEBORGS LÄN</t>
        </is>
      </c>
      <c r="E2409" t="inlineStr">
        <is>
          <t>OVANÅKER</t>
        </is>
      </c>
      <c r="F2409" t="inlineStr">
        <is>
          <t>Bergvik skog väst AB</t>
        </is>
      </c>
      <c r="G2409" t="n">
        <v>3.8</v>
      </c>
      <c r="H2409" t="n">
        <v>0</v>
      </c>
      <c r="I2409" t="n">
        <v>0</v>
      </c>
      <c r="J2409" t="n">
        <v>0</v>
      </c>
      <c r="K2409" t="n">
        <v>0</v>
      </c>
      <c r="L2409" t="n">
        <v>0</v>
      </c>
      <c r="M2409" t="n">
        <v>0</v>
      </c>
      <c r="N2409" t="n">
        <v>0</v>
      </c>
      <c r="O2409" t="n">
        <v>0</v>
      </c>
      <c r="P2409" t="n">
        <v>0</v>
      </c>
      <c r="Q2409" t="n">
        <v>0</v>
      </c>
      <c r="R2409" s="2" t="inlineStr"/>
    </row>
    <row r="2410" ht="15" customHeight="1">
      <c r="A2410" t="inlineStr">
        <is>
          <t>A 33414-2022</t>
        </is>
      </c>
      <c r="B2410" s="1" t="n">
        <v>44788.60025462963</v>
      </c>
      <c r="C2410" s="1" t="n">
        <v>45911</v>
      </c>
      <c r="D2410" t="inlineStr">
        <is>
          <t>GÄVLEBORGS LÄN</t>
        </is>
      </c>
      <c r="E2410" t="inlineStr">
        <is>
          <t>NORDANSTIG</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57253-2023</t>
        </is>
      </c>
      <c r="B2411" s="1" t="n">
        <v>45245</v>
      </c>
      <c r="C2411" s="1" t="n">
        <v>45911</v>
      </c>
      <c r="D2411" t="inlineStr">
        <is>
          <t>GÄVLEBORGS LÄN</t>
        </is>
      </c>
      <c r="E2411" t="inlineStr">
        <is>
          <t>NORDANSTIG</t>
        </is>
      </c>
      <c r="F2411" t="inlineStr">
        <is>
          <t>Holmen skog AB</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23119-2025</t>
        </is>
      </c>
      <c r="B2412" s="1" t="n">
        <v>45791</v>
      </c>
      <c r="C2412" s="1" t="n">
        <v>45911</v>
      </c>
      <c r="D2412" t="inlineStr">
        <is>
          <t>GÄVLEBORGS LÄN</t>
        </is>
      </c>
      <c r="E2412" t="inlineStr">
        <is>
          <t>NORDANSTIG</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36710-2023</t>
        </is>
      </c>
      <c r="B2413" s="1" t="n">
        <v>45153.65484953704</v>
      </c>
      <c r="C2413" s="1" t="n">
        <v>45911</v>
      </c>
      <c r="D2413" t="inlineStr">
        <is>
          <t>GÄVLEBORGS LÄN</t>
        </is>
      </c>
      <c r="E2413" t="inlineStr">
        <is>
          <t>BOLLNÄS</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23304-2025</t>
        </is>
      </c>
      <c r="B2414" s="1" t="n">
        <v>45791.60046296296</v>
      </c>
      <c r="C2414" s="1" t="n">
        <v>45911</v>
      </c>
      <c r="D2414" t="inlineStr">
        <is>
          <t>GÄVLEBORGS LÄN</t>
        </is>
      </c>
      <c r="E2414" t="inlineStr">
        <is>
          <t>GÄVLE</t>
        </is>
      </c>
      <c r="F2414" t="inlineStr">
        <is>
          <t>Bergvik skog väst AB</t>
        </is>
      </c>
      <c r="G2414" t="n">
        <v>4.5</v>
      </c>
      <c r="H2414" t="n">
        <v>0</v>
      </c>
      <c r="I2414" t="n">
        <v>0</v>
      </c>
      <c r="J2414" t="n">
        <v>0</v>
      </c>
      <c r="K2414" t="n">
        <v>0</v>
      </c>
      <c r="L2414" t="n">
        <v>0</v>
      </c>
      <c r="M2414" t="n">
        <v>0</v>
      </c>
      <c r="N2414" t="n">
        <v>0</v>
      </c>
      <c r="O2414" t="n">
        <v>0</v>
      </c>
      <c r="P2414" t="n">
        <v>0</v>
      </c>
      <c r="Q2414" t="n">
        <v>0</v>
      </c>
      <c r="R2414" s="2" t="inlineStr"/>
    </row>
    <row r="2415" ht="15" customHeight="1">
      <c r="A2415" t="inlineStr">
        <is>
          <t>A 23307-2025</t>
        </is>
      </c>
      <c r="B2415" s="1" t="n">
        <v>45791.60163194445</v>
      </c>
      <c r="C2415" s="1" t="n">
        <v>45911</v>
      </c>
      <c r="D2415" t="inlineStr">
        <is>
          <t>GÄVLEBORGS LÄN</t>
        </is>
      </c>
      <c r="E2415" t="inlineStr">
        <is>
          <t>SÖDERHAMN</t>
        </is>
      </c>
      <c r="F2415" t="inlineStr">
        <is>
          <t>Bergvik skog väst AB</t>
        </is>
      </c>
      <c r="G2415" t="n">
        <v>13.5</v>
      </c>
      <c r="H2415" t="n">
        <v>0</v>
      </c>
      <c r="I2415" t="n">
        <v>0</v>
      </c>
      <c r="J2415" t="n">
        <v>0</v>
      </c>
      <c r="K2415" t="n">
        <v>0</v>
      </c>
      <c r="L2415" t="n">
        <v>0</v>
      </c>
      <c r="M2415" t="n">
        <v>0</v>
      </c>
      <c r="N2415" t="n">
        <v>0</v>
      </c>
      <c r="O2415" t="n">
        <v>0</v>
      </c>
      <c r="P2415" t="n">
        <v>0</v>
      </c>
      <c r="Q2415" t="n">
        <v>0</v>
      </c>
      <c r="R2415" s="2" t="inlineStr"/>
    </row>
    <row r="2416" ht="15" customHeight="1">
      <c r="A2416" t="inlineStr">
        <is>
          <t>A 23220-2025</t>
        </is>
      </c>
      <c r="B2416" s="1" t="n">
        <v>45791.48085648148</v>
      </c>
      <c r="C2416" s="1" t="n">
        <v>45911</v>
      </c>
      <c r="D2416" t="inlineStr">
        <is>
          <t>GÄVLEBORGS LÄN</t>
        </is>
      </c>
      <c r="E2416" t="inlineStr">
        <is>
          <t>OVANÅKER</t>
        </is>
      </c>
      <c r="F2416" t="inlineStr">
        <is>
          <t>Bergvik skog väst AB</t>
        </is>
      </c>
      <c r="G2416" t="n">
        <v>18.6</v>
      </c>
      <c r="H2416" t="n">
        <v>0</v>
      </c>
      <c r="I2416" t="n">
        <v>0</v>
      </c>
      <c r="J2416" t="n">
        <v>0</v>
      </c>
      <c r="K2416" t="n">
        <v>0</v>
      </c>
      <c r="L2416" t="n">
        <v>0</v>
      </c>
      <c r="M2416" t="n">
        <v>0</v>
      </c>
      <c r="N2416" t="n">
        <v>0</v>
      </c>
      <c r="O2416" t="n">
        <v>0</v>
      </c>
      <c r="P2416" t="n">
        <v>0</v>
      </c>
      <c r="Q2416" t="n">
        <v>0</v>
      </c>
      <c r="R2416" s="2" t="inlineStr"/>
    </row>
    <row r="2417" ht="15" customHeight="1">
      <c r="A2417" t="inlineStr">
        <is>
          <t>A 23079-2025</t>
        </is>
      </c>
      <c r="B2417" s="1" t="n">
        <v>45791.29498842593</v>
      </c>
      <c r="C2417" s="1" t="n">
        <v>45911</v>
      </c>
      <c r="D2417" t="inlineStr">
        <is>
          <t>GÄVLEBORGS LÄN</t>
        </is>
      </c>
      <c r="E2417" t="inlineStr">
        <is>
          <t>LJUSDAL</t>
        </is>
      </c>
      <c r="F2417" t="inlineStr">
        <is>
          <t>Bergvik skog väst AB</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56958-2022</t>
        </is>
      </c>
      <c r="B2418" s="1" t="n">
        <v>44894.66045138889</v>
      </c>
      <c r="C2418" s="1" t="n">
        <v>45911</v>
      </c>
      <c r="D2418" t="inlineStr">
        <is>
          <t>GÄVLEBORGS LÄN</t>
        </is>
      </c>
      <c r="E2418" t="inlineStr">
        <is>
          <t>SANDVIKEN</t>
        </is>
      </c>
      <c r="G2418" t="n">
        <v>5.7</v>
      </c>
      <c r="H2418" t="n">
        <v>0</v>
      </c>
      <c r="I2418" t="n">
        <v>0</v>
      </c>
      <c r="J2418" t="n">
        <v>0</v>
      </c>
      <c r="K2418" t="n">
        <v>0</v>
      </c>
      <c r="L2418" t="n">
        <v>0</v>
      </c>
      <c r="M2418" t="n">
        <v>0</v>
      </c>
      <c r="N2418" t="n">
        <v>0</v>
      </c>
      <c r="O2418" t="n">
        <v>0</v>
      </c>
      <c r="P2418" t="n">
        <v>0</v>
      </c>
      <c r="Q2418" t="n">
        <v>0</v>
      </c>
      <c r="R2418" s="2" t="inlineStr"/>
    </row>
    <row r="2419" ht="15" customHeight="1">
      <c r="A2419" t="inlineStr">
        <is>
          <t>A 20748-2025</t>
        </is>
      </c>
      <c r="B2419" s="1" t="n">
        <v>45776.56247685185</v>
      </c>
      <c r="C2419" s="1" t="n">
        <v>45911</v>
      </c>
      <c r="D2419" t="inlineStr">
        <is>
          <t>GÄVLEBORGS LÄN</t>
        </is>
      </c>
      <c r="E2419" t="inlineStr">
        <is>
          <t>SÖDERHAMN</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56894-2023</t>
        </is>
      </c>
      <c r="B2420" s="1" t="n">
        <v>45244.56226851852</v>
      </c>
      <c r="C2420" s="1" t="n">
        <v>45911</v>
      </c>
      <c r="D2420" t="inlineStr">
        <is>
          <t>GÄVLEBORGS LÄN</t>
        </is>
      </c>
      <c r="E2420" t="inlineStr">
        <is>
          <t>HUDIKSVALL</t>
        </is>
      </c>
      <c r="F2420" t="inlineStr">
        <is>
          <t>Holmen skog AB</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19851-2024</t>
        </is>
      </c>
      <c r="B2421" s="1" t="n">
        <v>45433.39725694444</v>
      </c>
      <c r="C2421" s="1" t="n">
        <v>45911</v>
      </c>
      <c r="D2421" t="inlineStr">
        <is>
          <t>GÄVLEBORGS LÄN</t>
        </is>
      </c>
      <c r="E2421" t="inlineStr">
        <is>
          <t>SÖDERHAMN</t>
        </is>
      </c>
      <c r="G2421" t="n">
        <v>4.8</v>
      </c>
      <c r="H2421" t="n">
        <v>0</v>
      </c>
      <c r="I2421" t="n">
        <v>0</v>
      </c>
      <c r="J2421" t="n">
        <v>0</v>
      </c>
      <c r="K2421" t="n">
        <v>0</v>
      </c>
      <c r="L2421" t="n">
        <v>0</v>
      </c>
      <c r="M2421" t="n">
        <v>0</v>
      </c>
      <c r="N2421" t="n">
        <v>0</v>
      </c>
      <c r="O2421" t="n">
        <v>0</v>
      </c>
      <c r="P2421" t="n">
        <v>0</v>
      </c>
      <c r="Q2421" t="n">
        <v>0</v>
      </c>
      <c r="R2421" s="2" t="inlineStr"/>
    </row>
    <row r="2422" ht="15" customHeight="1">
      <c r="A2422" t="inlineStr">
        <is>
          <t>A 21039-2024</t>
        </is>
      </c>
      <c r="B2422" s="1" t="n">
        <v>45439</v>
      </c>
      <c r="C2422" s="1" t="n">
        <v>45911</v>
      </c>
      <c r="D2422" t="inlineStr">
        <is>
          <t>GÄVLEBORGS LÄN</t>
        </is>
      </c>
      <c r="E2422" t="inlineStr">
        <is>
          <t>HOFORS</t>
        </is>
      </c>
      <c r="F2422" t="inlineStr">
        <is>
          <t>Sveaskog</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49607-2022</t>
        </is>
      </c>
      <c r="B2423" s="1" t="n">
        <v>44862.41356481481</v>
      </c>
      <c r="C2423" s="1" t="n">
        <v>45911</v>
      </c>
      <c r="D2423" t="inlineStr">
        <is>
          <t>GÄVLEBORGS LÄN</t>
        </is>
      </c>
      <c r="E2423" t="inlineStr">
        <is>
          <t>NORDANSTIG</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31725-2023</t>
        </is>
      </c>
      <c r="B2424" s="1" t="n">
        <v>45117.92003472222</v>
      </c>
      <c r="C2424" s="1" t="n">
        <v>45911</v>
      </c>
      <c r="D2424" t="inlineStr">
        <is>
          <t>GÄVLEBORGS LÄN</t>
        </is>
      </c>
      <c r="E2424" t="inlineStr">
        <is>
          <t>OVANÅKER</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25465-2024</t>
        </is>
      </c>
      <c r="B2425" s="1" t="n">
        <v>45463.43416666667</v>
      </c>
      <c r="C2425" s="1" t="n">
        <v>45911</v>
      </c>
      <c r="D2425" t="inlineStr">
        <is>
          <t>GÄVLEBORGS LÄN</t>
        </is>
      </c>
      <c r="E2425" t="inlineStr">
        <is>
          <t>HOFORS</t>
        </is>
      </c>
      <c r="F2425" t="inlineStr">
        <is>
          <t>Sveaskog</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25476-2024</t>
        </is>
      </c>
      <c r="B2426" s="1" t="n">
        <v>45463.44922453703</v>
      </c>
      <c r="C2426" s="1" t="n">
        <v>45911</v>
      </c>
      <c r="D2426" t="inlineStr">
        <is>
          <t>GÄVLEBORGS LÄN</t>
        </is>
      </c>
      <c r="E2426" t="inlineStr">
        <is>
          <t>HOFORS</t>
        </is>
      </c>
      <c r="F2426" t="inlineStr">
        <is>
          <t>Sveaskog</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23072-2025</t>
        </is>
      </c>
      <c r="B2427" s="1" t="n">
        <v>45790.89</v>
      </c>
      <c r="C2427" s="1" t="n">
        <v>45911</v>
      </c>
      <c r="D2427" t="inlineStr">
        <is>
          <t>GÄVLEBORGS LÄN</t>
        </is>
      </c>
      <c r="E2427" t="inlineStr">
        <is>
          <t>NORDANSTIG</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23291-2025</t>
        </is>
      </c>
      <c r="B2428" s="1" t="n">
        <v>45791.58666666667</v>
      </c>
      <c r="C2428" s="1" t="n">
        <v>45911</v>
      </c>
      <c r="D2428" t="inlineStr">
        <is>
          <t>GÄVLEBORGS LÄN</t>
        </is>
      </c>
      <c r="E2428" t="inlineStr">
        <is>
          <t>GÄVLE</t>
        </is>
      </c>
      <c r="F2428" t="inlineStr">
        <is>
          <t>Bergvik skog väst AB</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23416-2025</t>
        </is>
      </c>
      <c r="B2429" s="1" t="n">
        <v>45792.34644675926</v>
      </c>
      <c r="C2429" s="1" t="n">
        <v>45911</v>
      </c>
      <c r="D2429" t="inlineStr">
        <is>
          <t>GÄVLEBORGS LÄN</t>
        </is>
      </c>
      <c r="E2429" t="inlineStr">
        <is>
          <t>OVANÅKER</t>
        </is>
      </c>
      <c r="F2429" t="inlineStr">
        <is>
          <t>Bergvik skog väst AB</t>
        </is>
      </c>
      <c r="G2429" t="n">
        <v>4.4</v>
      </c>
      <c r="H2429" t="n">
        <v>0</v>
      </c>
      <c r="I2429" t="n">
        <v>0</v>
      </c>
      <c r="J2429" t="n">
        <v>0</v>
      </c>
      <c r="K2429" t="n">
        <v>0</v>
      </c>
      <c r="L2429" t="n">
        <v>0</v>
      </c>
      <c r="M2429" t="n">
        <v>0</v>
      </c>
      <c r="N2429" t="n">
        <v>0</v>
      </c>
      <c r="O2429" t="n">
        <v>0</v>
      </c>
      <c r="P2429" t="n">
        <v>0</v>
      </c>
      <c r="Q2429" t="n">
        <v>0</v>
      </c>
      <c r="R2429" s="2" t="inlineStr"/>
    </row>
    <row r="2430" ht="15" customHeight="1">
      <c r="A2430" t="inlineStr">
        <is>
          <t>A 23419-2025</t>
        </is>
      </c>
      <c r="B2430" s="1" t="n">
        <v>45792.35172453704</v>
      </c>
      <c r="C2430" s="1" t="n">
        <v>45911</v>
      </c>
      <c r="D2430" t="inlineStr">
        <is>
          <t>GÄVLEBORGS LÄN</t>
        </is>
      </c>
      <c r="E2430" t="inlineStr">
        <is>
          <t>BOLLNÄS</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23424-2025</t>
        </is>
      </c>
      <c r="B2431" s="1" t="n">
        <v>45792.35974537037</v>
      </c>
      <c r="C2431" s="1" t="n">
        <v>45911</v>
      </c>
      <c r="D2431" t="inlineStr">
        <is>
          <t>GÄVLEBORGS LÄN</t>
        </is>
      </c>
      <c r="E2431" t="inlineStr">
        <is>
          <t>OVANÅKER</t>
        </is>
      </c>
      <c r="F2431" t="inlineStr">
        <is>
          <t>Bergvik skog väst AB</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23434-2025</t>
        </is>
      </c>
      <c r="B2432" s="1" t="n">
        <v>45792.36770833333</v>
      </c>
      <c r="C2432" s="1" t="n">
        <v>45911</v>
      </c>
      <c r="D2432" t="inlineStr">
        <is>
          <t>GÄVLEBORGS LÄN</t>
        </is>
      </c>
      <c r="E2432" t="inlineStr">
        <is>
          <t>OVANÅKER</t>
        </is>
      </c>
      <c r="F2432" t="inlineStr">
        <is>
          <t>Bergvik skog väst AB</t>
        </is>
      </c>
      <c r="G2432" t="n">
        <v>14.6</v>
      </c>
      <c r="H2432" t="n">
        <v>0</v>
      </c>
      <c r="I2432" t="n">
        <v>0</v>
      </c>
      <c r="J2432" t="n">
        <v>0</v>
      </c>
      <c r="K2432" t="n">
        <v>0</v>
      </c>
      <c r="L2432" t="n">
        <v>0</v>
      </c>
      <c r="M2432" t="n">
        <v>0</v>
      </c>
      <c r="N2432" t="n">
        <v>0</v>
      </c>
      <c r="O2432" t="n">
        <v>0</v>
      </c>
      <c r="P2432" t="n">
        <v>0</v>
      </c>
      <c r="Q2432" t="n">
        <v>0</v>
      </c>
      <c r="R2432" s="2" t="inlineStr"/>
    </row>
    <row r="2433" ht="15" customHeight="1">
      <c r="A2433" t="inlineStr">
        <is>
          <t>A 62596-2023</t>
        </is>
      </c>
      <c r="B2433" s="1" t="n">
        <v>45271</v>
      </c>
      <c r="C2433" s="1" t="n">
        <v>45911</v>
      </c>
      <c r="D2433" t="inlineStr">
        <is>
          <t>GÄVLEBORGS LÄN</t>
        </is>
      </c>
      <c r="E2433" t="inlineStr">
        <is>
          <t>HOFORS</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3472-2022</t>
        </is>
      </c>
      <c r="B2434" s="1" t="n">
        <v>44585.59899305556</v>
      </c>
      <c r="C2434" s="1" t="n">
        <v>45911</v>
      </c>
      <c r="D2434" t="inlineStr">
        <is>
          <t>GÄVLEBORGS LÄN</t>
        </is>
      </c>
      <c r="E2434" t="inlineStr">
        <is>
          <t>GÄVLE</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46007-2024</t>
        </is>
      </c>
      <c r="B2435" s="1" t="n">
        <v>45580</v>
      </c>
      <c r="C2435" s="1" t="n">
        <v>45911</v>
      </c>
      <c r="D2435" t="inlineStr">
        <is>
          <t>GÄVLEBORGS LÄN</t>
        </is>
      </c>
      <c r="E2435" t="inlineStr">
        <is>
          <t>SÖDERHAMN</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46036-2024</t>
        </is>
      </c>
      <c r="B2436" s="1" t="n">
        <v>45580.72539351852</v>
      </c>
      <c r="C2436" s="1" t="n">
        <v>45911</v>
      </c>
      <c r="D2436" t="inlineStr">
        <is>
          <t>GÄVLEBORGS LÄN</t>
        </is>
      </c>
      <c r="E2436" t="inlineStr">
        <is>
          <t>OVANÅKER</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35440-2023</t>
        </is>
      </c>
      <c r="B2437" s="1" t="n">
        <v>45146.63849537037</v>
      </c>
      <c r="C2437" s="1" t="n">
        <v>45911</v>
      </c>
      <c r="D2437" t="inlineStr">
        <is>
          <t>GÄVLEBORGS LÄN</t>
        </is>
      </c>
      <c r="E2437" t="inlineStr">
        <is>
          <t>GÄVLE</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32260-2023</t>
        </is>
      </c>
      <c r="B2438" s="1" t="n">
        <v>45120.30417824074</v>
      </c>
      <c r="C2438" s="1" t="n">
        <v>45911</v>
      </c>
      <c r="D2438" t="inlineStr">
        <is>
          <t>GÄVLEBORGS LÄN</t>
        </is>
      </c>
      <c r="E2438" t="inlineStr">
        <is>
          <t>SANDVIKEN</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34451-2024</t>
        </is>
      </c>
      <c r="B2439" s="1" t="n">
        <v>45525.55493055555</v>
      </c>
      <c r="C2439" s="1" t="n">
        <v>45911</v>
      </c>
      <c r="D2439" t="inlineStr">
        <is>
          <t>GÄVLEBORGS LÄN</t>
        </is>
      </c>
      <c r="E2439" t="inlineStr">
        <is>
          <t>OVANÅKER</t>
        </is>
      </c>
      <c r="F2439" t="inlineStr">
        <is>
          <t>Bergvik skog öst AB</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23223-2025</t>
        </is>
      </c>
      <c r="B2440" s="1" t="n">
        <v>45791.4846875</v>
      </c>
      <c r="C2440" s="1" t="n">
        <v>45911</v>
      </c>
      <c r="D2440" t="inlineStr">
        <is>
          <t>GÄVLEBORGS LÄN</t>
        </is>
      </c>
      <c r="E2440" t="inlineStr">
        <is>
          <t>OVANÅKER</t>
        </is>
      </c>
      <c r="F2440" t="inlineStr">
        <is>
          <t>Bergvik skog väst AB</t>
        </is>
      </c>
      <c r="G2440" t="n">
        <v>11.1</v>
      </c>
      <c r="H2440" t="n">
        <v>0</v>
      </c>
      <c r="I2440" t="n">
        <v>0</v>
      </c>
      <c r="J2440" t="n">
        <v>0</v>
      </c>
      <c r="K2440" t="n">
        <v>0</v>
      </c>
      <c r="L2440" t="n">
        <v>0</v>
      </c>
      <c r="M2440" t="n">
        <v>0</v>
      </c>
      <c r="N2440" t="n">
        <v>0</v>
      </c>
      <c r="O2440" t="n">
        <v>0</v>
      </c>
      <c r="P2440" t="n">
        <v>0</v>
      </c>
      <c r="Q2440" t="n">
        <v>0</v>
      </c>
      <c r="R2440" s="2" t="inlineStr"/>
    </row>
    <row r="2441" ht="15" customHeight="1">
      <c r="A2441" t="inlineStr">
        <is>
          <t>A 59734-2020</t>
        </is>
      </c>
      <c r="B2441" s="1" t="n">
        <v>44151</v>
      </c>
      <c r="C2441" s="1" t="n">
        <v>45911</v>
      </c>
      <c r="D2441" t="inlineStr">
        <is>
          <t>GÄVLEBORGS LÄN</t>
        </is>
      </c>
      <c r="E2441" t="inlineStr">
        <is>
          <t>BOLLNÄS</t>
        </is>
      </c>
      <c r="G2441" t="n">
        <v>7.4</v>
      </c>
      <c r="H2441" t="n">
        <v>0</v>
      </c>
      <c r="I2441" t="n">
        <v>0</v>
      </c>
      <c r="J2441" t="n">
        <v>0</v>
      </c>
      <c r="K2441" t="n">
        <v>0</v>
      </c>
      <c r="L2441" t="n">
        <v>0</v>
      </c>
      <c r="M2441" t="n">
        <v>0</v>
      </c>
      <c r="N2441" t="n">
        <v>0</v>
      </c>
      <c r="O2441" t="n">
        <v>0</v>
      </c>
      <c r="P2441" t="n">
        <v>0</v>
      </c>
      <c r="Q2441" t="n">
        <v>0</v>
      </c>
      <c r="R2441" s="2" t="inlineStr"/>
    </row>
    <row r="2442" ht="15" customHeight="1">
      <c r="A2442" t="inlineStr">
        <is>
          <t>A 23135-2025</t>
        </is>
      </c>
      <c r="B2442" s="1" t="n">
        <v>45791.38993055555</v>
      </c>
      <c r="C2442" s="1" t="n">
        <v>45911</v>
      </c>
      <c r="D2442" t="inlineStr">
        <is>
          <t>GÄVLEBORGS LÄN</t>
        </is>
      </c>
      <c r="E2442" t="inlineStr">
        <is>
          <t>OVANÅKER</t>
        </is>
      </c>
      <c r="F2442" t="inlineStr">
        <is>
          <t>Bergvik skog väst AB</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50161-2024</t>
        </is>
      </c>
      <c r="B2443" s="1" t="n">
        <v>45600</v>
      </c>
      <c r="C2443" s="1" t="n">
        <v>45911</v>
      </c>
      <c r="D2443" t="inlineStr">
        <is>
          <t>GÄVLEBORGS LÄN</t>
        </is>
      </c>
      <c r="E2443" t="inlineStr">
        <is>
          <t>HUDIKSVALL</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23232-2025</t>
        </is>
      </c>
      <c r="B2444" s="1" t="n">
        <v>45791.49224537037</v>
      </c>
      <c r="C2444" s="1" t="n">
        <v>45911</v>
      </c>
      <c r="D2444" t="inlineStr">
        <is>
          <t>GÄVLEBORGS LÄN</t>
        </is>
      </c>
      <c r="E2444" t="inlineStr">
        <is>
          <t>GÄVLE</t>
        </is>
      </c>
      <c r="G2444" t="n">
        <v>10</v>
      </c>
      <c r="H2444" t="n">
        <v>0</v>
      </c>
      <c r="I2444" t="n">
        <v>0</v>
      </c>
      <c r="J2444" t="n">
        <v>0</v>
      </c>
      <c r="K2444" t="n">
        <v>0</v>
      </c>
      <c r="L2444" t="n">
        <v>0</v>
      </c>
      <c r="M2444" t="n">
        <v>0</v>
      </c>
      <c r="N2444" t="n">
        <v>0</v>
      </c>
      <c r="O2444" t="n">
        <v>0</v>
      </c>
      <c r="P2444" t="n">
        <v>0</v>
      </c>
      <c r="Q2444" t="n">
        <v>0</v>
      </c>
      <c r="R2444" s="2" t="inlineStr"/>
    </row>
    <row r="2445" ht="15" customHeight="1">
      <c r="A2445" t="inlineStr">
        <is>
          <t>A 31866-2023</t>
        </is>
      </c>
      <c r="B2445" s="1" t="n">
        <v>45106</v>
      </c>
      <c r="C2445" s="1" t="n">
        <v>45911</v>
      </c>
      <c r="D2445" t="inlineStr">
        <is>
          <t>GÄVLEBORGS LÄN</t>
        </is>
      </c>
      <c r="E2445" t="inlineStr">
        <is>
          <t>GÄVLE</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34873-2024</t>
        </is>
      </c>
      <c r="B2446" s="1" t="n">
        <v>45527</v>
      </c>
      <c r="C2446" s="1" t="n">
        <v>45911</v>
      </c>
      <c r="D2446" t="inlineStr">
        <is>
          <t>GÄVLEBORGS LÄN</t>
        </is>
      </c>
      <c r="E2446" t="inlineStr">
        <is>
          <t>HUDIKSVALL</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23242-2025</t>
        </is>
      </c>
      <c r="B2447" s="1" t="n">
        <v>45791.50158564815</v>
      </c>
      <c r="C2447" s="1" t="n">
        <v>45911</v>
      </c>
      <c r="D2447" t="inlineStr">
        <is>
          <t>GÄVLEBORGS LÄN</t>
        </is>
      </c>
      <c r="E2447" t="inlineStr">
        <is>
          <t>OVANÅKER</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23571-2025</t>
        </is>
      </c>
      <c r="B2448" s="1" t="n">
        <v>45792.61167824074</v>
      </c>
      <c r="C2448" s="1" t="n">
        <v>45911</v>
      </c>
      <c r="D2448" t="inlineStr">
        <is>
          <t>GÄVLEBORGS LÄN</t>
        </is>
      </c>
      <c r="E2448" t="inlineStr">
        <is>
          <t>LJUSDAL</t>
        </is>
      </c>
      <c r="F2448" t="inlineStr">
        <is>
          <t>Sveaskog</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23572-2025</t>
        </is>
      </c>
      <c r="B2449" s="1" t="n">
        <v>45792.61178240741</v>
      </c>
      <c r="C2449" s="1" t="n">
        <v>45911</v>
      </c>
      <c r="D2449" t="inlineStr">
        <is>
          <t>GÄVLEBORGS LÄN</t>
        </is>
      </c>
      <c r="E2449" t="inlineStr">
        <is>
          <t>GÄVLE</t>
        </is>
      </c>
      <c r="F2449" t="inlineStr">
        <is>
          <t>Bergvik skog väst AB</t>
        </is>
      </c>
      <c r="G2449" t="n">
        <v>3.8</v>
      </c>
      <c r="H2449" t="n">
        <v>0</v>
      </c>
      <c r="I2449" t="n">
        <v>0</v>
      </c>
      <c r="J2449" t="n">
        <v>0</v>
      </c>
      <c r="K2449" t="n">
        <v>0</v>
      </c>
      <c r="L2449" t="n">
        <v>0</v>
      </c>
      <c r="M2449" t="n">
        <v>0</v>
      </c>
      <c r="N2449" t="n">
        <v>0</v>
      </c>
      <c r="O2449" t="n">
        <v>0</v>
      </c>
      <c r="P2449" t="n">
        <v>0</v>
      </c>
      <c r="Q2449" t="n">
        <v>0</v>
      </c>
      <c r="R2449" s="2" t="inlineStr"/>
    </row>
    <row r="2450" ht="15" customHeight="1">
      <c r="A2450" t="inlineStr">
        <is>
          <t>A 20208-2025</t>
        </is>
      </c>
      <c r="B2450" s="1" t="n">
        <v>45772.61755787037</v>
      </c>
      <c r="C2450" s="1" t="n">
        <v>45911</v>
      </c>
      <c r="D2450" t="inlineStr">
        <is>
          <t>GÄVLEBORGS LÄN</t>
        </is>
      </c>
      <c r="E2450" t="inlineStr">
        <is>
          <t>HUDIKSVALL</t>
        </is>
      </c>
      <c r="G2450" t="n">
        <v>10.1</v>
      </c>
      <c r="H2450" t="n">
        <v>0</v>
      </c>
      <c r="I2450" t="n">
        <v>0</v>
      </c>
      <c r="J2450" t="n">
        <v>0</v>
      </c>
      <c r="K2450" t="n">
        <v>0</v>
      </c>
      <c r="L2450" t="n">
        <v>0</v>
      </c>
      <c r="M2450" t="n">
        <v>0</v>
      </c>
      <c r="N2450" t="n">
        <v>0</v>
      </c>
      <c r="O2450" t="n">
        <v>0</v>
      </c>
      <c r="P2450" t="n">
        <v>0</v>
      </c>
      <c r="Q2450" t="n">
        <v>0</v>
      </c>
      <c r="R2450" s="2" t="inlineStr"/>
    </row>
    <row r="2451" ht="15" customHeight="1">
      <c r="A2451" t="inlineStr">
        <is>
          <t>A 23914-2025</t>
        </is>
      </c>
      <c r="B2451" s="1" t="n">
        <v>45795.34452546296</v>
      </c>
      <c r="C2451" s="1" t="n">
        <v>45911</v>
      </c>
      <c r="D2451" t="inlineStr">
        <is>
          <t>GÄVLEBORGS LÄN</t>
        </is>
      </c>
      <c r="E2451" t="inlineStr">
        <is>
          <t>LJUSDAL</t>
        </is>
      </c>
      <c r="F2451" t="inlineStr">
        <is>
          <t>SCA</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42067-2023</t>
        </is>
      </c>
      <c r="B2452" s="1" t="n">
        <v>45177.57534722222</v>
      </c>
      <c r="C2452" s="1" t="n">
        <v>45911</v>
      </c>
      <c r="D2452" t="inlineStr">
        <is>
          <t>GÄVLEBORGS LÄN</t>
        </is>
      </c>
      <c r="E2452" t="inlineStr">
        <is>
          <t>OVANÅKER</t>
        </is>
      </c>
      <c r="G2452" t="n">
        <v>5.8</v>
      </c>
      <c r="H2452" t="n">
        <v>0</v>
      </c>
      <c r="I2452" t="n">
        <v>0</v>
      </c>
      <c r="J2452" t="n">
        <v>0</v>
      </c>
      <c r="K2452" t="n">
        <v>0</v>
      </c>
      <c r="L2452" t="n">
        <v>0</v>
      </c>
      <c r="M2452" t="n">
        <v>0</v>
      </c>
      <c r="N2452" t="n">
        <v>0</v>
      </c>
      <c r="O2452" t="n">
        <v>0</v>
      </c>
      <c r="P2452" t="n">
        <v>0</v>
      </c>
      <c r="Q2452" t="n">
        <v>0</v>
      </c>
      <c r="R2452" s="2" t="inlineStr"/>
    </row>
    <row r="2453" ht="15" customHeight="1">
      <c r="A2453" t="inlineStr">
        <is>
          <t>A 46341-2024</t>
        </is>
      </c>
      <c r="B2453" s="1" t="n">
        <v>45582.31078703704</v>
      </c>
      <c r="C2453" s="1" t="n">
        <v>45911</v>
      </c>
      <c r="D2453" t="inlineStr">
        <is>
          <t>GÄVLEBORGS LÄN</t>
        </is>
      </c>
      <c r="E2453" t="inlineStr">
        <is>
          <t>HUDIKSVALL</t>
        </is>
      </c>
      <c r="F2453" t="inlineStr">
        <is>
          <t>Holmen skog AB</t>
        </is>
      </c>
      <c r="G2453" t="n">
        <v>11.8</v>
      </c>
      <c r="H2453" t="n">
        <v>0</v>
      </c>
      <c r="I2453" t="n">
        <v>0</v>
      </c>
      <c r="J2453" t="n">
        <v>0</v>
      </c>
      <c r="K2453" t="n">
        <v>0</v>
      </c>
      <c r="L2453" t="n">
        <v>0</v>
      </c>
      <c r="M2453" t="n">
        <v>0</v>
      </c>
      <c r="N2453" t="n">
        <v>0</v>
      </c>
      <c r="O2453" t="n">
        <v>0</v>
      </c>
      <c r="P2453" t="n">
        <v>0</v>
      </c>
      <c r="Q2453" t="n">
        <v>0</v>
      </c>
      <c r="R2453" s="2" t="inlineStr"/>
    </row>
    <row r="2454" ht="15" customHeight="1">
      <c r="A2454" t="inlineStr">
        <is>
          <t>A 42076-2023</t>
        </is>
      </c>
      <c r="B2454" s="1" t="n">
        <v>45177.59209490741</v>
      </c>
      <c r="C2454" s="1" t="n">
        <v>45911</v>
      </c>
      <c r="D2454" t="inlineStr">
        <is>
          <t>GÄVLEBORGS LÄN</t>
        </is>
      </c>
      <c r="E2454" t="inlineStr">
        <is>
          <t>OVANÅKER</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22226-2024</t>
        </is>
      </c>
      <c r="B2455" s="1" t="n">
        <v>45446.4203587963</v>
      </c>
      <c r="C2455" s="1" t="n">
        <v>45911</v>
      </c>
      <c r="D2455" t="inlineStr">
        <is>
          <t>GÄVLEBORGS LÄN</t>
        </is>
      </c>
      <c r="E2455" t="inlineStr">
        <is>
          <t>HOFORS</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46795-2024</t>
        </is>
      </c>
      <c r="B2456" s="1" t="n">
        <v>45583.54359953704</v>
      </c>
      <c r="C2456" s="1" t="n">
        <v>45911</v>
      </c>
      <c r="D2456" t="inlineStr">
        <is>
          <t>GÄVLEBORGS LÄN</t>
        </is>
      </c>
      <c r="E2456" t="inlineStr">
        <is>
          <t>BOLLNÄS</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34560-2023</t>
        </is>
      </c>
      <c r="B2457" s="1" t="n">
        <v>45140.51533564815</v>
      </c>
      <c r="C2457" s="1" t="n">
        <v>45911</v>
      </c>
      <c r="D2457" t="inlineStr">
        <is>
          <t>GÄVLEBORGS LÄN</t>
        </is>
      </c>
      <c r="E2457" t="inlineStr">
        <is>
          <t>NORDANSTIG</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3047-2022</t>
        </is>
      </c>
      <c r="B2458" s="1" t="n">
        <v>44581</v>
      </c>
      <c r="C2458" s="1" t="n">
        <v>45911</v>
      </c>
      <c r="D2458" t="inlineStr">
        <is>
          <t>GÄVLEBORGS LÄN</t>
        </is>
      </c>
      <c r="E2458" t="inlineStr">
        <is>
          <t>OVANÅKER</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36694-2024</t>
        </is>
      </c>
      <c r="B2459" s="1" t="n">
        <v>45537.67020833334</v>
      </c>
      <c r="C2459" s="1" t="n">
        <v>45911</v>
      </c>
      <c r="D2459" t="inlineStr">
        <is>
          <t>GÄVLEBORGS LÄN</t>
        </is>
      </c>
      <c r="E2459" t="inlineStr">
        <is>
          <t>NORDANSTIG</t>
        </is>
      </c>
      <c r="F2459" t="inlineStr">
        <is>
          <t>Holmen skog AB</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25187-2023</t>
        </is>
      </c>
      <c r="B2460" s="1" t="n">
        <v>45086.56450231482</v>
      </c>
      <c r="C2460" s="1" t="n">
        <v>45911</v>
      </c>
      <c r="D2460" t="inlineStr">
        <is>
          <t>GÄVLEBORGS LÄN</t>
        </is>
      </c>
      <c r="E2460" t="inlineStr">
        <is>
          <t>OVANÅKER</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19970-2024</t>
        </is>
      </c>
      <c r="B2461" s="1" t="n">
        <v>45433.75060185185</v>
      </c>
      <c r="C2461" s="1" t="n">
        <v>45911</v>
      </c>
      <c r="D2461" t="inlineStr">
        <is>
          <t>GÄVLEBORGS LÄN</t>
        </is>
      </c>
      <c r="E2461" t="inlineStr">
        <is>
          <t>BOLLNÄS</t>
        </is>
      </c>
      <c r="G2461" t="n">
        <v>3.4</v>
      </c>
      <c r="H2461" t="n">
        <v>0</v>
      </c>
      <c r="I2461" t="n">
        <v>0</v>
      </c>
      <c r="J2461" t="n">
        <v>0</v>
      </c>
      <c r="K2461" t="n">
        <v>0</v>
      </c>
      <c r="L2461" t="n">
        <v>0</v>
      </c>
      <c r="M2461" t="n">
        <v>0</v>
      </c>
      <c r="N2461" t="n">
        <v>0</v>
      </c>
      <c r="O2461" t="n">
        <v>0</v>
      </c>
      <c r="P2461" t="n">
        <v>0</v>
      </c>
      <c r="Q2461" t="n">
        <v>0</v>
      </c>
      <c r="R2461" s="2" t="inlineStr"/>
    </row>
    <row r="2462" ht="15" customHeight="1">
      <c r="A2462" t="inlineStr">
        <is>
          <t>A 11653-2024</t>
        </is>
      </c>
      <c r="B2462" s="1" t="n">
        <v>45373.53380787037</v>
      </c>
      <c r="C2462" s="1" t="n">
        <v>45911</v>
      </c>
      <c r="D2462" t="inlineStr">
        <is>
          <t>GÄVLEBORGS LÄN</t>
        </is>
      </c>
      <c r="E2462" t="inlineStr">
        <is>
          <t>SÖDERHAMN</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11684-2024</t>
        </is>
      </c>
      <c r="B2463" s="1" t="n">
        <v>45373.58568287037</v>
      </c>
      <c r="C2463" s="1" t="n">
        <v>45911</v>
      </c>
      <c r="D2463" t="inlineStr">
        <is>
          <t>GÄVLEBORGS LÄN</t>
        </is>
      </c>
      <c r="E2463" t="inlineStr">
        <is>
          <t>OVANÅKER</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19113-2024</t>
        </is>
      </c>
      <c r="B2464" s="1" t="n">
        <v>45428.37322916667</v>
      </c>
      <c r="C2464" s="1" t="n">
        <v>45911</v>
      </c>
      <c r="D2464" t="inlineStr">
        <is>
          <t>GÄVLEBORGS LÄN</t>
        </is>
      </c>
      <c r="E2464" t="inlineStr">
        <is>
          <t>SÖDERHAMN</t>
        </is>
      </c>
      <c r="F2464" t="inlineStr">
        <is>
          <t>Bergvik skog väst AB</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49941-2024</t>
        </is>
      </c>
      <c r="B2465" s="1" t="n">
        <v>45597.59409722222</v>
      </c>
      <c r="C2465" s="1" t="n">
        <v>45911</v>
      </c>
      <c r="D2465" t="inlineStr">
        <is>
          <t>GÄVLEBORGS LÄN</t>
        </is>
      </c>
      <c r="E2465" t="inlineStr">
        <is>
          <t>SÖDERHAMN</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23987-2025</t>
        </is>
      </c>
      <c r="B2466" s="1" t="n">
        <v>45796.39857638889</v>
      </c>
      <c r="C2466" s="1" t="n">
        <v>45911</v>
      </c>
      <c r="D2466" t="inlineStr">
        <is>
          <t>GÄVLEBORGS LÄN</t>
        </is>
      </c>
      <c r="E2466" t="inlineStr">
        <is>
          <t>GÄVLE</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23992-2025</t>
        </is>
      </c>
      <c r="B2467" s="1" t="n">
        <v>45796.40662037037</v>
      </c>
      <c r="C2467" s="1" t="n">
        <v>45911</v>
      </c>
      <c r="D2467" t="inlineStr">
        <is>
          <t>GÄVLEBORGS LÄN</t>
        </is>
      </c>
      <c r="E2467" t="inlineStr">
        <is>
          <t>BOLLNÄS</t>
        </is>
      </c>
      <c r="G2467" t="n">
        <v>3.3</v>
      </c>
      <c r="H2467" t="n">
        <v>0</v>
      </c>
      <c r="I2467" t="n">
        <v>0</v>
      </c>
      <c r="J2467" t="n">
        <v>0</v>
      </c>
      <c r="K2467" t="n">
        <v>0</v>
      </c>
      <c r="L2467" t="n">
        <v>0</v>
      </c>
      <c r="M2467" t="n">
        <v>0</v>
      </c>
      <c r="N2467" t="n">
        <v>0</v>
      </c>
      <c r="O2467" t="n">
        <v>0</v>
      </c>
      <c r="P2467" t="n">
        <v>0</v>
      </c>
      <c r="Q2467" t="n">
        <v>0</v>
      </c>
      <c r="R2467" s="2" t="inlineStr"/>
    </row>
    <row r="2468" ht="15" customHeight="1">
      <c r="A2468" t="inlineStr">
        <is>
          <t>A 23993-2025</t>
        </is>
      </c>
      <c r="B2468" s="1" t="n">
        <v>45796.40721064815</v>
      </c>
      <c r="C2468" s="1" t="n">
        <v>45911</v>
      </c>
      <c r="D2468" t="inlineStr">
        <is>
          <t>GÄVLEBORGS LÄN</t>
        </is>
      </c>
      <c r="E2468" t="inlineStr">
        <is>
          <t>NORDANSTIG</t>
        </is>
      </c>
      <c r="F2468" t="inlineStr">
        <is>
          <t>Holmen skog AB</t>
        </is>
      </c>
      <c r="G2468" t="n">
        <v>41.3</v>
      </c>
      <c r="H2468" t="n">
        <v>0</v>
      </c>
      <c r="I2468" t="n">
        <v>0</v>
      </c>
      <c r="J2468" t="n">
        <v>0</v>
      </c>
      <c r="K2468" t="n">
        <v>0</v>
      </c>
      <c r="L2468" t="n">
        <v>0</v>
      </c>
      <c r="M2468" t="n">
        <v>0</v>
      </c>
      <c r="N2468" t="n">
        <v>0</v>
      </c>
      <c r="O2468" t="n">
        <v>0</v>
      </c>
      <c r="P2468" t="n">
        <v>0</v>
      </c>
      <c r="Q2468" t="n">
        <v>0</v>
      </c>
      <c r="R2468" s="2" t="inlineStr"/>
    </row>
    <row r="2469" ht="15" customHeight="1">
      <c r="A2469" t="inlineStr">
        <is>
          <t>A 64924-2023</t>
        </is>
      </c>
      <c r="B2469" s="1" t="n">
        <v>45282</v>
      </c>
      <c r="C2469" s="1" t="n">
        <v>45911</v>
      </c>
      <c r="D2469" t="inlineStr">
        <is>
          <t>GÄVLEBORGS LÄN</t>
        </is>
      </c>
      <c r="E2469" t="inlineStr">
        <is>
          <t>OCKELBO</t>
        </is>
      </c>
      <c r="G2469" t="n">
        <v>6.8</v>
      </c>
      <c r="H2469" t="n">
        <v>0</v>
      </c>
      <c r="I2469" t="n">
        <v>0</v>
      </c>
      <c r="J2469" t="n">
        <v>0</v>
      </c>
      <c r="K2469" t="n">
        <v>0</v>
      </c>
      <c r="L2469" t="n">
        <v>0</v>
      </c>
      <c r="M2469" t="n">
        <v>0</v>
      </c>
      <c r="N2469" t="n">
        <v>0</v>
      </c>
      <c r="O2469" t="n">
        <v>0</v>
      </c>
      <c r="P2469" t="n">
        <v>0</v>
      </c>
      <c r="Q2469" t="n">
        <v>0</v>
      </c>
      <c r="R2469" s="2" t="inlineStr"/>
    </row>
    <row r="2470" ht="15" customHeight="1">
      <c r="A2470" t="inlineStr">
        <is>
          <t>A 17376-2024</t>
        </is>
      </c>
      <c r="B2470" s="1" t="n">
        <v>45414.639375</v>
      </c>
      <c r="C2470" s="1" t="n">
        <v>45911</v>
      </c>
      <c r="D2470" t="inlineStr">
        <is>
          <t>GÄVLEBORGS LÄN</t>
        </is>
      </c>
      <c r="E2470" t="inlineStr">
        <is>
          <t>BOLLNÄS</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23846-2025</t>
        </is>
      </c>
      <c r="B2471" s="1" t="n">
        <v>45793</v>
      </c>
      <c r="C2471" s="1" t="n">
        <v>45911</v>
      </c>
      <c r="D2471" t="inlineStr">
        <is>
          <t>GÄVLEBORGS LÄN</t>
        </is>
      </c>
      <c r="E2471" t="inlineStr">
        <is>
          <t>BOLLNÄS</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19177-2024</t>
        </is>
      </c>
      <c r="B2472" s="1" t="n">
        <v>45428.47560185185</v>
      </c>
      <c r="C2472" s="1" t="n">
        <v>45911</v>
      </c>
      <c r="D2472" t="inlineStr">
        <is>
          <t>GÄVLEBORGS LÄN</t>
        </is>
      </c>
      <c r="E2472" t="inlineStr">
        <is>
          <t>OVANÅKER</t>
        </is>
      </c>
      <c r="G2472" t="n">
        <v>0.1</v>
      </c>
      <c r="H2472" t="n">
        <v>0</v>
      </c>
      <c r="I2472" t="n">
        <v>0</v>
      </c>
      <c r="J2472" t="n">
        <v>0</v>
      </c>
      <c r="K2472" t="n">
        <v>0</v>
      </c>
      <c r="L2472" t="n">
        <v>0</v>
      </c>
      <c r="M2472" t="n">
        <v>0</v>
      </c>
      <c r="N2472" t="n">
        <v>0</v>
      </c>
      <c r="O2472" t="n">
        <v>0</v>
      </c>
      <c r="P2472" t="n">
        <v>0</v>
      </c>
      <c r="Q2472" t="n">
        <v>0</v>
      </c>
      <c r="R2472" s="2" t="inlineStr"/>
    </row>
    <row r="2473" ht="15" customHeight="1">
      <c r="A2473" t="inlineStr">
        <is>
          <t>A 10427-2025</t>
        </is>
      </c>
      <c r="B2473" s="1" t="n">
        <v>45720.65511574074</v>
      </c>
      <c r="C2473" s="1" t="n">
        <v>45911</v>
      </c>
      <c r="D2473" t="inlineStr">
        <is>
          <t>GÄVLEBORGS LÄN</t>
        </is>
      </c>
      <c r="E2473" t="inlineStr">
        <is>
          <t>HUDIKSVALL</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56641-2020</t>
        </is>
      </c>
      <c r="B2474" s="1" t="n">
        <v>44137</v>
      </c>
      <c r="C2474" s="1" t="n">
        <v>45911</v>
      </c>
      <c r="D2474" t="inlineStr">
        <is>
          <t>GÄVLEBORGS LÄN</t>
        </is>
      </c>
      <c r="E2474" t="inlineStr">
        <is>
          <t>BOLLNÄS</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28024-2024</t>
        </is>
      </c>
      <c r="B2475" s="1" t="n">
        <v>45476.48216435185</v>
      </c>
      <c r="C2475" s="1" t="n">
        <v>45911</v>
      </c>
      <c r="D2475" t="inlineStr">
        <is>
          <t>GÄVLEBORGS LÄN</t>
        </is>
      </c>
      <c r="E2475" t="inlineStr">
        <is>
          <t>LJUSDAL</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22227-2024</t>
        </is>
      </c>
      <c r="B2476" s="1" t="n">
        <v>45446.42173611111</v>
      </c>
      <c r="C2476" s="1" t="n">
        <v>45911</v>
      </c>
      <c r="D2476" t="inlineStr">
        <is>
          <t>GÄVLEBORGS LÄN</t>
        </is>
      </c>
      <c r="E2476" t="inlineStr">
        <is>
          <t>SÖDERHAMN</t>
        </is>
      </c>
      <c r="G2476" t="n">
        <v>8.9</v>
      </c>
      <c r="H2476" t="n">
        <v>0</v>
      </c>
      <c r="I2476" t="n">
        <v>0</v>
      </c>
      <c r="J2476" t="n">
        <v>0</v>
      </c>
      <c r="K2476" t="n">
        <v>0</v>
      </c>
      <c r="L2476" t="n">
        <v>0</v>
      </c>
      <c r="M2476" t="n">
        <v>0</v>
      </c>
      <c r="N2476" t="n">
        <v>0</v>
      </c>
      <c r="O2476" t="n">
        <v>0</v>
      </c>
      <c r="P2476" t="n">
        <v>0</v>
      </c>
      <c r="Q2476" t="n">
        <v>0</v>
      </c>
      <c r="R2476" s="2" t="inlineStr"/>
    </row>
    <row r="2477" ht="15" customHeight="1">
      <c r="A2477" t="inlineStr">
        <is>
          <t>A 22248-2024</t>
        </is>
      </c>
      <c r="B2477" s="1" t="n">
        <v>45446.45638888889</v>
      </c>
      <c r="C2477" s="1" t="n">
        <v>45911</v>
      </c>
      <c r="D2477" t="inlineStr">
        <is>
          <t>GÄVLEBORGS LÄN</t>
        </is>
      </c>
      <c r="E2477" t="inlineStr">
        <is>
          <t>LJUSDAL</t>
        </is>
      </c>
      <c r="G2477" t="n">
        <v>4.1</v>
      </c>
      <c r="H2477" t="n">
        <v>0</v>
      </c>
      <c r="I2477" t="n">
        <v>0</v>
      </c>
      <c r="J2477" t="n">
        <v>0</v>
      </c>
      <c r="K2477" t="n">
        <v>0</v>
      </c>
      <c r="L2477" t="n">
        <v>0</v>
      </c>
      <c r="M2477" t="n">
        <v>0</v>
      </c>
      <c r="N2477" t="n">
        <v>0</v>
      </c>
      <c r="O2477" t="n">
        <v>0</v>
      </c>
      <c r="P2477" t="n">
        <v>0</v>
      </c>
      <c r="Q2477" t="n">
        <v>0</v>
      </c>
      <c r="R2477" s="2" t="inlineStr"/>
    </row>
    <row r="2478" ht="15" customHeight="1">
      <c r="A2478" t="inlineStr">
        <is>
          <t>A 33880-2023</t>
        </is>
      </c>
      <c r="B2478" s="1" t="n">
        <v>45134</v>
      </c>
      <c r="C2478" s="1" t="n">
        <v>45911</v>
      </c>
      <c r="D2478" t="inlineStr">
        <is>
          <t>GÄVLEBORGS LÄN</t>
        </is>
      </c>
      <c r="E2478" t="inlineStr">
        <is>
          <t>OCKELBO</t>
        </is>
      </c>
      <c r="F2478" t="inlineStr">
        <is>
          <t>Bergvik skog väst AB</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23882-2025</t>
        </is>
      </c>
      <c r="B2479" s="1" t="n">
        <v>45793.71438657407</v>
      </c>
      <c r="C2479" s="1" t="n">
        <v>45911</v>
      </c>
      <c r="D2479" t="inlineStr">
        <is>
          <t>GÄVLEBORGS LÄN</t>
        </is>
      </c>
      <c r="E2479" t="inlineStr">
        <is>
          <t>BOLLNÄS</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24119-2025</t>
        </is>
      </c>
      <c r="B2480" s="1" t="n">
        <v>45796</v>
      </c>
      <c r="C2480" s="1" t="n">
        <v>45911</v>
      </c>
      <c r="D2480" t="inlineStr">
        <is>
          <t>GÄVLEBORGS LÄN</t>
        </is>
      </c>
      <c r="E2480" t="inlineStr">
        <is>
          <t>BOLLNÄS</t>
        </is>
      </c>
      <c r="G2480" t="n">
        <v>3.6</v>
      </c>
      <c r="H2480" t="n">
        <v>0</v>
      </c>
      <c r="I2480" t="n">
        <v>0</v>
      </c>
      <c r="J2480" t="n">
        <v>0</v>
      </c>
      <c r="K2480" t="n">
        <v>0</v>
      </c>
      <c r="L2480" t="n">
        <v>0</v>
      </c>
      <c r="M2480" t="n">
        <v>0</v>
      </c>
      <c r="N2480" t="n">
        <v>0</v>
      </c>
      <c r="O2480" t="n">
        <v>0</v>
      </c>
      <c r="P2480" t="n">
        <v>0</v>
      </c>
      <c r="Q2480" t="n">
        <v>0</v>
      </c>
      <c r="R2480" s="2" t="inlineStr"/>
    </row>
    <row r="2481" ht="15" customHeight="1">
      <c r="A2481" t="inlineStr">
        <is>
          <t>A 24146-2025</t>
        </is>
      </c>
      <c r="B2481" s="1" t="n">
        <v>45796.64568287037</v>
      </c>
      <c r="C2481" s="1" t="n">
        <v>45911</v>
      </c>
      <c r="D2481" t="inlineStr">
        <is>
          <t>GÄVLEBORGS LÄN</t>
        </is>
      </c>
      <c r="E2481" t="inlineStr">
        <is>
          <t>BOLLNÄS</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35364-2024</t>
        </is>
      </c>
      <c r="B2482" s="1" t="n">
        <v>45531.34303240741</v>
      </c>
      <c r="C2482" s="1" t="n">
        <v>45911</v>
      </c>
      <c r="D2482" t="inlineStr">
        <is>
          <t>GÄVLEBORGS LÄN</t>
        </is>
      </c>
      <c r="E2482" t="inlineStr">
        <is>
          <t>LJUSDAL</t>
        </is>
      </c>
      <c r="G2482" t="n">
        <v>5.1</v>
      </c>
      <c r="H2482" t="n">
        <v>0</v>
      </c>
      <c r="I2482" t="n">
        <v>0</v>
      </c>
      <c r="J2482" t="n">
        <v>0</v>
      </c>
      <c r="K2482" t="n">
        <v>0</v>
      </c>
      <c r="L2482" t="n">
        <v>0</v>
      </c>
      <c r="M2482" t="n">
        <v>0</v>
      </c>
      <c r="N2482" t="n">
        <v>0</v>
      </c>
      <c r="O2482" t="n">
        <v>0</v>
      </c>
      <c r="P2482" t="n">
        <v>0</v>
      </c>
      <c r="Q2482" t="n">
        <v>0</v>
      </c>
      <c r="R2482" s="2" t="inlineStr"/>
    </row>
    <row r="2483" ht="15" customHeight="1">
      <c r="A2483" t="inlineStr">
        <is>
          <t>A 37338-2024</t>
        </is>
      </c>
      <c r="B2483" s="1" t="n">
        <v>45540</v>
      </c>
      <c r="C2483" s="1" t="n">
        <v>45911</v>
      </c>
      <c r="D2483" t="inlineStr">
        <is>
          <t>GÄVLEBORGS LÄN</t>
        </is>
      </c>
      <c r="E2483" t="inlineStr">
        <is>
          <t>OVANÅKER</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38110-2024</t>
        </is>
      </c>
      <c r="B2484" s="1" t="n">
        <v>45545</v>
      </c>
      <c r="C2484" s="1" t="n">
        <v>45911</v>
      </c>
      <c r="D2484" t="inlineStr">
        <is>
          <t>GÄVLEBORGS LÄN</t>
        </is>
      </c>
      <c r="E2484" t="inlineStr">
        <is>
          <t>SÖDERHAMN</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38111-2024</t>
        </is>
      </c>
      <c r="B2485" s="1" t="n">
        <v>45545.38399305556</v>
      </c>
      <c r="C2485" s="1" t="n">
        <v>45911</v>
      </c>
      <c r="D2485" t="inlineStr">
        <is>
          <t>GÄVLEBORGS LÄN</t>
        </is>
      </c>
      <c r="E2485" t="inlineStr">
        <is>
          <t>SÖDERHAMN</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38142-2024</t>
        </is>
      </c>
      <c r="B2486" s="1" t="n">
        <v>45545.42521990741</v>
      </c>
      <c r="C2486" s="1" t="n">
        <v>45911</v>
      </c>
      <c r="D2486" t="inlineStr">
        <is>
          <t>GÄVLEBORGS LÄN</t>
        </is>
      </c>
      <c r="E2486" t="inlineStr">
        <is>
          <t>HUDIKSVALL</t>
        </is>
      </c>
      <c r="F2486" t="inlineStr">
        <is>
          <t>Holmen skog AB</t>
        </is>
      </c>
      <c r="G2486" t="n">
        <v>5</v>
      </c>
      <c r="H2486" t="n">
        <v>0</v>
      </c>
      <c r="I2486" t="n">
        <v>0</v>
      </c>
      <c r="J2486" t="n">
        <v>0</v>
      </c>
      <c r="K2486" t="n">
        <v>0</v>
      </c>
      <c r="L2486" t="n">
        <v>0</v>
      </c>
      <c r="M2486" t="n">
        <v>0</v>
      </c>
      <c r="N2486" t="n">
        <v>0</v>
      </c>
      <c r="O2486" t="n">
        <v>0</v>
      </c>
      <c r="P2486" t="n">
        <v>0</v>
      </c>
      <c r="Q2486" t="n">
        <v>0</v>
      </c>
      <c r="R2486" s="2" t="inlineStr"/>
    </row>
    <row r="2487" ht="15" customHeight="1">
      <c r="A2487" t="inlineStr">
        <is>
          <t>A 1105-2025</t>
        </is>
      </c>
      <c r="B2487" s="1" t="n">
        <v>45666.64752314815</v>
      </c>
      <c r="C2487" s="1" t="n">
        <v>45911</v>
      </c>
      <c r="D2487" t="inlineStr">
        <is>
          <t>GÄVLEBORGS LÄN</t>
        </is>
      </c>
      <c r="E2487" t="inlineStr">
        <is>
          <t>HUDIKSVALL</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27872-2024</t>
        </is>
      </c>
      <c r="B2488" s="1" t="n">
        <v>45475.71920138889</v>
      </c>
      <c r="C2488" s="1" t="n">
        <v>45911</v>
      </c>
      <c r="D2488" t="inlineStr">
        <is>
          <t>GÄVLEBORGS LÄN</t>
        </is>
      </c>
      <c r="E2488" t="inlineStr">
        <is>
          <t>SANDVIKEN</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48913-2024</t>
        </is>
      </c>
      <c r="B2489" s="1" t="n">
        <v>45594.36701388889</v>
      </c>
      <c r="C2489" s="1" t="n">
        <v>45911</v>
      </c>
      <c r="D2489" t="inlineStr">
        <is>
          <t>GÄVLEBORGS LÄN</t>
        </is>
      </c>
      <c r="E2489" t="inlineStr">
        <is>
          <t>GÄVLE</t>
        </is>
      </c>
      <c r="F2489" t="inlineStr">
        <is>
          <t>Bergvik skog öst AB</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23791-2025</t>
        </is>
      </c>
      <c r="B2490" s="1" t="n">
        <v>45793.53853009259</v>
      </c>
      <c r="C2490" s="1" t="n">
        <v>45911</v>
      </c>
      <c r="D2490" t="inlineStr">
        <is>
          <t>GÄVLEBORGS LÄN</t>
        </is>
      </c>
      <c r="E2490" t="inlineStr">
        <is>
          <t>NORDANSTIG</t>
        </is>
      </c>
      <c r="F2490" t="inlineStr">
        <is>
          <t>Holmen skog AB</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23883-2025</t>
        </is>
      </c>
      <c r="B2491" s="1" t="n">
        <v>45793.72311342593</v>
      </c>
      <c r="C2491" s="1" t="n">
        <v>45911</v>
      </c>
      <c r="D2491" t="inlineStr">
        <is>
          <t>GÄVLEBORGS LÄN</t>
        </is>
      </c>
      <c r="E2491" t="inlineStr">
        <is>
          <t>BOLLNÄS</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26631-2024</t>
        </is>
      </c>
      <c r="B2492" s="1" t="n">
        <v>45469</v>
      </c>
      <c r="C2492" s="1" t="n">
        <v>45911</v>
      </c>
      <c r="D2492" t="inlineStr">
        <is>
          <t>GÄVLEBORGS LÄN</t>
        </is>
      </c>
      <c r="E2492" t="inlineStr">
        <is>
          <t>LJUSDAL</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17665-2025</t>
        </is>
      </c>
      <c r="B2493" s="1" t="n">
        <v>45758.36224537037</v>
      </c>
      <c r="C2493" s="1" t="n">
        <v>45911</v>
      </c>
      <c r="D2493" t="inlineStr">
        <is>
          <t>GÄVLEBORGS LÄN</t>
        </is>
      </c>
      <c r="E2493" t="inlineStr">
        <is>
          <t>OVANÅKER</t>
        </is>
      </c>
      <c r="F2493" t="inlineStr">
        <is>
          <t>Sveaskog</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17668-2025</t>
        </is>
      </c>
      <c r="B2494" s="1" t="n">
        <v>45758.36554398148</v>
      </c>
      <c r="C2494" s="1" t="n">
        <v>45911</v>
      </c>
      <c r="D2494" t="inlineStr">
        <is>
          <t>GÄVLEBORGS LÄN</t>
        </is>
      </c>
      <c r="E2494" t="inlineStr">
        <is>
          <t>OVANÅKER</t>
        </is>
      </c>
      <c r="F2494" t="inlineStr">
        <is>
          <t>Sveaskog</t>
        </is>
      </c>
      <c r="G2494" t="n">
        <v>8.199999999999999</v>
      </c>
      <c r="H2494" t="n">
        <v>0</v>
      </c>
      <c r="I2494" t="n">
        <v>0</v>
      </c>
      <c r="J2494" t="n">
        <v>0</v>
      </c>
      <c r="K2494" t="n">
        <v>0</v>
      </c>
      <c r="L2494" t="n">
        <v>0</v>
      </c>
      <c r="M2494" t="n">
        <v>0</v>
      </c>
      <c r="N2494" t="n">
        <v>0</v>
      </c>
      <c r="O2494" t="n">
        <v>0</v>
      </c>
      <c r="P2494" t="n">
        <v>0</v>
      </c>
      <c r="Q2494" t="n">
        <v>0</v>
      </c>
      <c r="R2494" s="2" t="inlineStr"/>
    </row>
    <row r="2495" ht="15" customHeight="1">
      <c r="A2495" t="inlineStr">
        <is>
          <t>A 64579-2023</t>
        </is>
      </c>
      <c r="B2495" s="1" t="n">
        <v>45281</v>
      </c>
      <c r="C2495" s="1" t="n">
        <v>45911</v>
      </c>
      <c r="D2495" t="inlineStr">
        <is>
          <t>GÄVLEBORGS LÄN</t>
        </is>
      </c>
      <c r="E2495" t="inlineStr">
        <is>
          <t>HUDIKSVALL</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38594-2024</t>
        </is>
      </c>
      <c r="B2496" s="1" t="n">
        <v>45546.65759259259</v>
      </c>
      <c r="C2496" s="1" t="n">
        <v>45911</v>
      </c>
      <c r="D2496" t="inlineStr">
        <is>
          <t>GÄVLEBORGS LÄN</t>
        </is>
      </c>
      <c r="E2496" t="inlineStr">
        <is>
          <t>BOLLNÄS</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34293-2024</t>
        </is>
      </c>
      <c r="B2497" s="1" t="n">
        <v>45524.64042824074</v>
      </c>
      <c r="C2497" s="1" t="n">
        <v>45911</v>
      </c>
      <c r="D2497" t="inlineStr">
        <is>
          <t>GÄVLEBORGS LÄN</t>
        </is>
      </c>
      <c r="E2497" t="inlineStr">
        <is>
          <t>HUDIKSVALL</t>
        </is>
      </c>
      <c r="F2497" t="inlineStr">
        <is>
          <t>Holmen skog AB</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57-2024</t>
        </is>
      </c>
      <c r="B2498" s="1" t="n">
        <v>45293.60358796296</v>
      </c>
      <c r="C2498" s="1" t="n">
        <v>45911</v>
      </c>
      <c r="D2498" t="inlineStr">
        <is>
          <t>GÄVLEBORGS LÄN</t>
        </is>
      </c>
      <c r="E2498" t="inlineStr">
        <is>
          <t>LJUSDAL</t>
        </is>
      </c>
      <c r="F2498" t="inlineStr">
        <is>
          <t>Holmen skog AB</t>
        </is>
      </c>
      <c r="G2498" t="n">
        <v>5.8</v>
      </c>
      <c r="H2498" t="n">
        <v>0</v>
      </c>
      <c r="I2498" t="n">
        <v>0</v>
      </c>
      <c r="J2498" t="n">
        <v>0</v>
      </c>
      <c r="K2498" t="n">
        <v>0</v>
      </c>
      <c r="L2498" t="n">
        <v>0</v>
      </c>
      <c r="M2498" t="n">
        <v>0</v>
      </c>
      <c r="N2498" t="n">
        <v>0</v>
      </c>
      <c r="O2498" t="n">
        <v>0</v>
      </c>
      <c r="P2498" t="n">
        <v>0</v>
      </c>
      <c r="Q2498" t="n">
        <v>0</v>
      </c>
      <c r="R2498" s="2" t="inlineStr"/>
    </row>
    <row r="2499" ht="15" customHeight="1">
      <c r="A2499" t="inlineStr">
        <is>
          <t>A 54349-2022</t>
        </is>
      </c>
      <c r="B2499" s="1" t="n">
        <v>44882.45284722222</v>
      </c>
      <c r="C2499" s="1" t="n">
        <v>45911</v>
      </c>
      <c r="D2499" t="inlineStr">
        <is>
          <t>GÄVLEBORGS LÄN</t>
        </is>
      </c>
      <c r="E2499" t="inlineStr">
        <is>
          <t>LJUSDAL</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6742-2024</t>
        </is>
      </c>
      <c r="B2500" s="1" t="n">
        <v>45342.40693287037</v>
      </c>
      <c r="C2500" s="1" t="n">
        <v>45911</v>
      </c>
      <c r="D2500" t="inlineStr">
        <is>
          <t>GÄVLEBORGS LÄN</t>
        </is>
      </c>
      <c r="E2500" t="inlineStr">
        <is>
          <t>OCKELBO</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56547-2023</t>
        </is>
      </c>
      <c r="B2501" s="1" t="n">
        <v>45243</v>
      </c>
      <c r="C2501" s="1" t="n">
        <v>45911</v>
      </c>
      <c r="D2501" t="inlineStr">
        <is>
          <t>GÄVLEBORGS LÄN</t>
        </is>
      </c>
      <c r="E2501" t="inlineStr">
        <is>
          <t>BOLLNÄS</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57041-2022</t>
        </is>
      </c>
      <c r="B2502" s="1" t="n">
        <v>44895</v>
      </c>
      <c r="C2502" s="1" t="n">
        <v>45911</v>
      </c>
      <c r="D2502" t="inlineStr">
        <is>
          <t>GÄVLEBORGS LÄN</t>
        </is>
      </c>
      <c r="E2502" t="inlineStr">
        <is>
          <t>BOLLNÄS</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43423-2022</t>
        </is>
      </c>
      <c r="B2503" s="1" t="n">
        <v>44834.94996527778</v>
      </c>
      <c r="C2503" s="1" t="n">
        <v>45911</v>
      </c>
      <c r="D2503" t="inlineStr">
        <is>
          <t>GÄVLEBORGS LÄN</t>
        </is>
      </c>
      <c r="E2503" t="inlineStr">
        <is>
          <t>LJUSDAL</t>
        </is>
      </c>
      <c r="F2503" t="inlineStr">
        <is>
          <t>SCA</t>
        </is>
      </c>
      <c r="G2503" t="n">
        <v>6.2</v>
      </c>
      <c r="H2503" t="n">
        <v>0</v>
      </c>
      <c r="I2503" t="n">
        <v>0</v>
      </c>
      <c r="J2503" t="n">
        <v>0</v>
      </c>
      <c r="K2503" t="n">
        <v>0</v>
      </c>
      <c r="L2503" t="n">
        <v>0</v>
      </c>
      <c r="M2503" t="n">
        <v>0</v>
      </c>
      <c r="N2503" t="n">
        <v>0</v>
      </c>
      <c r="O2503" t="n">
        <v>0</v>
      </c>
      <c r="P2503" t="n">
        <v>0</v>
      </c>
      <c r="Q2503" t="n">
        <v>0</v>
      </c>
      <c r="R2503" s="2" t="inlineStr"/>
    </row>
    <row r="2504" ht="15" customHeight="1">
      <c r="A2504" t="inlineStr">
        <is>
          <t>A 58460-2022</t>
        </is>
      </c>
      <c r="B2504" s="1" t="n">
        <v>44902</v>
      </c>
      <c r="C2504" s="1" t="n">
        <v>45911</v>
      </c>
      <c r="D2504" t="inlineStr">
        <is>
          <t>GÄVLEBORGS LÄN</t>
        </is>
      </c>
      <c r="E2504" t="inlineStr">
        <is>
          <t>OVANÅKER</t>
        </is>
      </c>
      <c r="F2504" t="inlineStr">
        <is>
          <t>Bergvik skog väst AB</t>
        </is>
      </c>
      <c r="G2504" t="n">
        <v>3.8</v>
      </c>
      <c r="H2504" t="n">
        <v>0</v>
      </c>
      <c r="I2504" t="n">
        <v>0</v>
      </c>
      <c r="J2504" t="n">
        <v>0</v>
      </c>
      <c r="K2504" t="n">
        <v>0</v>
      </c>
      <c r="L2504" t="n">
        <v>0</v>
      </c>
      <c r="M2504" t="n">
        <v>0</v>
      </c>
      <c r="N2504" t="n">
        <v>0</v>
      </c>
      <c r="O2504" t="n">
        <v>0</v>
      </c>
      <c r="P2504" t="n">
        <v>0</v>
      </c>
      <c r="Q2504" t="n">
        <v>0</v>
      </c>
      <c r="R2504" s="2" t="inlineStr"/>
    </row>
    <row r="2505" ht="15" customHeight="1">
      <c r="A2505" t="inlineStr">
        <is>
          <t>A 40577-2022</t>
        </is>
      </c>
      <c r="B2505" s="1" t="n">
        <v>44823.69696759259</v>
      </c>
      <c r="C2505" s="1" t="n">
        <v>45911</v>
      </c>
      <c r="D2505" t="inlineStr">
        <is>
          <t>GÄVLEBORGS LÄN</t>
        </is>
      </c>
      <c r="E2505" t="inlineStr">
        <is>
          <t>SÖDERHAMN</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18733-2024</t>
        </is>
      </c>
      <c r="B2506" s="1" t="n">
        <v>45426.48637731482</v>
      </c>
      <c r="C2506" s="1" t="n">
        <v>45911</v>
      </c>
      <c r="D2506" t="inlineStr">
        <is>
          <t>GÄVLEBORGS LÄN</t>
        </is>
      </c>
      <c r="E2506" t="inlineStr">
        <is>
          <t>LJUSDAL</t>
        </is>
      </c>
      <c r="F2506" t="inlineStr">
        <is>
          <t>Sveaskog</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47284-2024</t>
        </is>
      </c>
      <c r="B2507" s="1" t="n">
        <v>45587.22604166667</v>
      </c>
      <c r="C2507" s="1" t="n">
        <v>45911</v>
      </c>
      <c r="D2507" t="inlineStr">
        <is>
          <t>GÄVLEBORGS LÄN</t>
        </is>
      </c>
      <c r="E2507" t="inlineStr">
        <is>
          <t>HUDIKSVALL</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23822-2025</t>
        </is>
      </c>
      <c r="B2508" s="1" t="n">
        <v>45793.58898148148</v>
      </c>
      <c r="C2508" s="1" t="n">
        <v>45911</v>
      </c>
      <c r="D2508" t="inlineStr">
        <is>
          <t>GÄVLEBORGS LÄN</t>
        </is>
      </c>
      <c r="E2508" t="inlineStr">
        <is>
          <t>SÖDERHAMN</t>
        </is>
      </c>
      <c r="F2508" t="inlineStr">
        <is>
          <t>Bergvik skog väst AB</t>
        </is>
      </c>
      <c r="G2508" t="n">
        <v>4.4</v>
      </c>
      <c r="H2508" t="n">
        <v>0</v>
      </c>
      <c r="I2508" t="n">
        <v>0</v>
      </c>
      <c r="J2508" t="n">
        <v>0</v>
      </c>
      <c r="K2508" t="n">
        <v>0</v>
      </c>
      <c r="L2508" t="n">
        <v>0</v>
      </c>
      <c r="M2508" t="n">
        <v>0</v>
      </c>
      <c r="N2508" t="n">
        <v>0</v>
      </c>
      <c r="O2508" t="n">
        <v>0</v>
      </c>
      <c r="P2508" t="n">
        <v>0</v>
      </c>
      <c r="Q2508" t="n">
        <v>0</v>
      </c>
      <c r="R2508" s="2" t="inlineStr"/>
    </row>
    <row r="2509" ht="15" customHeight="1">
      <c r="A2509" t="inlineStr">
        <is>
          <t>A 47145-2023</t>
        </is>
      </c>
      <c r="B2509" s="1" t="n">
        <v>45201.83716435185</v>
      </c>
      <c r="C2509" s="1" t="n">
        <v>45911</v>
      </c>
      <c r="D2509" t="inlineStr">
        <is>
          <t>GÄVLEBORGS LÄN</t>
        </is>
      </c>
      <c r="E2509" t="inlineStr">
        <is>
          <t>HUDIKSVALL</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17677-2025</t>
        </is>
      </c>
      <c r="B2510" s="1" t="n">
        <v>45758.37188657407</v>
      </c>
      <c r="C2510" s="1" t="n">
        <v>45911</v>
      </c>
      <c r="D2510" t="inlineStr">
        <is>
          <t>GÄVLEBORGS LÄN</t>
        </is>
      </c>
      <c r="E2510" t="inlineStr">
        <is>
          <t>OVANÅKER</t>
        </is>
      </c>
      <c r="F2510" t="inlineStr">
        <is>
          <t>Sveaskog</t>
        </is>
      </c>
      <c r="G2510" t="n">
        <v>4.7</v>
      </c>
      <c r="H2510" t="n">
        <v>0</v>
      </c>
      <c r="I2510" t="n">
        <v>0</v>
      </c>
      <c r="J2510" t="n">
        <v>0</v>
      </c>
      <c r="K2510" t="n">
        <v>0</v>
      </c>
      <c r="L2510" t="n">
        <v>0</v>
      </c>
      <c r="M2510" t="n">
        <v>0</v>
      </c>
      <c r="N2510" t="n">
        <v>0</v>
      </c>
      <c r="O2510" t="n">
        <v>0</v>
      </c>
      <c r="P2510" t="n">
        <v>0</v>
      </c>
      <c r="Q2510" t="n">
        <v>0</v>
      </c>
      <c r="R2510" s="2" t="inlineStr"/>
    </row>
    <row r="2511" ht="15" customHeight="1">
      <c r="A2511" t="inlineStr">
        <is>
          <t>A 1641-2025</t>
        </is>
      </c>
      <c r="B2511" s="1" t="n">
        <v>45670</v>
      </c>
      <c r="C2511" s="1" t="n">
        <v>45911</v>
      </c>
      <c r="D2511" t="inlineStr">
        <is>
          <t>GÄVLEBORGS LÄN</t>
        </is>
      </c>
      <c r="E2511" t="inlineStr">
        <is>
          <t>SÖDERHAMN</t>
        </is>
      </c>
      <c r="G2511" t="n">
        <v>3.9</v>
      </c>
      <c r="H2511" t="n">
        <v>0</v>
      </c>
      <c r="I2511" t="n">
        <v>0</v>
      </c>
      <c r="J2511" t="n">
        <v>0</v>
      </c>
      <c r="K2511" t="n">
        <v>0</v>
      </c>
      <c r="L2511" t="n">
        <v>0</v>
      </c>
      <c r="M2511" t="n">
        <v>0</v>
      </c>
      <c r="N2511" t="n">
        <v>0</v>
      </c>
      <c r="O2511" t="n">
        <v>0</v>
      </c>
      <c r="P2511" t="n">
        <v>0</v>
      </c>
      <c r="Q2511" t="n">
        <v>0</v>
      </c>
      <c r="R2511" s="2" t="inlineStr"/>
    </row>
    <row r="2512" ht="15" customHeight="1">
      <c r="A2512" t="inlineStr">
        <is>
          <t>A 63134-2023</t>
        </is>
      </c>
      <c r="B2512" s="1" t="n">
        <v>45273.46143518519</v>
      </c>
      <c r="C2512" s="1" t="n">
        <v>45911</v>
      </c>
      <c r="D2512" t="inlineStr">
        <is>
          <t>GÄVLEBORGS LÄN</t>
        </is>
      </c>
      <c r="E2512" t="inlineStr">
        <is>
          <t>HUDIKSVALL</t>
        </is>
      </c>
      <c r="F2512" t="inlineStr">
        <is>
          <t>Holmen skog AB</t>
        </is>
      </c>
      <c r="G2512" t="n">
        <v>5.3</v>
      </c>
      <c r="H2512" t="n">
        <v>0</v>
      </c>
      <c r="I2512" t="n">
        <v>0</v>
      </c>
      <c r="J2512" t="n">
        <v>0</v>
      </c>
      <c r="K2512" t="n">
        <v>0</v>
      </c>
      <c r="L2512" t="n">
        <v>0</v>
      </c>
      <c r="M2512" t="n">
        <v>0</v>
      </c>
      <c r="N2512" t="n">
        <v>0</v>
      </c>
      <c r="O2512" t="n">
        <v>0</v>
      </c>
      <c r="P2512" t="n">
        <v>0</v>
      </c>
      <c r="Q2512" t="n">
        <v>0</v>
      </c>
      <c r="R2512" s="2" t="inlineStr"/>
    </row>
    <row r="2513" ht="15" customHeight="1">
      <c r="A2513" t="inlineStr">
        <is>
          <t>A 17776-2025</t>
        </is>
      </c>
      <c r="B2513" s="1" t="n">
        <v>45758.52517361111</v>
      </c>
      <c r="C2513" s="1" t="n">
        <v>45911</v>
      </c>
      <c r="D2513" t="inlineStr">
        <is>
          <t>GÄVLEBORGS LÄN</t>
        </is>
      </c>
      <c r="E2513" t="inlineStr">
        <is>
          <t>BOLLNÄS</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36174-2024</t>
        </is>
      </c>
      <c r="B2514" s="1" t="n">
        <v>45534.40605324074</v>
      </c>
      <c r="C2514" s="1" t="n">
        <v>45911</v>
      </c>
      <c r="D2514" t="inlineStr">
        <is>
          <t>GÄVLEBORGS LÄN</t>
        </is>
      </c>
      <c r="E2514" t="inlineStr">
        <is>
          <t>SÖDERHAMN</t>
        </is>
      </c>
      <c r="F2514" t="inlineStr">
        <is>
          <t>Bergvik skog väst AB</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36182-2024</t>
        </is>
      </c>
      <c r="B2515" s="1" t="n">
        <v>45534.41583333333</v>
      </c>
      <c r="C2515" s="1" t="n">
        <v>45911</v>
      </c>
      <c r="D2515" t="inlineStr">
        <is>
          <t>GÄVLEBORGS LÄN</t>
        </is>
      </c>
      <c r="E2515" t="inlineStr">
        <is>
          <t>LJUSDAL</t>
        </is>
      </c>
      <c r="F2515" t="inlineStr">
        <is>
          <t>Holmen skog AB</t>
        </is>
      </c>
      <c r="G2515" t="n">
        <v>6.1</v>
      </c>
      <c r="H2515" t="n">
        <v>0</v>
      </c>
      <c r="I2515" t="n">
        <v>0</v>
      </c>
      <c r="J2515" t="n">
        <v>0</v>
      </c>
      <c r="K2515" t="n">
        <v>0</v>
      </c>
      <c r="L2515" t="n">
        <v>0</v>
      </c>
      <c r="M2515" t="n">
        <v>0</v>
      </c>
      <c r="N2515" t="n">
        <v>0</v>
      </c>
      <c r="O2515" t="n">
        <v>0</v>
      </c>
      <c r="P2515" t="n">
        <v>0</v>
      </c>
      <c r="Q2515" t="n">
        <v>0</v>
      </c>
      <c r="R2515" s="2" t="inlineStr"/>
    </row>
    <row r="2516" ht="15" customHeight="1">
      <c r="A2516" t="inlineStr">
        <is>
          <t>A 18761-2024</t>
        </is>
      </c>
      <c r="B2516" s="1" t="n">
        <v>45426.54793981482</v>
      </c>
      <c r="C2516" s="1" t="n">
        <v>45911</v>
      </c>
      <c r="D2516" t="inlineStr">
        <is>
          <t>GÄVLEBORGS LÄN</t>
        </is>
      </c>
      <c r="E2516" t="inlineStr">
        <is>
          <t>NORDANSTIG</t>
        </is>
      </c>
      <c r="F2516" t="inlineStr">
        <is>
          <t>Holmen skog AB</t>
        </is>
      </c>
      <c r="G2516" t="n">
        <v>7.5</v>
      </c>
      <c r="H2516" t="n">
        <v>0</v>
      </c>
      <c r="I2516" t="n">
        <v>0</v>
      </c>
      <c r="J2516" t="n">
        <v>0</v>
      </c>
      <c r="K2516" t="n">
        <v>0</v>
      </c>
      <c r="L2516" t="n">
        <v>0</v>
      </c>
      <c r="M2516" t="n">
        <v>0</v>
      </c>
      <c r="N2516" t="n">
        <v>0</v>
      </c>
      <c r="O2516" t="n">
        <v>0</v>
      </c>
      <c r="P2516" t="n">
        <v>0</v>
      </c>
      <c r="Q2516" t="n">
        <v>0</v>
      </c>
      <c r="R2516" s="2" t="inlineStr"/>
    </row>
    <row r="2517" ht="15" customHeight="1">
      <c r="A2517" t="inlineStr">
        <is>
          <t>A 14891-2024</t>
        </is>
      </c>
      <c r="B2517" s="1" t="n">
        <v>45398</v>
      </c>
      <c r="C2517" s="1" t="n">
        <v>45911</v>
      </c>
      <c r="D2517" t="inlineStr">
        <is>
          <t>GÄVLEBORGS LÄN</t>
        </is>
      </c>
      <c r="E2517" t="inlineStr">
        <is>
          <t>GÄVLE</t>
        </is>
      </c>
      <c r="F2517" t="inlineStr">
        <is>
          <t>Bergvik skog öst AB</t>
        </is>
      </c>
      <c r="G2517" t="n">
        <v>10.8</v>
      </c>
      <c r="H2517" t="n">
        <v>0</v>
      </c>
      <c r="I2517" t="n">
        <v>0</v>
      </c>
      <c r="J2517" t="n">
        <v>0</v>
      </c>
      <c r="K2517" t="n">
        <v>0</v>
      </c>
      <c r="L2517" t="n">
        <v>0</v>
      </c>
      <c r="M2517" t="n">
        <v>0</v>
      </c>
      <c r="N2517" t="n">
        <v>0</v>
      </c>
      <c r="O2517" t="n">
        <v>0</v>
      </c>
      <c r="P2517" t="n">
        <v>0</v>
      </c>
      <c r="Q2517" t="n">
        <v>0</v>
      </c>
      <c r="R2517" s="2" t="inlineStr"/>
    </row>
    <row r="2518" ht="15" customHeight="1">
      <c r="A2518" t="inlineStr">
        <is>
          <t>A 2932-2024</t>
        </is>
      </c>
      <c r="B2518" s="1" t="n">
        <v>45315.59603009259</v>
      </c>
      <c r="C2518" s="1" t="n">
        <v>45911</v>
      </c>
      <c r="D2518" t="inlineStr">
        <is>
          <t>GÄVLEBORGS LÄN</t>
        </is>
      </c>
      <c r="E2518" t="inlineStr">
        <is>
          <t>BOLLNÄS</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59442-2021</t>
        </is>
      </c>
      <c r="B2519" s="1" t="n">
        <v>44491</v>
      </c>
      <c r="C2519" s="1" t="n">
        <v>45911</v>
      </c>
      <c r="D2519" t="inlineStr">
        <is>
          <t>GÄVLEBORGS LÄN</t>
        </is>
      </c>
      <c r="E2519" t="inlineStr">
        <is>
          <t>OVANÅKER</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53082-2022</t>
        </is>
      </c>
      <c r="B2520" s="1" t="n">
        <v>44876.38916666667</v>
      </c>
      <c r="C2520" s="1" t="n">
        <v>45911</v>
      </c>
      <c r="D2520" t="inlineStr">
        <is>
          <t>GÄVLEBORGS LÄN</t>
        </is>
      </c>
      <c r="E2520" t="inlineStr">
        <is>
          <t>GÄVLE</t>
        </is>
      </c>
      <c r="G2520" t="n">
        <v>4.1</v>
      </c>
      <c r="H2520" t="n">
        <v>0</v>
      </c>
      <c r="I2520" t="n">
        <v>0</v>
      </c>
      <c r="J2520" t="n">
        <v>0</v>
      </c>
      <c r="K2520" t="n">
        <v>0</v>
      </c>
      <c r="L2520" t="n">
        <v>0</v>
      </c>
      <c r="M2520" t="n">
        <v>0</v>
      </c>
      <c r="N2520" t="n">
        <v>0</v>
      </c>
      <c r="O2520" t="n">
        <v>0</v>
      </c>
      <c r="P2520" t="n">
        <v>0</v>
      </c>
      <c r="Q2520" t="n">
        <v>0</v>
      </c>
      <c r="R2520" s="2" t="inlineStr"/>
    </row>
    <row r="2521" ht="15" customHeight="1">
      <c r="A2521" t="inlineStr">
        <is>
          <t>A 17672-2025</t>
        </is>
      </c>
      <c r="B2521" s="1" t="n">
        <v>45758.36832175926</v>
      </c>
      <c r="C2521" s="1" t="n">
        <v>45911</v>
      </c>
      <c r="D2521" t="inlineStr">
        <is>
          <t>GÄVLEBORGS LÄN</t>
        </is>
      </c>
      <c r="E2521" t="inlineStr">
        <is>
          <t>OVANÅKER</t>
        </is>
      </c>
      <c r="F2521" t="inlineStr">
        <is>
          <t>Sveaskog</t>
        </is>
      </c>
      <c r="G2521" t="n">
        <v>3.2</v>
      </c>
      <c r="H2521" t="n">
        <v>0</v>
      </c>
      <c r="I2521" t="n">
        <v>0</v>
      </c>
      <c r="J2521" t="n">
        <v>0</v>
      </c>
      <c r="K2521" t="n">
        <v>0</v>
      </c>
      <c r="L2521" t="n">
        <v>0</v>
      </c>
      <c r="M2521" t="n">
        <v>0</v>
      </c>
      <c r="N2521" t="n">
        <v>0</v>
      </c>
      <c r="O2521" t="n">
        <v>0</v>
      </c>
      <c r="P2521" t="n">
        <v>0</v>
      </c>
      <c r="Q2521" t="n">
        <v>0</v>
      </c>
      <c r="R2521" s="2" t="inlineStr"/>
    </row>
    <row r="2522" ht="15" customHeight="1">
      <c r="A2522" t="inlineStr">
        <is>
          <t>A 26355-2021</t>
        </is>
      </c>
      <c r="B2522" s="1" t="n">
        <v>44347</v>
      </c>
      <c r="C2522" s="1" t="n">
        <v>45911</v>
      </c>
      <c r="D2522" t="inlineStr">
        <is>
          <t>GÄVLEBORGS LÄN</t>
        </is>
      </c>
      <c r="E2522" t="inlineStr">
        <is>
          <t>SANDVIKEN</t>
        </is>
      </c>
      <c r="F2522" t="inlineStr">
        <is>
          <t>Bergvik skog väst AB</t>
        </is>
      </c>
      <c r="G2522" t="n">
        <v>10.1</v>
      </c>
      <c r="H2522" t="n">
        <v>0</v>
      </c>
      <c r="I2522" t="n">
        <v>0</v>
      </c>
      <c r="J2522" t="n">
        <v>0</v>
      </c>
      <c r="K2522" t="n">
        <v>0</v>
      </c>
      <c r="L2522" t="n">
        <v>0</v>
      </c>
      <c r="M2522" t="n">
        <v>0</v>
      </c>
      <c r="N2522" t="n">
        <v>0</v>
      </c>
      <c r="O2522" t="n">
        <v>0</v>
      </c>
      <c r="P2522" t="n">
        <v>0</v>
      </c>
      <c r="Q2522" t="n">
        <v>0</v>
      </c>
      <c r="R2522" s="2" t="inlineStr"/>
    </row>
    <row r="2523" ht="15" customHeight="1">
      <c r="A2523" t="inlineStr">
        <is>
          <t>A 26365-2021</t>
        </is>
      </c>
      <c r="B2523" s="1" t="n">
        <v>44347.65292824074</v>
      </c>
      <c r="C2523" s="1" t="n">
        <v>45911</v>
      </c>
      <c r="D2523" t="inlineStr">
        <is>
          <t>GÄVLEBORGS LÄN</t>
        </is>
      </c>
      <c r="E2523" t="inlineStr">
        <is>
          <t>OVANÅKER</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42253-2024</t>
        </is>
      </c>
      <c r="B2524" s="1" t="n">
        <v>45562.58115740741</v>
      </c>
      <c r="C2524" s="1" t="n">
        <v>45911</v>
      </c>
      <c r="D2524" t="inlineStr">
        <is>
          <t>GÄVLEBORGS LÄN</t>
        </is>
      </c>
      <c r="E2524" t="inlineStr">
        <is>
          <t>NORDANSTIG</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6529-2021</t>
        </is>
      </c>
      <c r="B2525" s="1" t="n">
        <v>44236.36252314815</v>
      </c>
      <c r="C2525" s="1" t="n">
        <v>45911</v>
      </c>
      <c r="D2525" t="inlineStr">
        <is>
          <t>GÄVLEBORGS LÄN</t>
        </is>
      </c>
      <c r="E2525" t="inlineStr">
        <is>
          <t>NORDANSTIG</t>
        </is>
      </c>
      <c r="F2525" t="inlineStr">
        <is>
          <t>Holmen skog AB</t>
        </is>
      </c>
      <c r="G2525" t="n">
        <v>5.2</v>
      </c>
      <c r="H2525" t="n">
        <v>0</v>
      </c>
      <c r="I2525" t="n">
        <v>0</v>
      </c>
      <c r="J2525" t="n">
        <v>0</v>
      </c>
      <c r="K2525" t="n">
        <v>0</v>
      </c>
      <c r="L2525" t="n">
        <v>0</v>
      </c>
      <c r="M2525" t="n">
        <v>0</v>
      </c>
      <c r="N2525" t="n">
        <v>0</v>
      </c>
      <c r="O2525" t="n">
        <v>0</v>
      </c>
      <c r="P2525" t="n">
        <v>0</v>
      </c>
      <c r="Q2525" t="n">
        <v>0</v>
      </c>
      <c r="R2525" s="2" t="inlineStr"/>
    </row>
    <row r="2526" ht="15" customHeight="1">
      <c r="A2526" t="inlineStr">
        <is>
          <t>A 40281-2024</t>
        </is>
      </c>
      <c r="B2526" s="1" t="n">
        <v>45554.6590162037</v>
      </c>
      <c r="C2526" s="1" t="n">
        <v>45911</v>
      </c>
      <c r="D2526" t="inlineStr">
        <is>
          <t>GÄVLEBORGS LÄN</t>
        </is>
      </c>
      <c r="E2526" t="inlineStr">
        <is>
          <t>OCKELBO</t>
        </is>
      </c>
      <c r="F2526" t="inlineStr">
        <is>
          <t>Bergvik skog väst AB</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40283-2024</t>
        </is>
      </c>
      <c r="B2527" s="1" t="n">
        <v>45554.66199074074</v>
      </c>
      <c r="C2527" s="1" t="n">
        <v>45911</v>
      </c>
      <c r="D2527" t="inlineStr">
        <is>
          <t>GÄVLEBORGS LÄN</t>
        </is>
      </c>
      <c r="E2527" t="inlineStr">
        <is>
          <t>OCKELBO</t>
        </is>
      </c>
      <c r="F2527" t="inlineStr">
        <is>
          <t>Bergvik skog väst AB</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54126-2021</t>
        </is>
      </c>
      <c r="B2528" s="1" t="n">
        <v>44470.51221064815</v>
      </c>
      <c r="C2528" s="1" t="n">
        <v>45911</v>
      </c>
      <c r="D2528" t="inlineStr">
        <is>
          <t>GÄVLEBORGS LÄN</t>
        </is>
      </c>
      <c r="E2528" t="inlineStr">
        <is>
          <t>HUDIKSVALL</t>
        </is>
      </c>
      <c r="G2528" t="n">
        <v>7</v>
      </c>
      <c r="H2528" t="n">
        <v>0</v>
      </c>
      <c r="I2528" t="n">
        <v>0</v>
      </c>
      <c r="J2528" t="n">
        <v>0</v>
      </c>
      <c r="K2528" t="n">
        <v>0</v>
      </c>
      <c r="L2528" t="n">
        <v>0</v>
      </c>
      <c r="M2528" t="n">
        <v>0</v>
      </c>
      <c r="N2528" t="n">
        <v>0</v>
      </c>
      <c r="O2528" t="n">
        <v>0</v>
      </c>
      <c r="P2528" t="n">
        <v>0</v>
      </c>
      <c r="Q2528" t="n">
        <v>0</v>
      </c>
      <c r="R2528" s="2" t="inlineStr"/>
    </row>
    <row r="2529" ht="15" customHeight="1">
      <c r="A2529" t="inlineStr">
        <is>
          <t>A 53435-2023</t>
        </is>
      </c>
      <c r="B2529" s="1" t="n">
        <v>45229.92756944444</v>
      </c>
      <c r="C2529" s="1" t="n">
        <v>45911</v>
      </c>
      <c r="D2529" t="inlineStr">
        <is>
          <t>GÄVLEBORGS LÄN</t>
        </is>
      </c>
      <c r="E2529" t="inlineStr">
        <is>
          <t>HUDIKSVALL</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37744-2022</t>
        </is>
      </c>
      <c r="B2530" s="1" t="n">
        <v>44810.58422453704</v>
      </c>
      <c r="C2530" s="1" t="n">
        <v>45911</v>
      </c>
      <c r="D2530" t="inlineStr">
        <is>
          <t>GÄVLEBORGS LÄN</t>
        </is>
      </c>
      <c r="E2530" t="inlineStr">
        <is>
          <t>HOFORS</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28771-2023</t>
        </is>
      </c>
      <c r="B2531" s="1" t="n">
        <v>45104</v>
      </c>
      <c r="C2531" s="1" t="n">
        <v>45911</v>
      </c>
      <c r="D2531" t="inlineStr">
        <is>
          <t>GÄVLEBORGS LÄN</t>
        </is>
      </c>
      <c r="E2531" t="inlineStr">
        <is>
          <t>BOLLNÄS</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42136-2024</t>
        </is>
      </c>
      <c r="B2532" s="1" t="n">
        <v>45562.41775462963</v>
      </c>
      <c r="C2532" s="1" t="n">
        <v>45911</v>
      </c>
      <c r="D2532" t="inlineStr">
        <is>
          <t>GÄVLEBORGS LÄN</t>
        </is>
      </c>
      <c r="E2532" t="inlineStr">
        <is>
          <t>HUDIKSVALL</t>
        </is>
      </c>
      <c r="F2532" t="inlineStr">
        <is>
          <t>Holmen skog AB</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20122-2025</t>
        </is>
      </c>
      <c r="B2533" s="1" t="n">
        <v>45772</v>
      </c>
      <c r="C2533" s="1" t="n">
        <v>45911</v>
      </c>
      <c r="D2533" t="inlineStr">
        <is>
          <t>GÄVLEBORGS LÄN</t>
        </is>
      </c>
      <c r="E2533" t="inlineStr">
        <is>
          <t>LJUSDAL</t>
        </is>
      </c>
      <c r="F2533" t="inlineStr">
        <is>
          <t>Bergvik skog väst AB</t>
        </is>
      </c>
      <c r="G2533" t="n">
        <v>7.8</v>
      </c>
      <c r="H2533" t="n">
        <v>0</v>
      </c>
      <c r="I2533" t="n">
        <v>0</v>
      </c>
      <c r="J2533" t="n">
        <v>0</v>
      </c>
      <c r="K2533" t="n">
        <v>0</v>
      </c>
      <c r="L2533" t="n">
        <v>0</v>
      </c>
      <c r="M2533" t="n">
        <v>0</v>
      </c>
      <c r="N2533" t="n">
        <v>0</v>
      </c>
      <c r="O2533" t="n">
        <v>0</v>
      </c>
      <c r="P2533" t="n">
        <v>0</v>
      </c>
      <c r="Q2533" t="n">
        <v>0</v>
      </c>
      <c r="R2533" s="2" t="inlineStr"/>
    </row>
    <row r="2534" ht="15" customHeight="1">
      <c r="A2534" t="inlineStr">
        <is>
          <t>A 4420-2024</t>
        </is>
      </c>
      <c r="B2534" s="1" t="n">
        <v>45327</v>
      </c>
      <c r="C2534" s="1" t="n">
        <v>45911</v>
      </c>
      <c r="D2534" t="inlineStr">
        <is>
          <t>GÄVLEBORGS LÄN</t>
        </is>
      </c>
      <c r="E2534" t="inlineStr">
        <is>
          <t>LJUSDAL</t>
        </is>
      </c>
      <c r="F2534" t="inlineStr">
        <is>
          <t>Holmen skog AB</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44277-2024</t>
        </is>
      </c>
      <c r="B2535" s="1" t="n">
        <v>45573.4915625</v>
      </c>
      <c r="C2535" s="1" t="n">
        <v>45911</v>
      </c>
      <c r="D2535" t="inlineStr">
        <is>
          <t>GÄVLEBORGS LÄN</t>
        </is>
      </c>
      <c r="E2535" t="inlineStr">
        <is>
          <t>HUDIKSVALL</t>
        </is>
      </c>
      <c r="G2535" t="n">
        <v>5.6</v>
      </c>
      <c r="H2535" t="n">
        <v>0</v>
      </c>
      <c r="I2535" t="n">
        <v>0</v>
      </c>
      <c r="J2535" t="n">
        <v>0</v>
      </c>
      <c r="K2535" t="n">
        <v>0</v>
      </c>
      <c r="L2535" t="n">
        <v>0</v>
      </c>
      <c r="M2535" t="n">
        <v>0</v>
      </c>
      <c r="N2535" t="n">
        <v>0</v>
      </c>
      <c r="O2535" t="n">
        <v>0</v>
      </c>
      <c r="P2535" t="n">
        <v>0</v>
      </c>
      <c r="Q2535" t="n">
        <v>0</v>
      </c>
      <c r="R2535" s="2" t="inlineStr"/>
    </row>
    <row r="2536" ht="15" customHeight="1">
      <c r="A2536" t="inlineStr">
        <is>
          <t>A 23880-2025</t>
        </is>
      </c>
      <c r="B2536" s="1" t="n">
        <v>45793.69190972222</v>
      </c>
      <c r="C2536" s="1" t="n">
        <v>45911</v>
      </c>
      <c r="D2536" t="inlineStr">
        <is>
          <t>GÄVLEBORGS LÄN</t>
        </is>
      </c>
      <c r="E2536" t="inlineStr">
        <is>
          <t>BOLLNÄS</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64138-2023</t>
        </is>
      </c>
      <c r="B2537" s="1" t="n">
        <v>45279</v>
      </c>
      <c r="C2537" s="1" t="n">
        <v>45911</v>
      </c>
      <c r="D2537" t="inlineStr">
        <is>
          <t>GÄVLEBORGS LÄN</t>
        </is>
      </c>
      <c r="E2537" t="inlineStr">
        <is>
          <t>SÖDERHAMN</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63309-2023</t>
        </is>
      </c>
      <c r="B2538" s="1" t="n">
        <v>45274.3437037037</v>
      </c>
      <c r="C2538" s="1" t="n">
        <v>45911</v>
      </c>
      <c r="D2538" t="inlineStr">
        <is>
          <t>GÄVLEBORGS LÄN</t>
        </is>
      </c>
      <c r="E2538" t="inlineStr">
        <is>
          <t>SANDVIKEN</t>
        </is>
      </c>
      <c r="G2538" t="n">
        <v>3.4</v>
      </c>
      <c r="H2538" t="n">
        <v>0</v>
      </c>
      <c r="I2538" t="n">
        <v>0</v>
      </c>
      <c r="J2538" t="n">
        <v>0</v>
      </c>
      <c r="K2538" t="n">
        <v>0</v>
      </c>
      <c r="L2538" t="n">
        <v>0</v>
      </c>
      <c r="M2538" t="n">
        <v>0</v>
      </c>
      <c r="N2538" t="n">
        <v>0</v>
      </c>
      <c r="O2538" t="n">
        <v>0</v>
      </c>
      <c r="P2538" t="n">
        <v>0</v>
      </c>
      <c r="Q2538" t="n">
        <v>0</v>
      </c>
      <c r="R2538" s="2" t="inlineStr"/>
    </row>
    <row r="2539" ht="15" customHeight="1">
      <c r="A2539" t="inlineStr">
        <is>
          <t>A 17818-2025</t>
        </is>
      </c>
      <c r="B2539" s="1" t="n">
        <v>45758.56565972222</v>
      </c>
      <c r="C2539" s="1" t="n">
        <v>45911</v>
      </c>
      <c r="D2539" t="inlineStr">
        <is>
          <t>GÄVLEBORGS LÄN</t>
        </is>
      </c>
      <c r="E2539" t="inlineStr">
        <is>
          <t>SANDVIKEN</t>
        </is>
      </c>
      <c r="F2539" t="inlineStr">
        <is>
          <t>Sveaskog</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20383-2025</t>
        </is>
      </c>
      <c r="B2540" s="1" t="n">
        <v>45775</v>
      </c>
      <c r="C2540" s="1" t="n">
        <v>45911</v>
      </c>
      <c r="D2540" t="inlineStr">
        <is>
          <t>GÄVLEBORGS LÄN</t>
        </is>
      </c>
      <c r="E2540" t="inlineStr">
        <is>
          <t>HUDIKSVALL</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37031-2024</t>
        </is>
      </c>
      <c r="B2541" s="1" t="n">
        <v>45539.38991898148</v>
      </c>
      <c r="C2541" s="1" t="n">
        <v>45911</v>
      </c>
      <c r="D2541" t="inlineStr">
        <is>
          <t>GÄVLEBORGS LÄN</t>
        </is>
      </c>
      <c r="E2541" t="inlineStr">
        <is>
          <t>NORDANSTIG</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16424-2025</t>
        </is>
      </c>
      <c r="B2542" s="1" t="n">
        <v>45751.47364583334</v>
      </c>
      <c r="C2542" s="1" t="n">
        <v>45911</v>
      </c>
      <c r="D2542" t="inlineStr">
        <is>
          <t>GÄVLEBORGS LÄN</t>
        </is>
      </c>
      <c r="E2542" t="inlineStr">
        <is>
          <t>OVANÅKER</t>
        </is>
      </c>
      <c r="F2542" t="inlineStr">
        <is>
          <t>Bergvik skog öst AB</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16726-2025</t>
        </is>
      </c>
      <c r="B2543" s="1" t="n">
        <v>45754.52270833333</v>
      </c>
      <c r="C2543" s="1" t="n">
        <v>45911</v>
      </c>
      <c r="D2543" t="inlineStr">
        <is>
          <t>GÄVLEBORGS LÄN</t>
        </is>
      </c>
      <c r="E2543" t="inlineStr">
        <is>
          <t>SÖDERHAMN</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16019-2024</t>
        </is>
      </c>
      <c r="B2544" s="1" t="n">
        <v>45405.67047453704</v>
      </c>
      <c r="C2544" s="1" t="n">
        <v>45911</v>
      </c>
      <c r="D2544" t="inlineStr">
        <is>
          <t>GÄVLEBORGS LÄN</t>
        </is>
      </c>
      <c r="E2544" t="inlineStr">
        <is>
          <t>OVANÅKER</t>
        </is>
      </c>
      <c r="G2544" t="n">
        <v>3.6</v>
      </c>
      <c r="H2544" t="n">
        <v>0</v>
      </c>
      <c r="I2544" t="n">
        <v>0</v>
      </c>
      <c r="J2544" t="n">
        <v>0</v>
      </c>
      <c r="K2544" t="n">
        <v>0</v>
      </c>
      <c r="L2544" t="n">
        <v>0</v>
      </c>
      <c r="M2544" t="n">
        <v>0</v>
      </c>
      <c r="N2544" t="n">
        <v>0</v>
      </c>
      <c r="O2544" t="n">
        <v>0</v>
      </c>
      <c r="P2544" t="n">
        <v>0</v>
      </c>
      <c r="Q2544" t="n">
        <v>0</v>
      </c>
      <c r="R2544" s="2" t="inlineStr"/>
    </row>
    <row r="2545" ht="15" customHeight="1">
      <c r="A2545" t="inlineStr">
        <is>
          <t>A 31723-2023</t>
        </is>
      </c>
      <c r="B2545" s="1" t="n">
        <v>45117.91378472222</v>
      </c>
      <c r="C2545" s="1" t="n">
        <v>45911</v>
      </c>
      <c r="D2545" t="inlineStr">
        <is>
          <t>GÄVLEBORGS LÄN</t>
        </is>
      </c>
      <c r="E2545" t="inlineStr">
        <is>
          <t>OVANÅKER</t>
        </is>
      </c>
      <c r="G2545" t="n">
        <v>5.5</v>
      </c>
      <c r="H2545" t="n">
        <v>0</v>
      </c>
      <c r="I2545" t="n">
        <v>0</v>
      </c>
      <c r="J2545" t="n">
        <v>0</v>
      </c>
      <c r="K2545" t="n">
        <v>0</v>
      </c>
      <c r="L2545" t="n">
        <v>0</v>
      </c>
      <c r="M2545" t="n">
        <v>0</v>
      </c>
      <c r="N2545" t="n">
        <v>0</v>
      </c>
      <c r="O2545" t="n">
        <v>0</v>
      </c>
      <c r="P2545" t="n">
        <v>0</v>
      </c>
      <c r="Q2545" t="n">
        <v>0</v>
      </c>
      <c r="R2545" s="2" t="inlineStr"/>
    </row>
    <row r="2546" ht="15" customHeight="1">
      <c r="A2546" t="inlineStr">
        <is>
          <t>A 34229-2024</t>
        </is>
      </c>
      <c r="B2546" s="1" t="n">
        <v>45524</v>
      </c>
      <c r="C2546" s="1" t="n">
        <v>45911</v>
      </c>
      <c r="D2546" t="inlineStr">
        <is>
          <t>GÄVLEBORGS LÄN</t>
        </is>
      </c>
      <c r="E2546" t="inlineStr">
        <is>
          <t>LJUSDAL</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50191-2024</t>
        </is>
      </c>
      <c r="B2547" s="1" t="n">
        <v>45600.48091435185</v>
      </c>
      <c r="C2547" s="1" t="n">
        <v>45911</v>
      </c>
      <c r="D2547" t="inlineStr">
        <is>
          <t>GÄVLEBORGS LÄN</t>
        </is>
      </c>
      <c r="E2547" t="inlineStr">
        <is>
          <t>GÄVLE</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50242-2024</t>
        </is>
      </c>
      <c r="B2548" s="1" t="n">
        <v>45600.56403935186</v>
      </c>
      <c r="C2548" s="1" t="n">
        <v>45911</v>
      </c>
      <c r="D2548" t="inlineStr">
        <is>
          <t>GÄVLEBORGS LÄN</t>
        </is>
      </c>
      <c r="E2548" t="inlineStr">
        <is>
          <t>HUDIKSVALL</t>
        </is>
      </c>
      <c r="G2548" t="n">
        <v>3.9</v>
      </c>
      <c r="H2548" t="n">
        <v>0</v>
      </c>
      <c r="I2548" t="n">
        <v>0</v>
      </c>
      <c r="J2548" t="n">
        <v>0</v>
      </c>
      <c r="K2548" t="n">
        <v>0</v>
      </c>
      <c r="L2548" t="n">
        <v>0</v>
      </c>
      <c r="M2548" t="n">
        <v>0</v>
      </c>
      <c r="N2548" t="n">
        <v>0</v>
      </c>
      <c r="O2548" t="n">
        <v>0</v>
      </c>
      <c r="P2548" t="n">
        <v>0</v>
      </c>
      <c r="Q2548" t="n">
        <v>0</v>
      </c>
      <c r="R2548" s="2" t="inlineStr"/>
    </row>
    <row r="2549" ht="15" customHeight="1">
      <c r="A2549" t="inlineStr">
        <is>
          <t>A 54053-2020</t>
        </is>
      </c>
      <c r="B2549" s="1" t="n">
        <v>44125</v>
      </c>
      <c r="C2549" s="1" t="n">
        <v>45911</v>
      </c>
      <c r="D2549" t="inlineStr">
        <is>
          <t>GÄVLEBORGS LÄN</t>
        </is>
      </c>
      <c r="E2549" t="inlineStr">
        <is>
          <t>GÄVLE</t>
        </is>
      </c>
      <c r="F2549" t="inlineStr">
        <is>
          <t>Bergvik skog öst AB</t>
        </is>
      </c>
      <c r="G2549" t="n">
        <v>0.3</v>
      </c>
      <c r="H2549" t="n">
        <v>0</v>
      </c>
      <c r="I2549" t="n">
        <v>0</v>
      </c>
      <c r="J2549" t="n">
        <v>0</v>
      </c>
      <c r="K2549" t="n">
        <v>0</v>
      </c>
      <c r="L2549" t="n">
        <v>0</v>
      </c>
      <c r="M2549" t="n">
        <v>0</v>
      </c>
      <c r="N2549" t="n">
        <v>0</v>
      </c>
      <c r="O2549" t="n">
        <v>0</v>
      </c>
      <c r="P2549" t="n">
        <v>0</v>
      </c>
      <c r="Q2549" t="n">
        <v>0</v>
      </c>
      <c r="R2549" s="2" t="inlineStr"/>
    </row>
    <row r="2550" ht="15" customHeight="1">
      <c r="A2550" t="inlineStr">
        <is>
          <t>A 54065-2020</t>
        </is>
      </c>
      <c r="B2550" s="1" t="n">
        <v>44125</v>
      </c>
      <c r="C2550" s="1" t="n">
        <v>45911</v>
      </c>
      <c r="D2550" t="inlineStr">
        <is>
          <t>GÄVLEBORGS LÄN</t>
        </is>
      </c>
      <c r="E2550" t="inlineStr">
        <is>
          <t>GÄVLE</t>
        </is>
      </c>
      <c r="F2550" t="inlineStr">
        <is>
          <t>Bergvik skog öst AB</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31646-2024</t>
        </is>
      </c>
      <c r="B2551" s="1" t="n">
        <v>45506.60877314815</v>
      </c>
      <c r="C2551" s="1" t="n">
        <v>45911</v>
      </c>
      <c r="D2551" t="inlineStr">
        <is>
          <t>GÄVLEBORGS LÄN</t>
        </is>
      </c>
      <c r="E2551" t="inlineStr">
        <is>
          <t>SANDVIKEN</t>
        </is>
      </c>
      <c r="F2551" t="inlineStr">
        <is>
          <t>Sveaskog</t>
        </is>
      </c>
      <c r="G2551" t="n">
        <v>5.9</v>
      </c>
      <c r="H2551" t="n">
        <v>0</v>
      </c>
      <c r="I2551" t="n">
        <v>0</v>
      </c>
      <c r="J2551" t="n">
        <v>0</v>
      </c>
      <c r="K2551" t="n">
        <v>0</v>
      </c>
      <c r="L2551" t="n">
        <v>0</v>
      </c>
      <c r="M2551" t="n">
        <v>0</v>
      </c>
      <c r="N2551" t="n">
        <v>0</v>
      </c>
      <c r="O2551" t="n">
        <v>0</v>
      </c>
      <c r="P2551" t="n">
        <v>0</v>
      </c>
      <c r="Q2551" t="n">
        <v>0</v>
      </c>
      <c r="R2551" s="2" t="inlineStr"/>
    </row>
    <row r="2552" ht="15" customHeight="1">
      <c r="A2552" t="inlineStr">
        <is>
          <t>A 13267-2025</t>
        </is>
      </c>
      <c r="B2552" s="1" t="n">
        <v>45735</v>
      </c>
      <c r="C2552" s="1" t="n">
        <v>45911</v>
      </c>
      <c r="D2552" t="inlineStr">
        <is>
          <t>GÄVLEBORGS LÄN</t>
        </is>
      </c>
      <c r="E2552" t="inlineStr">
        <is>
          <t>HUDIKSVALL</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34978-2024</t>
        </is>
      </c>
      <c r="B2553" s="1" t="n">
        <v>45527.54472222222</v>
      </c>
      <c r="C2553" s="1" t="n">
        <v>45911</v>
      </c>
      <c r="D2553" t="inlineStr">
        <is>
          <t>GÄVLEBORGS LÄN</t>
        </is>
      </c>
      <c r="E2553" t="inlineStr">
        <is>
          <t>SÖDERHAMN</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4164-2024</t>
        </is>
      </c>
      <c r="B2554" s="1" t="n">
        <v>45323</v>
      </c>
      <c r="C2554" s="1" t="n">
        <v>45911</v>
      </c>
      <c r="D2554" t="inlineStr">
        <is>
          <t>GÄVLEBORGS LÄN</t>
        </is>
      </c>
      <c r="E2554" t="inlineStr">
        <is>
          <t>HUDIKSVALL</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21789-2024</t>
        </is>
      </c>
      <c r="B2555" s="1" t="n">
        <v>45442.64026620371</v>
      </c>
      <c r="C2555" s="1" t="n">
        <v>45911</v>
      </c>
      <c r="D2555" t="inlineStr">
        <is>
          <t>GÄVLEBORGS LÄN</t>
        </is>
      </c>
      <c r="E2555" t="inlineStr">
        <is>
          <t>SÖDERHAMN</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47820-2024</t>
        </is>
      </c>
      <c r="B2556" s="1" t="n">
        <v>45588.62625</v>
      </c>
      <c r="C2556" s="1" t="n">
        <v>45911</v>
      </c>
      <c r="D2556" t="inlineStr">
        <is>
          <t>GÄVLEBORGS LÄN</t>
        </is>
      </c>
      <c r="E2556" t="inlineStr">
        <is>
          <t>BOLLNÄS</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46667-2024</t>
        </is>
      </c>
      <c r="B2557" s="1" t="n">
        <v>45583.37123842593</v>
      </c>
      <c r="C2557" s="1" t="n">
        <v>45911</v>
      </c>
      <c r="D2557" t="inlineStr">
        <is>
          <t>GÄVLEBORGS LÄN</t>
        </is>
      </c>
      <c r="E2557" t="inlineStr">
        <is>
          <t>HUDIKSVALL</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48870-2023</t>
        </is>
      </c>
      <c r="B2558" s="1" t="n">
        <v>45209.46043981481</v>
      </c>
      <c r="C2558" s="1" t="n">
        <v>45911</v>
      </c>
      <c r="D2558" t="inlineStr">
        <is>
          <t>GÄVLEBORGS LÄN</t>
        </is>
      </c>
      <c r="E2558" t="inlineStr">
        <is>
          <t>LJUSDAL</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64350-2020</t>
        </is>
      </c>
      <c r="B2559" s="1" t="n">
        <v>44168</v>
      </c>
      <c r="C2559" s="1" t="n">
        <v>45911</v>
      </c>
      <c r="D2559" t="inlineStr">
        <is>
          <t>GÄVLEBORGS LÄN</t>
        </is>
      </c>
      <c r="E2559" t="inlineStr">
        <is>
          <t>HUDIKSVALL</t>
        </is>
      </c>
      <c r="F2559" t="inlineStr">
        <is>
          <t>Holmen skog AB</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62959-2020</t>
        </is>
      </c>
      <c r="B2560" s="1" t="n">
        <v>44162</v>
      </c>
      <c r="C2560" s="1" t="n">
        <v>45911</v>
      </c>
      <c r="D2560" t="inlineStr">
        <is>
          <t>GÄVLEBORGS LÄN</t>
        </is>
      </c>
      <c r="E2560" t="inlineStr">
        <is>
          <t>BOLLNÄS</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23710-2025</t>
        </is>
      </c>
      <c r="B2561" s="1" t="n">
        <v>45793.38253472222</v>
      </c>
      <c r="C2561" s="1" t="n">
        <v>45911</v>
      </c>
      <c r="D2561" t="inlineStr">
        <is>
          <t>GÄVLEBORGS LÄN</t>
        </is>
      </c>
      <c r="E2561" t="inlineStr">
        <is>
          <t>LJUSDAL</t>
        </is>
      </c>
      <c r="F2561" t="inlineStr">
        <is>
          <t>Bergvik skog väst AB</t>
        </is>
      </c>
      <c r="G2561" t="n">
        <v>11.7</v>
      </c>
      <c r="H2561" t="n">
        <v>0</v>
      </c>
      <c r="I2561" t="n">
        <v>0</v>
      </c>
      <c r="J2561" t="n">
        <v>0</v>
      </c>
      <c r="K2561" t="n">
        <v>0</v>
      </c>
      <c r="L2561" t="n">
        <v>0</v>
      </c>
      <c r="M2561" t="n">
        <v>0</v>
      </c>
      <c r="N2561" t="n">
        <v>0</v>
      </c>
      <c r="O2561" t="n">
        <v>0</v>
      </c>
      <c r="P2561" t="n">
        <v>0</v>
      </c>
      <c r="Q2561" t="n">
        <v>0</v>
      </c>
      <c r="R2561" s="2" t="inlineStr"/>
    </row>
    <row r="2562" ht="15" customHeight="1">
      <c r="A2562" t="inlineStr">
        <is>
          <t>A 70043-2021</t>
        </is>
      </c>
      <c r="B2562" s="1" t="n">
        <v>44533</v>
      </c>
      <c r="C2562" s="1" t="n">
        <v>45911</v>
      </c>
      <c r="D2562" t="inlineStr">
        <is>
          <t>GÄVLEBORGS LÄN</t>
        </is>
      </c>
      <c r="E2562" t="inlineStr">
        <is>
          <t>GÄVLE</t>
        </is>
      </c>
      <c r="F2562" t="inlineStr">
        <is>
          <t>Bergvik skog öst AB</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29296-2024</t>
        </is>
      </c>
      <c r="B2563" s="1" t="n">
        <v>45483.33774305556</v>
      </c>
      <c r="C2563" s="1" t="n">
        <v>45911</v>
      </c>
      <c r="D2563" t="inlineStr">
        <is>
          <t>GÄVLEBORGS LÄN</t>
        </is>
      </c>
      <c r="E2563" t="inlineStr">
        <is>
          <t>SANDVIKEN</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716-2024</t>
        </is>
      </c>
      <c r="B2564" s="1" t="n">
        <v>45300</v>
      </c>
      <c r="C2564" s="1" t="n">
        <v>45911</v>
      </c>
      <c r="D2564" t="inlineStr">
        <is>
          <t>GÄVLEBORGS LÄN</t>
        </is>
      </c>
      <c r="E2564" t="inlineStr">
        <is>
          <t>SANDVIKEN</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22173-2024</t>
        </is>
      </c>
      <c r="B2565" s="1" t="n">
        <v>45446.31018518518</v>
      </c>
      <c r="C2565" s="1" t="n">
        <v>45911</v>
      </c>
      <c r="D2565" t="inlineStr">
        <is>
          <t>GÄVLEBORGS LÄN</t>
        </is>
      </c>
      <c r="E2565" t="inlineStr">
        <is>
          <t>OVANÅKER</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33901-2024</t>
        </is>
      </c>
      <c r="B2566" s="1" t="n">
        <v>45523</v>
      </c>
      <c r="C2566" s="1" t="n">
        <v>45911</v>
      </c>
      <c r="D2566" t="inlineStr">
        <is>
          <t>GÄVLEBORGS LÄN</t>
        </is>
      </c>
      <c r="E2566" t="inlineStr">
        <is>
          <t>GÄVLE</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247-2025</t>
        </is>
      </c>
      <c r="B2567" s="1" t="n">
        <v>45660.41883101852</v>
      </c>
      <c r="C2567" s="1" t="n">
        <v>45911</v>
      </c>
      <c r="D2567" t="inlineStr">
        <is>
          <t>GÄVLEBORGS LÄN</t>
        </is>
      </c>
      <c r="E2567" t="inlineStr">
        <is>
          <t>GÄVLE</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438-2025</t>
        </is>
      </c>
      <c r="B2568" s="1" t="n">
        <v>45664.38258101852</v>
      </c>
      <c r="C2568" s="1" t="n">
        <v>45911</v>
      </c>
      <c r="D2568" t="inlineStr">
        <is>
          <t>GÄVLEBORGS LÄN</t>
        </is>
      </c>
      <c r="E2568" t="inlineStr">
        <is>
          <t>OVANÅKER</t>
        </is>
      </c>
      <c r="G2568" t="n">
        <v>5.1</v>
      </c>
      <c r="H2568" t="n">
        <v>0</v>
      </c>
      <c r="I2568" t="n">
        <v>0</v>
      </c>
      <c r="J2568" t="n">
        <v>0</v>
      </c>
      <c r="K2568" t="n">
        <v>0</v>
      </c>
      <c r="L2568" t="n">
        <v>0</v>
      </c>
      <c r="M2568" t="n">
        <v>0</v>
      </c>
      <c r="N2568" t="n">
        <v>0</v>
      </c>
      <c r="O2568" t="n">
        <v>0</v>
      </c>
      <c r="P2568" t="n">
        <v>0</v>
      </c>
      <c r="Q2568" t="n">
        <v>0</v>
      </c>
      <c r="R2568" s="2" t="inlineStr"/>
    </row>
    <row r="2569" ht="15" customHeight="1">
      <c r="A2569" t="inlineStr">
        <is>
          <t>A 23918-2025</t>
        </is>
      </c>
      <c r="B2569" s="1" t="n">
        <v>45795.34489583333</v>
      </c>
      <c r="C2569" s="1" t="n">
        <v>45911</v>
      </c>
      <c r="D2569" t="inlineStr">
        <is>
          <t>GÄVLEBORGS LÄN</t>
        </is>
      </c>
      <c r="E2569" t="inlineStr">
        <is>
          <t>LJUSDAL</t>
        </is>
      </c>
      <c r="F2569" t="inlineStr">
        <is>
          <t>SCA</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9889-2022</t>
        </is>
      </c>
      <c r="B2570" s="1" t="n">
        <v>44620</v>
      </c>
      <c r="C2570" s="1" t="n">
        <v>45911</v>
      </c>
      <c r="D2570" t="inlineStr">
        <is>
          <t>GÄVLEBORGS LÄN</t>
        </is>
      </c>
      <c r="E2570" t="inlineStr">
        <is>
          <t>BOLLNÄS</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60957-2023</t>
        </is>
      </c>
      <c r="B2571" s="1" t="n">
        <v>45261</v>
      </c>
      <c r="C2571" s="1" t="n">
        <v>45911</v>
      </c>
      <c r="D2571" t="inlineStr">
        <is>
          <t>GÄVLEBORGS LÄN</t>
        </is>
      </c>
      <c r="E2571" t="inlineStr">
        <is>
          <t>LJUSDAL</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55878-2024</t>
        </is>
      </c>
      <c r="B2572" s="1" t="n">
        <v>45623</v>
      </c>
      <c r="C2572" s="1" t="n">
        <v>45911</v>
      </c>
      <c r="D2572" t="inlineStr">
        <is>
          <t>GÄVLEBORGS LÄN</t>
        </is>
      </c>
      <c r="E2572" t="inlineStr">
        <is>
          <t>GÄVLE</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39862-2023</t>
        </is>
      </c>
      <c r="B2573" s="1" t="n">
        <v>45168.38649305556</v>
      </c>
      <c r="C2573" s="1" t="n">
        <v>45911</v>
      </c>
      <c r="D2573" t="inlineStr">
        <is>
          <t>GÄVLEBORGS LÄN</t>
        </is>
      </c>
      <c r="E2573" t="inlineStr">
        <is>
          <t>OVANÅKER</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23701-2025</t>
        </is>
      </c>
      <c r="B2574" s="1" t="n">
        <v>45793.36111111111</v>
      </c>
      <c r="C2574" s="1" t="n">
        <v>45911</v>
      </c>
      <c r="D2574" t="inlineStr">
        <is>
          <t>GÄVLEBORGS LÄN</t>
        </is>
      </c>
      <c r="E2574" t="inlineStr">
        <is>
          <t>HUDIKSVALL</t>
        </is>
      </c>
      <c r="G2574" t="n">
        <v>4.7</v>
      </c>
      <c r="H2574" t="n">
        <v>0</v>
      </c>
      <c r="I2574" t="n">
        <v>0</v>
      </c>
      <c r="J2574" t="n">
        <v>0</v>
      </c>
      <c r="K2574" t="n">
        <v>0</v>
      </c>
      <c r="L2574" t="n">
        <v>0</v>
      </c>
      <c r="M2574" t="n">
        <v>0</v>
      </c>
      <c r="N2574" t="n">
        <v>0</v>
      </c>
      <c r="O2574" t="n">
        <v>0</v>
      </c>
      <c r="P2574" t="n">
        <v>0</v>
      </c>
      <c r="Q2574" t="n">
        <v>0</v>
      </c>
      <c r="R2574" s="2" t="inlineStr"/>
    </row>
    <row r="2575" ht="15" customHeight="1">
      <c r="A2575" t="inlineStr">
        <is>
          <t>A 44500-2024</t>
        </is>
      </c>
      <c r="B2575" s="1" t="n">
        <v>45574.39741898148</v>
      </c>
      <c r="C2575" s="1" t="n">
        <v>45911</v>
      </c>
      <c r="D2575" t="inlineStr">
        <is>
          <t>GÄVLEBORGS LÄN</t>
        </is>
      </c>
      <c r="E2575" t="inlineStr">
        <is>
          <t>NORDANSTIG</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34490-2024</t>
        </is>
      </c>
      <c r="B2576" s="1" t="n">
        <v>45525.61373842593</v>
      </c>
      <c r="C2576" s="1" t="n">
        <v>45911</v>
      </c>
      <c r="D2576" t="inlineStr">
        <is>
          <t>GÄVLEBORGS LÄN</t>
        </is>
      </c>
      <c r="E2576" t="inlineStr">
        <is>
          <t>OVANÅKER</t>
        </is>
      </c>
      <c r="F2576" t="inlineStr">
        <is>
          <t>Bergvik skog öst AB</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49578-2020</t>
        </is>
      </c>
      <c r="B2577" s="1" t="n">
        <v>44106.37875</v>
      </c>
      <c r="C2577" s="1" t="n">
        <v>45911</v>
      </c>
      <c r="D2577" t="inlineStr">
        <is>
          <t>GÄVLEBORGS LÄN</t>
        </is>
      </c>
      <c r="E2577" t="inlineStr">
        <is>
          <t>OVANÅKER</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7276-2023</t>
        </is>
      </c>
      <c r="B2578" s="1" t="n">
        <v>44970</v>
      </c>
      <c r="C2578" s="1" t="n">
        <v>45911</v>
      </c>
      <c r="D2578" t="inlineStr">
        <is>
          <t>GÄVLEBORGS LÄN</t>
        </is>
      </c>
      <c r="E2578" t="inlineStr">
        <is>
          <t>OCKELBO</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61732-2024</t>
        </is>
      </c>
      <c r="B2579" s="1" t="n">
        <v>45649.34438657408</v>
      </c>
      <c r="C2579" s="1" t="n">
        <v>45911</v>
      </c>
      <c r="D2579" t="inlineStr">
        <is>
          <t>GÄVLEBORGS LÄN</t>
        </is>
      </c>
      <c r="E2579" t="inlineStr">
        <is>
          <t>OCKELBO</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44289-2023</t>
        </is>
      </c>
      <c r="B2580" s="1" t="n">
        <v>45188.63613425926</v>
      </c>
      <c r="C2580" s="1" t="n">
        <v>45911</v>
      </c>
      <c r="D2580" t="inlineStr">
        <is>
          <t>GÄVLEBORGS LÄN</t>
        </is>
      </c>
      <c r="E2580" t="inlineStr">
        <is>
          <t>SANDVIKEN</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20207-2024</t>
        </is>
      </c>
      <c r="B2581" s="1" t="n">
        <v>45434.65519675926</v>
      </c>
      <c r="C2581" s="1" t="n">
        <v>45911</v>
      </c>
      <c r="D2581" t="inlineStr">
        <is>
          <t>GÄVLEBORGS LÄN</t>
        </is>
      </c>
      <c r="E2581" t="inlineStr">
        <is>
          <t>OCKELBO</t>
        </is>
      </c>
      <c r="G2581" t="n">
        <v>7.6</v>
      </c>
      <c r="H2581" t="n">
        <v>0</v>
      </c>
      <c r="I2581" t="n">
        <v>0</v>
      </c>
      <c r="J2581" t="n">
        <v>0</v>
      </c>
      <c r="K2581" t="n">
        <v>0</v>
      </c>
      <c r="L2581" t="n">
        <v>0</v>
      </c>
      <c r="M2581" t="n">
        <v>0</v>
      </c>
      <c r="N2581" t="n">
        <v>0</v>
      </c>
      <c r="O2581" t="n">
        <v>0</v>
      </c>
      <c r="P2581" t="n">
        <v>0</v>
      </c>
      <c r="Q2581" t="n">
        <v>0</v>
      </c>
      <c r="R2581" s="2" t="inlineStr"/>
    </row>
    <row r="2582" ht="15" customHeight="1">
      <c r="A2582" t="inlineStr">
        <is>
          <t>A 43523-2024</t>
        </is>
      </c>
      <c r="B2582" s="1" t="n">
        <v>45569</v>
      </c>
      <c r="C2582" s="1" t="n">
        <v>45911</v>
      </c>
      <c r="D2582" t="inlineStr">
        <is>
          <t>GÄVLEBORGS LÄN</t>
        </is>
      </c>
      <c r="E2582" t="inlineStr">
        <is>
          <t>NORDANSTIG</t>
        </is>
      </c>
      <c r="F2582" t="inlineStr">
        <is>
          <t>Holmen skog AB</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45312-2023</t>
        </is>
      </c>
      <c r="B2583" s="1" t="n">
        <v>45191.70572916666</v>
      </c>
      <c r="C2583" s="1" t="n">
        <v>45911</v>
      </c>
      <c r="D2583" t="inlineStr">
        <is>
          <t>GÄVLEBORGS LÄN</t>
        </is>
      </c>
      <c r="E2583" t="inlineStr">
        <is>
          <t>NORDANSTIG</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15682-2024</t>
        </is>
      </c>
      <c r="B2584" s="1" t="n">
        <v>45404.42548611111</v>
      </c>
      <c r="C2584" s="1" t="n">
        <v>45911</v>
      </c>
      <c r="D2584" t="inlineStr">
        <is>
          <t>GÄVLEBORGS LÄN</t>
        </is>
      </c>
      <c r="E2584" t="inlineStr">
        <is>
          <t>SANDVIKEN</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27723-2024</t>
        </is>
      </c>
      <c r="B2585" s="1" t="n">
        <v>45475.4027662037</v>
      </c>
      <c r="C2585" s="1" t="n">
        <v>45911</v>
      </c>
      <c r="D2585" t="inlineStr">
        <is>
          <t>GÄVLEBORGS LÄN</t>
        </is>
      </c>
      <c r="E2585" t="inlineStr">
        <is>
          <t>LJUSDAL</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10119-2025</t>
        </is>
      </c>
      <c r="B2586" s="1" t="n">
        <v>45719.59969907408</v>
      </c>
      <c r="C2586" s="1" t="n">
        <v>45911</v>
      </c>
      <c r="D2586" t="inlineStr">
        <is>
          <t>GÄVLEBORGS LÄN</t>
        </is>
      </c>
      <c r="E2586" t="inlineStr">
        <is>
          <t>OVANÅKER</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24083-2025</t>
        </is>
      </c>
      <c r="B2587" s="1" t="n">
        <v>45796.56046296296</v>
      </c>
      <c r="C2587" s="1" t="n">
        <v>45911</v>
      </c>
      <c r="D2587" t="inlineStr">
        <is>
          <t>GÄVLEBORGS LÄN</t>
        </is>
      </c>
      <c r="E2587" t="inlineStr">
        <is>
          <t>SÖDERHAMN</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3289-2023</t>
        </is>
      </c>
      <c r="B2588" s="1" t="n">
        <v>44949.37563657408</v>
      </c>
      <c r="C2588" s="1" t="n">
        <v>45911</v>
      </c>
      <c r="D2588" t="inlineStr">
        <is>
          <t>GÄVLEBORGS LÄN</t>
        </is>
      </c>
      <c r="E2588" t="inlineStr">
        <is>
          <t>LJUSDAL</t>
        </is>
      </c>
      <c r="F2588" t="inlineStr">
        <is>
          <t>Holmen skog AB</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32342-2024</t>
        </is>
      </c>
      <c r="B2589" s="1" t="n">
        <v>45512.51696759259</v>
      </c>
      <c r="C2589" s="1" t="n">
        <v>45911</v>
      </c>
      <c r="D2589" t="inlineStr">
        <is>
          <t>GÄVLEBORGS LÄN</t>
        </is>
      </c>
      <c r="E2589" t="inlineStr">
        <is>
          <t>HUDIKSVALL</t>
        </is>
      </c>
      <c r="F2589" t="inlineStr">
        <is>
          <t>Holmen skog AB</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25904-2024</t>
        </is>
      </c>
      <c r="B2590" s="1" t="n">
        <v>45467.57811342592</v>
      </c>
      <c r="C2590" s="1" t="n">
        <v>45911</v>
      </c>
      <c r="D2590" t="inlineStr">
        <is>
          <t>GÄVLEBORGS LÄN</t>
        </is>
      </c>
      <c r="E2590" t="inlineStr">
        <is>
          <t>SÖDERHAMN</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27152-2024</t>
        </is>
      </c>
      <c r="B2591" s="1" t="n">
        <v>45471.56072916667</v>
      </c>
      <c r="C2591" s="1" t="n">
        <v>45911</v>
      </c>
      <c r="D2591" t="inlineStr">
        <is>
          <t>GÄVLEBORGS LÄN</t>
        </is>
      </c>
      <c r="E2591" t="inlineStr">
        <is>
          <t>BOLLNÄS</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29742-2024</t>
        </is>
      </c>
      <c r="B2592" s="1" t="n">
        <v>45485</v>
      </c>
      <c r="C2592" s="1" t="n">
        <v>45911</v>
      </c>
      <c r="D2592" t="inlineStr">
        <is>
          <t>GÄVLEBORGS LÄN</t>
        </is>
      </c>
      <c r="E2592" t="inlineStr">
        <is>
          <t>BOLLNÄS</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55011-2024</t>
        </is>
      </c>
      <c r="B2593" s="1" t="n">
        <v>45621.34652777778</v>
      </c>
      <c r="C2593" s="1" t="n">
        <v>45911</v>
      </c>
      <c r="D2593" t="inlineStr">
        <is>
          <t>GÄVLEBORGS LÄN</t>
        </is>
      </c>
      <c r="E2593" t="inlineStr">
        <is>
          <t>OCKELBO</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20166-2022</t>
        </is>
      </c>
      <c r="B2594" s="1" t="n">
        <v>44698</v>
      </c>
      <c r="C2594" s="1" t="n">
        <v>45911</v>
      </c>
      <c r="D2594" t="inlineStr">
        <is>
          <t>GÄVLEBORGS LÄN</t>
        </is>
      </c>
      <c r="E2594" t="inlineStr">
        <is>
          <t>SÖDERHAMN</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23930-2025</t>
        </is>
      </c>
      <c r="B2595" s="1" t="n">
        <v>45795.6452662037</v>
      </c>
      <c r="C2595" s="1" t="n">
        <v>45911</v>
      </c>
      <c r="D2595" t="inlineStr">
        <is>
          <t>GÄVLEBORGS LÄN</t>
        </is>
      </c>
      <c r="E2595" t="inlineStr">
        <is>
          <t>BOLLNÄS</t>
        </is>
      </c>
      <c r="G2595" t="n">
        <v>7.9</v>
      </c>
      <c r="H2595" t="n">
        <v>0</v>
      </c>
      <c r="I2595" t="n">
        <v>0</v>
      </c>
      <c r="J2595" t="n">
        <v>0</v>
      </c>
      <c r="K2595" t="n">
        <v>0</v>
      </c>
      <c r="L2595" t="n">
        <v>0</v>
      </c>
      <c r="M2595" t="n">
        <v>0</v>
      </c>
      <c r="N2595" t="n">
        <v>0</v>
      </c>
      <c r="O2595" t="n">
        <v>0</v>
      </c>
      <c r="P2595" t="n">
        <v>0</v>
      </c>
      <c r="Q2595" t="n">
        <v>0</v>
      </c>
      <c r="R2595" s="2" t="inlineStr"/>
    </row>
    <row r="2596" ht="15" customHeight="1">
      <c r="A2596" t="inlineStr">
        <is>
          <t>A 52722-2024</t>
        </is>
      </c>
      <c r="B2596" s="1" t="n">
        <v>45610.43961805556</v>
      </c>
      <c r="C2596" s="1" t="n">
        <v>45911</v>
      </c>
      <c r="D2596" t="inlineStr">
        <is>
          <t>GÄVLEBORGS LÄN</t>
        </is>
      </c>
      <c r="E2596" t="inlineStr">
        <is>
          <t>LJUSDAL</t>
        </is>
      </c>
      <c r="G2596" t="n">
        <v>4.4</v>
      </c>
      <c r="H2596" t="n">
        <v>0</v>
      </c>
      <c r="I2596" t="n">
        <v>0</v>
      </c>
      <c r="J2596" t="n">
        <v>0</v>
      </c>
      <c r="K2596" t="n">
        <v>0</v>
      </c>
      <c r="L2596" t="n">
        <v>0</v>
      </c>
      <c r="M2596" t="n">
        <v>0</v>
      </c>
      <c r="N2596" t="n">
        <v>0</v>
      </c>
      <c r="O2596" t="n">
        <v>0</v>
      </c>
      <c r="P2596" t="n">
        <v>0</v>
      </c>
      <c r="Q2596" t="n">
        <v>0</v>
      </c>
      <c r="R2596" s="2" t="inlineStr"/>
    </row>
    <row r="2597" ht="15" customHeight="1">
      <c r="A2597" t="inlineStr">
        <is>
          <t>A 23788-2025</t>
        </is>
      </c>
      <c r="B2597" s="1" t="n">
        <v>45793.5347800926</v>
      </c>
      <c r="C2597" s="1" t="n">
        <v>45911</v>
      </c>
      <c r="D2597" t="inlineStr">
        <is>
          <t>GÄVLEBORGS LÄN</t>
        </is>
      </c>
      <c r="E2597" t="inlineStr">
        <is>
          <t>NORDANSTIG</t>
        </is>
      </c>
      <c r="F2597" t="inlineStr">
        <is>
          <t>Holmen skog AB</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44571-2024</t>
        </is>
      </c>
      <c r="B2598" s="1" t="n">
        <v>45574</v>
      </c>
      <c r="C2598" s="1" t="n">
        <v>45911</v>
      </c>
      <c r="D2598" t="inlineStr">
        <is>
          <t>GÄVLEBORGS LÄN</t>
        </is>
      </c>
      <c r="E2598" t="inlineStr">
        <is>
          <t>OVANÅKER</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24101-2025</t>
        </is>
      </c>
      <c r="B2599" s="1" t="n">
        <v>45796.59533564815</v>
      </c>
      <c r="C2599" s="1" t="n">
        <v>45911</v>
      </c>
      <c r="D2599" t="inlineStr">
        <is>
          <t>GÄVLEBORGS LÄN</t>
        </is>
      </c>
      <c r="E2599" t="inlineStr">
        <is>
          <t>NORDANSTIG</t>
        </is>
      </c>
      <c r="G2599" t="n">
        <v>4.9</v>
      </c>
      <c r="H2599" t="n">
        <v>0</v>
      </c>
      <c r="I2599" t="n">
        <v>0</v>
      </c>
      <c r="J2599" t="n">
        <v>0</v>
      </c>
      <c r="K2599" t="n">
        <v>0</v>
      </c>
      <c r="L2599" t="n">
        <v>0</v>
      </c>
      <c r="M2599" t="n">
        <v>0</v>
      </c>
      <c r="N2599" t="n">
        <v>0</v>
      </c>
      <c r="O2599" t="n">
        <v>0</v>
      </c>
      <c r="P2599" t="n">
        <v>0</v>
      </c>
      <c r="Q2599" t="n">
        <v>0</v>
      </c>
      <c r="R2599" s="2" t="inlineStr"/>
    </row>
    <row r="2600" ht="15" customHeight="1">
      <c r="A2600" t="inlineStr">
        <is>
          <t>A 14482-2021</t>
        </is>
      </c>
      <c r="B2600" s="1" t="n">
        <v>44279</v>
      </c>
      <c r="C2600" s="1" t="n">
        <v>45911</v>
      </c>
      <c r="D2600" t="inlineStr">
        <is>
          <t>GÄVLEBORGS LÄN</t>
        </is>
      </c>
      <c r="E2600" t="inlineStr">
        <is>
          <t>BOLLNÄS</t>
        </is>
      </c>
      <c r="F2600" t="inlineStr">
        <is>
          <t>Kommuner</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23922-2025</t>
        </is>
      </c>
      <c r="B2601" s="1" t="n">
        <v>45795.34521990741</v>
      </c>
      <c r="C2601" s="1" t="n">
        <v>45911</v>
      </c>
      <c r="D2601" t="inlineStr">
        <is>
          <t>GÄVLEBORGS LÄN</t>
        </is>
      </c>
      <c r="E2601" t="inlineStr">
        <is>
          <t>LJUSDAL</t>
        </is>
      </c>
      <c r="F2601" t="inlineStr">
        <is>
          <t>SCA</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23663-2025</t>
        </is>
      </c>
      <c r="B2602" s="1" t="n">
        <v>45792.81592592593</v>
      </c>
      <c r="C2602" s="1" t="n">
        <v>45911</v>
      </c>
      <c r="D2602" t="inlineStr">
        <is>
          <t>GÄVLEBORGS LÄN</t>
        </is>
      </c>
      <c r="E2602" t="inlineStr">
        <is>
          <t>HUDIKSVALL</t>
        </is>
      </c>
      <c r="F2602" t="inlineStr">
        <is>
          <t>Holmen skog AB</t>
        </is>
      </c>
      <c r="G2602" t="n">
        <v>24.7</v>
      </c>
      <c r="H2602" t="n">
        <v>0</v>
      </c>
      <c r="I2602" t="n">
        <v>0</v>
      </c>
      <c r="J2602" t="n">
        <v>0</v>
      </c>
      <c r="K2602" t="n">
        <v>0</v>
      </c>
      <c r="L2602" t="n">
        <v>0</v>
      </c>
      <c r="M2602" t="n">
        <v>0</v>
      </c>
      <c r="N2602" t="n">
        <v>0</v>
      </c>
      <c r="O2602" t="n">
        <v>0</v>
      </c>
      <c r="P2602" t="n">
        <v>0</v>
      </c>
      <c r="Q2602" t="n">
        <v>0</v>
      </c>
      <c r="R2602" s="2" t="inlineStr"/>
    </row>
    <row r="2603" ht="15" customHeight="1">
      <c r="A2603" t="inlineStr">
        <is>
          <t>A 23666-2025</t>
        </is>
      </c>
      <c r="B2603" s="1" t="n">
        <v>45792.84364583333</v>
      </c>
      <c r="C2603" s="1" t="n">
        <v>45911</v>
      </c>
      <c r="D2603" t="inlineStr">
        <is>
          <t>GÄVLEBORGS LÄN</t>
        </is>
      </c>
      <c r="E2603" t="inlineStr">
        <is>
          <t>HOFORS</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21263-2024</t>
        </is>
      </c>
      <c r="B2604" s="1" t="n">
        <v>45440</v>
      </c>
      <c r="C2604" s="1" t="n">
        <v>45911</v>
      </c>
      <c r="D2604" t="inlineStr">
        <is>
          <t>GÄVLEBORGS LÄN</t>
        </is>
      </c>
      <c r="E2604" t="inlineStr">
        <is>
          <t>OVANÅKER</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15403-2022</t>
        </is>
      </c>
      <c r="B2605" s="1" t="n">
        <v>44659</v>
      </c>
      <c r="C2605" s="1" t="n">
        <v>45911</v>
      </c>
      <c r="D2605" t="inlineStr">
        <is>
          <t>GÄVLEBORGS LÄN</t>
        </is>
      </c>
      <c r="E2605" t="inlineStr">
        <is>
          <t>OCKELBO</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18966-2025</t>
        </is>
      </c>
      <c r="B2606" s="1" t="n">
        <v>45764</v>
      </c>
      <c r="C2606" s="1" t="n">
        <v>45911</v>
      </c>
      <c r="D2606" t="inlineStr">
        <is>
          <t>GÄVLEBORGS LÄN</t>
        </is>
      </c>
      <c r="E2606" t="inlineStr">
        <is>
          <t>GÄVLE</t>
        </is>
      </c>
      <c r="F2606" t="inlineStr">
        <is>
          <t>Bergvik skog väst AB</t>
        </is>
      </c>
      <c r="G2606" t="n">
        <v>11.6</v>
      </c>
      <c r="H2606" t="n">
        <v>0</v>
      </c>
      <c r="I2606" t="n">
        <v>0</v>
      </c>
      <c r="J2606" t="n">
        <v>0</v>
      </c>
      <c r="K2606" t="n">
        <v>0</v>
      </c>
      <c r="L2606" t="n">
        <v>0</v>
      </c>
      <c r="M2606" t="n">
        <v>0</v>
      </c>
      <c r="N2606" t="n">
        <v>0</v>
      </c>
      <c r="O2606" t="n">
        <v>0</v>
      </c>
      <c r="P2606" t="n">
        <v>0</v>
      </c>
      <c r="Q2606" t="n">
        <v>0</v>
      </c>
      <c r="R2606" s="2" t="inlineStr"/>
    </row>
    <row r="2607" ht="15" customHeight="1">
      <c r="A2607" t="inlineStr">
        <is>
          <t>A 47894-2024</t>
        </is>
      </c>
      <c r="B2607" s="1" t="n">
        <v>45588.87435185185</v>
      </c>
      <c r="C2607" s="1" t="n">
        <v>45911</v>
      </c>
      <c r="D2607" t="inlineStr">
        <is>
          <t>GÄVLEBORGS LÄN</t>
        </is>
      </c>
      <c r="E2607" t="inlineStr">
        <is>
          <t>BOLLNÄS</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50480-2024</t>
        </is>
      </c>
      <c r="B2608" s="1" t="n">
        <v>45601.47907407407</v>
      </c>
      <c r="C2608" s="1" t="n">
        <v>45911</v>
      </c>
      <c r="D2608" t="inlineStr">
        <is>
          <t>GÄVLEBORGS LÄN</t>
        </is>
      </c>
      <c r="E2608" t="inlineStr">
        <is>
          <t>OVANÅKER</t>
        </is>
      </c>
      <c r="G2608" t="n">
        <v>3.8</v>
      </c>
      <c r="H2608" t="n">
        <v>0</v>
      </c>
      <c r="I2608" t="n">
        <v>0</v>
      </c>
      <c r="J2608" t="n">
        <v>0</v>
      </c>
      <c r="K2608" t="n">
        <v>0</v>
      </c>
      <c r="L2608" t="n">
        <v>0</v>
      </c>
      <c r="M2608" t="n">
        <v>0</v>
      </c>
      <c r="N2608" t="n">
        <v>0</v>
      </c>
      <c r="O2608" t="n">
        <v>0</v>
      </c>
      <c r="P2608" t="n">
        <v>0</v>
      </c>
      <c r="Q2608" t="n">
        <v>0</v>
      </c>
      <c r="R2608" s="2" t="inlineStr"/>
    </row>
    <row r="2609" ht="15" customHeight="1">
      <c r="A2609" t="inlineStr">
        <is>
          <t>A 53624-2024</t>
        </is>
      </c>
      <c r="B2609" s="1" t="n">
        <v>45614</v>
      </c>
      <c r="C2609" s="1" t="n">
        <v>45911</v>
      </c>
      <c r="D2609" t="inlineStr">
        <is>
          <t>GÄVLEBORGS LÄN</t>
        </is>
      </c>
      <c r="E2609" t="inlineStr">
        <is>
          <t>HUDIKSVALL</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17735-2024</t>
        </is>
      </c>
      <c r="B2610" s="1" t="n">
        <v>45418.5744675926</v>
      </c>
      <c r="C2610" s="1" t="n">
        <v>45911</v>
      </c>
      <c r="D2610" t="inlineStr">
        <is>
          <t>GÄVLEBORGS LÄN</t>
        </is>
      </c>
      <c r="E2610" t="inlineStr">
        <is>
          <t>SANDVIKEN</t>
        </is>
      </c>
      <c r="G2610" t="n">
        <v>5.1</v>
      </c>
      <c r="H2610" t="n">
        <v>0</v>
      </c>
      <c r="I2610" t="n">
        <v>0</v>
      </c>
      <c r="J2610" t="n">
        <v>0</v>
      </c>
      <c r="K2610" t="n">
        <v>0</v>
      </c>
      <c r="L2610" t="n">
        <v>0</v>
      </c>
      <c r="M2610" t="n">
        <v>0</v>
      </c>
      <c r="N2610" t="n">
        <v>0</v>
      </c>
      <c r="O2610" t="n">
        <v>0</v>
      </c>
      <c r="P2610" t="n">
        <v>0</v>
      </c>
      <c r="Q2610" t="n">
        <v>0</v>
      </c>
      <c r="R2610" s="2" t="inlineStr"/>
    </row>
    <row r="2611" ht="15" customHeight="1">
      <c r="A2611" t="inlineStr">
        <is>
          <t>A 25304-2021</t>
        </is>
      </c>
      <c r="B2611" s="1" t="n">
        <v>44342</v>
      </c>
      <c r="C2611" s="1" t="n">
        <v>45911</v>
      </c>
      <c r="D2611" t="inlineStr">
        <is>
          <t>GÄVLEBORGS LÄN</t>
        </is>
      </c>
      <c r="E2611" t="inlineStr">
        <is>
          <t>SANDVIKEN</t>
        </is>
      </c>
      <c r="F2611" t="inlineStr">
        <is>
          <t>Sveaskog</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25318-2021</t>
        </is>
      </c>
      <c r="B2612" s="1" t="n">
        <v>44342</v>
      </c>
      <c r="C2612" s="1" t="n">
        <v>45911</v>
      </c>
      <c r="D2612" t="inlineStr">
        <is>
          <t>GÄVLEBORGS LÄN</t>
        </is>
      </c>
      <c r="E2612" t="inlineStr">
        <is>
          <t>OCKELBO</t>
        </is>
      </c>
      <c r="G2612" t="n">
        <v>9.9</v>
      </c>
      <c r="H2612" t="n">
        <v>0</v>
      </c>
      <c r="I2612" t="n">
        <v>0</v>
      </c>
      <c r="J2612" t="n">
        <v>0</v>
      </c>
      <c r="K2612" t="n">
        <v>0</v>
      </c>
      <c r="L2612" t="n">
        <v>0</v>
      </c>
      <c r="M2612" t="n">
        <v>0</v>
      </c>
      <c r="N2612" t="n">
        <v>0</v>
      </c>
      <c r="O2612" t="n">
        <v>0</v>
      </c>
      <c r="P2612" t="n">
        <v>0</v>
      </c>
      <c r="Q2612" t="n">
        <v>0</v>
      </c>
      <c r="R2612" s="2" t="inlineStr"/>
    </row>
    <row r="2613" ht="15" customHeight="1">
      <c r="A2613" t="inlineStr">
        <is>
          <t>A 45696-2024</t>
        </is>
      </c>
      <c r="B2613" s="1" t="n">
        <v>45579.55864583333</v>
      </c>
      <c r="C2613" s="1" t="n">
        <v>45911</v>
      </c>
      <c r="D2613" t="inlineStr">
        <is>
          <t>GÄVLEBORGS LÄN</t>
        </is>
      </c>
      <c r="E2613" t="inlineStr">
        <is>
          <t>LJUSDAL</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54685-2024</t>
        </is>
      </c>
      <c r="B2614" s="1" t="n">
        <v>45618.36010416667</v>
      </c>
      <c r="C2614" s="1" t="n">
        <v>45911</v>
      </c>
      <c r="D2614" t="inlineStr">
        <is>
          <t>GÄVLEBORGS LÄN</t>
        </is>
      </c>
      <c r="E2614" t="inlineStr">
        <is>
          <t>NORDANSTIG</t>
        </is>
      </c>
      <c r="F2614" t="inlineStr">
        <is>
          <t>Holmen skog AB</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13025-2025</t>
        </is>
      </c>
      <c r="B2615" s="1" t="n">
        <v>45734.55638888889</v>
      </c>
      <c r="C2615" s="1" t="n">
        <v>45911</v>
      </c>
      <c r="D2615" t="inlineStr">
        <is>
          <t>GÄVLEBORGS LÄN</t>
        </is>
      </c>
      <c r="E2615" t="inlineStr">
        <is>
          <t>NORDANSTIG</t>
        </is>
      </c>
      <c r="G2615" t="n">
        <v>9.699999999999999</v>
      </c>
      <c r="H2615" t="n">
        <v>0</v>
      </c>
      <c r="I2615" t="n">
        <v>0</v>
      </c>
      <c r="J2615" t="n">
        <v>0</v>
      </c>
      <c r="K2615" t="n">
        <v>0</v>
      </c>
      <c r="L2615" t="n">
        <v>0</v>
      </c>
      <c r="M2615" t="n">
        <v>0</v>
      </c>
      <c r="N2615" t="n">
        <v>0</v>
      </c>
      <c r="O2615" t="n">
        <v>0</v>
      </c>
      <c r="P2615" t="n">
        <v>0</v>
      </c>
      <c r="Q2615" t="n">
        <v>0</v>
      </c>
      <c r="R2615" s="2" t="inlineStr"/>
    </row>
    <row r="2616" ht="15" customHeight="1">
      <c r="A2616" t="inlineStr">
        <is>
          <t>A 26085-2024</t>
        </is>
      </c>
      <c r="B2616" s="1" t="n">
        <v>45468.38417824074</v>
      </c>
      <c r="C2616" s="1" t="n">
        <v>45911</v>
      </c>
      <c r="D2616" t="inlineStr">
        <is>
          <t>GÄVLEBORGS LÄN</t>
        </is>
      </c>
      <c r="E2616" t="inlineStr">
        <is>
          <t>OCKELBO</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56755-2022</t>
        </is>
      </c>
      <c r="B2617" s="1" t="n">
        <v>44894</v>
      </c>
      <c r="C2617" s="1" t="n">
        <v>45911</v>
      </c>
      <c r="D2617" t="inlineStr">
        <is>
          <t>GÄVLEBORGS LÄN</t>
        </is>
      </c>
      <c r="E2617" t="inlineStr">
        <is>
          <t>BOLLNÄS</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16752-2025</t>
        </is>
      </c>
      <c r="B2618" s="1" t="n">
        <v>45754.56815972222</v>
      </c>
      <c r="C2618" s="1" t="n">
        <v>45911</v>
      </c>
      <c r="D2618" t="inlineStr">
        <is>
          <t>GÄVLEBORGS LÄN</t>
        </is>
      </c>
      <c r="E2618" t="inlineStr">
        <is>
          <t>OCKELBO</t>
        </is>
      </c>
      <c r="G2618" t="n">
        <v>4.5</v>
      </c>
      <c r="H2618" t="n">
        <v>0</v>
      </c>
      <c r="I2618" t="n">
        <v>0</v>
      </c>
      <c r="J2618" t="n">
        <v>0</v>
      </c>
      <c r="K2618" t="n">
        <v>0</v>
      </c>
      <c r="L2618" t="n">
        <v>0</v>
      </c>
      <c r="M2618" t="n">
        <v>0</v>
      </c>
      <c r="N2618" t="n">
        <v>0</v>
      </c>
      <c r="O2618" t="n">
        <v>0</v>
      </c>
      <c r="P2618" t="n">
        <v>0</v>
      </c>
      <c r="Q2618" t="n">
        <v>0</v>
      </c>
      <c r="R2618" s="2" t="inlineStr"/>
    </row>
    <row r="2619" ht="15" customHeight="1">
      <c r="A2619" t="inlineStr">
        <is>
          <t>A 7569-2022</t>
        </is>
      </c>
      <c r="B2619" s="1" t="n">
        <v>44607</v>
      </c>
      <c r="C2619" s="1" t="n">
        <v>45911</v>
      </c>
      <c r="D2619" t="inlineStr">
        <is>
          <t>GÄVLEBORGS LÄN</t>
        </is>
      </c>
      <c r="E2619" t="inlineStr">
        <is>
          <t>OVANÅKER</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64000-2023</t>
        </is>
      </c>
      <c r="B2620" s="1" t="n">
        <v>45278</v>
      </c>
      <c r="C2620" s="1" t="n">
        <v>45911</v>
      </c>
      <c r="D2620" t="inlineStr">
        <is>
          <t>GÄVLEBORGS LÄN</t>
        </is>
      </c>
      <c r="E2620" t="inlineStr">
        <is>
          <t>SANDVIKEN</t>
        </is>
      </c>
      <c r="G2620" t="n">
        <v>2.9</v>
      </c>
      <c r="H2620" t="n">
        <v>0</v>
      </c>
      <c r="I2620" t="n">
        <v>0</v>
      </c>
      <c r="J2620" t="n">
        <v>0</v>
      </c>
      <c r="K2620" t="n">
        <v>0</v>
      </c>
      <c r="L2620" t="n">
        <v>0</v>
      </c>
      <c r="M2620" t="n">
        <v>0</v>
      </c>
      <c r="N2620" t="n">
        <v>0</v>
      </c>
      <c r="O2620" t="n">
        <v>0</v>
      </c>
      <c r="P2620" t="n">
        <v>0</v>
      </c>
      <c r="Q2620" t="n">
        <v>0</v>
      </c>
      <c r="R2620" s="2" t="inlineStr"/>
    </row>
    <row r="2621" ht="15" customHeight="1">
      <c r="A2621" t="inlineStr">
        <is>
          <t>A 12480-2021</t>
        </is>
      </c>
      <c r="B2621" s="1" t="n">
        <v>44267.69099537037</v>
      </c>
      <c r="C2621" s="1" t="n">
        <v>45911</v>
      </c>
      <c r="D2621" t="inlineStr">
        <is>
          <t>GÄVLEBORGS LÄN</t>
        </is>
      </c>
      <c r="E2621" t="inlineStr">
        <is>
          <t>OCKELBO</t>
        </is>
      </c>
      <c r="F2621" t="inlineStr">
        <is>
          <t>Bergvik skog väst AB</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44577-2024</t>
        </is>
      </c>
      <c r="B2622" s="1" t="n">
        <v>45574.4846875</v>
      </c>
      <c r="C2622" s="1" t="n">
        <v>45911</v>
      </c>
      <c r="D2622" t="inlineStr">
        <is>
          <t>GÄVLEBORGS LÄN</t>
        </is>
      </c>
      <c r="E2622" t="inlineStr">
        <is>
          <t>OVANÅKER</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5345-2025</t>
        </is>
      </c>
      <c r="B2623" s="1" t="n">
        <v>45688</v>
      </c>
      <c r="C2623" s="1" t="n">
        <v>45911</v>
      </c>
      <c r="D2623" t="inlineStr">
        <is>
          <t>GÄVLEBORGS LÄN</t>
        </is>
      </c>
      <c r="E2623" t="inlineStr">
        <is>
          <t>HUDIKSVALL</t>
        </is>
      </c>
      <c r="G2623" t="n">
        <v>3.6</v>
      </c>
      <c r="H2623" t="n">
        <v>0</v>
      </c>
      <c r="I2623" t="n">
        <v>0</v>
      </c>
      <c r="J2623" t="n">
        <v>0</v>
      </c>
      <c r="K2623" t="n">
        <v>0</v>
      </c>
      <c r="L2623" t="n">
        <v>0</v>
      </c>
      <c r="M2623" t="n">
        <v>0</v>
      </c>
      <c r="N2623" t="n">
        <v>0</v>
      </c>
      <c r="O2623" t="n">
        <v>0</v>
      </c>
      <c r="P2623" t="n">
        <v>0</v>
      </c>
      <c r="Q2623" t="n">
        <v>0</v>
      </c>
      <c r="R2623" s="2" t="inlineStr"/>
    </row>
    <row r="2624" ht="15" customHeight="1">
      <c r="A2624" t="inlineStr">
        <is>
          <t>A 58373-2024</t>
        </is>
      </c>
      <c r="B2624" s="1" t="n">
        <v>45632</v>
      </c>
      <c r="C2624" s="1" t="n">
        <v>45911</v>
      </c>
      <c r="D2624" t="inlineStr">
        <is>
          <t>GÄVLEBORGS LÄN</t>
        </is>
      </c>
      <c r="E2624" t="inlineStr">
        <is>
          <t>GÄVLE</t>
        </is>
      </c>
      <c r="G2624" t="n">
        <v>13.1</v>
      </c>
      <c r="H2624" t="n">
        <v>0</v>
      </c>
      <c r="I2624" t="n">
        <v>0</v>
      </c>
      <c r="J2624" t="n">
        <v>0</v>
      </c>
      <c r="K2624" t="n">
        <v>0</v>
      </c>
      <c r="L2624" t="n">
        <v>0</v>
      </c>
      <c r="M2624" t="n">
        <v>0</v>
      </c>
      <c r="N2624" t="n">
        <v>0</v>
      </c>
      <c r="O2624" t="n">
        <v>0</v>
      </c>
      <c r="P2624" t="n">
        <v>0</v>
      </c>
      <c r="Q2624" t="n">
        <v>0</v>
      </c>
      <c r="R2624" s="2" t="inlineStr"/>
    </row>
    <row r="2625" ht="15" customHeight="1">
      <c r="A2625" t="inlineStr">
        <is>
          <t>A 60292-2024</t>
        </is>
      </c>
      <c r="B2625" s="1" t="n">
        <v>45643.28773148148</v>
      </c>
      <c r="C2625" s="1" t="n">
        <v>45911</v>
      </c>
      <c r="D2625" t="inlineStr">
        <is>
          <t>GÄVLEBORGS LÄN</t>
        </is>
      </c>
      <c r="E2625" t="inlineStr">
        <is>
          <t>SÖDERHAMN</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24610-2025</t>
        </is>
      </c>
      <c r="B2626" s="1" t="n">
        <v>45798.58113425926</v>
      </c>
      <c r="C2626" s="1" t="n">
        <v>45911</v>
      </c>
      <c r="D2626" t="inlineStr">
        <is>
          <t>GÄVLEBORGS LÄN</t>
        </is>
      </c>
      <c r="E2626" t="inlineStr">
        <is>
          <t>SÖDERHAMN</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24616-2025</t>
        </is>
      </c>
      <c r="B2627" s="1" t="n">
        <v>45798.5837962963</v>
      </c>
      <c r="C2627" s="1" t="n">
        <v>45911</v>
      </c>
      <c r="D2627" t="inlineStr">
        <is>
          <t>GÄVLEBORGS LÄN</t>
        </is>
      </c>
      <c r="E2627" t="inlineStr">
        <is>
          <t>GÄVLE</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24382-2025</t>
        </is>
      </c>
      <c r="B2628" s="1" t="n">
        <v>45797.62836805556</v>
      </c>
      <c r="C2628" s="1" t="n">
        <v>45911</v>
      </c>
      <c r="D2628" t="inlineStr">
        <is>
          <t>GÄVLEBORGS LÄN</t>
        </is>
      </c>
      <c r="E2628" t="inlineStr">
        <is>
          <t>HUDIKSVALL</t>
        </is>
      </c>
      <c r="G2628" t="n">
        <v>11.6</v>
      </c>
      <c r="H2628" t="n">
        <v>0</v>
      </c>
      <c r="I2628" t="n">
        <v>0</v>
      </c>
      <c r="J2628" t="n">
        <v>0</v>
      </c>
      <c r="K2628" t="n">
        <v>0</v>
      </c>
      <c r="L2628" t="n">
        <v>0</v>
      </c>
      <c r="M2628" t="n">
        <v>0</v>
      </c>
      <c r="N2628" t="n">
        <v>0</v>
      </c>
      <c r="O2628" t="n">
        <v>0</v>
      </c>
      <c r="P2628" t="n">
        <v>0</v>
      </c>
      <c r="Q2628" t="n">
        <v>0</v>
      </c>
      <c r="R2628" s="2" t="inlineStr"/>
    </row>
    <row r="2629" ht="15" customHeight="1">
      <c r="A2629" t="inlineStr">
        <is>
          <t>A 24417-2025</t>
        </is>
      </c>
      <c r="B2629" s="1" t="n">
        <v>45797.67623842593</v>
      </c>
      <c r="C2629" s="1" t="n">
        <v>45911</v>
      </c>
      <c r="D2629" t="inlineStr">
        <is>
          <t>GÄVLEBORGS LÄN</t>
        </is>
      </c>
      <c r="E2629" t="inlineStr">
        <is>
          <t>SÖDERHAMN</t>
        </is>
      </c>
      <c r="F2629" t="inlineStr">
        <is>
          <t>Bergvik skog väst AB</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24405-2025</t>
        </is>
      </c>
      <c r="B2630" s="1" t="n">
        <v>45797.65386574074</v>
      </c>
      <c r="C2630" s="1" t="n">
        <v>45911</v>
      </c>
      <c r="D2630" t="inlineStr">
        <is>
          <t>GÄVLEBORGS LÄN</t>
        </is>
      </c>
      <c r="E2630" t="inlineStr">
        <is>
          <t>LJUSDAL</t>
        </is>
      </c>
      <c r="G2630" t="n">
        <v>9.1</v>
      </c>
      <c r="H2630" t="n">
        <v>0</v>
      </c>
      <c r="I2630" t="n">
        <v>0</v>
      </c>
      <c r="J2630" t="n">
        <v>0</v>
      </c>
      <c r="K2630" t="n">
        <v>0</v>
      </c>
      <c r="L2630" t="n">
        <v>0</v>
      </c>
      <c r="M2630" t="n">
        <v>0</v>
      </c>
      <c r="N2630" t="n">
        <v>0</v>
      </c>
      <c r="O2630" t="n">
        <v>0</v>
      </c>
      <c r="P2630" t="n">
        <v>0</v>
      </c>
      <c r="Q2630" t="n">
        <v>0</v>
      </c>
      <c r="R2630" s="2" t="inlineStr"/>
    </row>
    <row r="2631" ht="15" customHeight="1">
      <c r="A2631" t="inlineStr">
        <is>
          <t>A 53517-2024</t>
        </is>
      </c>
      <c r="B2631" s="1" t="n">
        <v>45614.60436342593</v>
      </c>
      <c r="C2631" s="1" t="n">
        <v>45911</v>
      </c>
      <c r="D2631" t="inlineStr">
        <is>
          <t>GÄVLEBORGS LÄN</t>
        </is>
      </c>
      <c r="E2631" t="inlineStr">
        <is>
          <t>HOFORS</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25723-2024</t>
        </is>
      </c>
      <c r="B2632" s="1" t="n">
        <v>45463.95457175926</v>
      </c>
      <c r="C2632" s="1" t="n">
        <v>45911</v>
      </c>
      <c r="D2632" t="inlineStr">
        <is>
          <t>GÄVLEBORGS LÄN</t>
        </is>
      </c>
      <c r="E2632" t="inlineStr">
        <is>
          <t>NORDANSTIG</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21927-2024</t>
        </is>
      </c>
      <c r="B2633" s="1" t="n">
        <v>45443.46575231481</v>
      </c>
      <c r="C2633" s="1" t="n">
        <v>45911</v>
      </c>
      <c r="D2633" t="inlineStr">
        <is>
          <t>GÄVLEBORGS LÄN</t>
        </is>
      </c>
      <c r="E2633" t="inlineStr">
        <is>
          <t>HUDIKSVALL</t>
        </is>
      </c>
      <c r="F2633" t="inlineStr">
        <is>
          <t>Holmen skog AB</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21940-2024</t>
        </is>
      </c>
      <c r="B2634" s="1" t="n">
        <v>45443.4759375</v>
      </c>
      <c r="C2634" s="1" t="n">
        <v>45911</v>
      </c>
      <c r="D2634" t="inlineStr">
        <is>
          <t>GÄVLEBORGS LÄN</t>
        </is>
      </c>
      <c r="E2634" t="inlineStr">
        <is>
          <t>HUDIKSVALL</t>
        </is>
      </c>
      <c r="F2634" t="inlineStr">
        <is>
          <t>Holmen skog AB</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24619-2025</t>
        </is>
      </c>
      <c r="B2635" s="1" t="n">
        <v>45798.59127314815</v>
      </c>
      <c r="C2635" s="1" t="n">
        <v>45911</v>
      </c>
      <c r="D2635" t="inlineStr">
        <is>
          <t>GÄVLEBORGS LÄN</t>
        </is>
      </c>
      <c r="E2635" t="inlineStr">
        <is>
          <t>GÄVLE</t>
        </is>
      </c>
      <c r="G2635" t="n">
        <v>3.5</v>
      </c>
      <c r="H2635" t="n">
        <v>0</v>
      </c>
      <c r="I2635" t="n">
        <v>0</v>
      </c>
      <c r="J2635" t="n">
        <v>0</v>
      </c>
      <c r="K2635" t="n">
        <v>0</v>
      </c>
      <c r="L2635" t="n">
        <v>0</v>
      </c>
      <c r="M2635" t="n">
        <v>0</v>
      </c>
      <c r="N2635" t="n">
        <v>0</v>
      </c>
      <c r="O2635" t="n">
        <v>0</v>
      </c>
      <c r="P2635" t="n">
        <v>0</v>
      </c>
      <c r="Q2635" t="n">
        <v>0</v>
      </c>
      <c r="R2635" s="2" t="inlineStr"/>
    </row>
    <row r="2636" ht="15" customHeight="1">
      <c r="A2636" t="inlineStr">
        <is>
          <t>A 24585-2025</t>
        </is>
      </c>
      <c r="B2636" s="1" t="n">
        <v>45798.5110300926</v>
      </c>
      <c r="C2636" s="1" t="n">
        <v>45911</v>
      </c>
      <c r="D2636" t="inlineStr">
        <is>
          <t>GÄVLEBORGS LÄN</t>
        </is>
      </c>
      <c r="E2636" t="inlineStr">
        <is>
          <t>SANDVIKEN</t>
        </is>
      </c>
      <c r="G2636" t="n">
        <v>10.5</v>
      </c>
      <c r="H2636" t="n">
        <v>0</v>
      </c>
      <c r="I2636" t="n">
        <v>0</v>
      </c>
      <c r="J2636" t="n">
        <v>0</v>
      </c>
      <c r="K2636" t="n">
        <v>0</v>
      </c>
      <c r="L2636" t="n">
        <v>0</v>
      </c>
      <c r="M2636" t="n">
        <v>0</v>
      </c>
      <c r="N2636" t="n">
        <v>0</v>
      </c>
      <c r="O2636" t="n">
        <v>0</v>
      </c>
      <c r="P2636" t="n">
        <v>0</v>
      </c>
      <c r="Q2636" t="n">
        <v>0</v>
      </c>
      <c r="R2636" s="2" t="inlineStr"/>
    </row>
    <row r="2637" ht="15" customHeight="1">
      <c r="A2637" t="inlineStr">
        <is>
          <t>A 24240-2025</t>
        </is>
      </c>
      <c r="B2637" s="1" t="n">
        <v>45797</v>
      </c>
      <c r="C2637" s="1" t="n">
        <v>45911</v>
      </c>
      <c r="D2637" t="inlineStr">
        <is>
          <t>GÄVLEBORGS LÄN</t>
        </is>
      </c>
      <c r="E2637" t="inlineStr">
        <is>
          <t>HUDIKSVALL</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24307-2025</t>
        </is>
      </c>
      <c r="B2638" s="1" t="n">
        <v>45797.49787037037</v>
      </c>
      <c r="C2638" s="1" t="n">
        <v>45911</v>
      </c>
      <c r="D2638" t="inlineStr">
        <is>
          <t>GÄVLEBORGS LÄN</t>
        </is>
      </c>
      <c r="E2638" t="inlineStr">
        <is>
          <t>SÖDERHAMN</t>
        </is>
      </c>
      <c r="F2638" t="inlineStr">
        <is>
          <t>Bergvik skog väst AB</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46377-2022</t>
        </is>
      </c>
      <c r="B2639" s="1" t="n">
        <v>44848.36462962963</v>
      </c>
      <c r="C2639" s="1" t="n">
        <v>45911</v>
      </c>
      <c r="D2639" t="inlineStr">
        <is>
          <t>GÄVLEBORGS LÄN</t>
        </is>
      </c>
      <c r="E2639" t="inlineStr">
        <is>
          <t>OVANÅKER</t>
        </is>
      </c>
      <c r="F2639" t="inlineStr">
        <is>
          <t>Sveaskog</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54945-2022</t>
        </is>
      </c>
      <c r="B2640" s="1" t="n">
        <v>44886.46003472222</v>
      </c>
      <c r="C2640" s="1" t="n">
        <v>45911</v>
      </c>
      <c r="D2640" t="inlineStr">
        <is>
          <t>GÄVLEBORGS LÄN</t>
        </is>
      </c>
      <c r="E2640" t="inlineStr">
        <is>
          <t>BOLLNÄS</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21991-2024</t>
        </is>
      </c>
      <c r="B2641" s="1" t="n">
        <v>45443.55751157407</v>
      </c>
      <c r="C2641" s="1" t="n">
        <v>45911</v>
      </c>
      <c r="D2641" t="inlineStr">
        <is>
          <t>GÄVLEBORGS LÄN</t>
        </is>
      </c>
      <c r="E2641" t="inlineStr">
        <is>
          <t>SÖDERHAMN</t>
        </is>
      </c>
      <c r="F2641" t="inlineStr">
        <is>
          <t>Kommuner</t>
        </is>
      </c>
      <c r="G2641" t="n">
        <v>5.9</v>
      </c>
      <c r="H2641" t="n">
        <v>0</v>
      </c>
      <c r="I2641" t="n">
        <v>0</v>
      </c>
      <c r="J2641" t="n">
        <v>0</v>
      </c>
      <c r="K2641" t="n">
        <v>0</v>
      </c>
      <c r="L2641" t="n">
        <v>0</v>
      </c>
      <c r="M2641" t="n">
        <v>0</v>
      </c>
      <c r="N2641" t="n">
        <v>0</v>
      </c>
      <c r="O2641" t="n">
        <v>0</v>
      </c>
      <c r="P2641" t="n">
        <v>0</v>
      </c>
      <c r="Q2641" t="n">
        <v>0</v>
      </c>
      <c r="R2641" s="2" t="inlineStr"/>
    </row>
    <row r="2642" ht="15" customHeight="1">
      <c r="A2642" t="inlineStr">
        <is>
          <t>A 31676-2022</t>
        </is>
      </c>
      <c r="B2642" s="1" t="n">
        <v>44776</v>
      </c>
      <c r="C2642" s="1" t="n">
        <v>45911</v>
      </c>
      <c r="D2642" t="inlineStr">
        <is>
          <t>GÄVLEBORGS LÄN</t>
        </is>
      </c>
      <c r="E2642" t="inlineStr">
        <is>
          <t>SÖDERHAMN</t>
        </is>
      </c>
      <c r="F2642" t="inlineStr">
        <is>
          <t>Bergvik skog väst AB</t>
        </is>
      </c>
      <c r="G2642" t="n">
        <v>4.6</v>
      </c>
      <c r="H2642" t="n">
        <v>0</v>
      </c>
      <c r="I2642" t="n">
        <v>0</v>
      </c>
      <c r="J2642" t="n">
        <v>0</v>
      </c>
      <c r="K2642" t="n">
        <v>0</v>
      </c>
      <c r="L2642" t="n">
        <v>0</v>
      </c>
      <c r="M2642" t="n">
        <v>0</v>
      </c>
      <c r="N2642" t="n">
        <v>0</v>
      </c>
      <c r="O2642" t="n">
        <v>0</v>
      </c>
      <c r="P2642" t="n">
        <v>0</v>
      </c>
      <c r="Q2642" t="n">
        <v>0</v>
      </c>
      <c r="R2642" s="2" t="inlineStr"/>
    </row>
    <row r="2643" ht="15" customHeight="1">
      <c r="A2643" t="inlineStr">
        <is>
          <t>A 23928-2024</t>
        </is>
      </c>
      <c r="B2643" s="1" t="n">
        <v>45455.93178240741</v>
      </c>
      <c r="C2643" s="1" t="n">
        <v>45911</v>
      </c>
      <c r="D2643" t="inlineStr">
        <is>
          <t>GÄVLEBORGS LÄN</t>
        </is>
      </c>
      <c r="E2643" t="inlineStr">
        <is>
          <t>LJUSDAL</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47700-2024</t>
        </is>
      </c>
      <c r="B2644" s="1" t="n">
        <v>45588.46262731482</v>
      </c>
      <c r="C2644" s="1" t="n">
        <v>45911</v>
      </c>
      <c r="D2644" t="inlineStr">
        <is>
          <t>GÄVLEBORGS LÄN</t>
        </is>
      </c>
      <c r="E2644" t="inlineStr">
        <is>
          <t>HUDIKSVALL</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35741-2024</t>
        </is>
      </c>
      <c r="B2645" s="1" t="n">
        <v>45532.53859953704</v>
      </c>
      <c r="C2645" s="1" t="n">
        <v>45911</v>
      </c>
      <c r="D2645" t="inlineStr">
        <is>
          <t>GÄVLEBORGS LÄN</t>
        </is>
      </c>
      <c r="E2645" t="inlineStr">
        <is>
          <t>NORDANSTIG</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59615-2023</t>
        </is>
      </c>
      <c r="B2646" s="1" t="n">
        <v>45254</v>
      </c>
      <c r="C2646" s="1" t="n">
        <v>45911</v>
      </c>
      <c r="D2646" t="inlineStr">
        <is>
          <t>GÄVLEBORGS LÄN</t>
        </is>
      </c>
      <c r="E2646" t="inlineStr">
        <is>
          <t>HOFORS</t>
        </is>
      </c>
      <c r="F2646" t="inlineStr">
        <is>
          <t>Sveaskog</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24225-2025</t>
        </is>
      </c>
      <c r="B2647" s="1" t="n">
        <v>45797.36991898148</v>
      </c>
      <c r="C2647" s="1" t="n">
        <v>45911</v>
      </c>
      <c r="D2647" t="inlineStr">
        <is>
          <t>GÄVLEBORGS LÄN</t>
        </is>
      </c>
      <c r="E2647" t="inlineStr">
        <is>
          <t>GÄVLE</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25900-2024</t>
        </is>
      </c>
      <c r="B2648" s="1" t="n">
        <v>45467.55809027778</v>
      </c>
      <c r="C2648" s="1" t="n">
        <v>45911</v>
      </c>
      <c r="D2648" t="inlineStr">
        <is>
          <t>GÄVLEBORGS LÄN</t>
        </is>
      </c>
      <c r="E2648" t="inlineStr">
        <is>
          <t>SÖDERHAMN</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24611-2025</t>
        </is>
      </c>
      <c r="B2649" s="1" t="n">
        <v>45798.58106481482</v>
      </c>
      <c r="C2649" s="1" t="n">
        <v>45911</v>
      </c>
      <c r="D2649" t="inlineStr">
        <is>
          <t>GÄVLEBORGS LÄN</t>
        </is>
      </c>
      <c r="E2649" t="inlineStr">
        <is>
          <t>GÄVLE</t>
        </is>
      </c>
      <c r="G2649" t="n">
        <v>4.8</v>
      </c>
      <c r="H2649" t="n">
        <v>0</v>
      </c>
      <c r="I2649" t="n">
        <v>0</v>
      </c>
      <c r="J2649" t="n">
        <v>0</v>
      </c>
      <c r="K2649" t="n">
        <v>0</v>
      </c>
      <c r="L2649" t="n">
        <v>0</v>
      </c>
      <c r="M2649" t="n">
        <v>0</v>
      </c>
      <c r="N2649" t="n">
        <v>0</v>
      </c>
      <c r="O2649" t="n">
        <v>0</v>
      </c>
      <c r="P2649" t="n">
        <v>0</v>
      </c>
      <c r="Q2649" t="n">
        <v>0</v>
      </c>
      <c r="R2649" s="2" t="inlineStr"/>
    </row>
    <row r="2650" ht="15" customHeight="1">
      <c r="A2650" t="inlineStr">
        <is>
          <t>A 24239-2025</t>
        </is>
      </c>
      <c r="B2650" s="1" t="n">
        <v>45797</v>
      </c>
      <c r="C2650" s="1" t="n">
        <v>45911</v>
      </c>
      <c r="D2650" t="inlineStr">
        <is>
          <t>GÄVLEBORGS LÄN</t>
        </is>
      </c>
      <c r="E2650" t="inlineStr">
        <is>
          <t>HUDIKSVALL</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24612-2025</t>
        </is>
      </c>
      <c r="B2651" s="1" t="n">
        <v>45798</v>
      </c>
      <c r="C2651" s="1" t="n">
        <v>45911</v>
      </c>
      <c r="D2651" t="inlineStr">
        <is>
          <t>GÄVLEBORGS LÄN</t>
        </is>
      </c>
      <c r="E2651" t="inlineStr">
        <is>
          <t>GÄVLE</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24614-2025</t>
        </is>
      </c>
      <c r="B2652" s="1" t="n">
        <v>45798.58292824074</v>
      </c>
      <c r="C2652" s="1" t="n">
        <v>45911</v>
      </c>
      <c r="D2652" t="inlineStr">
        <is>
          <t>GÄVLEBORGS LÄN</t>
        </is>
      </c>
      <c r="E2652" t="inlineStr">
        <is>
          <t>GÄVLE</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21229-2025</t>
        </is>
      </c>
      <c r="B2653" s="1" t="n">
        <v>45779</v>
      </c>
      <c r="C2653" s="1" t="n">
        <v>45911</v>
      </c>
      <c r="D2653" t="inlineStr">
        <is>
          <t>GÄVLEBORGS LÄN</t>
        </is>
      </c>
      <c r="E2653" t="inlineStr">
        <is>
          <t>HUDIKSVALL</t>
        </is>
      </c>
      <c r="F2653" t="inlineStr">
        <is>
          <t>Holmen skog AB</t>
        </is>
      </c>
      <c r="G2653" t="n">
        <v>38.1</v>
      </c>
      <c r="H2653" t="n">
        <v>0</v>
      </c>
      <c r="I2653" t="n">
        <v>0</v>
      </c>
      <c r="J2653" t="n">
        <v>0</v>
      </c>
      <c r="K2653" t="n">
        <v>0</v>
      </c>
      <c r="L2653" t="n">
        <v>0</v>
      </c>
      <c r="M2653" t="n">
        <v>0</v>
      </c>
      <c r="N2653" t="n">
        <v>0</v>
      </c>
      <c r="O2653" t="n">
        <v>0</v>
      </c>
      <c r="P2653" t="n">
        <v>0</v>
      </c>
      <c r="Q2653" t="n">
        <v>0</v>
      </c>
      <c r="R2653" s="2" t="inlineStr"/>
    </row>
    <row r="2654" ht="15" customHeight="1">
      <c r="A2654" t="inlineStr">
        <is>
          <t>A 15502-2025</t>
        </is>
      </c>
      <c r="B2654" s="1" t="n">
        <v>45747.58980324074</v>
      </c>
      <c r="C2654" s="1" t="n">
        <v>45911</v>
      </c>
      <c r="D2654" t="inlineStr">
        <is>
          <t>GÄVLEBORGS LÄN</t>
        </is>
      </c>
      <c r="E2654" t="inlineStr">
        <is>
          <t>OCKELBO</t>
        </is>
      </c>
      <c r="F2654" t="inlineStr">
        <is>
          <t>Bergvik skog väst AB</t>
        </is>
      </c>
      <c r="G2654" t="n">
        <v>5.7</v>
      </c>
      <c r="H2654" t="n">
        <v>0</v>
      </c>
      <c r="I2654" t="n">
        <v>0</v>
      </c>
      <c r="J2654" t="n">
        <v>0</v>
      </c>
      <c r="K2654" t="n">
        <v>0</v>
      </c>
      <c r="L2654" t="n">
        <v>0</v>
      </c>
      <c r="M2654" t="n">
        <v>0</v>
      </c>
      <c r="N2654" t="n">
        <v>0</v>
      </c>
      <c r="O2654" t="n">
        <v>0</v>
      </c>
      <c r="P2654" t="n">
        <v>0</v>
      </c>
      <c r="Q2654" t="n">
        <v>0</v>
      </c>
      <c r="R2654" s="2" t="inlineStr"/>
    </row>
    <row r="2655" ht="15" customHeight="1">
      <c r="A2655" t="inlineStr">
        <is>
          <t>A 24215-2025</t>
        </is>
      </c>
      <c r="B2655" s="1" t="n">
        <v>45797.35431712963</v>
      </c>
      <c r="C2655" s="1" t="n">
        <v>45911</v>
      </c>
      <c r="D2655" t="inlineStr">
        <is>
          <t>GÄVLEBORGS LÄN</t>
        </is>
      </c>
      <c r="E2655" t="inlineStr">
        <is>
          <t>GÄVLE</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37294-2024</t>
        </is>
      </c>
      <c r="B2656" s="1" t="n">
        <v>45540.44701388889</v>
      </c>
      <c r="C2656" s="1" t="n">
        <v>45911</v>
      </c>
      <c r="D2656" t="inlineStr">
        <is>
          <t>GÄVLEBORGS LÄN</t>
        </is>
      </c>
      <c r="E2656" t="inlineStr">
        <is>
          <t>NORDANSTIG</t>
        </is>
      </c>
      <c r="G2656" t="n">
        <v>3.9</v>
      </c>
      <c r="H2656" t="n">
        <v>0</v>
      </c>
      <c r="I2656" t="n">
        <v>0</v>
      </c>
      <c r="J2656" t="n">
        <v>0</v>
      </c>
      <c r="K2656" t="n">
        <v>0</v>
      </c>
      <c r="L2656" t="n">
        <v>0</v>
      </c>
      <c r="M2656" t="n">
        <v>0</v>
      </c>
      <c r="N2656" t="n">
        <v>0</v>
      </c>
      <c r="O2656" t="n">
        <v>0</v>
      </c>
      <c r="P2656" t="n">
        <v>0</v>
      </c>
      <c r="Q2656" t="n">
        <v>0</v>
      </c>
      <c r="R2656" s="2" t="inlineStr"/>
    </row>
    <row r="2657" ht="15" customHeight="1">
      <c r="A2657" t="inlineStr">
        <is>
          <t>A 59154-2024</t>
        </is>
      </c>
      <c r="B2657" s="1" t="n">
        <v>45637</v>
      </c>
      <c r="C2657" s="1" t="n">
        <v>45911</v>
      </c>
      <c r="D2657" t="inlineStr">
        <is>
          <t>GÄVLEBORGS LÄN</t>
        </is>
      </c>
      <c r="E2657" t="inlineStr">
        <is>
          <t>GÄVLE</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24395-2025</t>
        </is>
      </c>
      <c r="B2658" s="1" t="n">
        <v>45797.63881944444</v>
      </c>
      <c r="C2658" s="1" t="n">
        <v>45911</v>
      </c>
      <c r="D2658" t="inlineStr">
        <is>
          <t>GÄVLEBORGS LÄN</t>
        </is>
      </c>
      <c r="E2658" t="inlineStr">
        <is>
          <t>HOFORS</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24370-2025</t>
        </is>
      </c>
      <c r="B2659" s="1" t="n">
        <v>45797.60760416667</v>
      </c>
      <c r="C2659" s="1" t="n">
        <v>45911</v>
      </c>
      <c r="D2659" t="inlineStr">
        <is>
          <t>GÄVLEBORGS LÄN</t>
        </is>
      </c>
      <c r="E2659" t="inlineStr">
        <is>
          <t>HUDIKSVALL</t>
        </is>
      </c>
      <c r="F2659" t="inlineStr">
        <is>
          <t>Holmen skog AB</t>
        </is>
      </c>
      <c r="G2659" t="n">
        <v>6.9</v>
      </c>
      <c r="H2659" t="n">
        <v>0</v>
      </c>
      <c r="I2659" t="n">
        <v>0</v>
      </c>
      <c r="J2659" t="n">
        <v>0</v>
      </c>
      <c r="K2659" t="n">
        <v>0</v>
      </c>
      <c r="L2659" t="n">
        <v>0</v>
      </c>
      <c r="M2659" t="n">
        <v>0</v>
      </c>
      <c r="N2659" t="n">
        <v>0</v>
      </c>
      <c r="O2659" t="n">
        <v>0</v>
      </c>
      <c r="P2659" t="n">
        <v>0</v>
      </c>
      <c r="Q2659" t="n">
        <v>0</v>
      </c>
      <c r="R2659" s="2" t="inlineStr"/>
    </row>
    <row r="2660" ht="15" customHeight="1">
      <c r="A2660" t="inlineStr">
        <is>
          <t>A 24229-2025</t>
        </is>
      </c>
      <c r="B2660" s="1" t="n">
        <v>45797.37581018519</v>
      </c>
      <c r="C2660" s="1" t="n">
        <v>45911</v>
      </c>
      <c r="D2660" t="inlineStr">
        <is>
          <t>GÄVLEBORGS LÄN</t>
        </is>
      </c>
      <c r="E2660" t="inlineStr">
        <is>
          <t>GÄVLE</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49470-2024</t>
        </is>
      </c>
      <c r="B2661" s="1" t="n">
        <v>45596.34179398148</v>
      </c>
      <c r="C2661" s="1" t="n">
        <v>45911</v>
      </c>
      <c r="D2661" t="inlineStr">
        <is>
          <t>GÄVLEBORGS LÄN</t>
        </is>
      </c>
      <c r="E2661" t="inlineStr">
        <is>
          <t>OCKELBO</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33981-2024</t>
        </is>
      </c>
      <c r="B2662" s="1" t="n">
        <v>45523.52111111111</v>
      </c>
      <c r="C2662" s="1" t="n">
        <v>45911</v>
      </c>
      <c r="D2662" t="inlineStr">
        <is>
          <t>GÄVLEBORGS LÄN</t>
        </is>
      </c>
      <c r="E2662" t="inlineStr">
        <is>
          <t>HOFORS</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24228-2025</t>
        </is>
      </c>
      <c r="B2663" s="1" t="n">
        <v>45797.37373842593</v>
      </c>
      <c r="C2663" s="1" t="n">
        <v>45911</v>
      </c>
      <c r="D2663" t="inlineStr">
        <is>
          <t>GÄVLEBORGS LÄN</t>
        </is>
      </c>
      <c r="E2663" t="inlineStr">
        <is>
          <t>GÄVLE</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31805-2024</t>
        </is>
      </c>
      <c r="B2664" s="1" t="n">
        <v>45509</v>
      </c>
      <c r="C2664" s="1" t="n">
        <v>45911</v>
      </c>
      <c r="D2664" t="inlineStr">
        <is>
          <t>GÄVLEBORGS LÄN</t>
        </is>
      </c>
      <c r="E2664" t="inlineStr">
        <is>
          <t>SÖDERHAMN</t>
        </is>
      </c>
      <c r="G2664" t="n">
        <v>7.3</v>
      </c>
      <c r="H2664" t="n">
        <v>0</v>
      </c>
      <c r="I2664" t="n">
        <v>0</v>
      </c>
      <c r="J2664" t="n">
        <v>0</v>
      </c>
      <c r="K2664" t="n">
        <v>0</v>
      </c>
      <c r="L2664" t="n">
        <v>0</v>
      </c>
      <c r="M2664" t="n">
        <v>0</v>
      </c>
      <c r="N2664" t="n">
        <v>0</v>
      </c>
      <c r="O2664" t="n">
        <v>0</v>
      </c>
      <c r="P2664" t="n">
        <v>0</v>
      </c>
      <c r="Q2664" t="n">
        <v>0</v>
      </c>
      <c r="R2664" s="2" t="inlineStr"/>
    </row>
    <row r="2665" ht="15" customHeight="1">
      <c r="A2665" t="inlineStr">
        <is>
          <t>A 60347-2024</t>
        </is>
      </c>
      <c r="B2665" s="1" t="n">
        <v>45643.42839120371</v>
      </c>
      <c r="C2665" s="1" t="n">
        <v>45911</v>
      </c>
      <c r="D2665" t="inlineStr">
        <is>
          <t>GÄVLEBORGS LÄN</t>
        </is>
      </c>
      <c r="E2665" t="inlineStr">
        <is>
          <t>SÖDERHAMN</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24452-2025</t>
        </is>
      </c>
      <c r="B2666" s="1" t="n">
        <v>45798.34284722222</v>
      </c>
      <c r="C2666" s="1" t="n">
        <v>45911</v>
      </c>
      <c r="D2666" t="inlineStr">
        <is>
          <t>GÄVLEBORGS LÄN</t>
        </is>
      </c>
      <c r="E2666" t="inlineStr">
        <is>
          <t>LJUSDAL</t>
        </is>
      </c>
      <c r="F2666" t="inlineStr">
        <is>
          <t>Holmen skog AB</t>
        </is>
      </c>
      <c r="G2666" t="n">
        <v>19.7</v>
      </c>
      <c r="H2666" t="n">
        <v>0</v>
      </c>
      <c r="I2666" t="n">
        <v>0</v>
      </c>
      <c r="J2666" t="n">
        <v>0</v>
      </c>
      <c r="K2666" t="n">
        <v>0</v>
      </c>
      <c r="L2666" t="n">
        <v>0</v>
      </c>
      <c r="M2666" t="n">
        <v>0</v>
      </c>
      <c r="N2666" t="n">
        <v>0</v>
      </c>
      <c r="O2666" t="n">
        <v>0</v>
      </c>
      <c r="P2666" t="n">
        <v>0</v>
      </c>
      <c r="Q2666" t="n">
        <v>0</v>
      </c>
      <c r="R2666" s="2" t="inlineStr"/>
    </row>
    <row r="2667" ht="15" customHeight="1">
      <c r="A2667" t="inlineStr">
        <is>
          <t>A 31367-2024</t>
        </is>
      </c>
      <c r="B2667" s="1" t="n">
        <v>45505.38290509259</v>
      </c>
      <c r="C2667" s="1" t="n">
        <v>45911</v>
      </c>
      <c r="D2667" t="inlineStr">
        <is>
          <t>GÄVLEBORGS LÄN</t>
        </is>
      </c>
      <c r="E2667" t="inlineStr">
        <is>
          <t>GÄVLE</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18802-2025</t>
        </is>
      </c>
      <c r="B2668" s="1" t="n">
        <v>45764.35001157408</v>
      </c>
      <c r="C2668" s="1" t="n">
        <v>45911</v>
      </c>
      <c r="D2668" t="inlineStr">
        <is>
          <t>GÄVLEBORGS LÄN</t>
        </is>
      </c>
      <c r="E2668" t="inlineStr">
        <is>
          <t>LJUSDAL</t>
        </is>
      </c>
      <c r="F2668" t="inlineStr">
        <is>
          <t>Sveaskog</t>
        </is>
      </c>
      <c r="G2668" t="n">
        <v>13.1</v>
      </c>
      <c r="H2668" t="n">
        <v>0</v>
      </c>
      <c r="I2668" t="n">
        <v>0</v>
      </c>
      <c r="J2668" t="n">
        <v>0</v>
      </c>
      <c r="K2668" t="n">
        <v>0</v>
      </c>
      <c r="L2668" t="n">
        <v>0</v>
      </c>
      <c r="M2668" t="n">
        <v>0</v>
      </c>
      <c r="N2668" t="n">
        <v>0</v>
      </c>
      <c r="O2668" t="n">
        <v>0</v>
      </c>
      <c r="P2668" t="n">
        <v>0</v>
      </c>
      <c r="Q2668" t="n">
        <v>0</v>
      </c>
      <c r="R2668" s="2" t="inlineStr"/>
    </row>
    <row r="2669" ht="15" customHeight="1">
      <c r="A2669" t="inlineStr">
        <is>
          <t>A 24398-2025</t>
        </is>
      </c>
      <c r="B2669" s="1" t="n">
        <v>45797.64421296296</v>
      </c>
      <c r="C2669" s="1" t="n">
        <v>45911</v>
      </c>
      <c r="D2669" t="inlineStr">
        <is>
          <t>GÄVLEBORGS LÄN</t>
        </is>
      </c>
      <c r="E2669" t="inlineStr">
        <is>
          <t>LJUSDAL</t>
        </is>
      </c>
      <c r="G2669" t="n">
        <v>3.5</v>
      </c>
      <c r="H2669" t="n">
        <v>0</v>
      </c>
      <c r="I2669" t="n">
        <v>0</v>
      </c>
      <c r="J2669" t="n">
        <v>0</v>
      </c>
      <c r="K2669" t="n">
        <v>0</v>
      </c>
      <c r="L2669" t="n">
        <v>0</v>
      </c>
      <c r="M2669" t="n">
        <v>0</v>
      </c>
      <c r="N2669" t="n">
        <v>0</v>
      </c>
      <c r="O2669" t="n">
        <v>0</v>
      </c>
      <c r="P2669" t="n">
        <v>0</v>
      </c>
      <c r="Q2669" t="n">
        <v>0</v>
      </c>
      <c r="R2669" s="2" t="inlineStr"/>
    </row>
    <row r="2670" ht="15" customHeight="1">
      <c r="A2670" t="inlineStr">
        <is>
          <t>A 24400-2025</t>
        </is>
      </c>
      <c r="B2670" s="1" t="n">
        <v>45797.64821759259</v>
      </c>
      <c r="C2670" s="1" t="n">
        <v>45911</v>
      </c>
      <c r="D2670" t="inlineStr">
        <is>
          <t>GÄVLEBORGS LÄN</t>
        </is>
      </c>
      <c r="E2670" t="inlineStr">
        <is>
          <t>LJUSDAL</t>
        </is>
      </c>
      <c r="G2670" t="n">
        <v>4.9</v>
      </c>
      <c r="H2670" t="n">
        <v>0</v>
      </c>
      <c r="I2670" t="n">
        <v>0</v>
      </c>
      <c r="J2670" t="n">
        <v>0</v>
      </c>
      <c r="K2670" t="n">
        <v>0</v>
      </c>
      <c r="L2670" t="n">
        <v>0</v>
      </c>
      <c r="M2670" t="n">
        <v>0</v>
      </c>
      <c r="N2670" t="n">
        <v>0</v>
      </c>
      <c r="O2670" t="n">
        <v>0</v>
      </c>
      <c r="P2670" t="n">
        <v>0</v>
      </c>
      <c r="Q2670" t="n">
        <v>0</v>
      </c>
      <c r="R2670" s="2" t="inlineStr"/>
    </row>
    <row r="2671" ht="15" customHeight="1">
      <c r="A2671" t="inlineStr">
        <is>
          <t>A 53322-2024</t>
        </is>
      </c>
      <c r="B2671" s="1" t="n">
        <v>45614.40765046296</v>
      </c>
      <c r="C2671" s="1" t="n">
        <v>45911</v>
      </c>
      <c r="D2671" t="inlineStr">
        <is>
          <t>GÄVLEBORGS LÄN</t>
        </is>
      </c>
      <c r="E2671" t="inlineStr">
        <is>
          <t>SANDVIKEN</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24206-2025</t>
        </is>
      </c>
      <c r="B2672" s="1" t="n">
        <v>45797</v>
      </c>
      <c r="C2672" s="1" t="n">
        <v>45911</v>
      </c>
      <c r="D2672" t="inlineStr">
        <is>
          <t>GÄVLEBORGS LÄN</t>
        </is>
      </c>
      <c r="E2672" t="inlineStr">
        <is>
          <t>SÖDERHAMN</t>
        </is>
      </c>
      <c r="F2672" t="inlineStr">
        <is>
          <t>Bergvik skog väst AB</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24330-2025</t>
        </is>
      </c>
      <c r="B2673" s="1" t="n">
        <v>45797.5678587963</v>
      </c>
      <c r="C2673" s="1" t="n">
        <v>45911</v>
      </c>
      <c r="D2673" t="inlineStr">
        <is>
          <t>GÄVLEBORGS LÄN</t>
        </is>
      </c>
      <c r="E2673" t="inlineStr">
        <is>
          <t>HUDIKSVALL</t>
        </is>
      </c>
      <c r="F2673" t="inlineStr">
        <is>
          <t>Kommuner</t>
        </is>
      </c>
      <c r="G2673" t="n">
        <v>0.3</v>
      </c>
      <c r="H2673" t="n">
        <v>0</v>
      </c>
      <c r="I2673" t="n">
        <v>0</v>
      </c>
      <c r="J2673" t="n">
        <v>0</v>
      </c>
      <c r="K2673" t="n">
        <v>0</v>
      </c>
      <c r="L2673" t="n">
        <v>0</v>
      </c>
      <c r="M2673" t="n">
        <v>0</v>
      </c>
      <c r="N2673" t="n">
        <v>0</v>
      </c>
      <c r="O2673" t="n">
        <v>0</v>
      </c>
      <c r="P2673" t="n">
        <v>0</v>
      </c>
      <c r="Q2673" t="n">
        <v>0</v>
      </c>
      <c r="R2673" s="2" t="inlineStr"/>
    </row>
    <row r="2674" ht="15" customHeight="1">
      <c r="A2674" t="inlineStr">
        <is>
          <t>A 2358-2025</t>
        </is>
      </c>
      <c r="B2674" s="1" t="n">
        <v>45673</v>
      </c>
      <c r="C2674" s="1" t="n">
        <v>45911</v>
      </c>
      <c r="D2674" t="inlineStr">
        <is>
          <t>GÄVLEBORGS LÄN</t>
        </is>
      </c>
      <c r="E2674" t="inlineStr">
        <is>
          <t>SANDVIKEN</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24584-2025</t>
        </is>
      </c>
      <c r="B2675" s="1" t="n">
        <v>45798.5106712963</v>
      </c>
      <c r="C2675" s="1" t="n">
        <v>45911</v>
      </c>
      <c r="D2675" t="inlineStr">
        <is>
          <t>GÄVLEBORGS LÄN</t>
        </is>
      </c>
      <c r="E2675" t="inlineStr">
        <is>
          <t>HUDIKSVALL</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24320-2025</t>
        </is>
      </c>
      <c r="B2676" s="1" t="n">
        <v>45797.55208333334</v>
      </c>
      <c r="C2676" s="1" t="n">
        <v>45911</v>
      </c>
      <c r="D2676" t="inlineStr">
        <is>
          <t>GÄVLEBORGS LÄN</t>
        </is>
      </c>
      <c r="E2676" t="inlineStr">
        <is>
          <t>HUDIKSVALL</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24241-2025</t>
        </is>
      </c>
      <c r="B2677" s="1" t="n">
        <v>45797.38637731481</v>
      </c>
      <c r="C2677" s="1" t="n">
        <v>45911</v>
      </c>
      <c r="D2677" t="inlineStr">
        <is>
          <t>GÄVLEBORGS LÄN</t>
        </is>
      </c>
      <c r="E2677" t="inlineStr">
        <is>
          <t>HUDIKSVALL</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24286-2025</t>
        </is>
      </c>
      <c r="B2678" s="1" t="n">
        <v>45797.46030092592</v>
      </c>
      <c r="C2678" s="1" t="n">
        <v>45911</v>
      </c>
      <c r="D2678" t="inlineStr">
        <is>
          <t>GÄVLEBORGS LÄN</t>
        </is>
      </c>
      <c r="E2678" t="inlineStr">
        <is>
          <t>LJUSDAL</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56820-2023</t>
        </is>
      </c>
      <c r="B2679" s="1" t="n">
        <v>45244.45385416667</v>
      </c>
      <c r="C2679" s="1" t="n">
        <v>45911</v>
      </c>
      <c r="D2679" t="inlineStr">
        <is>
          <t>GÄVLEBORGS LÄN</t>
        </is>
      </c>
      <c r="E2679" t="inlineStr">
        <is>
          <t>HUDIKSVALL</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24256-2025</t>
        </is>
      </c>
      <c r="B2680" s="1" t="n">
        <v>45797.40541666667</v>
      </c>
      <c r="C2680" s="1" t="n">
        <v>45911</v>
      </c>
      <c r="D2680" t="inlineStr">
        <is>
          <t>GÄVLEBORGS LÄN</t>
        </is>
      </c>
      <c r="E2680" t="inlineStr">
        <is>
          <t>LJUSDAL</t>
        </is>
      </c>
      <c r="G2680" t="n">
        <v>14.9</v>
      </c>
      <c r="H2680" t="n">
        <v>0</v>
      </c>
      <c r="I2680" t="n">
        <v>0</v>
      </c>
      <c r="J2680" t="n">
        <v>0</v>
      </c>
      <c r="K2680" t="n">
        <v>0</v>
      </c>
      <c r="L2680" t="n">
        <v>0</v>
      </c>
      <c r="M2680" t="n">
        <v>0</v>
      </c>
      <c r="N2680" t="n">
        <v>0</v>
      </c>
      <c r="O2680" t="n">
        <v>0</v>
      </c>
      <c r="P2680" t="n">
        <v>0</v>
      </c>
      <c r="Q2680" t="n">
        <v>0</v>
      </c>
      <c r="R2680" s="2" t="inlineStr"/>
    </row>
    <row r="2681" ht="15" customHeight="1">
      <c r="A2681" t="inlineStr">
        <is>
          <t>A 24305-2025</t>
        </is>
      </c>
      <c r="B2681" s="1" t="n">
        <v>45797.49285879629</v>
      </c>
      <c r="C2681" s="1" t="n">
        <v>45911</v>
      </c>
      <c r="D2681" t="inlineStr">
        <is>
          <t>GÄVLEBORGS LÄN</t>
        </is>
      </c>
      <c r="E2681" t="inlineStr">
        <is>
          <t>SÖDERHAMN</t>
        </is>
      </c>
      <c r="F2681" t="inlineStr">
        <is>
          <t>Bergvik skog väst AB</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24314-2025</t>
        </is>
      </c>
      <c r="B2682" s="1" t="n">
        <v>45797.52796296297</v>
      </c>
      <c r="C2682" s="1" t="n">
        <v>45911</v>
      </c>
      <c r="D2682" t="inlineStr">
        <is>
          <t>GÄVLEBORGS LÄN</t>
        </is>
      </c>
      <c r="E2682" t="inlineStr">
        <is>
          <t>BOLLNÄS</t>
        </is>
      </c>
      <c r="G2682" t="n">
        <v>3.9</v>
      </c>
      <c r="H2682" t="n">
        <v>0</v>
      </c>
      <c r="I2682" t="n">
        <v>0</v>
      </c>
      <c r="J2682" t="n">
        <v>0</v>
      </c>
      <c r="K2682" t="n">
        <v>0</v>
      </c>
      <c r="L2682" t="n">
        <v>0</v>
      </c>
      <c r="M2682" t="n">
        <v>0</v>
      </c>
      <c r="N2682" t="n">
        <v>0</v>
      </c>
      <c r="O2682" t="n">
        <v>0</v>
      </c>
      <c r="P2682" t="n">
        <v>0</v>
      </c>
      <c r="Q2682" t="n">
        <v>0</v>
      </c>
      <c r="R2682" s="2" t="inlineStr"/>
    </row>
    <row r="2683" ht="15" customHeight="1">
      <c r="A2683" t="inlineStr">
        <is>
          <t>A 24319-2025</t>
        </is>
      </c>
      <c r="B2683" s="1" t="n">
        <v>45797.55027777778</v>
      </c>
      <c r="C2683" s="1" t="n">
        <v>45911</v>
      </c>
      <c r="D2683" t="inlineStr">
        <is>
          <t>GÄVLEBORGS LÄN</t>
        </is>
      </c>
      <c r="E2683" t="inlineStr">
        <is>
          <t>BOLLNÄS</t>
        </is>
      </c>
      <c r="G2683" t="n">
        <v>7.6</v>
      </c>
      <c r="H2683" t="n">
        <v>0</v>
      </c>
      <c r="I2683" t="n">
        <v>0</v>
      </c>
      <c r="J2683" t="n">
        <v>0</v>
      </c>
      <c r="K2683" t="n">
        <v>0</v>
      </c>
      <c r="L2683" t="n">
        <v>0</v>
      </c>
      <c r="M2683" t="n">
        <v>0</v>
      </c>
      <c r="N2683" t="n">
        <v>0</v>
      </c>
      <c r="O2683" t="n">
        <v>0</v>
      </c>
      <c r="P2683" t="n">
        <v>0</v>
      </c>
      <c r="Q2683" t="n">
        <v>0</v>
      </c>
      <c r="R2683" s="2" t="inlineStr"/>
    </row>
    <row r="2684" ht="15" customHeight="1">
      <c r="A2684" t="inlineStr">
        <is>
          <t>A 47238-2024</t>
        </is>
      </c>
      <c r="B2684" s="1" t="n">
        <v>45586.69104166667</v>
      </c>
      <c r="C2684" s="1" t="n">
        <v>45911</v>
      </c>
      <c r="D2684" t="inlineStr">
        <is>
          <t>GÄVLEBORGS LÄN</t>
        </is>
      </c>
      <c r="E2684" t="inlineStr">
        <is>
          <t>NORDANSTIG</t>
        </is>
      </c>
      <c r="G2684" t="n">
        <v>4.2</v>
      </c>
      <c r="H2684" t="n">
        <v>0</v>
      </c>
      <c r="I2684" t="n">
        <v>0</v>
      </c>
      <c r="J2684" t="n">
        <v>0</v>
      </c>
      <c r="K2684" t="n">
        <v>0</v>
      </c>
      <c r="L2684" t="n">
        <v>0</v>
      </c>
      <c r="M2684" t="n">
        <v>0</v>
      </c>
      <c r="N2684" t="n">
        <v>0</v>
      </c>
      <c r="O2684" t="n">
        <v>0</v>
      </c>
      <c r="P2684" t="n">
        <v>0</v>
      </c>
      <c r="Q2684" t="n">
        <v>0</v>
      </c>
      <c r="R2684" s="2" t="inlineStr"/>
    </row>
    <row r="2685" ht="15" customHeight="1">
      <c r="A2685" t="inlineStr">
        <is>
          <t>A 18725-2025</t>
        </is>
      </c>
      <c r="B2685" s="1" t="n">
        <v>45763.66766203703</v>
      </c>
      <c r="C2685" s="1" t="n">
        <v>45911</v>
      </c>
      <c r="D2685" t="inlineStr">
        <is>
          <t>GÄVLEBORGS LÄN</t>
        </is>
      </c>
      <c r="E2685" t="inlineStr">
        <is>
          <t>SANDVIKEN</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24227-2025</t>
        </is>
      </c>
      <c r="B2686" s="1" t="n">
        <v>45797.37197916667</v>
      </c>
      <c r="C2686" s="1" t="n">
        <v>45911</v>
      </c>
      <c r="D2686" t="inlineStr">
        <is>
          <t>GÄVLEBORGS LÄN</t>
        </is>
      </c>
      <c r="E2686" t="inlineStr">
        <is>
          <t>GÄVLE</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24257-2025</t>
        </is>
      </c>
      <c r="B2687" s="1" t="n">
        <v>45797.40664351852</v>
      </c>
      <c r="C2687" s="1" t="n">
        <v>45911</v>
      </c>
      <c r="D2687" t="inlineStr">
        <is>
          <t>GÄVLEBORGS LÄN</t>
        </is>
      </c>
      <c r="E2687" t="inlineStr">
        <is>
          <t>LJUSDAL</t>
        </is>
      </c>
      <c r="G2687" t="n">
        <v>26.5</v>
      </c>
      <c r="H2687" t="n">
        <v>0</v>
      </c>
      <c r="I2687" t="n">
        <v>0</v>
      </c>
      <c r="J2687" t="n">
        <v>0</v>
      </c>
      <c r="K2687" t="n">
        <v>0</v>
      </c>
      <c r="L2687" t="n">
        <v>0</v>
      </c>
      <c r="M2687" t="n">
        <v>0</v>
      </c>
      <c r="N2687" t="n">
        <v>0</v>
      </c>
      <c r="O2687" t="n">
        <v>0</v>
      </c>
      <c r="P2687" t="n">
        <v>0</v>
      </c>
      <c r="Q2687" t="n">
        <v>0</v>
      </c>
      <c r="R2687" s="2" t="inlineStr"/>
    </row>
    <row r="2688" ht="15" customHeight="1">
      <c r="A2688" t="inlineStr">
        <is>
          <t>A 25365-2025</t>
        </is>
      </c>
      <c r="B2688" s="1" t="n">
        <v>45800.62809027778</v>
      </c>
      <c r="C2688" s="1" t="n">
        <v>45911</v>
      </c>
      <c r="D2688" t="inlineStr">
        <is>
          <t>GÄVLEBORGS LÄN</t>
        </is>
      </c>
      <c r="E2688" t="inlineStr">
        <is>
          <t>SÖDERHAMN</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25278-2025</t>
        </is>
      </c>
      <c r="B2689" s="1" t="n">
        <v>45800.55554398148</v>
      </c>
      <c r="C2689" s="1" t="n">
        <v>45911</v>
      </c>
      <c r="D2689" t="inlineStr">
        <is>
          <t>GÄVLEBORGS LÄN</t>
        </is>
      </c>
      <c r="E2689" t="inlineStr">
        <is>
          <t>OVANÅKER</t>
        </is>
      </c>
      <c r="F2689" t="inlineStr">
        <is>
          <t>Bergvik skog öst AB</t>
        </is>
      </c>
      <c r="G2689" t="n">
        <v>6.1</v>
      </c>
      <c r="H2689" t="n">
        <v>0</v>
      </c>
      <c r="I2689" t="n">
        <v>0</v>
      </c>
      <c r="J2689" t="n">
        <v>0</v>
      </c>
      <c r="K2689" t="n">
        <v>0</v>
      </c>
      <c r="L2689" t="n">
        <v>0</v>
      </c>
      <c r="M2689" t="n">
        <v>0</v>
      </c>
      <c r="N2689" t="n">
        <v>0</v>
      </c>
      <c r="O2689" t="n">
        <v>0</v>
      </c>
      <c r="P2689" t="n">
        <v>0</v>
      </c>
      <c r="Q2689" t="n">
        <v>0</v>
      </c>
      <c r="R2689" s="2" t="inlineStr"/>
    </row>
    <row r="2690" ht="15" customHeight="1">
      <c r="A2690" t="inlineStr">
        <is>
          <t>A 25300-2025</t>
        </is>
      </c>
      <c r="B2690" s="1" t="n">
        <v>45800.57034722222</v>
      </c>
      <c r="C2690" s="1" t="n">
        <v>45911</v>
      </c>
      <c r="D2690" t="inlineStr">
        <is>
          <t>GÄVLEBORGS LÄN</t>
        </is>
      </c>
      <c r="E2690" t="inlineStr">
        <is>
          <t>SANDVIKEN</t>
        </is>
      </c>
      <c r="F2690" t="inlineStr">
        <is>
          <t>Sveaskog</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25327-2025</t>
        </is>
      </c>
      <c r="B2691" s="1" t="n">
        <v>45800.58903935185</v>
      </c>
      <c r="C2691" s="1" t="n">
        <v>45911</v>
      </c>
      <c r="D2691" t="inlineStr">
        <is>
          <t>GÄVLEBORGS LÄN</t>
        </is>
      </c>
      <c r="E2691" t="inlineStr">
        <is>
          <t>SANDVIKEN</t>
        </is>
      </c>
      <c r="F2691" t="inlineStr">
        <is>
          <t>Sveaskog</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25337-2025</t>
        </is>
      </c>
      <c r="B2692" s="1" t="n">
        <v>45800.59858796297</v>
      </c>
      <c r="C2692" s="1" t="n">
        <v>45911</v>
      </c>
      <c r="D2692" t="inlineStr">
        <is>
          <t>GÄVLEBORGS LÄN</t>
        </is>
      </c>
      <c r="E2692" t="inlineStr">
        <is>
          <t>OVANÅKER</t>
        </is>
      </c>
      <c r="F2692" t="inlineStr">
        <is>
          <t>Bergvik skog väst AB</t>
        </is>
      </c>
      <c r="G2692" t="n">
        <v>4.5</v>
      </c>
      <c r="H2692" t="n">
        <v>0</v>
      </c>
      <c r="I2692" t="n">
        <v>0</v>
      </c>
      <c r="J2692" t="n">
        <v>0</v>
      </c>
      <c r="K2692" t="n">
        <v>0</v>
      </c>
      <c r="L2692" t="n">
        <v>0</v>
      </c>
      <c r="M2692" t="n">
        <v>0</v>
      </c>
      <c r="N2692" t="n">
        <v>0</v>
      </c>
      <c r="O2692" t="n">
        <v>0</v>
      </c>
      <c r="P2692" t="n">
        <v>0</v>
      </c>
      <c r="Q2692" t="n">
        <v>0</v>
      </c>
      <c r="R2692" s="2" t="inlineStr"/>
    </row>
    <row r="2693" ht="15" customHeight="1">
      <c r="A2693" t="inlineStr">
        <is>
          <t>A 25602-2025</t>
        </is>
      </c>
      <c r="B2693" s="1" t="n">
        <v>45800</v>
      </c>
      <c r="C2693" s="1" t="n">
        <v>45911</v>
      </c>
      <c r="D2693" t="inlineStr">
        <is>
          <t>GÄVLEBORGS LÄN</t>
        </is>
      </c>
      <c r="E2693" t="inlineStr">
        <is>
          <t>LJUSDAL</t>
        </is>
      </c>
      <c r="G2693" t="n">
        <v>4.7</v>
      </c>
      <c r="H2693" t="n">
        <v>0</v>
      </c>
      <c r="I2693" t="n">
        <v>0</v>
      </c>
      <c r="J2693" t="n">
        <v>0</v>
      </c>
      <c r="K2693" t="n">
        <v>0</v>
      </c>
      <c r="L2693" t="n">
        <v>0</v>
      </c>
      <c r="M2693" t="n">
        <v>0</v>
      </c>
      <c r="N2693" t="n">
        <v>0</v>
      </c>
      <c r="O2693" t="n">
        <v>0</v>
      </c>
      <c r="P2693" t="n">
        <v>0</v>
      </c>
      <c r="Q2693" t="n">
        <v>0</v>
      </c>
      <c r="R2693" s="2" t="inlineStr"/>
    </row>
    <row r="2694" ht="15" customHeight="1">
      <c r="A2694" t="inlineStr">
        <is>
          <t>A 25613-2025</t>
        </is>
      </c>
      <c r="B2694" s="1" t="n">
        <v>45800</v>
      </c>
      <c r="C2694" s="1" t="n">
        <v>45911</v>
      </c>
      <c r="D2694" t="inlineStr">
        <is>
          <t>GÄVLEBORGS LÄN</t>
        </is>
      </c>
      <c r="E2694" t="inlineStr">
        <is>
          <t>LJUSDAL</t>
        </is>
      </c>
      <c r="G2694" t="n">
        <v>5</v>
      </c>
      <c r="H2694" t="n">
        <v>0</v>
      </c>
      <c r="I2694" t="n">
        <v>0</v>
      </c>
      <c r="J2694" t="n">
        <v>0</v>
      </c>
      <c r="K2694" t="n">
        <v>0</v>
      </c>
      <c r="L2694" t="n">
        <v>0</v>
      </c>
      <c r="M2694" t="n">
        <v>0</v>
      </c>
      <c r="N2694" t="n">
        <v>0</v>
      </c>
      <c r="O2694" t="n">
        <v>0</v>
      </c>
      <c r="P2694" t="n">
        <v>0</v>
      </c>
      <c r="Q2694" t="n">
        <v>0</v>
      </c>
      <c r="R2694" s="2" t="inlineStr"/>
    </row>
    <row r="2695" ht="15" customHeight="1">
      <c r="A2695" t="inlineStr">
        <is>
          <t>A 25289-2025</t>
        </is>
      </c>
      <c r="B2695" s="1" t="n">
        <v>45800.5633912037</v>
      </c>
      <c r="C2695" s="1" t="n">
        <v>45911</v>
      </c>
      <c r="D2695" t="inlineStr">
        <is>
          <t>GÄVLEBORGS LÄN</t>
        </is>
      </c>
      <c r="E2695" t="inlineStr">
        <is>
          <t>OVANÅKER</t>
        </is>
      </c>
      <c r="F2695" t="inlineStr">
        <is>
          <t>Bergvik skog öst AB</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25317-2025</t>
        </is>
      </c>
      <c r="B2696" s="1" t="n">
        <v>45800.58108796296</v>
      </c>
      <c r="C2696" s="1" t="n">
        <v>45911</v>
      </c>
      <c r="D2696" t="inlineStr">
        <is>
          <t>GÄVLEBORGS LÄN</t>
        </is>
      </c>
      <c r="E2696" t="inlineStr">
        <is>
          <t>SANDVIKEN</t>
        </is>
      </c>
      <c r="F2696" t="inlineStr">
        <is>
          <t>Sveaskog</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24918-2025</t>
        </is>
      </c>
      <c r="B2697" s="1" t="n">
        <v>45799.54648148148</v>
      </c>
      <c r="C2697" s="1" t="n">
        <v>45911</v>
      </c>
      <c r="D2697" t="inlineStr">
        <is>
          <t>GÄVLEBORGS LÄN</t>
        </is>
      </c>
      <c r="E2697" t="inlineStr">
        <is>
          <t>BOLLNÄS</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24920-2025</t>
        </is>
      </c>
      <c r="B2698" s="1" t="n">
        <v>45799.55019675926</v>
      </c>
      <c r="C2698" s="1" t="n">
        <v>45911</v>
      </c>
      <c r="D2698" t="inlineStr">
        <is>
          <t>GÄVLEBORGS LÄN</t>
        </is>
      </c>
      <c r="E2698" t="inlineStr">
        <is>
          <t>BOLLNÄS</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24942-2025</t>
        </is>
      </c>
      <c r="B2699" s="1" t="n">
        <v>45799.56214120371</v>
      </c>
      <c r="C2699" s="1" t="n">
        <v>45911</v>
      </c>
      <c r="D2699" t="inlineStr">
        <is>
          <t>GÄVLEBORGS LÄN</t>
        </is>
      </c>
      <c r="E2699" t="inlineStr">
        <is>
          <t>HUDIKSVALL</t>
        </is>
      </c>
      <c r="F2699" t="inlineStr">
        <is>
          <t>Holmen skog AB</t>
        </is>
      </c>
      <c r="G2699" t="n">
        <v>33.5</v>
      </c>
      <c r="H2699" t="n">
        <v>0</v>
      </c>
      <c r="I2699" t="n">
        <v>0</v>
      </c>
      <c r="J2699" t="n">
        <v>0</v>
      </c>
      <c r="K2699" t="n">
        <v>0</v>
      </c>
      <c r="L2699" t="n">
        <v>0</v>
      </c>
      <c r="M2699" t="n">
        <v>0</v>
      </c>
      <c r="N2699" t="n">
        <v>0</v>
      </c>
      <c r="O2699" t="n">
        <v>0</v>
      </c>
      <c r="P2699" t="n">
        <v>0</v>
      </c>
      <c r="Q2699" t="n">
        <v>0</v>
      </c>
      <c r="R2699" s="2" t="inlineStr"/>
    </row>
    <row r="2700" ht="15" customHeight="1">
      <c r="A2700" t="inlineStr">
        <is>
          <t>A 5691-2022</t>
        </is>
      </c>
      <c r="B2700" s="1" t="n">
        <v>44596</v>
      </c>
      <c r="C2700" s="1" t="n">
        <v>45911</v>
      </c>
      <c r="D2700" t="inlineStr">
        <is>
          <t>GÄVLEBORGS LÄN</t>
        </is>
      </c>
      <c r="E2700" t="inlineStr">
        <is>
          <t>BOLLNÄS</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24943-2025</t>
        </is>
      </c>
      <c r="B2701" s="1" t="n">
        <v>45799.56239583333</v>
      </c>
      <c r="C2701" s="1" t="n">
        <v>45911</v>
      </c>
      <c r="D2701" t="inlineStr">
        <is>
          <t>GÄVLEBORGS LÄN</t>
        </is>
      </c>
      <c r="E2701" t="inlineStr">
        <is>
          <t>LJUSDAL</t>
        </is>
      </c>
      <c r="F2701" t="inlineStr">
        <is>
          <t>Sveaskog</t>
        </is>
      </c>
      <c r="G2701" t="n">
        <v>5.5</v>
      </c>
      <c r="H2701" t="n">
        <v>0</v>
      </c>
      <c r="I2701" t="n">
        <v>0</v>
      </c>
      <c r="J2701" t="n">
        <v>0</v>
      </c>
      <c r="K2701" t="n">
        <v>0</v>
      </c>
      <c r="L2701" t="n">
        <v>0</v>
      </c>
      <c r="M2701" t="n">
        <v>0</v>
      </c>
      <c r="N2701" t="n">
        <v>0</v>
      </c>
      <c r="O2701" t="n">
        <v>0</v>
      </c>
      <c r="P2701" t="n">
        <v>0</v>
      </c>
      <c r="Q2701" t="n">
        <v>0</v>
      </c>
      <c r="R2701" s="2" t="inlineStr"/>
    </row>
    <row r="2702" ht="15" customHeight="1">
      <c r="A2702" t="inlineStr">
        <is>
          <t>A 24945-2025</t>
        </is>
      </c>
      <c r="B2702" s="1" t="n">
        <v>45799.56395833333</v>
      </c>
      <c r="C2702" s="1" t="n">
        <v>45911</v>
      </c>
      <c r="D2702" t="inlineStr">
        <is>
          <t>GÄVLEBORGS LÄN</t>
        </is>
      </c>
      <c r="E2702" t="inlineStr">
        <is>
          <t>LJUSDAL</t>
        </is>
      </c>
      <c r="F2702" t="inlineStr">
        <is>
          <t>Sveaskog</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25209-2025</t>
        </is>
      </c>
      <c r="B2703" s="1" t="n">
        <v>45800.46928240741</v>
      </c>
      <c r="C2703" s="1" t="n">
        <v>45911</v>
      </c>
      <c r="D2703" t="inlineStr">
        <is>
          <t>GÄVLEBORGS LÄN</t>
        </is>
      </c>
      <c r="E2703" t="inlineStr">
        <is>
          <t>SANDVIKEN</t>
        </is>
      </c>
      <c r="G2703" t="n">
        <v>3.4</v>
      </c>
      <c r="H2703" t="n">
        <v>0</v>
      </c>
      <c r="I2703" t="n">
        <v>0</v>
      </c>
      <c r="J2703" t="n">
        <v>0</v>
      </c>
      <c r="K2703" t="n">
        <v>0</v>
      </c>
      <c r="L2703" t="n">
        <v>0</v>
      </c>
      <c r="M2703" t="n">
        <v>0</v>
      </c>
      <c r="N2703" t="n">
        <v>0</v>
      </c>
      <c r="O2703" t="n">
        <v>0</v>
      </c>
      <c r="P2703" t="n">
        <v>0</v>
      </c>
      <c r="Q2703" t="n">
        <v>0</v>
      </c>
      <c r="R2703" s="2" t="inlineStr"/>
    </row>
    <row r="2704" ht="15" customHeight="1">
      <c r="A2704" t="inlineStr">
        <is>
          <t>A 25225-2025</t>
        </is>
      </c>
      <c r="B2704" s="1" t="n">
        <v>45800.48112268518</v>
      </c>
      <c r="C2704" s="1" t="n">
        <v>45911</v>
      </c>
      <c r="D2704" t="inlineStr">
        <is>
          <t>GÄVLEBORGS LÄN</t>
        </is>
      </c>
      <c r="E2704" t="inlineStr">
        <is>
          <t>BOLLNÄS</t>
        </is>
      </c>
      <c r="F2704" t="inlineStr">
        <is>
          <t>Bergvik skog väst AB</t>
        </is>
      </c>
      <c r="G2704" t="n">
        <v>4</v>
      </c>
      <c r="H2704" t="n">
        <v>0</v>
      </c>
      <c r="I2704" t="n">
        <v>0</v>
      </c>
      <c r="J2704" t="n">
        <v>0</v>
      </c>
      <c r="K2704" t="n">
        <v>0</v>
      </c>
      <c r="L2704" t="n">
        <v>0</v>
      </c>
      <c r="M2704" t="n">
        <v>0</v>
      </c>
      <c r="N2704" t="n">
        <v>0</v>
      </c>
      <c r="O2704" t="n">
        <v>0</v>
      </c>
      <c r="P2704" t="n">
        <v>0</v>
      </c>
      <c r="Q2704" t="n">
        <v>0</v>
      </c>
      <c r="R2704" s="2" t="inlineStr"/>
    </row>
    <row r="2705" ht="15" customHeight="1">
      <c r="A2705" t="inlineStr">
        <is>
          <t>A 25281-2025</t>
        </is>
      </c>
      <c r="B2705" s="1" t="n">
        <v>45800.5583912037</v>
      </c>
      <c r="C2705" s="1" t="n">
        <v>45911</v>
      </c>
      <c r="D2705" t="inlineStr">
        <is>
          <t>GÄVLEBORGS LÄN</t>
        </is>
      </c>
      <c r="E2705" t="inlineStr">
        <is>
          <t>OVANÅKER</t>
        </is>
      </c>
      <c r="F2705" t="inlineStr">
        <is>
          <t>Bergvik skog öst AB</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24721-2025</t>
        </is>
      </c>
      <c r="B2706" s="1" t="n">
        <v>45799</v>
      </c>
      <c r="C2706" s="1" t="n">
        <v>45911</v>
      </c>
      <c r="D2706" t="inlineStr">
        <is>
          <t>GÄVLEBORGS LÄN</t>
        </is>
      </c>
      <c r="E2706" t="inlineStr">
        <is>
          <t>BOLLNÄS</t>
        </is>
      </c>
      <c r="G2706" t="n">
        <v>9</v>
      </c>
      <c r="H2706" t="n">
        <v>0</v>
      </c>
      <c r="I2706" t="n">
        <v>0</v>
      </c>
      <c r="J2706" t="n">
        <v>0</v>
      </c>
      <c r="K2706" t="n">
        <v>0</v>
      </c>
      <c r="L2706" t="n">
        <v>0</v>
      </c>
      <c r="M2706" t="n">
        <v>0</v>
      </c>
      <c r="N2706" t="n">
        <v>0</v>
      </c>
      <c r="O2706" t="n">
        <v>0</v>
      </c>
      <c r="P2706" t="n">
        <v>0</v>
      </c>
      <c r="Q2706" t="n">
        <v>0</v>
      </c>
      <c r="R2706" s="2" t="inlineStr"/>
    </row>
    <row r="2707" ht="15" customHeight="1">
      <c r="A2707" t="inlineStr">
        <is>
          <t>A 31691-2024</t>
        </is>
      </c>
      <c r="B2707" s="1" t="n">
        <v>45507.84005787037</v>
      </c>
      <c r="C2707" s="1" t="n">
        <v>45911</v>
      </c>
      <c r="D2707" t="inlineStr">
        <is>
          <t>GÄVLEBORGS LÄN</t>
        </is>
      </c>
      <c r="E2707" t="inlineStr">
        <is>
          <t>HUDIKSVALL</t>
        </is>
      </c>
      <c r="F2707" t="inlineStr">
        <is>
          <t>Holmen skog AB</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36295-2024</t>
        </is>
      </c>
      <c r="B2708" s="1" t="n">
        <v>45534.60523148148</v>
      </c>
      <c r="C2708" s="1" t="n">
        <v>45911</v>
      </c>
      <c r="D2708" t="inlineStr">
        <is>
          <t>GÄVLEBORGS LÄN</t>
        </is>
      </c>
      <c r="E2708" t="inlineStr">
        <is>
          <t>OCKELBO</t>
        </is>
      </c>
      <c r="G2708" t="n">
        <v>7.9</v>
      </c>
      <c r="H2708" t="n">
        <v>0</v>
      </c>
      <c r="I2708" t="n">
        <v>0</v>
      </c>
      <c r="J2708" t="n">
        <v>0</v>
      </c>
      <c r="K2708" t="n">
        <v>0</v>
      </c>
      <c r="L2708" t="n">
        <v>0</v>
      </c>
      <c r="M2708" t="n">
        <v>0</v>
      </c>
      <c r="N2708" t="n">
        <v>0</v>
      </c>
      <c r="O2708" t="n">
        <v>0</v>
      </c>
      <c r="P2708" t="n">
        <v>0</v>
      </c>
      <c r="Q2708" t="n">
        <v>0</v>
      </c>
      <c r="R2708" s="2" t="inlineStr"/>
    </row>
    <row r="2709" ht="15" customHeight="1">
      <c r="A2709" t="inlineStr">
        <is>
          <t>A 58280-2024</t>
        </is>
      </c>
      <c r="B2709" s="1" t="n">
        <v>45632.57650462963</v>
      </c>
      <c r="C2709" s="1" t="n">
        <v>45911</v>
      </c>
      <c r="D2709" t="inlineStr">
        <is>
          <t>GÄVLEBORGS LÄN</t>
        </is>
      </c>
      <c r="E2709" t="inlineStr">
        <is>
          <t>OVANÅKER</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32602-2024</t>
        </is>
      </c>
      <c r="B2710" s="1" t="n">
        <v>45513.62717592593</v>
      </c>
      <c r="C2710" s="1" t="n">
        <v>45911</v>
      </c>
      <c r="D2710" t="inlineStr">
        <is>
          <t>GÄVLEBORGS LÄN</t>
        </is>
      </c>
      <c r="E2710" t="inlineStr">
        <is>
          <t>NORDANSTIG</t>
        </is>
      </c>
      <c r="F2710" t="inlineStr">
        <is>
          <t>Holmen skog AB</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60792-2024</t>
        </is>
      </c>
      <c r="B2711" s="1" t="n">
        <v>45644.59484953704</v>
      </c>
      <c r="C2711" s="1" t="n">
        <v>45911</v>
      </c>
      <c r="D2711" t="inlineStr">
        <is>
          <t>GÄVLEBORGS LÄN</t>
        </is>
      </c>
      <c r="E2711" t="inlineStr">
        <is>
          <t>GÄVLE</t>
        </is>
      </c>
      <c r="F2711" t="inlineStr">
        <is>
          <t>Kyrkan</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31270-2024</t>
        </is>
      </c>
      <c r="B2712" s="1" t="n">
        <v>45504.36773148148</v>
      </c>
      <c r="C2712" s="1" t="n">
        <v>45911</v>
      </c>
      <c r="D2712" t="inlineStr">
        <is>
          <t>GÄVLEBORGS LÄN</t>
        </is>
      </c>
      <c r="E2712" t="inlineStr">
        <is>
          <t>NORDANSTIG</t>
        </is>
      </c>
      <c r="G2712" t="n">
        <v>3.2</v>
      </c>
      <c r="H2712" t="n">
        <v>0</v>
      </c>
      <c r="I2712" t="n">
        <v>0</v>
      </c>
      <c r="J2712" t="n">
        <v>0</v>
      </c>
      <c r="K2712" t="n">
        <v>0</v>
      </c>
      <c r="L2712" t="n">
        <v>0</v>
      </c>
      <c r="M2712" t="n">
        <v>0</v>
      </c>
      <c r="N2712" t="n">
        <v>0</v>
      </c>
      <c r="O2712" t="n">
        <v>0</v>
      </c>
      <c r="P2712" t="n">
        <v>0</v>
      </c>
      <c r="Q2712" t="n">
        <v>0</v>
      </c>
      <c r="R2712" s="2" t="inlineStr"/>
    </row>
    <row r="2713" ht="15" customHeight="1">
      <c r="A2713" t="inlineStr">
        <is>
          <t>A 30792-2024</t>
        </is>
      </c>
      <c r="B2713" s="1" t="n">
        <v>45497.28164351852</v>
      </c>
      <c r="C2713" s="1" t="n">
        <v>45911</v>
      </c>
      <c r="D2713" t="inlineStr">
        <is>
          <t>GÄVLEBORGS LÄN</t>
        </is>
      </c>
      <c r="E2713" t="inlineStr">
        <is>
          <t>BOLLNÄS</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30793-2024</t>
        </is>
      </c>
      <c r="B2714" s="1" t="n">
        <v>45497.28234953704</v>
      </c>
      <c r="C2714" s="1" t="n">
        <v>45911</v>
      </c>
      <c r="D2714" t="inlineStr">
        <is>
          <t>GÄVLEBORGS LÄN</t>
        </is>
      </c>
      <c r="E2714" t="inlineStr">
        <is>
          <t>BOLLNÄS</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40695-2023</t>
        </is>
      </c>
      <c r="B2715" s="1" t="n">
        <v>45170.60664351852</v>
      </c>
      <c r="C2715" s="1" t="n">
        <v>45911</v>
      </c>
      <c r="D2715" t="inlineStr">
        <is>
          <t>GÄVLEBORGS LÄN</t>
        </is>
      </c>
      <c r="E2715" t="inlineStr">
        <is>
          <t>LJUSDAL</t>
        </is>
      </c>
      <c r="F2715" t="inlineStr">
        <is>
          <t>Holmen skog AB</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11267-2023</t>
        </is>
      </c>
      <c r="B2716" s="1" t="n">
        <v>44992</v>
      </c>
      <c r="C2716" s="1" t="n">
        <v>45911</v>
      </c>
      <c r="D2716" t="inlineStr">
        <is>
          <t>GÄVLEBORGS LÄN</t>
        </is>
      </c>
      <c r="E2716" t="inlineStr">
        <is>
          <t>HUDIKSVALL</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24778-2025</t>
        </is>
      </c>
      <c r="B2717" s="1" t="n">
        <v>45799.40810185186</v>
      </c>
      <c r="C2717" s="1" t="n">
        <v>45911</v>
      </c>
      <c r="D2717" t="inlineStr">
        <is>
          <t>GÄVLEBORGS LÄN</t>
        </is>
      </c>
      <c r="E2717" t="inlineStr">
        <is>
          <t>LJUSDAL</t>
        </is>
      </c>
      <c r="G2717" t="n">
        <v>6.3</v>
      </c>
      <c r="H2717" t="n">
        <v>0</v>
      </c>
      <c r="I2717" t="n">
        <v>0</v>
      </c>
      <c r="J2717" t="n">
        <v>0</v>
      </c>
      <c r="K2717" t="n">
        <v>0</v>
      </c>
      <c r="L2717" t="n">
        <v>0</v>
      </c>
      <c r="M2717" t="n">
        <v>0</v>
      </c>
      <c r="N2717" t="n">
        <v>0</v>
      </c>
      <c r="O2717" t="n">
        <v>0</v>
      </c>
      <c r="P2717" t="n">
        <v>0</v>
      </c>
      <c r="Q2717" t="n">
        <v>0</v>
      </c>
      <c r="R2717" s="2" t="inlineStr"/>
    </row>
    <row r="2718" ht="15" customHeight="1">
      <c r="A2718" t="inlineStr">
        <is>
          <t>A 24810-2025</t>
        </is>
      </c>
      <c r="B2718" s="1" t="n">
        <v>45799.44596064815</v>
      </c>
      <c r="C2718" s="1" t="n">
        <v>45911</v>
      </c>
      <c r="D2718" t="inlineStr">
        <is>
          <t>GÄVLEBORGS LÄN</t>
        </is>
      </c>
      <c r="E2718" t="inlineStr">
        <is>
          <t>LJUSDAL</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25425-2025</t>
        </is>
      </c>
      <c r="B2719" s="1" t="n">
        <v>45800.7003125</v>
      </c>
      <c r="C2719" s="1" t="n">
        <v>45911</v>
      </c>
      <c r="D2719" t="inlineStr">
        <is>
          <t>GÄVLEBORGS LÄN</t>
        </is>
      </c>
      <c r="E2719" t="inlineStr">
        <is>
          <t>SANDVIKEN</t>
        </is>
      </c>
      <c r="F2719" t="inlineStr">
        <is>
          <t>Sveaskog</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55715-2023</t>
        </is>
      </c>
      <c r="B2720" s="1" t="n">
        <v>45239</v>
      </c>
      <c r="C2720" s="1" t="n">
        <v>45911</v>
      </c>
      <c r="D2720" t="inlineStr">
        <is>
          <t>GÄVLEBORGS LÄN</t>
        </is>
      </c>
      <c r="E2720" t="inlineStr">
        <is>
          <t>OCKELBO</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29314-2024</t>
        </is>
      </c>
      <c r="B2721" s="1" t="n">
        <v>45483.40184027778</v>
      </c>
      <c r="C2721" s="1" t="n">
        <v>45911</v>
      </c>
      <c r="D2721" t="inlineStr">
        <is>
          <t>GÄVLEBORGS LÄN</t>
        </is>
      </c>
      <c r="E2721" t="inlineStr">
        <is>
          <t>LJUSDAL</t>
        </is>
      </c>
      <c r="G2721" t="n">
        <v>4.4</v>
      </c>
      <c r="H2721" t="n">
        <v>0</v>
      </c>
      <c r="I2721" t="n">
        <v>0</v>
      </c>
      <c r="J2721" t="n">
        <v>0</v>
      </c>
      <c r="K2721" t="n">
        <v>0</v>
      </c>
      <c r="L2721" t="n">
        <v>0</v>
      </c>
      <c r="M2721" t="n">
        <v>0</v>
      </c>
      <c r="N2721" t="n">
        <v>0</v>
      </c>
      <c r="O2721" t="n">
        <v>0</v>
      </c>
      <c r="P2721" t="n">
        <v>0</v>
      </c>
      <c r="Q2721" t="n">
        <v>0</v>
      </c>
      <c r="R2721" s="2" t="inlineStr"/>
    </row>
    <row r="2722" ht="15" customHeight="1">
      <c r="A2722" t="inlineStr">
        <is>
          <t>A 29821-2024</t>
        </is>
      </c>
      <c r="B2722" s="1" t="n">
        <v>45485.55846064815</v>
      </c>
      <c r="C2722" s="1" t="n">
        <v>45911</v>
      </c>
      <c r="D2722" t="inlineStr">
        <is>
          <t>GÄVLEBORGS LÄN</t>
        </is>
      </c>
      <c r="E2722" t="inlineStr">
        <is>
          <t>SÖDERHAMN</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44696-2021</t>
        </is>
      </c>
      <c r="B2723" s="1" t="n">
        <v>44438.34721064815</v>
      </c>
      <c r="C2723" s="1" t="n">
        <v>45911</v>
      </c>
      <c r="D2723" t="inlineStr">
        <is>
          <t>GÄVLEBORGS LÄN</t>
        </is>
      </c>
      <c r="E2723" t="inlineStr">
        <is>
          <t>LJUSDAL</t>
        </is>
      </c>
      <c r="F2723" t="inlineStr">
        <is>
          <t>Sveaskog</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14498-2023</t>
        </is>
      </c>
      <c r="B2724" s="1" t="n">
        <v>45012</v>
      </c>
      <c r="C2724" s="1" t="n">
        <v>45911</v>
      </c>
      <c r="D2724" t="inlineStr">
        <is>
          <t>GÄVLEBORGS LÄN</t>
        </is>
      </c>
      <c r="E2724" t="inlineStr">
        <is>
          <t>SÖDERHAMN</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25246-2025</t>
        </is>
      </c>
      <c r="B2725" s="1" t="n">
        <v>45800.49399305556</v>
      </c>
      <c r="C2725" s="1" t="n">
        <v>45911</v>
      </c>
      <c r="D2725" t="inlineStr">
        <is>
          <t>GÄVLEBORGS LÄN</t>
        </is>
      </c>
      <c r="E2725" t="inlineStr">
        <is>
          <t>OCKELBO</t>
        </is>
      </c>
      <c r="F2725" t="inlineStr">
        <is>
          <t>Bergvik skog väst AB</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37837-2024</t>
        </is>
      </c>
      <c r="B2726" s="1" t="n">
        <v>45544.36217592593</v>
      </c>
      <c r="C2726" s="1" t="n">
        <v>45911</v>
      </c>
      <c r="D2726" t="inlineStr">
        <is>
          <t>GÄVLEBORGS LÄN</t>
        </is>
      </c>
      <c r="E2726" t="inlineStr">
        <is>
          <t>SÖDERHAMN</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24881-2025</t>
        </is>
      </c>
      <c r="B2727" s="1" t="n">
        <v>45799.49890046296</v>
      </c>
      <c r="C2727" s="1" t="n">
        <v>45911</v>
      </c>
      <c r="D2727" t="inlineStr">
        <is>
          <t>GÄVLEBORGS LÄN</t>
        </is>
      </c>
      <c r="E2727" t="inlineStr">
        <is>
          <t>LJUSDAL</t>
        </is>
      </c>
      <c r="F2727" t="inlineStr">
        <is>
          <t>Holmen skog AB</t>
        </is>
      </c>
      <c r="G2727" t="n">
        <v>3.4</v>
      </c>
      <c r="H2727" t="n">
        <v>0</v>
      </c>
      <c r="I2727" t="n">
        <v>0</v>
      </c>
      <c r="J2727" t="n">
        <v>0</v>
      </c>
      <c r="K2727" t="n">
        <v>0</v>
      </c>
      <c r="L2727" t="n">
        <v>0</v>
      </c>
      <c r="M2727" t="n">
        <v>0</v>
      </c>
      <c r="N2727" t="n">
        <v>0</v>
      </c>
      <c r="O2727" t="n">
        <v>0</v>
      </c>
      <c r="P2727" t="n">
        <v>0</v>
      </c>
      <c r="Q2727" t="n">
        <v>0</v>
      </c>
      <c r="R2727" s="2" t="inlineStr"/>
    </row>
    <row r="2728" ht="15" customHeight="1">
      <c r="A2728" t="inlineStr">
        <is>
          <t>A 25250-2025</t>
        </is>
      </c>
      <c r="B2728" s="1" t="n">
        <v>45800.49899305555</v>
      </c>
      <c r="C2728" s="1" t="n">
        <v>45911</v>
      </c>
      <c r="D2728" t="inlineStr">
        <is>
          <t>GÄVLEBORGS LÄN</t>
        </is>
      </c>
      <c r="E2728" t="inlineStr">
        <is>
          <t>OCKELBO</t>
        </is>
      </c>
      <c r="F2728" t="inlineStr">
        <is>
          <t>Bergvik skog väst AB</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25256-2025</t>
        </is>
      </c>
      <c r="B2729" s="1" t="n">
        <v>45800.50966435186</v>
      </c>
      <c r="C2729" s="1" t="n">
        <v>45911</v>
      </c>
      <c r="D2729" t="inlineStr">
        <is>
          <t>GÄVLEBORGS LÄN</t>
        </is>
      </c>
      <c r="E2729" t="inlineStr">
        <is>
          <t>BOLLNÄS</t>
        </is>
      </c>
      <c r="F2729" t="inlineStr">
        <is>
          <t>Bergvik skog väst AB</t>
        </is>
      </c>
      <c r="G2729" t="n">
        <v>13.8</v>
      </c>
      <c r="H2729" t="n">
        <v>0</v>
      </c>
      <c r="I2729" t="n">
        <v>0</v>
      </c>
      <c r="J2729" t="n">
        <v>0</v>
      </c>
      <c r="K2729" t="n">
        <v>0</v>
      </c>
      <c r="L2729" t="n">
        <v>0</v>
      </c>
      <c r="M2729" t="n">
        <v>0</v>
      </c>
      <c r="N2729" t="n">
        <v>0</v>
      </c>
      <c r="O2729" t="n">
        <v>0</v>
      </c>
      <c r="P2729" t="n">
        <v>0</v>
      </c>
      <c r="Q2729" t="n">
        <v>0</v>
      </c>
      <c r="R2729" s="2" t="inlineStr"/>
    </row>
    <row r="2730" ht="15" customHeight="1">
      <c r="A2730" t="inlineStr">
        <is>
          <t>A 24917-2025</t>
        </is>
      </c>
      <c r="B2730" s="1" t="n">
        <v>45799.54292824074</v>
      </c>
      <c r="C2730" s="1" t="n">
        <v>45911</v>
      </c>
      <c r="D2730" t="inlineStr">
        <is>
          <t>GÄVLEBORGS LÄN</t>
        </is>
      </c>
      <c r="E2730" t="inlineStr">
        <is>
          <t>HUDIKSVALL</t>
        </is>
      </c>
      <c r="F2730" t="inlineStr">
        <is>
          <t>Sveaskog</t>
        </is>
      </c>
      <c r="G2730" t="n">
        <v>36.9</v>
      </c>
      <c r="H2730" t="n">
        <v>0</v>
      </c>
      <c r="I2730" t="n">
        <v>0</v>
      </c>
      <c r="J2730" t="n">
        <v>0</v>
      </c>
      <c r="K2730" t="n">
        <v>0</v>
      </c>
      <c r="L2730" t="n">
        <v>0</v>
      </c>
      <c r="M2730" t="n">
        <v>0</v>
      </c>
      <c r="N2730" t="n">
        <v>0</v>
      </c>
      <c r="O2730" t="n">
        <v>0</v>
      </c>
      <c r="P2730" t="n">
        <v>0</v>
      </c>
      <c r="Q2730" t="n">
        <v>0</v>
      </c>
      <c r="R2730" s="2" t="inlineStr"/>
    </row>
    <row r="2731" ht="15" customHeight="1">
      <c r="A2731" t="inlineStr">
        <is>
          <t>A 25068-2025</t>
        </is>
      </c>
      <c r="B2731" s="1" t="n">
        <v>45799.72726851852</v>
      </c>
      <c r="C2731" s="1" t="n">
        <v>45911</v>
      </c>
      <c r="D2731" t="inlineStr">
        <is>
          <t>GÄVLEBORGS LÄN</t>
        </is>
      </c>
      <c r="E2731" t="inlineStr">
        <is>
          <t>NORDANSTIG</t>
        </is>
      </c>
      <c r="F2731" t="inlineStr">
        <is>
          <t>Holmen skog AB</t>
        </is>
      </c>
      <c r="G2731" t="n">
        <v>16.7</v>
      </c>
      <c r="H2731" t="n">
        <v>0</v>
      </c>
      <c r="I2731" t="n">
        <v>0</v>
      </c>
      <c r="J2731" t="n">
        <v>0</v>
      </c>
      <c r="K2731" t="n">
        <v>0</v>
      </c>
      <c r="L2731" t="n">
        <v>0</v>
      </c>
      <c r="M2731" t="n">
        <v>0</v>
      </c>
      <c r="N2731" t="n">
        <v>0</v>
      </c>
      <c r="O2731" t="n">
        <v>0</v>
      </c>
      <c r="P2731" t="n">
        <v>0</v>
      </c>
      <c r="Q2731" t="n">
        <v>0</v>
      </c>
      <c r="R2731" s="2" t="inlineStr"/>
    </row>
    <row r="2732" ht="15" customHeight="1">
      <c r="A2732" t="inlineStr">
        <is>
          <t>A 25216-2025</t>
        </is>
      </c>
      <c r="B2732" s="1" t="n">
        <v>45800.4756712963</v>
      </c>
      <c r="C2732" s="1" t="n">
        <v>45911</v>
      </c>
      <c r="D2732" t="inlineStr">
        <is>
          <t>GÄVLEBORGS LÄN</t>
        </is>
      </c>
      <c r="E2732" t="inlineStr">
        <is>
          <t>BOLLNÄS</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25248-2025</t>
        </is>
      </c>
      <c r="B2733" s="1" t="n">
        <v>45800.49638888889</v>
      </c>
      <c r="C2733" s="1" t="n">
        <v>45911</v>
      </c>
      <c r="D2733" t="inlineStr">
        <is>
          <t>GÄVLEBORGS LÄN</t>
        </is>
      </c>
      <c r="E2733" t="inlineStr">
        <is>
          <t>OCKELBO</t>
        </is>
      </c>
      <c r="F2733" t="inlineStr">
        <is>
          <t>Bergvik skog väst AB</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25263-2025</t>
        </is>
      </c>
      <c r="B2734" s="1" t="n">
        <v>45800.53275462963</v>
      </c>
      <c r="C2734" s="1" t="n">
        <v>45911</v>
      </c>
      <c r="D2734" t="inlineStr">
        <is>
          <t>GÄVLEBORGS LÄN</t>
        </is>
      </c>
      <c r="E2734" t="inlineStr">
        <is>
          <t>HOFORS</t>
        </is>
      </c>
      <c r="G2734" t="n">
        <v>4.2</v>
      </c>
      <c r="H2734" t="n">
        <v>0</v>
      </c>
      <c r="I2734" t="n">
        <v>0</v>
      </c>
      <c r="J2734" t="n">
        <v>0</v>
      </c>
      <c r="K2734" t="n">
        <v>0</v>
      </c>
      <c r="L2734" t="n">
        <v>0</v>
      </c>
      <c r="M2734" t="n">
        <v>0</v>
      </c>
      <c r="N2734" t="n">
        <v>0</v>
      </c>
      <c r="O2734" t="n">
        <v>0</v>
      </c>
      <c r="P2734" t="n">
        <v>0</v>
      </c>
      <c r="Q2734" t="n">
        <v>0</v>
      </c>
      <c r="R2734" s="2" t="inlineStr"/>
    </row>
    <row r="2735" ht="15" customHeight="1">
      <c r="A2735" t="inlineStr">
        <is>
          <t>A 25265-2025</t>
        </is>
      </c>
      <c r="B2735" s="1" t="n">
        <v>45800.53510416667</v>
      </c>
      <c r="C2735" s="1" t="n">
        <v>45911</v>
      </c>
      <c r="D2735" t="inlineStr">
        <is>
          <t>GÄVLEBORGS LÄN</t>
        </is>
      </c>
      <c r="E2735" t="inlineStr">
        <is>
          <t>SANDVIKEN</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25291-2025</t>
        </is>
      </c>
      <c r="B2736" s="1" t="n">
        <v>45800.56494212963</v>
      </c>
      <c r="C2736" s="1" t="n">
        <v>45911</v>
      </c>
      <c r="D2736" t="inlineStr">
        <is>
          <t>GÄVLEBORGS LÄN</t>
        </is>
      </c>
      <c r="E2736" t="inlineStr">
        <is>
          <t>OVANÅKER</t>
        </is>
      </c>
      <c r="F2736" t="inlineStr">
        <is>
          <t>Bergvik skog väst AB</t>
        </is>
      </c>
      <c r="G2736" t="n">
        <v>3.9</v>
      </c>
      <c r="H2736" t="n">
        <v>0</v>
      </c>
      <c r="I2736" t="n">
        <v>0</v>
      </c>
      <c r="J2736" t="n">
        <v>0</v>
      </c>
      <c r="K2736" t="n">
        <v>0</v>
      </c>
      <c r="L2736" t="n">
        <v>0</v>
      </c>
      <c r="M2736" t="n">
        <v>0</v>
      </c>
      <c r="N2736" t="n">
        <v>0</v>
      </c>
      <c r="O2736" t="n">
        <v>0</v>
      </c>
      <c r="P2736" t="n">
        <v>0</v>
      </c>
      <c r="Q2736" t="n">
        <v>0</v>
      </c>
      <c r="R2736" s="2" t="inlineStr"/>
    </row>
    <row r="2737" ht="15" customHeight="1">
      <c r="A2737" t="inlineStr">
        <is>
          <t>A 25292-2025</t>
        </is>
      </c>
      <c r="B2737" s="1" t="n">
        <v>45800.56613425926</v>
      </c>
      <c r="C2737" s="1" t="n">
        <v>45911</v>
      </c>
      <c r="D2737" t="inlineStr">
        <is>
          <t>GÄVLEBORGS LÄN</t>
        </is>
      </c>
      <c r="E2737" t="inlineStr">
        <is>
          <t>OVANÅKER</t>
        </is>
      </c>
      <c r="F2737" t="inlineStr">
        <is>
          <t>Bergvik skog öst AB</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24953-2025</t>
        </is>
      </c>
      <c r="B2738" s="1" t="n">
        <v>45799.57369212963</v>
      </c>
      <c r="C2738" s="1" t="n">
        <v>45911</v>
      </c>
      <c r="D2738" t="inlineStr">
        <is>
          <t>GÄVLEBORGS LÄN</t>
        </is>
      </c>
      <c r="E2738" t="inlineStr">
        <is>
          <t>SANDVIKEN</t>
        </is>
      </c>
      <c r="G2738" t="n">
        <v>10</v>
      </c>
      <c r="H2738" t="n">
        <v>0</v>
      </c>
      <c r="I2738" t="n">
        <v>0</v>
      </c>
      <c r="J2738" t="n">
        <v>0</v>
      </c>
      <c r="K2738" t="n">
        <v>0</v>
      </c>
      <c r="L2738" t="n">
        <v>0</v>
      </c>
      <c r="M2738" t="n">
        <v>0</v>
      </c>
      <c r="N2738" t="n">
        <v>0</v>
      </c>
      <c r="O2738" t="n">
        <v>0</v>
      </c>
      <c r="P2738" t="n">
        <v>0</v>
      </c>
      <c r="Q2738" t="n">
        <v>0</v>
      </c>
      <c r="R2738" s="2" t="inlineStr"/>
    </row>
    <row r="2739" ht="15" customHeight="1">
      <c r="A2739" t="inlineStr">
        <is>
          <t>A 25191-2025</t>
        </is>
      </c>
      <c r="B2739" s="1" t="n">
        <v>45800.45778935185</v>
      </c>
      <c r="C2739" s="1" t="n">
        <v>45911</v>
      </c>
      <c r="D2739" t="inlineStr">
        <is>
          <t>GÄVLEBORGS LÄN</t>
        </is>
      </c>
      <c r="E2739" t="inlineStr">
        <is>
          <t>OCKELBO</t>
        </is>
      </c>
      <c r="F2739" t="inlineStr">
        <is>
          <t>Bergvik skog väst AB</t>
        </is>
      </c>
      <c r="G2739" t="n">
        <v>5.1</v>
      </c>
      <c r="H2739" t="n">
        <v>0</v>
      </c>
      <c r="I2739" t="n">
        <v>0</v>
      </c>
      <c r="J2739" t="n">
        <v>0</v>
      </c>
      <c r="K2739" t="n">
        <v>0</v>
      </c>
      <c r="L2739" t="n">
        <v>0</v>
      </c>
      <c r="M2739" t="n">
        <v>0</v>
      </c>
      <c r="N2739" t="n">
        <v>0</v>
      </c>
      <c r="O2739" t="n">
        <v>0</v>
      </c>
      <c r="P2739" t="n">
        <v>0</v>
      </c>
      <c r="Q2739" t="n">
        <v>0</v>
      </c>
      <c r="R2739" s="2" t="inlineStr"/>
    </row>
    <row r="2740" ht="15" customHeight="1">
      <c r="A2740" t="inlineStr">
        <is>
          <t>A 25192-2025</t>
        </is>
      </c>
      <c r="B2740" s="1" t="n">
        <v>45800.45829861111</v>
      </c>
      <c r="C2740" s="1" t="n">
        <v>45911</v>
      </c>
      <c r="D2740" t="inlineStr">
        <is>
          <t>GÄVLEBORGS LÄN</t>
        </is>
      </c>
      <c r="E2740" t="inlineStr">
        <is>
          <t>BOLLNÄS</t>
        </is>
      </c>
      <c r="F2740" t="inlineStr">
        <is>
          <t>Bergvik skog väst AB</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25193-2025</t>
        </is>
      </c>
      <c r="B2741" s="1" t="n">
        <v>45800.4584837963</v>
      </c>
      <c r="C2741" s="1" t="n">
        <v>45911</v>
      </c>
      <c r="D2741" t="inlineStr">
        <is>
          <t>GÄVLEBORGS LÄN</t>
        </is>
      </c>
      <c r="E2741" t="inlineStr">
        <is>
          <t>OVANÅKER</t>
        </is>
      </c>
      <c r="F2741" t="inlineStr">
        <is>
          <t>Bergvik skog väst AB</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25233-2025</t>
        </is>
      </c>
      <c r="B2742" s="1" t="n">
        <v>45800.48542824074</v>
      </c>
      <c r="C2742" s="1" t="n">
        <v>45911</v>
      </c>
      <c r="D2742" t="inlineStr">
        <is>
          <t>GÄVLEBORGS LÄN</t>
        </is>
      </c>
      <c r="E2742" t="inlineStr">
        <is>
          <t>OCKELBO</t>
        </is>
      </c>
      <c r="F2742" t="inlineStr">
        <is>
          <t>Bergvik skog väst AB</t>
        </is>
      </c>
      <c r="G2742" t="n">
        <v>6.1</v>
      </c>
      <c r="H2742" t="n">
        <v>0</v>
      </c>
      <c r="I2742" t="n">
        <v>0</v>
      </c>
      <c r="J2742" t="n">
        <v>0</v>
      </c>
      <c r="K2742" t="n">
        <v>0</v>
      </c>
      <c r="L2742" t="n">
        <v>0</v>
      </c>
      <c r="M2742" t="n">
        <v>0</v>
      </c>
      <c r="N2742" t="n">
        <v>0</v>
      </c>
      <c r="O2742" t="n">
        <v>0</v>
      </c>
      <c r="P2742" t="n">
        <v>0</v>
      </c>
      <c r="Q2742" t="n">
        <v>0</v>
      </c>
      <c r="R2742" s="2" t="inlineStr"/>
    </row>
    <row r="2743" ht="15" customHeight="1">
      <c r="A2743" t="inlineStr">
        <is>
          <t>A 25234-2025</t>
        </is>
      </c>
      <c r="B2743" s="1" t="n">
        <v>45800.48849537037</v>
      </c>
      <c r="C2743" s="1" t="n">
        <v>45911</v>
      </c>
      <c r="D2743" t="inlineStr">
        <is>
          <t>GÄVLEBORGS LÄN</t>
        </is>
      </c>
      <c r="E2743" t="inlineStr">
        <is>
          <t>OCKELBO</t>
        </is>
      </c>
      <c r="F2743" t="inlineStr">
        <is>
          <t>Bergvik skog väst AB</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25036-2025</t>
        </is>
      </c>
      <c r="B2744" s="1" t="n">
        <v>45799.65690972222</v>
      </c>
      <c r="C2744" s="1" t="n">
        <v>45911</v>
      </c>
      <c r="D2744" t="inlineStr">
        <is>
          <t>GÄVLEBORGS LÄN</t>
        </is>
      </c>
      <c r="E2744" t="inlineStr">
        <is>
          <t>SÖDERHAMN</t>
        </is>
      </c>
      <c r="F2744" t="inlineStr">
        <is>
          <t>Bergvik skog väst AB</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25047-2025</t>
        </is>
      </c>
      <c r="B2745" s="1" t="n">
        <v>45799.66768518519</v>
      </c>
      <c r="C2745" s="1" t="n">
        <v>45911</v>
      </c>
      <c r="D2745" t="inlineStr">
        <is>
          <t>GÄVLEBORGS LÄN</t>
        </is>
      </c>
      <c r="E2745" t="inlineStr">
        <is>
          <t>LJUSDAL</t>
        </is>
      </c>
      <c r="F2745" t="inlineStr">
        <is>
          <t>Holmen skog AB</t>
        </is>
      </c>
      <c r="G2745" t="n">
        <v>24.1</v>
      </c>
      <c r="H2745" t="n">
        <v>0</v>
      </c>
      <c r="I2745" t="n">
        <v>0</v>
      </c>
      <c r="J2745" t="n">
        <v>0</v>
      </c>
      <c r="K2745" t="n">
        <v>0</v>
      </c>
      <c r="L2745" t="n">
        <v>0</v>
      </c>
      <c r="M2745" t="n">
        <v>0</v>
      </c>
      <c r="N2745" t="n">
        <v>0</v>
      </c>
      <c r="O2745" t="n">
        <v>0</v>
      </c>
      <c r="P2745" t="n">
        <v>0</v>
      </c>
      <c r="Q2745" t="n">
        <v>0</v>
      </c>
      <c r="R2745" s="2" t="inlineStr"/>
    </row>
    <row r="2746" ht="15" customHeight="1">
      <c r="A2746" t="inlineStr">
        <is>
          <t>A 44182-2023</t>
        </is>
      </c>
      <c r="B2746" s="1" t="n">
        <v>45188.52214120371</v>
      </c>
      <c r="C2746" s="1" t="n">
        <v>45911</v>
      </c>
      <c r="D2746" t="inlineStr">
        <is>
          <t>GÄVLEBORGS LÄN</t>
        </is>
      </c>
      <c r="E2746" t="inlineStr">
        <is>
          <t>HUDIKSVALL</t>
        </is>
      </c>
      <c r="F2746" t="inlineStr">
        <is>
          <t>Holmen skog AB</t>
        </is>
      </c>
      <c r="G2746" t="n">
        <v>14.6</v>
      </c>
      <c r="H2746" t="n">
        <v>0</v>
      </c>
      <c r="I2746" t="n">
        <v>0</v>
      </c>
      <c r="J2746" t="n">
        <v>0</v>
      </c>
      <c r="K2746" t="n">
        <v>0</v>
      </c>
      <c r="L2746" t="n">
        <v>0</v>
      </c>
      <c r="M2746" t="n">
        <v>0</v>
      </c>
      <c r="N2746" t="n">
        <v>0</v>
      </c>
      <c r="O2746" t="n">
        <v>0</v>
      </c>
      <c r="P2746" t="n">
        <v>0</v>
      </c>
      <c r="Q2746" t="n">
        <v>0</v>
      </c>
      <c r="R2746" s="2" t="inlineStr"/>
    </row>
    <row r="2747" ht="15" customHeight="1">
      <c r="A2747" t="inlineStr">
        <is>
          <t>A 20286-2023</t>
        </is>
      </c>
      <c r="B2747" s="1" t="n">
        <v>45056</v>
      </c>
      <c r="C2747" s="1" t="n">
        <v>45911</v>
      </c>
      <c r="D2747" t="inlineStr">
        <is>
          <t>GÄVLEBORGS LÄN</t>
        </is>
      </c>
      <c r="E2747" t="inlineStr">
        <is>
          <t>SÖDERHAMN</t>
        </is>
      </c>
      <c r="F2747" t="inlineStr">
        <is>
          <t>Bergvik skog väst AB</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22465-2021</t>
        </is>
      </c>
      <c r="B2748" s="1" t="n">
        <v>44326</v>
      </c>
      <c r="C2748" s="1" t="n">
        <v>45911</v>
      </c>
      <c r="D2748" t="inlineStr">
        <is>
          <t>GÄVLEBORGS LÄN</t>
        </is>
      </c>
      <c r="E2748" t="inlineStr">
        <is>
          <t>HUDIKSVALL</t>
        </is>
      </c>
      <c r="F2748" t="inlineStr">
        <is>
          <t>Holmen skog AB</t>
        </is>
      </c>
      <c r="G2748" t="n">
        <v>8</v>
      </c>
      <c r="H2748" t="n">
        <v>0</v>
      </c>
      <c r="I2748" t="n">
        <v>0</v>
      </c>
      <c r="J2748" t="n">
        <v>0</v>
      </c>
      <c r="K2748" t="n">
        <v>0</v>
      </c>
      <c r="L2748" t="n">
        <v>0</v>
      </c>
      <c r="M2748" t="n">
        <v>0</v>
      </c>
      <c r="N2748" t="n">
        <v>0</v>
      </c>
      <c r="O2748" t="n">
        <v>0</v>
      </c>
      <c r="P2748" t="n">
        <v>0</v>
      </c>
      <c r="Q2748" t="n">
        <v>0</v>
      </c>
      <c r="R2748" s="2" t="inlineStr"/>
    </row>
    <row r="2749" ht="15" customHeight="1">
      <c r="A2749" t="inlineStr">
        <is>
          <t>A 44549-2024</t>
        </is>
      </c>
      <c r="B2749" s="1" t="n">
        <v>45574.46666666667</v>
      </c>
      <c r="C2749" s="1" t="n">
        <v>45911</v>
      </c>
      <c r="D2749" t="inlineStr">
        <is>
          <t>GÄVLEBORGS LÄN</t>
        </is>
      </c>
      <c r="E2749" t="inlineStr">
        <is>
          <t>HUDIKSVALL</t>
        </is>
      </c>
      <c r="F2749" t="inlineStr">
        <is>
          <t>Holmen skog AB</t>
        </is>
      </c>
      <c r="G2749" t="n">
        <v>30.9</v>
      </c>
      <c r="H2749" t="n">
        <v>0</v>
      </c>
      <c r="I2749" t="n">
        <v>0</v>
      </c>
      <c r="J2749" t="n">
        <v>0</v>
      </c>
      <c r="K2749" t="n">
        <v>0</v>
      </c>
      <c r="L2749" t="n">
        <v>0</v>
      </c>
      <c r="M2749" t="n">
        <v>0</v>
      </c>
      <c r="N2749" t="n">
        <v>0</v>
      </c>
      <c r="O2749" t="n">
        <v>0</v>
      </c>
      <c r="P2749" t="n">
        <v>0</v>
      </c>
      <c r="Q2749" t="n">
        <v>0</v>
      </c>
      <c r="R2749" s="2" t="inlineStr"/>
    </row>
    <row r="2750" ht="15" customHeight="1">
      <c r="A2750" t="inlineStr">
        <is>
          <t>A 25048-2025</t>
        </is>
      </c>
      <c r="B2750" s="1" t="n">
        <v>45799.66791666667</v>
      </c>
      <c r="C2750" s="1" t="n">
        <v>45911</v>
      </c>
      <c r="D2750" t="inlineStr">
        <is>
          <t>GÄVLEBORGS LÄN</t>
        </is>
      </c>
      <c r="E2750" t="inlineStr">
        <is>
          <t>LJUSDAL</t>
        </is>
      </c>
      <c r="F2750" t="inlineStr">
        <is>
          <t>Holmen skog AB</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25108-2025</t>
        </is>
      </c>
      <c r="B2751" s="1" t="n">
        <v>45800.3503125</v>
      </c>
      <c r="C2751" s="1" t="n">
        <v>45911</v>
      </c>
      <c r="D2751" t="inlineStr">
        <is>
          <t>GÄVLEBORGS LÄN</t>
        </is>
      </c>
      <c r="E2751" t="inlineStr">
        <is>
          <t>OVANÅKER</t>
        </is>
      </c>
      <c r="F2751" t="inlineStr">
        <is>
          <t>Bergvik skog väst AB</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25410-2025</t>
        </is>
      </c>
      <c r="B2752" s="1" t="n">
        <v>45800.66126157407</v>
      </c>
      <c r="C2752" s="1" t="n">
        <v>45911</v>
      </c>
      <c r="D2752" t="inlineStr">
        <is>
          <t>GÄVLEBORGS LÄN</t>
        </is>
      </c>
      <c r="E2752" t="inlineStr">
        <is>
          <t>SANDVIKEN</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17456-2025</t>
        </is>
      </c>
      <c r="B2753" s="1" t="n">
        <v>45757</v>
      </c>
      <c r="C2753" s="1" t="n">
        <v>45911</v>
      </c>
      <c r="D2753" t="inlineStr">
        <is>
          <t>GÄVLEBORGS LÄN</t>
        </is>
      </c>
      <c r="E2753" t="inlineStr">
        <is>
          <t>SÖDERHAMN</t>
        </is>
      </c>
      <c r="F2753" t="inlineStr">
        <is>
          <t>Bergvik skog väst AB</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25104-2025</t>
        </is>
      </c>
      <c r="B2754" s="1" t="n">
        <v>45800.34629629629</v>
      </c>
      <c r="C2754" s="1" t="n">
        <v>45911</v>
      </c>
      <c r="D2754" t="inlineStr">
        <is>
          <t>GÄVLEBORGS LÄN</t>
        </is>
      </c>
      <c r="E2754" t="inlineStr">
        <is>
          <t>OVANÅKER</t>
        </is>
      </c>
      <c r="F2754" t="inlineStr">
        <is>
          <t>Bergvik skog väst AB</t>
        </is>
      </c>
      <c r="G2754" t="n">
        <v>4.3</v>
      </c>
      <c r="H2754" t="n">
        <v>0</v>
      </c>
      <c r="I2754" t="n">
        <v>0</v>
      </c>
      <c r="J2754" t="n">
        <v>0</v>
      </c>
      <c r="K2754" t="n">
        <v>0</v>
      </c>
      <c r="L2754" t="n">
        <v>0</v>
      </c>
      <c r="M2754" t="n">
        <v>0</v>
      </c>
      <c r="N2754" t="n">
        <v>0</v>
      </c>
      <c r="O2754" t="n">
        <v>0</v>
      </c>
      <c r="P2754" t="n">
        <v>0</v>
      </c>
      <c r="Q2754" t="n">
        <v>0</v>
      </c>
      <c r="R2754" s="2" t="inlineStr"/>
    </row>
    <row r="2755" ht="15" customHeight="1">
      <c r="A2755" t="inlineStr">
        <is>
          <t>A 25111-2025</t>
        </is>
      </c>
      <c r="B2755" s="1" t="n">
        <v>45800.35587962963</v>
      </c>
      <c r="C2755" s="1" t="n">
        <v>45911</v>
      </c>
      <c r="D2755" t="inlineStr">
        <is>
          <t>GÄVLEBORGS LÄN</t>
        </is>
      </c>
      <c r="E2755" t="inlineStr">
        <is>
          <t>SANDVIKEN</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24748-2025</t>
        </is>
      </c>
      <c r="B2756" s="1" t="n">
        <v>45799.34690972222</v>
      </c>
      <c r="C2756" s="1" t="n">
        <v>45911</v>
      </c>
      <c r="D2756" t="inlineStr">
        <is>
          <t>GÄVLEBORGS LÄN</t>
        </is>
      </c>
      <c r="E2756" t="inlineStr">
        <is>
          <t>HUDIKSVALL</t>
        </is>
      </c>
      <c r="G2756" t="n">
        <v>3.3</v>
      </c>
      <c r="H2756" t="n">
        <v>0</v>
      </c>
      <c r="I2756" t="n">
        <v>0</v>
      </c>
      <c r="J2756" t="n">
        <v>0</v>
      </c>
      <c r="K2756" t="n">
        <v>0</v>
      </c>
      <c r="L2756" t="n">
        <v>0</v>
      </c>
      <c r="M2756" t="n">
        <v>0</v>
      </c>
      <c r="N2756" t="n">
        <v>0</v>
      </c>
      <c r="O2756" t="n">
        <v>0</v>
      </c>
      <c r="P2756" t="n">
        <v>0</v>
      </c>
      <c r="Q2756" t="n">
        <v>0</v>
      </c>
      <c r="R2756" s="2" t="inlineStr"/>
    </row>
    <row r="2757" ht="15" customHeight="1">
      <c r="A2757" t="inlineStr">
        <is>
          <t>A 24937-2025</t>
        </is>
      </c>
      <c r="B2757" s="1" t="n">
        <v>45799.55748842593</v>
      </c>
      <c r="C2757" s="1" t="n">
        <v>45911</v>
      </c>
      <c r="D2757" t="inlineStr">
        <is>
          <t>GÄVLEBORGS LÄN</t>
        </is>
      </c>
      <c r="E2757" t="inlineStr">
        <is>
          <t>BOLLNÄS</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25187-2025</t>
        </is>
      </c>
      <c r="B2758" s="1" t="n">
        <v>45800.455</v>
      </c>
      <c r="C2758" s="1" t="n">
        <v>45911</v>
      </c>
      <c r="D2758" t="inlineStr">
        <is>
          <t>GÄVLEBORGS LÄN</t>
        </is>
      </c>
      <c r="E2758" t="inlineStr">
        <is>
          <t>HUDIKSVALL</t>
        </is>
      </c>
      <c r="F2758" t="inlineStr">
        <is>
          <t>Holmen skog AB</t>
        </is>
      </c>
      <c r="G2758" t="n">
        <v>53.6</v>
      </c>
      <c r="H2758" t="n">
        <v>0</v>
      </c>
      <c r="I2758" t="n">
        <v>0</v>
      </c>
      <c r="J2758" t="n">
        <v>0</v>
      </c>
      <c r="K2758" t="n">
        <v>0</v>
      </c>
      <c r="L2758" t="n">
        <v>0</v>
      </c>
      <c r="M2758" t="n">
        <v>0</v>
      </c>
      <c r="N2758" t="n">
        <v>0</v>
      </c>
      <c r="O2758" t="n">
        <v>0</v>
      </c>
      <c r="P2758" t="n">
        <v>0</v>
      </c>
      <c r="Q2758" t="n">
        <v>0</v>
      </c>
      <c r="R2758" s="2" t="inlineStr"/>
    </row>
    <row r="2759" ht="15" customHeight="1">
      <c r="A2759" t="inlineStr">
        <is>
          <t>A 25283-2025</t>
        </is>
      </c>
      <c r="B2759" s="1" t="n">
        <v>45800.5616087963</v>
      </c>
      <c r="C2759" s="1" t="n">
        <v>45911</v>
      </c>
      <c r="D2759" t="inlineStr">
        <is>
          <t>GÄVLEBORGS LÄN</t>
        </is>
      </c>
      <c r="E2759" t="inlineStr">
        <is>
          <t>OVANÅKER</t>
        </is>
      </c>
      <c r="F2759" t="inlineStr">
        <is>
          <t>Bergvik skog öst AB</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47875-2023</t>
        </is>
      </c>
      <c r="B2760" s="1" t="n">
        <v>45204.4600462963</v>
      </c>
      <c r="C2760" s="1" t="n">
        <v>45911</v>
      </c>
      <c r="D2760" t="inlineStr">
        <is>
          <t>GÄVLEBORGS LÄN</t>
        </is>
      </c>
      <c r="E2760" t="inlineStr">
        <is>
          <t>LJUSDAL</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25057-2025</t>
        </is>
      </c>
      <c r="B2761" s="1" t="n">
        <v>45799.68395833333</v>
      </c>
      <c r="C2761" s="1" t="n">
        <v>45911</v>
      </c>
      <c r="D2761" t="inlineStr">
        <is>
          <t>GÄVLEBORGS LÄN</t>
        </is>
      </c>
      <c r="E2761" t="inlineStr">
        <is>
          <t>LJUSDAL</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8662-2025</t>
        </is>
      </c>
      <c r="B2762" s="1" t="n">
        <v>45712.39575231481</v>
      </c>
      <c r="C2762" s="1" t="n">
        <v>45911</v>
      </c>
      <c r="D2762" t="inlineStr">
        <is>
          <t>GÄVLEBORGS LÄN</t>
        </is>
      </c>
      <c r="E2762" t="inlineStr">
        <is>
          <t>OCKELBO</t>
        </is>
      </c>
      <c r="G2762" t="n">
        <v>14.7</v>
      </c>
      <c r="H2762" t="n">
        <v>0</v>
      </c>
      <c r="I2762" t="n">
        <v>0</v>
      </c>
      <c r="J2762" t="n">
        <v>0</v>
      </c>
      <c r="K2762" t="n">
        <v>0</v>
      </c>
      <c r="L2762" t="n">
        <v>0</v>
      </c>
      <c r="M2762" t="n">
        <v>0</v>
      </c>
      <c r="N2762" t="n">
        <v>0</v>
      </c>
      <c r="O2762" t="n">
        <v>0</v>
      </c>
      <c r="P2762" t="n">
        <v>0</v>
      </c>
      <c r="Q2762" t="n">
        <v>0</v>
      </c>
      <c r="R2762" s="2" t="inlineStr"/>
    </row>
    <row r="2763" ht="15" customHeight="1">
      <c r="A2763" t="inlineStr">
        <is>
          <t>A 47895-2023</t>
        </is>
      </c>
      <c r="B2763" s="1" t="n">
        <v>45204.49018518518</v>
      </c>
      <c r="C2763" s="1" t="n">
        <v>45911</v>
      </c>
      <c r="D2763" t="inlineStr">
        <is>
          <t>GÄVLEBORGS LÄN</t>
        </is>
      </c>
      <c r="E2763" t="inlineStr">
        <is>
          <t>SANDVIKEN</t>
        </is>
      </c>
      <c r="F2763" t="inlineStr">
        <is>
          <t>Bergvik skog öst AB</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57196-2024</t>
        </is>
      </c>
      <c r="B2764" s="1" t="n">
        <v>45629.47431712963</v>
      </c>
      <c r="C2764" s="1" t="n">
        <v>45911</v>
      </c>
      <c r="D2764" t="inlineStr">
        <is>
          <t>GÄVLEBORGS LÄN</t>
        </is>
      </c>
      <c r="E2764" t="inlineStr">
        <is>
          <t>HUDIKSVALL</t>
        </is>
      </c>
      <c r="F2764" t="inlineStr">
        <is>
          <t>Naturvårdsverket</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71305-2021</t>
        </is>
      </c>
      <c r="B2765" s="1" t="n">
        <v>44539.64944444445</v>
      </c>
      <c r="C2765" s="1" t="n">
        <v>45911</v>
      </c>
      <c r="D2765" t="inlineStr">
        <is>
          <t>GÄVLEBORGS LÄN</t>
        </is>
      </c>
      <c r="E2765" t="inlineStr">
        <is>
          <t>LJUSDAL</t>
        </is>
      </c>
      <c r="F2765" t="inlineStr">
        <is>
          <t>Kommuner</t>
        </is>
      </c>
      <c r="G2765" t="n">
        <v>3.8</v>
      </c>
      <c r="H2765" t="n">
        <v>0</v>
      </c>
      <c r="I2765" t="n">
        <v>0</v>
      </c>
      <c r="J2765" t="n">
        <v>0</v>
      </c>
      <c r="K2765" t="n">
        <v>0</v>
      </c>
      <c r="L2765" t="n">
        <v>0</v>
      </c>
      <c r="M2765" t="n">
        <v>0</v>
      </c>
      <c r="N2765" t="n">
        <v>0</v>
      </c>
      <c r="O2765" t="n">
        <v>0</v>
      </c>
      <c r="P2765" t="n">
        <v>0</v>
      </c>
      <c r="Q2765" t="n">
        <v>0</v>
      </c>
      <c r="R2765" s="2" t="inlineStr"/>
    </row>
    <row r="2766" ht="15" customHeight="1">
      <c r="A2766" t="inlineStr">
        <is>
          <t>A 24758-2025</t>
        </is>
      </c>
      <c r="B2766" s="1" t="n">
        <v>45799.3827662037</v>
      </c>
      <c r="C2766" s="1" t="n">
        <v>45911</v>
      </c>
      <c r="D2766" t="inlineStr">
        <is>
          <t>GÄVLEBORGS LÄN</t>
        </is>
      </c>
      <c r="E2766" t="inlineStr">
        <is>
          <t>NORDANSTIG</t>
        </is>
      </c>
      <c r="F2766" t="inlineStr">
        <is>
          <t>Holmen skog AB</t>
        </is>
      </c>
      <c r="G2766" t="n">
        <v>23.2</v>
      </c>
      <c r="H2766" t="n">
        <v>0</v>
      </c>
      <c r="I2766" t="n">
        <v>0</v>
      </c>
      <c r="J2766" t="n">
        <v>0</v>
      </c>
      <c r="K2766" t="n">
        <v>0</v>
      </c>
      <c r="L2766" t="n">
        <v>0</v>
      </c>
      <c r="M2766" t="n">
        <v>0</v>
      </c>
      <c r="N2766" t="n">
        <v>0</v>
      </c>
      <c r="O2766" t="n">
        <v>0</v>
      </c>
      <c r="P2766" t="n">
        <v>0</v>
      </c>
      <c r="Q2766" t="n">
        <v>0</v>
      </c>
      <c r="R2766" s="2" t="inlineStr"/>
      <c r="U2766">
        <f>HYPERLINK("https://klasma.github.io/Logging_2132/knärot/A 24758-2025 karta knärot.png", "A 24758-2025")</f>
        <v/>
      </c>
      <c r="V2766">
        <f>HYPERLINK("https://klasma.github.io/Logging_2132/klagomål/A 24758-2025 FSC-klagomål.docx", "A 24758-2025")</f>
        <v/>
      </c>
      <c r="W2766">
        <f>HYPERLINK("https://klasma.github.io/Logging_2132/klagomålsmail/A 24758-2025 FSC-klagomål mail.docx", "A 24758-2025")</f>
        <v/>
      </c>
      <c r="X2766">
        <f>HYPERLINK("https://klasma.github.io/Logging_2132/tillsyn/A 24758-2025 tillsynsbegäran.docx", "A 24758-2025")</f>
        <v/>
      </c>
      <c r="Y2766">
        <f>HYPERLINK("https://klasma.github.io/Logging_2132/tillsynsmail/A 24758-2025 tillsynsbegäran mail.docx", "A 24758-2025")</f>
        <v/>
      </c>
    </row>
    <row r="2767" ht="15" customHeight="1">
      <c r="A2767" t="inlineStr">
        <is>
          <t>A 27955-2024</t>
        </is>
      </c>
      <c r="B2767" s="1" t="n">
        <v>45476.3388425926</v>
      </c>
      <c r="C2767" s="1" t="n">
        <v>45911</v>
      </c>
      <c r="D2767" t="inlineStr">
        <is>
          <t>GÄVLEBORGS LÄN</t>
        </is>
      </c>
      <c r="E2767" t="inlineStr">
        <is>
          <t>HUDIKSVALL</t>
        </is>
      </c>
      <c r="F2767" t="inlineStr">
        <is>
          <t>Holmen skog AB</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25130-2025</t>
        </is>
      </c>
      <c r="B2768" s="1" t="n">
        <v>45800.38216435185</v>
      </c>
      <c r="C2768" s="1" t="n">
        <v>45911</v>
      </c>
      <c r="D2768" t="inlineStr">
        <is>
          <t>GÄVLEBORGS LÄN</t>
        </is>
      </c>
      <c r="E2768" t="inlineStr">
        <is>
          <t>OVANÅKER</t>
        </is>
      </c>
      <c r="F2768" t="inlineStr">
        <is>
          <t>Bergvik skog väst AB</t>
        </is>
      </c>
      <c r="G2768" t="n">
        <v>8.699999999999999</v>
      </c>
      <c r="H2768" t="n">
        <v>0</v>
      </c>
      <c r="I2768" t="n">
        <v>0</v>
      </c>
      <c r="J2768" t="n">
        <v>0</v>
      </c>
      <c r="K2768" t="n">
        <v>0</v>
      </c>
      <c r="L2768" t="n">
        <v>0</v>
      </c>
      <c r="M2768" t="n">
        <v>0</v>
      </c>
      <c r="N2768" t="n">
        <v>0</v>
      </c>
      <c r="O2768" t="n">
        <v>0</v>
      </c>
      <c r="P2768" t="n">
        <v>0</v>
      </c>
      <c r="Q2768" t="n">
        <v>0</v>
      </c>
      <c r="R2768" s="2" t="inlineStr"/>
    </row>
    <row r="2769" ht="15" customHeight="1">
      <c r="A2769" t="inlineStr">
        <is>
          <t>A 25168-2025</t>
        </is>
      </c>
      <c r="B2769" s="1" t="n">
        <v>45800.43626157408</v>
      </c>
      <c r="C2769" s="1" t="n">
        <v>45911</v>
      </c>
      <c r="D2769" t="inlineStr">
        <is>
          <t>GÄVLEBORGS LÄN</t>
        </is>
      </c>
      <c r="E2769" t="inlineStr">
        <is>
          <t>OCKELBO</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24938-2025</t>
        </is>
      </c>
      <c r="B2770" s="1" t="n">
        <v>45799.55915509259</v>
      </c>
      <c r="C2770" s="1" t="n">
        <v>45911</v>
      </c>
      <c r="D2770" t="inlineStr">
        <is>
          <t>GÄVLEBORGS LÄN</t>
        </is>
      </c>
      <c r="E2770" t="inlineStr">
        <is>
          <t>NORDANSTIG</t>
        </is>
      </c>
      <c r="F2770" t="inlineStr">
        <is>
          <t>Holmen skog AB</t>
        </is>
      </c>
      <c r="G2770" t="n">
        <v>30.1</v>
      </c>
      <c r="H2770" t="n">
        <v>0</v>
      </c>
      <c r="I2770" t="n">
        <v>0</v>
      </c>
      <c r="J2770" t="n">
        <v>0</v>
      </c>
      <c r="K2770" t="n">
        <v>0</v>
      </c>
      <c r="L2770" t="n">
        <v>0</v>
      </c>
      <c r="M2770" t="n">
        <v>0</v>
      </c>
      <c r="N2770" t="n">
        <v>0</v>
      </c>
      <c r="O2770" t="n">
        <v>0</v>
      </c>
      <c r="P2770" t="n">
        <v>0</v>
      </c>
      <c r="Q2770" t="n">
        <v>0</v>
      </c>
      <c r="R2770" s="2" t="inlineStr"/>
    </row>
    <row r="2771" ht="15" customHeight="1">
      <c r="A2771" t="inlineStr">
        <is>
          <t>A 24940-2025</t>
        </is>
      </c>
      <c r="B2771" s="1" t="n">
        <v>45799.56048611111</v>
      </c>
      <c r="C2771" s="1" t="n">
        <v>45911</v>
      </c>
      <c r="D2771" t="inlineStr">
        <is>
          <t>GÄVLEBORGS LÄN</t>
        </is>
      </c>
      <c r="E2771" t="inlineStr">
        <is>
          <t>SANDVIKEN</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24948-2025</t>
        </is>
      </c>
      <c r="B2772" s="1" t="n">
        <v>45799.56586805556</v>
      </c>
      <c r="C2772" s="1" t="n">
        <v>45911</v>
      </c>
      <c r="D2772" t="inlineStr">
        <is>
          <t>GÄVLEBORGS LÄN</t>
        </is>
      </c>
      <c r="E2772" t="inlineStr">
        <is>
          <t>SANDVIKEN</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25384-2025</t>
        </is>
      </c>
      <c r="B2773" s="1" t="n">
        <v>45800.64162037037</v>
      </c>
      <c r="C2773" s="1" t="n">
        <v>45911</v>
      </c>
      <c r="D2773" t="inlineStr">
        <is>
          <t>GÄVLEBORGS LÄN</t>
        </is>
      </c>
      <c r="E2773" t="inlineStr">
        <is>
          <t>GÄVLE</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25404-2025</t>
        </is>
      </c>
      <c r="B2774" s="1" t="n">
        <v>45800.65675925926</v>
      </c>
      <c r="C2774" s="1" t="n">
        <v>45911</v>
      </c>
      <c r="D2774" t="inlineStr">
        <is>
          <t>GÄVLEBORGS LÄN</t>
        </is>
      </c>
      <c r="E2774" t="inlineStr">
        <is>
          <t>OCKELBO</t>
        </is>
      </c>
      <c r="F2774" t="inlineStr">
        <is>
          <t>Bergvik skog väst AB</t>
        </is>
      </c>
      <c r="G2774" t="n">
        <v>11.1</v>
      </c>
      <c r="H2774" t="n">
        <v>0</v>
      </c>
      <c r="I2774" t="n">
        <v>0</v>
      </c>
      <c r="J2774" t="n">
        <v>0</v>
      </c>
      <c r="K2774" t="n">
        <v>0</v>
      </c>
      <c r="L2774" t="n">
        <v>0</v>
      </c>
      <c r="M2774" t="n">
        <v>0</v>
      </c>
      <c r="N2774" t="n">
        <v>0</v>
      </c>
      <c r="O2774" t="n">
        <v>0</v>
      </c>
      <c r="P2774" t="n">
        <v>0</v>
      </c>
      <c r="Q2774" t="n">
        <v>0</v>
      </c>
      <c r="R2774" s="2" t="inlineStr"/>
    </row>
    <row r="2775" ht="15" customHeight="1">
      <c r="A2775" t="inlineStr">
        <is>
          <t>A 25382-2025</t>
        </is>
      </c>
      <c r="B2775" s="1" t="n">
        <v>45800.64026620371</v>
      </c>
      <c r="C2775" s="1" t="n">
        <v>45911</v>
      </c>
      <c r="D2775" t="inlineStr">
        <is>
          <t>GÄVLEBORGS LÄN</t>
        </is>
      </c>
      <c r="E2775" t="inlineStr">
        <is>
          <t>GÄVLE</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17392-2025</t>
        </is>
      </c>
      <c r="B2776" s="1" t="n">
        <v>45757.33837962963</v>
      </c>
      <c r="C2776" s="1" t="n">
        <v>45911</v>
      </c>
      <c r="D2776" t="inlineStr">
        <is>
          <t>GÄVLEBORGS LÄN</t>
        </is>
      </c>
      <c r="E2776" t="inlineStr">
        <is>
          <t>OVANÅKER</t>
        </is>
      </c>
      <c r="F2776" t="inlineStr">
        <is>
          <t>Bergvik skog öst AB</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24927-2025</t>
        </is>
      </c>
      <c r="B2777" s="1" t="n">
        <v>45799.55334490741</v>
      </c>
      <c r="C2777" s="1" t="n">
        <v>45911</v>
      </c>
      <c r="D2777" t="inlineStr">
        <is>
          <t>GÄVLEBORGS LÄN</t>
        </is>
      </c>
      <c r="E2777" t="inlineStr">
        <is>
          <t>OCKELBO</t>
        </is>
      </c>
      <c r="F2777" t="inlineStr">
        <is>
          <t>Bergvik skog väst AB</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24941-2025</t>
        </is>
      </c>
      <c r="B2778" s="1" t="n">
        <v>45799.56206018518</v>
      </c>
      <c r="C2778" s="1" t="n">
        <v>45911</v>
      </c>
      <c r="D2778" t="inlineStr">
        <is>
          <t>GÄVLEBORGS LÄN</t>
        </is>
      </c>
      <c r="E2778" t="inlineStr">
        <is>
          <t>OCKELBO</t>
        </is>
      </c>
      <c r="F2778" t="inlineStr">
        <is>
          <t>Bergvik skog väst AB</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24840-2025</t>
        </is>
      </c>
      <c r="B2779" s="1" t="n">
        <v>45799.46436342593</v>
      </c>
      <c r="C2779" s="1" t="n">
        <v>45911</v>
      </c>
      <c r="D2779" t="inlineStr">
        <is>
          <t>GÄVLEBORGS LÄN</t>
        </is>
      </c>
      <c r="E2779" t="inlineStr">
        <is>
          <t>LJUSDAL</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25226-2025</t>
        </is>
      </c>
      <c r="B2780" s="1" t="n">
        <v>45800</v>
      </c>
      <c r="C2780" s="1" t="n">
        <v>45911</v>
      </c>
      <c r="D2780" t="inlineStr">
        <is>
          <t>GÄVLEBORGS LÄN</t>
        </is>
      </c>
      <c r="E2780" t="inlineStr">
        <is>
          <t>BOLLNÄS</t>
        </is>
      </c>
      <c r="F2780" t="inlineStr">
        <is>
          <t>Holmen skog AB</t>
        </is>
      </c>
      <c r="G2780" t="n">
        <v>17.7</v>
      </c>
      <c r="H2780" t="n">
        <v>0</v>
      </c>
      <c r="I2780" t="n">
        <v>0</v>
      </c>
      <c r="J2780" t="n">
        <v>0</v>
      </c>
      <c r="K2780" t="n">
        <v>0</v>
      </c>
      <c r="L2780" t="n">
        <v>0</v>
      </c>
      <c r="M2780" t="n">
        <v>0</v>
      </c>
      <c r="N2780" t="n">
        <v>0</v>
      </c>
      <c r="O2780" t="n">
        <v>0</v>
      </c>
      <c r="P2780" t="n">
        <v>0</v>
      </c>
      <c r="Q2780" t="n">
        <v>0</v>
      </c>
      <c r="R2780" s="2" t="inlineStr"/>
    </row>
    <row r="2781" ht="15" customHeight="1">
      <c r="A2781" t="inlineStr">
        <is>
          <t>A 25148-2025</t>
        </is>
      </c>
      <c r="B2781" s="1" t="n">
        <v>45800.42070601852</v>
      </c>
      <c r="C2781" s="1" t="n">
        <v>45911</v>
      </c>
      <c r="D2781" t="inlineStr">
        <is>
          <t>GÄVLEBORGS LÄN</t>
        </is>
      </c>
      <c r="E2781" t="inlineStr">
        <is>
          <t>HUDIKSVALL</t>
        </is>
      </c>
      <c r="F2781" t="inlineStr">
        <is>
          <t>Holmen skog AB</t>
        </is>
      </c>
      <c r="G2781" t="n">
        <v>20</v>
      </c>
      <c r="H2781" t="n">
        <v>0</v>
      </c>
      <c r="I2781" t="n">
        <v>0</v>
      </c>
      <c r="J2781" t="n">
        <v>0</v>
      </c>
      <c r="K2781" t="n">
        <v>0</v>
      </c>
      <c r="L2781" t="n">
        <v>0</v>
      </c>
      <c r="M2781" t="n">
        <v>0</v>
      </c>
      <c r="N2781" t="n">
        <v>0</v>
      </c>
      <c r="O2781" t="n">
        <v>0</v>
      </c>
      <c r="P2781" t="n">
        <v>0</v>
      </c>
      <c r="Q2781" t="n">
        <v>0</v>
      </c>
      <c r="R2781" s="2" t="inlineStr"/>
    </row>
    <row r="2782" ht="15" customHeight="1">
      <c r="A2782" t="inlineStr">
        <is>
          <t>A 25022-2025</t>
        </is>
      </c>
      <c r="B2782" s="1" t="n">
        <v>45799.64637731481</v>
      </c>
      <c r="C2782" s="1" t="n">
        <v>45911</v>
      </c>
      <c r="D2782" t="inlineStr">
        <is>
          <t>GÄVLEBORGS LÄN</t>
        </is>
      </c>
      <c r="E2782" t="inlineStr">
        <is>
          <t>OVANÅKER</t>
        </is>
      </c>
      <c r="F2782" t="inlineStr">
        <is>
          <t>Bergvik skog väst AB</t>
        </is>
      </c>
      <c r="G2782" t="n">
        <v>4.2</v>
      </c>
      <c r="H2782" t="n">
        <v>0</v>
      </c>
      <c r="I2782" t="n">
        <v>0</v>
      </c>
      <c r="J2782" t="n">
        <v>0</v>
      </c>
      <c r="K2782" t="n">
        <v>0</v>
      </c>
      <c r="L2782" t="n">
        <v>0</v>
      </c>
      <c r="M2782" t="n">
        <v>0</v>
      </c>
      <c r="N2782" t="n">
        <v>0</v>
      </c>
      <c r="O2782" t="n">
        <v>0</v>
      </c>
      <c r="P2782" t="n">
        <v>0</v>
      </c>
      <c r="Q2782" t="n">
        <v>0</v>
      </c>
      <c r="R2782" s="2" t="inlineStr"/>
    </row>
    <row r="2783" ht="15" customHeight="1">
      <c r="A2783" t="inlineStr">
        <is>
          <t>A 25037-2025</t>
        </is>
      </c>
      <c r="B2783" s="1" t="n">
        <v>45799.65700231482</v>
      </c>
      <c r="C2783" s="1" t="n">
        <v>45911</v>
      </c>
      <c r="D2783" t="inlineStr">
        <is>
          <t>GÄVLEBORGS LÄN</t>
        </is>
      </c>
      <c r="E2783" t="inlineStr">
        <is>
          <t>LJUSDAL</t>
        </is>
      </c>
      <c r="G2783" t="n">
        <v>12.3</v>
      </c>
      <c r="H2783" t="n">
        <v>0</v>
      </c>
      <c r="I2783" t="n">
        <v>0</v>
      </c>
      <c r="J2783" t="n">
        <v>0</v>
      </c>
      <c r="K2783" t="n">
        <v>0</v>
      </c>
      <c r="L2783" t="n">
        <v>0</v>
      </c>
      <c r="M2783" t="n">
        <v>0</v>
      </c>
      <c r="N2783" t="n">
        <v>0</v>
      </c>
      <c r="O2783" t="n">
        <v>0</v>
      </c>
      <c r="P2783" t="n">
        <v>0</v>
      </c>
      <c r="Q2783" t="n">
        <v>0</v>
      </c>
      <c r="R2783" s="2" t="inlineStr"/>
    </row>
    <row r="2784" ht="15" customHeight="1">
      <c r="A2784" t="inlineStr">
        <is>
          <t>A 25080-2025</t>
        </is>
      </c>
      <c r="B2784" s="1" t="n">
        <v>45799.91233796296</v>
      </c>
      <c r="C2784" s="1" t="n">
        <v>45911</v>
      </c>
      <c r="D2784" t="inlineStr">
        <is>
          <t>GÄVLEBORGS LÄN</t>
        </is>
      </c>
      <c r="E2784" t="inlineStr">
        <is>
          <t>NORDANSTIG</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25110-2025</t>
        </is>
      </c>
      <c r="B2785" s="1" t="n">
        <v>45800.3528125</v>
      </c>
      <c r="C2785" s="1" t="n">
        <v>45911</v>
      </c>
      <c r="D2785" t="inlineStr">
        <is>
          <t>GÄVLEBORGS LÄN</t>
        </is>
      </c>
      <c r="E2785" t="inlineStr">
        <is>
          <t>OVANÅKER</t>
        </is>
      </c>
      <c r="F2785" t="inlineStr">
        <is>
          <t>Bergvik skog väst AB</t>
        </is>
      </c>
      <c r="G2785" t="n">
        <v>10.1</v>
      </c>
      <c r="H2785" t="n">
        <v>0</v>
      </c>
      <c r="I2785" t="n">
        <v>0</v>
      </c>
      <c r="J2785" t="n">
        <v>0</v>
      </c>
      <c r="K2785" t="n">
        <v>0</v>
      </c>
      <c r="L2785" t="n">
        <v>0</v>
      </c>
      <c r="M2785" t="n">
        <v>0</v>
      </c>
      <c r="N2785" t="n">
        <v>0</v>
      </c>
      <c r="O2785" t="n">
        <v>0</v>
      </c>
      <c r="P2785" t="n">
        <v>0</v>
      </c>
      <c r="Q2785" t="n">
        <v>0</v>
      </c>
      <c r="R2785" s="2" t="inlineStr"/>
    </row>
    <row r="2786" ht="15" customHeight="1">
      <c r="A2786" t="inlineStr">
        <is>
          <t>A 24713-2025</t>
        </is>
      </c>
      <c r="B2786" s="1" t="n">
        <v>45798.91952546296</v>
      </c>
      <c r="C2786" s="1" t="n">
        <v>45911</v>
      </c>
      <c r="D2786" t="inlineStr">
        <is>
          <t>GÄVLEBORGS LÄN</t>
        </is>
      </c>
      <c r="E2786" t="inlineStr">
        <is>
          <t>LJUSDAL</t>
        </is>
      </c>
      <c r="G2786" t="n">
        <v>7</v>
      </c>
      <c r="H2786" t="n">
        <v>0</v>
      </c>
      <c r="I2786" t="n">
        <v>0</v>
      </c>
      <c r="J2786" t="n">
        <v>0</v>
      </c>
      <c r="K2786" t="n">
        <v>0</v>
      </c>
      <c r="L2786" t="n">
        <v>0</v>
      </c>
      <c r="M2786" t="n">
        <v>0</v>
      </c>
      <c r="N2786" t="n">
        <v>0</v>
      </c>
      <c r="O2786" t="n">
        <v>0</v>
      </c>
      <c r="P2786" t="n">
        <v>0</v>
      </c>
      <c r="Q2786" t="n">
        <v>0</v>
      </c>
      <c r="R2786" s="2" t="inlineStr"/>
    </row>
    <row r="2787" ht="15" customHeight="1">
      <c r="A2787" t="inlineStr">
        <is>
          <t>A 25082-2025</t>
        </is>
      </c>
      <c r="B2787" s="1" t="n">
        <v>45800.26887731482</v>
      </c>
      <c r="C2787" s="1" t="n">
        <v>45911</v>
      </c>
      <c r="D2787" t="inlineStr">
        <is>
          <t>GÄVLEBORGS LÄN</t>
        </is>
      </c>
      <c r="E2787" t="inlineStr">
        <is>
          <t>OVANÅKER</t>
        </is>
      </c>
      <c r="F2787" t="inlineStr">
        <is>
          <t>Bergvik skog väst AB</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25151-2025</t>
        </is>
      </c>
      <c r="B2788" s="1" t="n">
        <v>45800.42427083333</v>
      </c>
      <c r="C2788" s="1" t="n">
        <v>45911</v>
      </c>
      <c r="D2788" t="inlineStr">
        <is>
          <t>GÄVLEBORGS LÄN</t>
        </is>
      </c>
      <c r="E2788" t="inlineStr">
        <is>
          <t>OVANÅKER</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24999-2025</t>
        </is>
      </c>
      <c r="B2789" s="1" t="n">
        <v>45799.6178125</v>
      </c>
      <c r="C2789" s="1" t="n">
        <v>45911</v>
      </c>
      <c r="D2789" t="inlineStr">
        <is>
          <t>GÄVLEBORGS LÄN</t>
        </is>
      </c>
      <c r="E2789" t="inlineStr">
        <is>
          <t>HUDIKSVALL</t>
        </is>
      </c>
      <c r="F2789" t="inlineStr">
        <is>
          <t>Holmen skog AB</t>
        </is>
      </c>
      <c r="G2789" t="n">
        <v>6.9</v>
      </c>
      <c r="H2789" t="n">
        <v>0</v>
      </c>
      <c r="I2789" t="n">
        <v>0</v>
      </c>
      <c r="J2789" t="n">
        <v>0</v>
      </c>
      <c r="K2789" t="n">
        <v>0</v>
      </c>
      <c r="L2789" t="n">
        <v>0</v>
      </c>
      <c r="M2789" t="n">
        <v>0</v>
      </c>
      <c r="N2789" t="n">
        <v>0</v>
      </c>
      <c r="O2789" t="n">
        <v>0</v>
      </c>
      <c r="P2789" t="n">
        <v>0</v>
      </c>
      <c r="Q2789" t="n">
        <v>0</v>
      </c>
      <c r="R2789" s="2" t="inlineStr"/>
    </row>
    <row r="2790" ht="15" customHeight="1">
      <c r="A2790" t="inlineStr">
        <is>
          <t>A 25844-2025</t>
        </is>
      </c>
      <c r="B2790" s="1" t="n">
        <v>45800</v>
      </c>
      <c r="C2790" s="1" t="n">
        <v>45911</v>
      </c>
      <c r="D2790" t="inlineStr">
        <is>
          <t>GÄVLEBORGS LÄN</t>
        </is>
      </c>
      <c r="E2790" t="inlineStr">
        <is>
          <t>HUDIKSVALL</t>
        </is>
      </c>
      <c r="G2790" t="n">
        <v>5.4</v>
      </c>
      <c r="H2790" t="n">
        <v>0</v>
      </c>
      <c r="I2790" t="n">
        <v>0</v>
      </c>
      <c r="J2790" t="n">
        <v>0</v>
      </c>
      <c r="K2790" t="n">
        <v>0</v>
      </c>
      <c r="L2790" t="n">
        <v>0</v>
      </c>
      <c r="M2790" t="n">
        <v>0</v>
      </c>
      <c r="N2790" t="n">
        <v>0</v>
      </c>
      <c r="O2790" t="n">
        <v>0</v>
      </c>
      <c r="P2790" t="n">
        <v>0</v>
      </c>
      <c r="Q2790" t="n">
        <v>0</v>
      </c>
      <c r="R2790" s="2" t="inlineStr"/>
    </row>
    <row r="2791" ht="15" customHeight="1">
      <c r="A2791" t="inlineStr">
        <is>
          <t>A 25346-2025</t>
        </is>
      </c>
      <c r="B2791" s="1" t="n">
        <v>45800.61052083333</v>
      </c>
      <c r="C2791" s="1" t="n">
        <v>45911</v>
      </c>
      <c r="D2791" t="inlineStr">
        <is>
          <t>GÄVLEBORGS LÄN</t>
        </is>
      </c>
      <c r="E2791" t="inlineStr">
        <is>
          <t>OVANÅKER</t>
        </is>
      </c>
      <c r="F2791" t="inlineStr">
        <is>
          <t>Bergvik skog väst AB</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29723-2024</t>
        </is>
      </c>
      <c r="B2792" s="1" t="n">
        <v>45485.36784722222</v>
      </c>
      <c r="C2792" s="1" t="n">
        <v>45911</v>
      </c>
      <c r="D2792" t="inlineStr">
        <is>
          <t>GÄVLEBORGS LÄN</t>
        </is>
      </c>
      <c r="E2792" t="inlineStr">
        <is>
          <t>BOLLNÄS</t>
        </is>
      </c>
      <c r="G2792" t="n">
        <v>0.3</v>
      </c>
      <c r="H2792" t="n">
        <v>0</v>
      </c>
      <c r="I2792" t="n">
        <v>0</v>
      </c>
      <c r="J2792" t="n">
        <v>0</v>
      </c>
      <c r="K2792" t="n">
        <v>0</v>
      </c>
      <c r="L2792" t="n">
        <v>0</v>
      </c>
      <c r="M2792" t="n">
        <v>0</v>
      </c>
      <c r="N2792" t="n">
        <v>0</v>
      </c>
      <c r="O2792" t="n">
        <v>0</v>
      </c>
      <c r="P2792" t="n">
        <v>0</v>
      </c>
      <c r="Q2792" t="n">
        <v>0</v>
      </c>
      <c r="R2792" s="2" t="inlineStr"/>
    </row>
    <row r="2793" ht="15" customHeight="1">
      <c r="A2793" t="inlineStr">
        <is>
          <t>A 52090-2024</t>
        </is>
      </c>
      <c r="B2793" s="1" t="n">
        <v>45608</v>
      </c>
      <c r="C2793" s="1" t="n">
        <v>45911</v>
      </c>
      <c r="D2793" t="inlineStr">
        <is>
          <t>GÄVLEBORGS LÄN</t>
        </is>
      </c>
      <c r="E2793" t="inlineStr">
        <is>
          <t>LJUSDAL</t>
        </is>
      </c>
      <c r="G2793" t="n">
        <v>0.3</v>
      </c>
      <c r="H2793" t="n">
        <v>0</v>
      </c>
      <c r="I2793" t="n">
        <v>0</v>
      </c>
      <c r="J2793" t="n">
        <v>0</v>
      </c>
      <c r="K2793" t="n">
        <v>0</v>
      </c>
      <c r="L2793" t="n">
        <v>0</v>
      </c>
      <c r="M2793" t="n">
        <v>0</v>
      </c>
      <c r="N2793" t="n">
        <v>0</v>
      </c>
      <c r="O2793" t="n">
        <v>0</v>
      </c>
      <c r="P2793" t="n">
        <v>0</v>
      </c>
      <c r="Q2793" t="n">
        <v>0</v>
      </c>
      <c r="R2793" s="2" t="inlineStr"/>
    </row>
    <row r="2794" ht="15" customHeight="1">
      <c r="A2794" t="inlineStr">
        <is>
          <t>A 45299-2023</t>
        </is>
      </c>
      <c r="B2794" s="1" t="n">
        <v>45191.66645833333</v>
      </c>
      <c r="C2794" s="1" t="n">
        <v>45911</v>
      </c>
      <c r="D2794" t="inlineStr">
        <is>
          <t>GÄVLEBORGS LÄN</t>
        </is>
      </c>
      <c r="E2794" t="inlineStr">
        <is>
          <t>SANDVIKEN</t>
        </is>
      </c>
      <c r="F2794" t="inlineStr">
        <is>
          <t>Bergvik skog öst AB</t>
        </is>
      </c>
      <c r="G2794" t="n">
        <v>5.1</v>
      </c>
      <c r="H2794" t="n">
        <v>0</v>
      </c>
      <c r="I2794" t="n">
        <v>0</v>
      </c>
      <c r="J2794" t="n">
        <v>0</v>
      </c>
      <c r="K2794" t="n">
        <v>0</v>
      </c>
      <c r="L2794" t="n">
        <v>0</v>
      </c>
      <c r="M2794" t="n">
        <v>0</v>
      </c>
      <c r="N2794" t="n">
        <v>0</v>
      </c>
      <c r="O2794" t="n">
        <v>0</v>
      </c>
      <c r="P2794" t="n">
        <v>0</v>
      </c>
      <c r="Q2794" t="n">
        <v>0</v>
      </c>
      <c r="R2794" s="2" t="inlineStr"/>
    </row>
    <row r="2795" ht="15" customHeight="1">
      <c r="A2795" t="inlineStr">
        <is>
          <t>A 45318-2023</t>
        </is>
      </c>
      <c r="B2795" s="1" t="n">
        <v>45191.76460648148</v>
      </c>
      <c r="C2795" s="1" t="n">
        <v>45911</v>
      </c>
      <c r="D2795" t="inlineStr">
        <is>
          <t>GÄVLEBORGS LÄN</t>
        </is>
      </c>
      <c r="E2795" t="inlineStr">
        <is>
          <t>HUDIKSVALL</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25314-2025</t>
        </is>
      </c>
      <c r="B2796" s="1" t="n">
        <v>45800.57782407408</v>
      </c>
      <c r="C2796" s="1" t="n">
        <v>45911</v>
      </c>
      <c r="D2796" t="inlineStr">
        <is>
          <t>GÄVLEBORGS LÄN</t>
        </is>
      </c>
      <c r="E2796" t="inlineStr">
        <is>
          <t>SANDVIKEN</t>
        </is>
      </c>
      <c r="F2796" t="inlineStr">
        <is>
          <t>Sveaskog</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25965-2025</t>
        </is>
      </c>
      <c r="B2797" s="1" t="n">
        <v>45804.61806712963</v>
      </c>
      <c r="C2797" s="1" t="n">
        <v>45911</v>
      </c>
      <c r="D2797" t="inlineStr">
        <is>
          <t>GÄVLEBORGS LÄN</t>
        </is>
      </c>
      <c r="E2797" t="inlineStr">
        <is>
          <t>OVANÅKER</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30107-2024</t>
        </is>
      </c>
      <c r="B2798" s="1" t="n">
        <v>45489</v>
      </c>
      <c r="C2798" s="1" t="n">
        <v>45911</v>
      </c>
      <c r="D2798" t="inlineStr">
        <is>
          <t>GÄVLEBORGS LÄN</t>
        </is>
      </c>
      <c r="E2798" t="inlineStr">
        <is>
          <t>HUDIKSVALL</t>
        </is>
      </c>
      <c r="F2798" t="inlineStr">
        <is>
          <t>Holmen skog AB</t>
        </is>
      </c>
      <c r="G2798" t="n">
        <v>3.2</v>
      </c>
      <c r="H2798" t="n">
        <v>0</v>
      </c>
      <c r="I2798" t="n">
        <v>0</v>
      </c>
      <c r="J2798" t="n">
        <v>0</v>
      </c>
      <c r="K2798" t="n">
        <v>0</v>
      </c>
      <c r="L2798" t="n">
        <v>0</v>
      </c>
      <c r="M2798" t="n">
        <v>0</v>
      </c>
      <c r="N2798" t="n">
        <v>0</v>
      </c>
      <c r="O2798" t="n">
        <v>0</v>
      </c>
      <c r="P2798" t="n">
        <v>0</v>
      </c>
      <c r="Q2798" t="n">
        <v>0</v>
      </c>
      <c r="R2798" s="2" t="inlineStr"/>
    </row>
    <row r="2799" ht="15" customHeight="1">
      <c r="A2799" t="inlineStr">
        <is>
          <t>A 46879-2024</t>
        </is>
      </c>
      <c r="B2799" s="1" t="n">
        <v>45583</v>
      </c>
      <c r="C2799" s="1" t="n">
        <v>45911</v>
      </c>
      <c r="D2799" t="inlineStr">
        <is>
          <t>GÄVLEBORGS LÄN</t>
        </is>
      </c>
      <c r="E2799" t="inlineStr">
        <is>
          <t>SANDVIKEN</t>
        </is>
      </c>
      <c r="F2799" t="inlineStr">
        <is>
          <t>Sveaskog</t>
        </is>
      </c>
      <c r="G2799" t="n">
        <v>11.3</v>
      </c>
      <c r="H2799" t="n">
        <v>0</v>
      </c>
      <c r="I2799" t="n">
        <v>0</v>
      </c>
      <c r="J2799" t="n">
        <v>0</v>
      </c>
      <c r="K2799" t="n">
        <v>0</v>
      </c>
      <c r="L2799" t="n">
        <v>0</v>
      </c>
      <c r="M2799" t="n">
        <v>0</v>
      </c>
      <c r="N2799" t="n">
        <v>0</v>
      </c>
      <c r="O2799" t="n">
        <v>0</v>
      </c>
      <c r="P2799" t="n">
        <v>0</v>
      </c>
      <c r="Q2799" t="n">
        <v>0</v>
      </c>
      <c r="R2799" s="2" t="inlineStr"/>
    </row>
    <row r="2800" ht="15" customHeight="1">
      <c r="A2800" t="inlineStr">
        <is>
          <t>A 20434-2024</t>
        </is>
      </c>
      <c r="B2800" s="1" t="n">
        <v>45435.61346064815</v>
      </c>
      <c r="C2800" s="1" t="n">
        <v>45911</v>
      </c>
      <c r="D2800" t="inlineStr">
        <is>
          <t>GÄVLEBORGS LÄN</t>
        </is>
      </c>
      <c r="E2800" t="inlineStr">
        <is>
          <t>NORDANSTIG</t>
        </is>
      </c>
      <c r="F2800" t="inlineStr">
        <is>
          <t>Holmen skog AB</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44009-2023</t>
        </is>
      </c>
      <c r="B2801" s="1" t="n">
        <v>45188.33112268519</v>
      </c>
      <c r="C2801" s="1" t="n">
        <v>45911</v>
      </c>
      <c r="D2801" t="inlineStr">
        <is>
          <t>GÄVLEBORGS LÄN</t>
        </is>
      </c>
      <c r="E2801" t="inlineStr">
        <is>
          <t>NORDANSTIG</t>
        </is>
      </c>
      <c r="F2801" t="inlineStr">
        <is>
          <t>Holmen skog AB</t>
        </is>
      </c>
      <c r="G2801" t="n">
        <v>4.1</v>
      </c>
      <c r="H2801" t="n">
        <v>0</v>
      </c>
      <c r="I2801" t="n">
        <v>0</v>
      </c>
      <c r="J2801" t="n">
        <v>0</v>
      </c>
      <c r="K2801" t="n">
        <v>0</v>
      </c>
      <c r="L2801" t="n">
        <v>0</v>
      </c>
      <c r="M2801" t="n">
        <v>0</v>
      </c>
      <c r="N2801" t="n">
        <v>0</v>
      </c>
      <c r="O2801" t="n">
        <v>0</v>
      </c>
      <c r="P2801" t="n">
        <v>0</v>
      </c>
      <c r="Q2801" t="n">
        <v>0</v>
      </c>
      <c r="R2801" s="2" t="inlineStr"/>
    </row>
    <row r="2802" ht="15" customHeight="1">
      <c r="A2802" t="inlineStr">
        <is>
          <t>A 35130-2024</t>
        </is>
      </c>
      <c r="B2802" s="1" t="n">
        <v>45530</v>
      </c>
      <c r="C2802" s="1" t="n">
        <v>45911</v>
      </c>
      <c r="D2802" t="inlineStr">
        <is>
          <t>GÄVLEBORGS LÄN</t>
        </is>
      </c>
      <c r="E2802" t="inlineStr">
        <is>
          <t>NORDANSTIG</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59661-2024</t>
        </is>
      </c>
      <c r="B2803" s="1" t="n">
        <v>45639.36412037037</v>
      </c>
      <c r="C2803" s="1" t="n">
        <v>45911</v>
      </c>
      <c r="D2803" t="inlineStr">
        <is>
          <t>GÄVLEBORGS LÄN</t>
        </is>
      </c>
      <c r="E2803" t="inlineStr">
        <is>
          <t>SANDVIKEN</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26564-2022</t>
        </is>
      </c>
      <c r="B2804" s="1" t="n">
        <v>44739.48752314815</v>
      </c>
      <c r="C2804" s="1" t="n">
        <v>45911</v>
      </c>
      <c r="D2804" t="inlineStr">
        <is>
          <t>GÄVLEBORGS LÄN</t>
        </is>
      </c>
      <c r="E2804" t="inlineStr">
        <is>
          <t>GÄVLE</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52626-2022</t>
        </is>
      </c>
      <c r="B2805" s="1" t="n">
        <v>44874</v>
      </c>
      <c r="C2805" s="1" t="n">
        <v>45911</v>
      </c>
      <c r="D2805" t="inlineStr">
        <is>
          <t>GÄVLEBORGS LÄN</t>
        </is>
      </c>
      <c r="E2805" t="inlineStr">
        <is>
          <t>LJUSDAL</t>
        </is>
      </c>
      <c r="F2805" t="inlineStr">
        <is>
          <t>Kyrkan</t>
        </is>
      </c>
      <c r="G2805" t="n">
        <v>3.4</v>
      </c>
      <c r="H2805" t="n">
        <v>0</v>
      </c>
      <c r="I2805" t="n">
        <v>0</v>
      </c>
      <c r="J2805" t="n">
        <v>0</v>
      </c>
      <c r="K2805" t="n">
        <v>0</v>
      </c>
      <c r="L2805" t="n">
        <v>0</v>
      </c>
      <c r="M2805" t="n">
        <v>0</v>
      </c>
      <c r="N2805" t="n">
        <v>0</v>
      </c>
      <c r="O2805" t="n">
        <v>0</v>
      </c>
      <c r="P2805" t="n">
        <v>0</v>
      </c>
      <c r="Q2805" t="n">
        <v>0</v>
      </c>
      <c r="R2805" s="2" t="inlineStr"/>
    </row>
    <row r="2806" ht="15" customHeight="1">
      <c r="A2806" t="inlineStr">
        <is>
          <t>A 60426-2024</t>
        </is>
      </c>
      <c r="B2806" s="1" t="n">
        <v>45643</v>
      </c>
      <c r="C2806" s="1" t="n">
        <v>45911</v>
      </c>
      <c r="D2806" t="inlineStr">
        <is>
          <t>GÄVLEBORGS LÄN</t>
        </is>
      </c>
      <c r="E2806" t="inlineStr">
        <is>
          <t>BOLLNÄS</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47642-2024</t>
        </is>
      </c>
      <c r="B2807" s="1" t="n">
        <v>45588.3656712963</v>
      </c>
      <c r="C2807" s="1" t="n">
        <v>45911</v>
      </c>
      <c r="D2807" t="inlineStr">
        <is>
          <t>GÄVLEBORGS LÄN</t>
        </is>
      </c>
      <c r="E2807" t="inlineStr">
        <is>
          <t>GÄVLE</t>
        </is>
      </c>
      <c r="F2807" t="inlineStr">
        <is>
          <t>Bergvik skog väst AB</t>
        </is>
      </c>
      <c r="G2807" t="n">
        <v>8.199999999999999</v>
      </c>
      <c r="H2807" t="n">
        <v>0</v>
      </c>
      <c r="I2807" t="n">
        <v>0</v>
      </c>
      <c r="J2807" t="n">
        <v>0</v>
      </c>
      <c r="K2807" t="n">
        <v>0</v>
      </c>
      <c r="L2807" t="n">
        <v>0</v>
      </c>
      <c r="M2807" t="n">
        <v>0</v>
      </c>
      <c r="N2807" t="n">
        <v>0</v>
      </c>
      <c r="O2807" t="n">
        <v>0</v>
      </c>
      <c r="P2807" t="n">
        <v>0</v>
      </c>
      <c r="Q2807" t="n">
        <v>0</v>
      </c>
      <c r="R2807" s="2" t="inlineStr"/>
    </row>
    <row r="2808" ht="15" customHeight="1">
      <c r="A2808" t="inlineStr">
        <is>
          <t>A 25468-2025</t>
        </is>
      </c>
      <c r="B2808" s="1" t="n">
        <v>45802.68767361111</v>
      </c>
      <c r="C2808" s="1" t="n">
        <v>45911</v>
      </c>
      <c r="D2808" t="inlineStr">
        <is>
          <t>GÄVLEBORGS LÄN</t>
        </is>
      </c>
      <c r="E2808" t="inlineStr">
        <is>
          <t>NORDANSTIG</t>
        </is>
      </c>
      <c r="F2808" t="inlineStr">
        <is>
          <t>Holmen skog AB</t>
        </is>
      </c>
      <c r="G2808" t="n">
        <v>5.5</v>
      </c>
      <c r="H2808" t="n">
        <v>0</v>
      </c>
      <c r="I2808" t="n">
        <v>0</v>
      </c>
      <c r="J2808" t="n">
        <v>0</v>
      </c>
      <c r="K2808" t="n">
        <v>0</v>
      </c>
      <c r="L2808" t="n">
        <v>0</v>
      </c>
      <c r="M2808" t="n">
        <v>0</v>
      </c>
      <c r="N2808" t="n">
        <v>0</v>
      </c>
      <c r="O2808" t="n">
        <v>0</v>
      </c>
      <c r="P2808" t="n">
        <v>0</v>
      </c>
      <c r="Q2808" t="n">
        <v>0</v>
      </c>
      <c r="R2808" s="2" t="inlineStr"/>
    </row>
    <row r="2809" ht="15" customHeight="1">
      <c r="A2809" t="inlineStr">
        <is>
          <t>A 25993-2025</t>
        </is>
      </c>
      <c r="B2809" s="1" t="n">
        <v>45804.65660879629</v>
      </c>
      <c r="C2809" s="1" t="n">
        <v>45911</v>
      </c>
      <c r="D2809" t="inlineStr">
        <is>
          <t>GÄVLEBORGS LÄN</t>
        </is>
      </c>
      <c r="E2809" t="inlineStr">
        <is>
          <t>LJUSDAL</t>
        </is>
      </c>
      <c r="F2809" t="inlineStr">
        <is>
          <t>Holmen skog AB</t>
        </is>
      </c>
      <c r="G2809" t="n">
        <v>26.6</v>
      </c>
      <c r="H2809" t="n">
        <v>0</v>
      </c>
      <c r="I2809" t="n">
        <v>0</v>
      </c>
      <c r="J2809" t="n">
        <v>0</v>
      </c>
      <c r="K2809" t="n">
        <v>0</v>
      </c>
      <c r="L2809" t="n">
        <v>0</v>
      </c>
      <c r="M2809" t="n">
        <v>0</v>
      </c>
      <c r="N2809" t="n">
        <v>0</v>
      </c>
      <c r="O2809" t="n">
        <v>0</v>
      </c>
      <c r="P2809" t="n">
        <v>0</v>
      </c>
      <c r="Q2809" t="n">
        <v>0</v>
      </c>
      <c r="R2809" s="2" t="inlineStr"/>
    </row>
    <row r="2810" ht="15" customHeight="1">
      <c r="A2810" t="inlineStr">
        <is>
          <t>A 25614-2025</t>
        </is>
      </c>
      <c r="B2810" s="1" t="n">
        <v>45803.56303240741</v>
      </c>
      <c r="C2810" s="1" t="n">
        <v>45911</v>
      </c>
      <c r="D2810" t="inlineStr">
        <is>
          <t>GÄVLEBORGS LÄN</t>
        </is>
      </c>
      <c r="E2810" t="inlineStr">
        <is>
          <t>LJUSDAL</t>
        </is>
      </c>
      <c r="F2810" t="inlineStr">
        <is>
          <t>Holmen skog AB</t>
        </is>
      </c>
      <c r="G2810" t="n">
        <v>16.3</v>
      </c>
      <c r="H2810" t="n">
        <v>0</v>
      </c>
      <c r="I2810" t="n">
        <v>0</v>
      </c>
      <c r="J2810" t="n">
        <v>0</v>
      </c>
      <c r="K2810" t="n">
        <v>0</v>
      </c>
      <c r="L2810" t="n">
        <v>0</v>
      </c>
      <c r="M2810" t="n">
        <v>0</v>
      </c>
      <c r="N2810" t="n">
        <v>0</v>
      </c>
      <c r="O2810" t="n">
        <v>0</v>
      </c>
      <c r="P2810" t="n">
        <v>0</v>
      </c>
      <c r="Q2810" t="n">
        <v>0</v>
      </c>
      <c r="R2810" s="2" t="inlineStr"/>
    </row>
    <row r="2811" ht="15" customHeight="1">
      <c r="A2811" t="inlineStr">
        <is>
          <t>A 25724-2025</t>
        </is>
      </c>
      <c r="B2811" s="1" t="n">
        <v>45803.71337962963</v>
      </c>
      <c r="C2811" s="1" t="n">
        <v>45911</v>
      </c>
      <c r="D2811" t="inlineStr">
        <is>
          <t>GÄVLEBORGS LÄN</t>
        </is>
      </c>
      <c r="E2811" t="inlineStr">
        <is>
          <t>NORDANSTIG</t>
        </is>
      </c>
      <c r="F2811" t="inlineStr">
        <is>
          <t>Holmen skog AB</t>
        </is>
      </c>
      <c r="G2811" t="n">
        <v>10.1</v>
      </c>
      <c r="H2811" t="n">
        <v>0</v>
      </c>
      <c r="I2811" t="n">
        <v>0</v>
      </c>
      <c r="J2811" t="n">
        <v>0</v>
      </c>
      <c r="K2811" t="n">
        <v>0</v>
      </c>
      <c r="L2811" t="n">
        <v>0</v>
      </c>
      <c r="M2811" t="n">
        <v>0</v>
      </c>
      <c r="N2811" t="n">
        <v>0</v>
      </c>
      <c r="O2811" t="n">
        <v>0</v>
      </c>
      <c r="P2811" t="n">
        <v>0</v>
      </c>
      <c r="Q2811" t="n">
        <v>0</v>
      </c>
      <c r="R2811" s="2" t="inlineStr"/>
    </row>
    <row r="2812" ht="15" customHeight="1">
      <c r="A2812" t="inlineStr">
        <is>
          <t>A 25492-2025</t>
        </is>
      </c>
      <c r="B2812" s="1" t="n">
        <v>45803.32609953704</v>
      </c>
      <c r="C2812" s="1" t="n">
        <v>45911</v>
      </c>
      <c r="D2812" t="inlineStr">
        <is>
          <t>GÄVLEBORGS LÄN</t>
        </is>
      </c>
      <c r="E2812" t="inlineStr">
        <is>
          <t>HUDIKSVALL</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25538-2025</t>
        </is>
      </c>
      <c r="B2813" s="1" t="n">
        <v>45803.42084490741</v>
      </c>
      <c r="C2813" s="1" t="n">
        <v>45911</v>
      </c>
      <c r="D2813" t="inlineStr">
        <is>
          <t>GÄVLEBORGS LÄN</t>
        </is>
      </c>
      <c r="E2813" t="inlineStr">
        <is>
          <t>HUDIKSVALL</t>
        </is>
      </c>
      <c r="F2813" t="inlineStr">
        <is>
          <t>Holmen skog AB</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25551-2025</t>
        </is>
      </c>
      <c r="B2814" s="1" t="n">
        <v>45803.44678240741</v>
      </c>
      <c r="C2814" s="1" t="n">
        <v>45911</v>
      </c>
      <c r="D2814" t="inlineStr">
        <is>
          <t>GÄVLEBORGS LÄN</t>
        </is>
      </c>
      <c r="E2814" t="inlineStr">
        <is>
          <t>HUDIKSVALL</t>
        </is>
      </c>
      <c r="F2814" t="inlineStr">
        <is>
          <t>Holmen skog AB</t>
        </is>
      </c>
      <c r="G2814" t="n">
        <v>5.2</v>
      </c>
      <c r="H2814" t="n">
        <v>0</v>
      </c>
      <c r="I2814" t="n">
        <v>0</v>
      </c>
      <c r="J2814" t="n">
        <v>0</v>
      </c>
      <c r="K2814" t="n">
        <v>0</v>
      </c>
      <c r="L2814" t="n">
        <v>0</v>
      </c>
      <c r="M2814" t="n">
        <v>0</v>
      </c>
      <c r="N2814" t="n">
        <v>0</v>
      </c>
      <c r="O2814" t="n">
        <v>0</v>
      </c>
      <c r="P2814" t="n">
        <v>0</v>
      </c>
      <c r="Q2814" t="n">
        <v>0</v>
      </c>
      <c r="R2814" s="2" t="inlineStr"/>
    </row>
    <row r="2815" ht="15" customHeight="1">
      <c r="A2815" t="inlineStr">
        <is>
          <t>A 25569-2025</t>
        </is>
      </c>
      <c r="B2815" s="1" t="n">
        <v>45803.4665625</v>
      </c>
      <c r="C2815" s="1" t="n">
        <v>45911</v>
      </c>
      <c r="D2815" t="inlineStr">
        <is>
          <t>GÄVLEBORGS LÄN</t>
        </is>
      </c>
      <c r="E2815" t="inlineStr">
        <is>
          <t>LJUSDAL</t>
        </is>
      </c>
      <c r="F2815" t="inlineStr">
        <is>
          <t>Bergvik skog väst AB</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25673-2025</t>
        </is>
      </c>
      <c r="B2816" s="1" t="n">
        <v>45803.63233796296</v>
      </c>
      <c r="C2816" s="1" t="n">
        <v>45911</v>
      </c>
      <c r="D2816" t="inlineStr">
        <is>
          <t>GÄVLEBORGS LÄN</t>
        </is>
      </c>
      <c r="E2816" t="inlineStr">
        <is>
          <t>HUDIKSVALL</t>
        </is>
      </c>
      <c r="F2816" t="inlineStr">
        <is>
          <t>Holmen skog AB</t>
        </is>
      </c>
      <c r="G2816" t="n">
        <v>6</v>
      </c>
      <c r="H2816" t="n">
        <v>0</v>
      </c>
      <c r="I2816" t="n">
        <v>0</v>
      </c>
      <c r="J2816" t="n">
        <v>0</v>
      </c>
      <c r="K2816" t="n">
        <v>0</v>
      </c>
      <c r="L2816" t="n">
        <v>0</v>
      </c>
      <c r="M2816" t="n">
        <v>0</v>
      </c>
      <c r="N2816" t="n">
        <v>0</v>
      </c>
      <c r="O2816" t="n">
        <v>0</v>
      </c>
      <c r="P2816" t="n">
        <v>0</v>
      </c>
      <c r="Q2816" t="n">
        <v>0</v>
      </c>
      <c r="R2816" s="2" t="inlineStr"/>
    </row>
    <row r="2817" ht="15" customHeight="1">
      <c r="A2817" t="inlineStr">
        <is>
          <t>A 25878-2025</t>
        </is>
      </c>
      <c r="B2817" s="1" t="n">
        <v>45804.49582175926</v>
      </c>
      <c r="C2817" s="1" t="n">
        <v>45911</v>
      </c>
      <c r="D2817" t="inlineStr">
        <is>
          <t>GÄVLEBORGS LÄN</t>
        </is>
      </c>
      <c r="E2817" t="inlineStr">
        <is>
          <t>GÄVLE</t>
        </is>
      </c>
      <c r="F2817" t="inlineStr">
        <is>
          <t>Bergvik skog öst AB</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61478-2023</t>
        </is>
      </c>
      <c r="B2818" s="1" t="n">
        <v>45264.92703703704</v>
      </c>
      <c r="C2818" s="1" t="n">
        <v>45911</v>
      </c>
      <c r="D2818" t="inlineStr">
        <is>
          <t>GÄVLEBORGS LÄN</t>
        </is>
      </c>
      <c r="E2818" t="inlineStr">
        <is>
          <t>HUDIKSVALL</t>
        </is>
      </c>
      <c r="G2818" t="n">
        <v>4.1</v>
      </c>
      <c r="H2818" t="n">
        <v>0</v>
      </c>
      <c r="I2818" t="n">
        <v>0</v>
      </c>
      <c r="J2818" t="n">
        <v>0</v>
      </c>
      <c r="K2818" t="n">
        <v>0</v>
      </c>
      <c r="L2818" t="n">
        <v>0</v>
      </c>
      <c r="M2818" t="n">
        <v>0</v>
      </c>
      <c r="N2818" t="n">
        <v>0</v>
      </c>
      <c r="O2818" t="n">
        <v>0</v>
      </c>
      <c r="P2818" t="n">
        <v>0</v>
      </c>
      <c r="Q2818" t="n">
        <v>0</v>
      </c>
      <c r="R2818" s="2" t="inlineStr"/>
    </row>
    <row r="2819" ht="15" customHeight="1">
      <c r="A2819" t="inlineStr">
        <is>
          <t>A 19188-2024</t>
        </is>
      </c>
      <c r="B2819" s="1" t="n">
        <v>45428.48818287037</v>
      </c>
      <c r="C2819" s="1" t="n">
        <v>45911</v>
      </c>
      <c r="D2819" t="inlineStr">
        <is>
          <t>GÄVLEBORGS LÄN</t>
        </is>
      </c>
      <c r="E2819" t="inlineStr">
        <is>
          <t>SÖDERHAMN</t>
        </is>
      </c>
      <c r="F2819" t="inlineStr">
        <is>
          <t>Bergvik skog väst AB</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33136-2023</t>
        </is>
      </c>
      <c r="B2820" s="1" t="n">
        <v>45126.63739583334</v>
      </c>
      <c r="C2820" s="1" t="n">
        <v>45911</v>
      </c>
      <c r="D2820" t="inlineStr">
        <is>
          <t>GÄVLEBORGS LÄN</t>
        </is>
      </c>
      <c r="E2820" t="inlineStr">
        <is>
          <t>SANDVIKEN</t>
        </is>
      </c>
      <c r="G2820" t="n">
        <v>4.5</v>
      </c>
      <c r="H2820" t="n">
        <v>0</v>
      </c>
      <c r="I2820" t="n">
        <v>0</v>
      </c>
      <c r="J2820" t="n">
        <v>0</v>
      </c>
      <c r="K2820" t="n">
        <v>0</v>
      </c>
      <c r="L2820" t="n">
        <v>0</v>
      </c>
      <c r="M2820" t="n">
        <v>0</v>
      </c>
      <c r="N2820" t="n">
        <v>0</v>
      </c>
      <c r="O2820" t="n">
        <v>0</v>
      </c>
      <c r="P2820" t="n">
        <v>0</v>
      </c>
      <c r="Q2820" t="n">
        <v>0</v>
      </c>
      <c r="R2820" s="2" t="inlineStr"/>
    </row>
    <row r="2821" ht="15" customHeight="1">
      <c r="A2821" t="inlineStr">
        <is>
          <t>A 19903-2025</t>
        </is>
      </c>
      <c r="B2821" s="1" t="n">
        <v>45771.59248842593</v>
      </c>
      <c r="C2821" s="1" t="n">
        <v>45911</v>
      </c>
      <c r="D2821" t="inlineStr">
        <is>
          <t>GÄVLEBORGS LÄN</t>
        </is>
      </c>
      <c r="E2821" t="inlineStr">
        <is>
          <t>OVANÅKER</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71070-2021</t>
        </is>
      </c>
      <c r="B2822" s="1" t="n">
        <v>44538.92322916666</v>
      </c>
      <c r="C2822" s="1" t="n">
        <v>45911</v>
      </c>
      <c r="D2822" t="inlineStr">
        <is>
          <t>GÄVLEBORGS LÄN</t>
        </is>
      </c>
      <c r="E2822" t="inlineStr">
        <is>
          <t>LJUSDAL</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25650-2025</t>
        </is>
      </c>
      <c r="B2823" s="1" t="n">
        <v>45803.61027777778</v>
      </c>
      <c r="C2823" s="1" t="n">
        <v>45911</v>
      </c>
      <c r="D2823" t="inlineStr">
        <is>
          <t>GÄVLEBORGS LÄN</t>
        </is>
      </c>
      <c r="E2823" t="inlineStr">
        <is>
          <t>OVANÅKER</t>
        </is>
      </c>
      <c r="G2823" t="n">
        <v>6.1</v>
      </c>
      <c r="H2823" t="n">
        <v>0</v>
      </c>
      <c r="I2823" t="n">
        <v>0</v>
      </c>
      <c r="J2823" t="n">
        <v>0</v>
      </c>
      <c r="K2823" t="n">
        <v>0</v>
      </c>
      <c r="L2823" t="n">
        <v>0</v>
      </c>
      <c r="M2823" t="n">
        <v>0</v>
      </c>
      <c r="N2823" t="n">
        <v>0</v>
      </c>
      <c r="O2823" t="n">
        <v>0</v>
      </c>
      <c r="P2823" t="n">
        <v>0</v>
      </c>
      <c r="Q2823" t="n">
        <v>0</v>
      </c>
      <c r="R2823" s="2" t="inlineStr"/>
    </row>
    <row r="2824" ht="15" customHeight="1">
      <c r="A2824" t="inlineStr">
        <is>
          <t>A 53917-2024</t>
        </is>
      </c>
      <c r="B2824" s="1" t="n">
        <v>45615.75956018519</v>
      </c>
      <c r="C2824" s="1" t="n">
        <v>45911</v>
      </c>
      <c r="D2824" t="inlineStr">
        <is>
          <t>GÄVLEBORGS LÄN</t>
        </is>
      </c>
      <c r="E2824" t="inlineStr">
        <is>
          <t>SÖDERHAMN</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38634-2023</t>
        </is>
      </c>
      <c r="B2825" s="1" t="n">
        <v>45162.70454861111</v>
      </c>
      <c r="C2825" s="1" t="n">
        <v>45911</v>
      </c>
      <c r="D2825" t="inlineStr">
        <is>
          <t>GÄVLEBORGS LÄN</t>
        </is>
      </c>
      <c r="E2825" t="inlineStr">
        <is>
          <t>LJUSDAL</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31610-2024</t>
        </is>
      </c>
      <c r="B2826" s="1" t="n">
        <v>45506.43253472223</v>
      </c>
      <c r="C2826" s="1" t="n">
        <v>45911</v>
      </c>
      <c r="D2826" t="inlineStr">
        <is>
          <t>GÄVLEBORGS LÄN</t>
        </is>
      </c>
      <c r="E2826" t="inlineStr">
        <is>
          <t>BOLLNÄS</t>
        </is>
      </c>
      <c r="F2826" t="inlineStr">
        <is>
          <t>Sveaskog</t>
        </is>
      </c>
      <c r="G2826" t="n">
        <v>2.8</v>
      </c>
      <c r="H2826" t="n">
        <v>0</v>
      </c>
      <c r="I2826" t="n">
        <v>0</v>
      </c>
      <c r="J2826" t="n">
        <v>0</v>
      </c>
      <c r="K2826" t="n">
        <v>0</v>
      </c>
      <c r="L2826" t="n">
        <v>0</v>
      </c>
      <c r="M2826" t="n">
        <v>0</v>
      </c>
      <c r="N2826" t="n">
        <v>0</v>
      </c>
      <c r="O2826" t="n">
        <v>0</v>
      </c>
      <c r="P2826" t="n">
        <v>0</v>
      </c>
      <c r="Q2826" t="n">
        <v>0</v>
      </c>
      <c r="R2826" s="2" t="inlineStr"/>
    </row>
    <row r="2827" ht="15" customHeight="1">
      <c r="A2827" t="inlineStr">
        <is>
          <t>A 30408-2024</t>
        </is>
      </c>
      <c r="B2827" s="1" t="n">
        <v>45491</v>
      </c>
      <c r="C2827" s="1" t="n">
        <v>45911</v>
      </c>
      <c r="D2827" t="inlineStr">
        <is>
          <t>GÄVLEBORGS LÄN</t>
        </is>
      </c>
      <c r="E2827" t="inlineStr">
        <is>
          <t>HUDIKSVALL</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36672-2024</t>
        </is>
      </c>
      <c r="B2828" s="1" t="n">
        <v>45537.64859953704</v>
      </c>
      <c r="C2828" s="1" t="n">
        <v>45911</v>
      </c>
      <c r="D2828" t="inlineStr">
        <is>
          <t>GÄVLEBORGS LÄN</t>
        </is>
      </c>
      <c r="E2828" t="inlineStr">
        <is>
          <t>NORDANSTIG</t>
        </is>
      </c>
      <c r="F2828" t="inlineStr">
        <is>
          <t>Holmen skog AB</t>
        </is>
      </c>
      <c r="G2828" t="n">
        <v>5.2</v>
      </c>
      <c r="H2828" t="n">
        <v>0</v>
      </c>
      <c r="I2828" t="n">
        <v>0</v>
      </c>
      <c r="J2828" t="n">
        <v>0</v>
      </c>
      <c r="K2828" t="n">
        <v>0</v>
      </c>
      <c r="L2828" t="n">
        <v>0</v>
      </c>
      <c r="M2828" t="n">
        <v>0</v>
      </c>
      <c r="N2828" t="n">
        <v>0</v>
      </c>
      <c r="O2828" t="n">
        <v>0</v>
      </c>
      <c r="P2828" t="n">
        <v>0</v>
      </c>
      <c r="Q2828" t="n">
        <v>0</v>
      </c>
      <c r="R2828" s="2" t="inlineStr"/>
    </row>
    <row r="2829" ht="15" customHeight="1">
      <c r="A2829" t="inlineStr">
        <is>
          <t>A 2400-2023</t>
        </is>
      </c>
      <c r="B2829" s="1" t="n">
        <v>44942</v>
      </c>
      <c r="C2829" s="1" t="n">
        <v>45911</v>
      </c>
      <c r="D2829" t="inlineStr">
        <is>
          <t>GÄVLEBORGS LÄN</t>
        </is>
      </c>
      <c r="E2829" t="inlineStr">
        <is>
          <t>GÄVLE</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38658-2023</t>
        </is>
      </c>
      <c r="B2830" s="1" t="n">
        <v>45162.8475925926</v>
      </c>
      <c r="C2830" s="1" t="n">
        <v>45911</v>
      </c>
      <c r="D2830" t="inlineStr">
        <is>
          <t>GÄVLEBORGS LÄN</t>
        </is>
      </c>
      <c r="E2830" t="inlineStr">
        <is>
          <t>NORDANSTIG</t>
        </is>
      </c>
      <c r="F2830" t="inlineStr">
        <is>
          <t>Holmen skog AB</t>
        </is>
      </c>
      <c r="G2830" t="n">
        <v>5.2</v>
      </c>
      <c r="H2830" t="n">
        <v>0</v>
      </c>
      <c r="I2830" t="n">
        <v>0</v>
      </c>
      <c r="J2830" t="n">
        <v>0</v>
      </c>
      <c r="K2830" t="n">
        <v>0</v>
      </c>
      <c r="L2830" t="n">
        <v>0</v>
      </c>
      <c r="M2830" t="n">
        <v>0</v>
      </c>
      <c r="N2830" t="n">
        <v>0</v>
      </c>
      <c r="O2830" t="n">
        <v>0</v>
      </c>
      <c r="P2830" t="n">
        <v>0</v>
      </c>
      <c r="Q2830" t="n">
        <v>0</v>
      </c>
      <c r="R2830" s="2" t="inlineStr"/>
    </row>
    <row r="2831" ht="15" customHeight="1">
      <c r="A2831" t="inlineStr">
        <is>
          <t>A 25564-2025</t>
        </is>
      </c>
      <c r="B2831" s="1" t="n">
        <v>45803.45716435185</v>
      </c>
      <c r="C2831" s="1" t="n">
        <v>45911</v>
      </c>
      <c r="D2831" t="inlineStr">
        <is>
          <t>GÄVLEBORGS LÄN</t>
        </is>
      </c>
      <c r="E2831" t="inlineStr">
        <is>
          <t>OCKELBO</t>
        </is>
      </c>
      <c r="F2831" t="inlineStr">
        <is>
          <t>Bergvik skog väst AB</t>
        </is>
      </c>
      <c r="G2831" t="n">
        <v>11.7</v>
      </c>
      <c r="H2831" t="n">
        <v>0</v>
      </c>
      <c r="I2831" t="n">
        <v>0</v>
      </c>
      <c r="J2831" t="n">
        <v>0</v>
      </c>
      <c r="K2831" t="n">
        <v>0</v>
      </c>
      <c r="L2831" t="n">
        <v>0</v>
      </c>
      <c r="M2831" t="n">
        <v>0</v>
      </c>
      <c r="N2831" t="n">
        <v>0</v>
      </c>
      <c r="O2831" t="n">
        <v>0</v>
      </c>
      <c r="P2831" t="n">
        <v>0</v>
      </c>
      <c r="Q2831" t="n">
        <v>0</v>
      </c>
      <c r="R2831" s="2" t="inlineStr"/>
    </row>
    <row r="2832" ht="15" customHeight="1">
      <c r="A2832" t="inlineStr">
        <is>
          <t>A 52655-2024</t>
        </is>
      </c>
      <c r="B2832" s="1" t="n">
        <v>45610.35550925926</v>
      </c>
      <c r="C2832" s="1" t="n">
        <v>45911</v>
      </c>
      <c r="D2832" t="inlineStr">
        <is>
          <t>GÄVLEBORGS LÄN</t>
        </is>
      </c>
      <c r="E2832" t="inlineStr">
        <is>
          <t>NORDANSTIG</t>
        </is>
      </c>
      <c r="F2832" t="inlineStr">
        <is>
          <t>Holmen skog AB</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25467-2025</t>
        </is>
      </c>
      <c r="B2833" s="1" t="n">
        <v>45802.66018518519</v>
      </c>
      <c r="C2833" s="1" t="n">
        <v>45911</v>
      </c>
      <c r="D2833" t="inlineStr">
        <is>
          <t>GÄVLEBORGS LÄN</t>
        </is>
      </c>
      <c r="E2833" t="inlineStr">
        <is>
          <t>NORDANSTIG</t>
        </is>
      </c>
      <c r="F2833" t="inlineStr">
        <is>
          <t>Holmen skog AB</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35331-2024</t>
        </is>
      </c>
      <c r="B2834" s="1" t="n">
        <v>45530.76390046296</v>
      </c>
      <c r="C2834" s="1" t="n">
        <v>45911</v>
      </c>
      <c r="D2834" t="inlineStr">
        <is>
          <t>GÄVLEBORGS LÄN</t>
        </is>
      </c>
      <c r="E2834" t="inlineStr">
        <is>
          <t>GÄVLE</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25518-2025</t>
        </is>
      </c>
      <c r="B2835" s="1" t="n">
        <v>45803.38435185186</v>
      </c>
      <c r="C2835" s="1" t="n">
        <v>45911</v>
      </c>
      <c r="D2835" t="inlineStr">
        <is>
          <t>GÄVLEBORGS LÄN</t>
        </is>
      </c>
      <c r="E2835" t="inlineStr">
        <is>
          <t>OCKELBO</t>
        </is>
      </c>
      <c r="F2835" t="inlineStr">
        <is>
          <t>Bergvik skog väst AB</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25539-2025</t>
        </is>
      </c>
      <c r="B2836" s="1" t="n">
        <v>45803.42452546296</v>
      </c>
      <c r="C2836" s="1" t="n">
        <v>45911</v>
      </c>
      <c r="D2836" t="inlineStr">
        <is>
          <t>GÄVLEBORGS LÄN</t>
        </is>
      </c>
      <c r="E2836" t="inlineStr">
        <is>
          <t>LJUSDAL</t>
        </is>
      </c>
      <c r="F2836" t="inlineStr">
        <is>
          <t>Holmen skog AB</t>
        </is>
      </c>
      <c r="G2836" t="n">
        <v>12.9</v>
      </c>
      <c r="H2836" t="n">
        <v>0</v>
      </c>
      <c r="I2836" t="n">
        <v>0</v>
      </c>
      <c r="J2836" t="n">
        <v>0</v>
      </c>
      <c r="K2836" t="n">
        <v>0</v>
      </c>
      <c r="L2836" t="n">
        <v>0</v>
      </c>
      <c r="M2836" t="n">
        <v>0</v>
      </c>
      <c r="N2836" t="n">
        <v>0</v>
      </c>
      <c r="O2836" t="n">
        <v>0</v>
      </c>
      <c r="P2836" t="n">
        <v>0</v>
      </c>
      <c r="Q2836" t="n">
        <v>0</v>
      </c>
      <c r="R2836" s="2" t="inlineStr"/>
    </row>
    <row r="2837" ht="15" customHeight="1">
      <c r="A2837" t="inlineStr">
        <is>
          <t>A 25832-2025</t>
        </is>
      </c>
      <c r="B2837" s="1" t="n">
        <v>45804.44728009259</v>
      </c>
      <c r="C2837" s="1" t="n">
        <v>45911</v>
      </c>
      <c r="D2837" t="inlineStr">
        <is>
          <t>GÄVLEBORGS LÄN</t>
        </is>
      </c>
      <c r="E2837" t="inlineStr">
        <is>
          <t>LJUSDAL</t>
        </is>
      </c>
      <c r="F2837" t="inlineStr">
        <is>
          <t>Holmen skog AB</t>
        </is>
      </c>
      <c r="G2837" t="n">
        <v>23.1</v>
      </c>
      <c r="H2837" t="n">
        <v>0</v>
      </c>
      <c r="I2837" t="n">
        <v>0</v>
      </c>
      <c r="J2837" t="n">
        <v>0</v>
      </c>
      <c r="K2837" t="n">
        <v>0</v>
      </c>
      <c r="L2837" t="n">
        <v>0</v>
      </c>
      <c r="M2837" t="n">
        <v>0</v>
      </c>
      <c r="N2837" t="n">
        <v>0</v>
      </c>
      <c r="O2837" t="n">
        <v>0</v>
      </c>
      <c r="P2837" t="n">
        <v>0</v>
      </c>
      <c r="Q2837" t="n">
        <v>0</v>
      </c>
      <c r="R2837" s="2" t="inlineStr"/>
    </row>
    <row r="2838" ht="15" customHeight="1">
      <c r="A2838" t="inlineStr">
        <is>
          <t>A 52615-2022</t>
        </is>
      </c>
      <c r="B2838" s="1" t="n">
        <v>44874</v>
      </c>
      <c r="C2838" s="1" t="n">
        <v>45911</v>
      </c>
      <c r="D2838" t="inlineStr">
        <is>
          <t>GÄVLEBORGS LÄN</t>
        </is>
      </c>
      <c r="E2838" t="inlineStr">
        <is>
          <t>OVANÅKER</t>
        </is>
      </c>
      <c r="G2838" t="n">
        <v>4.6</v>
      </c>
      <c r="H2838" t="n">
        <v>0</v>
      </c>
      <c r="I2838" t="n">
        <v>0</v>
      </c>
      <c r="J2838" t="n">
        <v>0</v>
      </c>
      <c r="K2838" t="n">
        <v>0</v>
      </c>
      <c r="L2838" t="n">
        <v>0</v>
      </c>
      <c r="M2838" t="n">
        <v>0</v>
      </c>
      <c r="N2838" t="n">
        <v>0</v>
      </c>
      <c r="O2838" t="n">
        <v>0</v>
      </c>
      <c r="P2838" t="n">
        <v>0</v>
      </c>
      <c r="Q2838" t="n">
        <v>0</v>
      </c>
      <c r="R2838" s="2" t="inlineStr"/>
    </row>
    <row r="2839" ht="15" customHeight="1">
      <c r="A2839" t="inlineStr">
        <is>
          <t>A 27971-2024</t>
        </is>
      </c>
      <c r="B2839" s="1" t="n">
        <v>45476.38420138889</v>
      </c>
      <c r="C2839" s="1" t="n">
        <v>45911</v>
      </c>
      <c r="D2839" t="inlineStr">
        <is>
          <t>GÄVLEBORGS LÄN</t>
        </is>
      </c>
      <c r="E2839" t="inlineStr">
        <is>
          <t>OVANÅKER</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67380-2021</t>
        </is>
      </c>
      <c r="B2840" s="1" t="n">
        <v>44523</v>
      </c>
      <c r="C2840" s="1" t="n">
        <v>45911</v>
      </c>
      <c r="D2840" t="inlineStr">
        <is>
          <t>GÄVLEBORGS LÄN</t>
        </is>
      </c>
      <c r="E2840" t="inlineStr">
        <is>
          <t>LJUSDAL</t>
        </is>
      </c>
      <c r="G2840" t="n">
        <v>4.6</v>
      </c>
      <c r="H2840" t="n">
        <v>0</v>
      </c>
      <c r="I2840" t="n">
        <v>0</v>
      </c>
      <c r="J2840" t="n">
        <v>0</v>
      </c>
      <c r="K2840" t="n">
        <v>0</v>
      </c>
      <c r="L2840" t="n">
        <v>0</v>
      </c>
      <c r="M2840" t="n">
        <v>0</v>
      </c>
      <c r="N2840" t="n">
        <v>0</v>
      </c>
      <c r="O2840" t="n">
        <v>0</v>
      </c>
      <c r="P2840" t="n">
        <v>0</v>
      </c>
      <c r="Q2840" t="n">
        <v>0</v>
      </c>
      <c r="R2840" s="2" t="inlineStr"/>
    </row>
    <row r="2841" ht="15" customHeight="1">
      <c r="A2841" t="inlineStr">
        <is>
          <t>A 32287-2023</t>
        </is>
      </c>
      <c r="B2841" s="1" t="n">
        <v>45107</v>
      </c>
      <c r="C2841" s="1" t="n">
        <v>45911</v>
      </c>
      <c r="D2841" t="inlineStr">
        <is>
          <t>GÄVLEBORGS LÄN</t>
        </is>
      </c>
      <c r="E2841" t="inlineStr">
        <is>
          <t>LJUSDAL</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51222-2024</t>
        </is>
      </c>
      <c r="B2842" s="1" t="n">
        <v>45603.65320601852</v>
      </c>
      <c r="C2842" s="1" t="n">
        <v>45911</v>
      </c>
      <c r="D2842" t="inlineStr">
        <is>
          <t>GÄVLEBORGS LÄN</t>
        </is>
      </c>
      <c r="E2842" t="inlineStr">
        <is>
          <t>NORDANSTIG</t>
        </is>
      </c>
      <c r="G2842" t="n">
        <v>15.1</v>
      </c>
      <c r="H2842" t="n">
        <v>0</v>
      </c>
      <c r="I2842" t="n">
        <v>0</v>
      </c>
      <c r="J2842" t="n">
        <v>0</v>
      </c>
      <c r="K2842" t="n">
        <v>0</v>
      </c>
      <c r="L2842" t="n">
        <v>0</v>
      </c>
      <c r="M2842" t="n">
        <v>0</v>
      </c>
      <c r="N2842" t="n">
        <v>0</v>
      </c>
      <c r="O2842" t="n">
        <v>0</v>
      </c>
      <c r="P2842" t="n">
        <v>0</v>
      </c>
      <c r="Q2842" t="n">
        <v>0</v>
      </c>
      <c r="R2842" s="2" t="inlineStr"/>
    </row>
    <row r="2843" ht="15" customHeight="1">
      <c r="A2843" t="inlineStr">
        <is>
          <t>A 51230-2024</t>
        </is>
      </c>
      <c r="B2843" s="1" t="n">
        <v>45603.65864583333</v>
      </c>
      <c r="C2843" s="1" t="n">
        <v>45911</v>
      </c>
      <c r="D2843" t="inlineStr">
        <is>
          <t>GÄVLEBORGS LÄN</t>
        </is>
      </c>
      <c r="E2843" t="inlineStr">
        <is>
          <t>NORDANSTIG</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54969-2020</t>
        </is>
      </c>
      <c r="B2844" s="1" t="n">
        <v>44130</v>
      </c>
      <c r="C2844" s="1" t="n">
        <v>45911</v>
      </c>
      <c r="D2844" t="inlineStr">
        <is>
          <t>GÄVLEBORGS LÄN</t>
        </is>
      </c>
      <c r="E2844" t="inlineStr">
        <is>
          <t>BOLLNÄS</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73389-2021</t>
        </is>
      </c>
      <c r="B2845" s="1" t="n">
        <v>44551</v>
      </c>
      <c r="C2845" s="1" t="n">
        <v>45911</v>
      </c>
      <c r="D2845" t="inlineStr">
        <is>
          <t>GÄVLEBORGS LÄN</t>
        </is>
      </c>
      <c r="E2845" t="inlineStr">
        <is>
          <t>NORDANSTIG</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12800-2025</t>
        </is>
      </c>
      <c r="B2846" s="1" t="n">
        <v>45733.61204861111</v>
      </c>
      <c r="C2846" s="1" t="n">
        <v>45911</v>
      </c>
      <c r="D2846" t="inlineStr">
        <is>
          <t>GÄVLEBORGS LÄN</t>
        </is>
      </c>
      <c r="E2846" t="inlineStr">
        <is>
          <t>BOLLNÄS</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12858-2025</t>
        </is>
      </c>
      <c r="B2847" s="1" t="n">
        <v>45733.66342592592</v>
      </c>
      <c r="C2847" s="1" t="n">
        <v>45911</v>
      </c>
      <c r="D2847" t="inlineStr">
        <is>
          <t>GÄVLEBORGS LÄN</t>
        </is>
      </c>
      <c r="E2847" t="inlineStr">
        <is>
          <t>NORDANSTIG</t>
        </is>
      </c>
      <c r="F2847" t="inlineStr">
        <is>
          <t>Holmen skog AB</t>
        </is>
      </c>
      <c r="G2847" t="n">
        <v>5.4</v>
      </c>
      <c r="H2847" t="n">
        <v>0</v>
      </c>
      <c r="I2847" t="n">
        <v>0</v>
      </c>
      <c r="J2847" t="n">
        <v>0</v>
      </c>
      <c r="K2847" t="n">
        <v>0</v>
      </c>
      <c r="L2847" t="n">
        <v>0</v>
      </c>
      <c r="M2847" t="n">
        <v>0</v>
      </c>
      <c r="N2847" t="n">
        <v>0</v>
      </c>
      <c r="O2847" t="n">
        <v>0</v>
      </c>
      <c r="P2847" t="n">
        <v>0</v>
      </c>
      <c r="Q2847" t="n">
        <v>0</v>
      </c>
      <c r="R2847" s="2" t="inlineStr"/>
    </row>
    <row r="2848" ht="15" customHeight="1">
      <c r="A2848" t="inlineStr">
        <is>
          <t>A 12867-2025</t>
        </is>
      </c>
      <c r="B2848" s="1" t="n">
        <v>45733.67521990741</v>
      </c>
      <c r="C2848" s="1" t="n">
        <v>45911</v>
      </c>
      <c r="D2848" t="inlineStr">
        <is>
          <t>GÄVLEBORGS LÄN</t>
        </is>
      </c>
      <c r="E2848" t="inlineStr">
        <is>
          <t>BOLLNÄS</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60497-2021</t>
        </is>
      </c>
      <c r="B2849" s="1" t="n">
        <v>44496.48552083333</v>
      </c>
      <c r="C2849" s="1" t="n">
        <v>45911</v>
      </c>
      <c r="D2849" t="inlineStr">
        <is>
          <t>GÄVLEBORGS LÄN</t>
        </is>
      </c>
      <c r="E2849" t="inlineStr">
        <is>
          <t>OCKELBO</t>
        </is>
      </c>
      <c r="F2849" t="inlineStr">
        <is>
          <t>Bergvik skog väst AB</t>
        </is>
      </c>
      <c r="G2849" t="n">
        <v>3.7</v>
      </c>
      <c r="H2849" t="n">
        <v>0</v>
      </c>
      <c r="I2849" t="n">
        <v>0</v>
      </c>
      <c r="J2849" t="n">
        <v>0</v>
      </c>
      <c r="K2849" t="n">
        <v>0</v>
      </c>
      <c r="L2849" t="n">
        <v>0</v>
      </c>
      <c r="M2849" t="n">
        <v>0</v>
      </c>
      <c r="N2849" t="n">
        <v>0</v>
      </c>
      <c r="O2849" t="n">
        <v>0</v>
      </c>
      <c r="P2849" t="n">
        <v>0</v>
      </c>
      <c r="Q2849" t="n">
        <v>0</v>
      </c>
      <c r="R2849" s="2" t="inlineStr"/>
    </row>
    <row r="2850" ht="15" customHeight="1">
      <c r="A2850" t="inlineStr">
        <is>
          <t>A 6417-2025</t>
        </is>
      </c>
      <c r="B2850" s="1" t="n">
        <v>45699.47202546296</v>
      </c>
      <c r="C2850" s="1" t="n">
        <v>45911</v>
      </c>
      <c r="D2850" t="inlineStr">
        <is>
          <t>GÄVLEBORGS LÄN</t>
        </is>
      </c>
      <c r="E2850" t="inlineStr">
        <is>
          <t>LJUSDAL</t>
        </is>
      </c>
      <c r="F2850" t="inlineStr">
        <is>
          <t>Holmen skog AB</t>
        </is>
      </c>
      <c r="G2850" t="n">
        <v>42.3</v>
      </c>
      <c r="H2850" t="n">
        <v>0</v>
      </c>
      <c r="I2850" t="n">
        <v>0</v>
      </c>
      <c r="J2850" t="n">
        <v>0</v>
      </c>
      <c r="K2850" t="n">
        <v>0</v>
      </c>
      <c r="L2850" t="n">
        <v>0</v>
      </c>
      <c r="M2850" t="n">
        <v>0</v>
      </c>
      <c r="N2850" t="n">
        <v>0</v>
      </c>
      <c r="O2850" t="n">
        <v>0</v>
      </c>
      <c r="P2850" t="n">
        <v>0</v>
      </c>
      <c r="Q2850" t="n">
        <v>0</v>
      </c>
      <c r="R2850" s="2" t="inlineStr"/>
    </row>
    <row r="2851" ht="15" customHeight="1">
      <c r="A2851" t="inlineStr">
        <is>
          <t>A 2861-2023</t>
        </is>
      </c>
      <c r="B2851" s="1" t="n">
        <v>44945.41037037037</v>
      </c>
      <c r="C2851" s="1" t="n">
        <v>45911</v>
      </c>
      <c r="D2851" t="inlineStr">
        <is>
          <t>GÄVLEBORGS LÄN</t>
        </is>
      </c>
      <c r="E2851" t="inlineStr">
        <is>
          <t>NORDANSTIG</t>
        </is>
      </c>
      <c r="G2851" t="n">
        <v>5.2</v>
      </c>
      <c r="H2851" t="n">
        <v>0</v>
      </c>
      <c r="I2851" t="n">
        <v>0</v>
      </c>
      <c r="J2851" t="n">
        <v>0</v>
      </c>
      <c r="K2851" t="n">
        <v>0</v>
      </c>
      <c r="L2851" t="n">
        <v>0</v>
      </c>
      <c r="M2851" t="n">
        <v>0</v>
      </c>
      <c r="N2851" t="n">
        <v>0</v>
      </c>
      <c r="O2851" t="n">
        <v>0</v>
      </c>
      <c r="P2851" t="n">
        <v>0</v>
      </c>
      <c r="Q2851" t="n">
        <v>0</v>
      </c>
      <c r="R2851" s="2" t="inlineStr"/>
    </row>
    <row r="2852" ht="15" customHeight="1">
      <c r="A2852" t="inlineStr">
        <is>
          <t>A 72997-2021</t>
        </is>
      </c>
      <c r="B2852" s="1" t="n">
        <v>44549.87050925926</v>
      </c>
      <c r="C2852" s="1" t="n">
        <v>45911</v>
      </c>
      <c r="D2852" t="inlineStr">
        <is>
          <t>GÄVLEBORGS LÄN</t>
        </is>
      </c>
      <c r="E2852" t="inlineStr">
        <is>
          <t>SANDVIKEN</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6998-2022</t>
        </is>
      </c>
      <c r="B2853" s="1" t="n">
        <v>44603</v>
      </c>
      <c r="C2853" s="1" t="n">
        <v>45911</v>
      </c>
      <c r="D2853" t="inlineStr">
        <is>
          <t>GÄVLEBORGS LÄN</t>
        </is>
      </c>
      <c r="E2853" t="inlineStr">
        <is>
          <t>SANDVIKEN</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69851-2021</t>
        </is>
      </c>
      <c r="B2854" s="1" t="n">
        <v>44532.68631944444</v>
      </c>
      <c r="C2854" s="1" t="n">
        <v>45911</v>
      </c>
      <c r="D2854" t="inlineStr">
        <is>
          <t>GÄVLEBORGS LÄN</t>
        </is>
      </c>
      <c r="E2854" t="inlineStr">
        <is>
          <t>HUDIKSVALL</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25596-2025</t>
        </is>
      </c>
      <c r="B2855" s="1" t="n">
        <v>45803.52922453704</v>
      </c>
      <c r="C2855" s="1" t="n">
        <v>45911</v>
      </c>
      <c r="D2855" t="inlineStr">
        <is>
          <t>GÄVLEBORGS LÄN</t>
        </is>
      </c>
      <c r="E2855" t="inlineStr">
        <is>
          <t>BOLLNÄS</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51424-2024</t>
        </is>
      </c>
      <c r="B2856" s="1" t="n">
        <v>45604.46155092592</v>
      </c>
      <c r="C2856" s="1" t="n">
        <v>45911</v>
      </c>
      <c r="D2856" t="inlineStr">
        <is>
          <t>GÄVLEBORGS LÄN</t>
        </is>
      </c>
      <c r="E2856" t="inlineStr">
        <is>
          <t>HUDIKSVALL</t>
        </is>
      </c>
      <c r="G2856" t="n">
        <v>8.800000000000001</v>
      </c>
      <c r="H2856" t="n">
        <v>0</v>
      </c>
      <c r="I2856" t="n">
        <v>0</v>
      </c>
      <c r="J2856" t="n">
        <v>0</v>
      </c>
      <c r="K2856" t="n">
        <v>0</v>
      </c>
      <c r="L2856" t="n">
        <v>0</v>
      </c>
      <c r="M2856" t="n">
        <v>0</v>
      </c>
      <c r="N2856" t="n">
        <v>0</v>
      </c>
      <c r="O2856" t="n">
        <v>0</v>
      </c>
      <c r="P2856" t="n">
        <v>0</v>
      </c>
      <c r="Q2856" t="n">
        <v>0</v>
      </c>
      <c r="R2856" s="2" t="inlineStr"/>
    </row>
    <row r="2857" ht="15" customHeight="1">
      <c r="A2857" t="inlineStr">
        <is>
          <t>A 48308-2024</t>
        </is>
      </c>
      <c r="B2857" s="1" t="n">
        <v>45590.47798611111</v>
      </c>
      <c r="C2857" s="1" t="n">
        <v>45911</v>
      </c>
      <c r="D2857" t="inlineStr">
        <is>
          <t>GÄVLEBORGS LÄN</t>
        </is>
      </c>
      <c r="E2857" t="inlineStr">
        <is>
          <t>BOLLNÄS</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48313-2024</t>
        </is>
      </c>
      <c r="B2858" s="1" t="n">
        <v>45590.48979166667</v>
      </c>
      <c r="C2858" s="1" t="n">
        <v>45911</v>
      </c>
      <c r="D2858" t="inlineStr">
        <is>
          <t>GÄVLEBORGS LÄN</t>
        </is>
      </c>
      <c r="E2858" t="inlineStr">
        <is>
          <t>SÖDERHAMN</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25512-2025</t>
        </is>
      </c>
      <c r="B2859" s="1" t="n">
        <v>45803.36275462963</v>
      </c>
      <c r="C2859" s="1" t="n">
        <v>45911</v>
      </c>
      <c r="D2859" t="inlineStr">
        <is>
          <t>GÄVLEBORGS LÄN</t>
        </is>
      </c>
      <c r="E2859" t="inlineStr">
        <is>
          <t>OCKELBO</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51368-2024</t>
        </is>
      </c>
      <c r="B2860" s="1" t="n">
        <v>45604.37246527777</v>
      </c>
      <c r="C2860" s="1" t="n">
        <v>45911</v>
      </c>
      <c r="D2860" t="inlineStr">
        <is>
          <t>GÄVLEBORGS LÄN</t>
        </is>
      </c>
      <c r="E2860" t="inlineStr">
        <is>
          <t>GÄVLE</t>
        </is>
      </c>
      <c r="F2860" t="inlineStr">
        <is>
          <t>Bergvik skog öst AB</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30407-2023</t>
        </is>
      </c>
      <c r="B2861" s="1" t="n">
        <v>45111</v>
      </c>
      <c r="C2861" s="1" t="n">
        <v>45911</v>
      </c>
      <c r="D2861" t="inlineStr">
        <is>
          <t>GÄVLEBORGS LÄN</t>
        </is>
      </c>
      <c r="E2861" t="inlineStr">
        <is>
          <t>SÖDERHAMN</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42629-2024</t>
        </is>
      </c>
      <c r="B2862" s="1" t="n">
        <v>45565.87759259259</v>
      </c>
      <c r="C2862" s="1" t="n">
        <v>45911</v>
      </c>
      <c r="D2862" t="inlineStr">
        <is>
          <t>GÄVLEBORGS LÄN</t>
        </is>
      </c>
      <c r="E2862" t="inlineStr">
        <is>
          <t>HUDIKSVALL</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42643-2024</t>
        </is>
      </c>
      <c r="B2863" s="1" t="n">
        <v>45566.28908564815</v>
      </c>
      <c r="C2863" s="1" t="n">
        <v>45911</v>
      </c>
      <c r="D2863" t="inlineStr">
        <is>
          <t>GÄVLEBORGS LÄN</t>
        </is>
      </c>
      <c r="E2863" t="inlineStr">
        <is>
          <t>BOLLNÄS</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42644-2024</t>
        </is>
      </c>
      <c r="B2864" s="1" t="n">
        <v>45566.29006944445</v>
      </c>
      <c r="C2864" s="1" t="n">
        <v>45911</v>
      </c>
      <c r="D2864" t="inlineStr">
        <is>
          <t>GÄVLEBORGS LÄN</t>
        </is>
      </c>
      <c r="E2864" t="inlineStr">
        <is>
          <t>BOLLNÄS</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2274-2025</t>
        </is>
      </c>
      <c r="B2865" s="1" t="n">
        <v>45673.55641203704</v>
      </c>
      <c r="C2865" s="1" t="n">
        <v>45911</v>
      </c>
      <c r="D2865" t="inlineStr">
        <is>
          <t>GÄVLEBORGS LÄN</t>
        </is>
      </c>
      <c r="E2865" t="inlineStr">
        <is>
          <t>GÄVLE</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10863-2025</t>
        </is>
      </c>
      <c r="B2866" s="1" t="n">
        <v>45722.61061342592</v>
      </c>
      <c r="C2866" s="1" t="n">
        <v>45911</v>
      </c>
      <c r="D2866" t="inlineStr">
        <is>
          <t>GÄVLEBORGS LÄN</t>
        </is>
      </c>
      <c r="E2866" t="inlineStr">
        <is>
          <t>OVANÅKER</t>
        </is>
      </c>
      <c r="F2866" t="inlineStr">
        <is>
          <t>Bergvik skog väst AB</t>
        </is>
      </c>
      <c r="G2866" t="n">
        <v>6.8</v>
      </c>
      <c r="H2866" t="n">
        <v>0</v>
      </c>
      <c r="I2866" t="n">
        <v>0</v>
      </c>
      <c r="J2866" t="n">
        <v>0</v>
      </c>
      <c r="K2866" t="n">
        <v>0</v>
      </c>
      <c r="L2866" t="n">
        <v>0</v>
      </c>
      <c r="M2866" t="n">
        <v>0</v>
      </c>
      <c r="N2866" t="n">
        <v>0</v>
      </c>
      <c r="O2866" t="n">
        <v>0</v>
      </c>
      <c r="P2866" t="n">
        <v>0</v>
      </c>
      <c r="Q2866" t="n">
        <v>0</v>
      </c>
      <c r="R2866" s="2" t="inlineStr"/>
    </row>
    <row r="2867" ht="15" customHeight="1">
      <c r="A2867" t="inlineStr">
        <is>
          <t>A 10890-2025</t>
        </is>
      </c>
      <c r="B2867" s="1" t="n">
        <v>45722.67138888889</v>
      </c>
      <c r="C2867" s="1" t="n">
        <v>45911</v>
      </c>
      <c r="D2867" t="inlineStr">
        <is>
          <t>GÄVLEBORGS LÄN</t>
        </is>
      </c>
      <c r="E2867" t="inlineStr">
        <is>
          <t>HUDIKSVALL</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25756-2025</t>
        </is>
      </c>
      <c r="B2868" s="1" t="n">
        <v>45804.32913194445</v>
      </c>
      <c r="C2868" s="1" t="n">
        <v>45911</v>
      </c>
      <c r="D2868" t="inlineStr">
        <is>
          <t>GÄVLEBORGS LÄN</t>
        </is>
      </c>
      <c r="E2868" t="inlineStr">
        <is>
          <t>LJUSDAL</t>
        </is>
      </c>
      <c r="F2868" t="inlineStr">
        <is>
          <t>Holmen skog AB</t>
        </is>
      </c>
      <c r="G2868" t="n">
        <v>7.5</v>
      </c>
      <c r="H2868" t="n">
        <v>0</v>
      </c>
      <c r="I2868" t="n">
        <v>0</v>
      </c>
      <c r="J2868" t="n">
        <v>0</v>
      </c>
      <c r="K2868" t="n">
        <v>0</v>
      </c>
      <c r="L2868" t="n">
        <v>0</v>
      </c>
      <c r="M2868" t="n">
        <v>0</v>
      </c>
      <c r="N2868" t="n">
        <v>0</v>
      </c>
      <c r="O2868" t="n">
        <v>0</v>
      </c>
      <c r="P2868" t="n">
        <v>0</v>
      </c>
      <c r="Q2868" t="n">
        <v>0</v>
      </c>
      <c r="R2868" s="2" t="inlineStr"/>
    </row>
    <row r="2869" ht="15" customHeight="1">
      <c r="A2869" t="inlineStr">
        <is>
          <t>A 28003-2024</t>
        </is>
      </c>
      <c r="B2869" s="1" t="n">
        <v>45476</v>
      </c>
      <c r="C2869" s="1" t="n">
        <v>45911</v>
      </c>
      <c r="D2869" t="inlineStr">
        <is>
          <t>GÄVLEBORGS LÄN</t>
        </is>
      </c>
      <c r="E2869" t="inlineStr">
        <is>
          <t>LJUSDAL</t>
        </is>
      </c>
      <c r="F2869" t="inlineStr">
        <is>
          <t>Allmännings- och besparingsskogar</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55427-2024</t>
        </is>
      </c>
      <c r="B2870" s="1" t="n">
        <v>45622.38875</v>
      </c>
      <c r="C2870" s="1" t="n">
        <v>45911</v>
      </c>
      <c r="D2870" t="inlineStr">
        <is>
          <t>GÄVLEBORGS LÄN</t>
        </is>
      </c>
      <c r="E2870" t="inlineStr">
        <is>
          <t>OVANÅKER</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25784-2025</t>
        </is>
      </c>
      <c r="B2871" s="1" t="n">
        <v>45804.3675</v>
      </c>
      <c r="C2871" s="1" t="n">
        <v>45911</v>
      </c>
      <c r="D2871" t="inlineStr">
        <is>
          <t>GÄVLEBORGS LÄN</t>
        </is>
      </c>
      <c r="E2871" t="inlineStr">
        <is>
          <t>HUDIKSVALL</t>
        </is>
      </c>
      <c r="F2871" t="inlineStr">
        <is>
          <t>Holmen skog AB</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30906-2024</t>
        </is>
      </c>
      <c r="B2872" s="1" t="n">
        <v>45498.55421296296</v>
      </c>
      <c r="C2872" s="1" t="n">
        <v>45911</v>
      </c>
      <c r="D2872" t="inlineStr">
        <is>
          <t>GÄVLEBORGS LÄN</t>
        </is>
      </c>
      <c r="E2872" t="inlineStr">
        <is>
          <t>OVANÅKER</t>
        </is>
      </c>
      <c r="F2872" t="inlineStr">
        <is>
          <t>Bergvik skog öst AB</t>
        </is>
      </c>
      <c r="G2872" t="n">
        <v>5.3</v>
      </c>
      <c r="H2872" t="n">
        <v>0</v>
      </c>
      <c r="I2872" t="n">
        <v>0</v>
      </c>
      <c r="J2872" t="n">
        <v>0</v>
      </c>
      <c r="K2872" t="n">
        <v>0</v>
      </c>
      <c r="L2872" t="n">
        <v>0</v>
      </c>
      <c r="M2872" t="n">
        <v>0</v>
      </c>
      <c r="N2872" t="n">
        <v>0</v>
      </c>
      <c r="O2872" t="n">
        <v>0</v>
      </c>
      <c r="P2872" t="n">
        <v>0</v>
      </c>
      <c r="Q2872" t="n">
        <v>0</v>
      </c>
      <c r="R2872" s="2" t="inlineStr"/>
    </row>
    <row r="2873" ht="15" customHeight="1">
      <c r="A2873" t="inlineStr">
        <is>
          <t>A 30919-2024</t>
        </is>
      </c>
      <c r="B2873" s="1" t="n">
        <v>45498.67017361111</v>
      </c>
      <c r="C2873" s="1" t="n">
        <v>45911</v>
      </c>
      <c r="D2873" t="inlineStr">
        <is>
          <t>GÄVLEBORGS LÄN</t>
        </is>
      </c>
      <c r="E2873" t="inlineStr">
        <is>
          <t>OVANÅKER</t>
        </is>
      </c>
      <c r="F2873" t="inlineStr">
        <is>
          <t>Bergvik skog öst AB</t>
        </is>
      </c>
      <c r="G2873" t="n">
        <v>4</v>
      </c>
      <c r="H2873" t="n">
        <v>0</v>
      </c>
      <c r="I2873" t="n">
        <v>0</v>
      </c>
      <c r="J2873" t="n">
        <v>0</v>
      </c>
      <c r="K2873" t="n">
        <v>0</v>
      </c>
      <c r="L2873" t="n">
        <v>0</v>
      </c>
      <c r="M2873" t="n">
        <v>0</v>
      </c>
      <c r="N2873" t="n">
        <v>0</v>
      </c>
      <c r="O2873" t="n">
        <v>0</v>
      </c>
      <c r="P2873" t="n">
        <v>0</v>
      </c>
      <c r="Q2873" t="n">
        <v>0</v>
      </c>
      <c r="R2873" s="2" t="inlineStr"/>
    </row>
    <row r="2874" ht="15" customHeight="1">
      <c r="A2874" t="inlineStr">
        <is>
          <t>A 30969-2024</t>
        </is>
      </c>
      <c r="B2874" s="1" t="n">
        <v>45499.45839120371</v>
      </c>
      <c r="C2874" s="1" t="n">
        <v>45911</v>
      </c>
      <c r="D2874" t="inlineStr">
        <is>
          <t>GÄVLEBORGS LÄN</t>
        </is>
      </c>
      <c r="E2874" t="inlineStr">
        <is>
          <t>NORDANSTIG</t>
        </is>
      </c>
      <c r="F2874" t="inlineStr">
        <is>
          <t>Holmen skog AB</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30978-2024</t>
        </is>
      </c>
      <c r="B2875" s="1" t="n">
        <v>45499.48480324074</v>
      </c>
      <c r="C2875" s="1" t="n">
        <v>45911</v>
      </c>
      <c r="D2875" t="inlineStr">
        <is>
          <t>GÄVLEBORGS LÄN</t>
        </is>
      </c>
      <c r="E2875" t="inlineStr">
        <is>
          <t>NORDANSTIG</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30981-2024</t>
        </is>
      </c>
      <c r="B2876" s="1" t="n">
        <v>45499.49630787037</v>
      </c>
      <c r="C2876" s="1" t="n">
        <v>45911</v>
      </c>
      <c r="D2876" t="inlineStr">
        <is>
          <t>GÄVLEBORGS LÄN</t>
        </is>
      </c>
      <c r="E2876" t="inlineStr">
        <is>
          <t>HUDIKSVALL</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25640-2025</t>
        </is>
      </c>
      <c r="B2877" s="1" t="n">
        <v>45803.60325231482</v>
      </c>
      <c r="C2877" s="1" t="n">
        <v>45911</v>
      </c>
      <c r="D2877" t="inlineStr">
        <is>
          <t>GÄVLEBORGS LÄN</t>
        </is>
      </c>
      <c r="E2877" t="inlineStr">
        <is>
          <t>OCKELBO</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40097-2024</t>
        </is>
      </c>
      <c r="B2878" s="1" t="n">
        <v>45554.41347222222</v>
      </c>
      <c r="C2878" s="1" t="n">
        <v>45911</v>
      </c>
      <c r="D2878" t="inlineStr">
        <is>
          <t>GÄVLEBORGS LÄN</t>
        </is>
      </c>
      <c r="E2878" t="inlineStr">
        <is>
          <t>SÖDERHAMN</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5892-2022</t>
        </is>
      </c>
      <c r="B2879" s="1" t="n">
        <v>44596</v>
      </c>
      <c r="C2879" s="1" t="n">
        <v>45911</v>
      </c>
      <c r="D2879" t="inlineStr">
        <is>
          <t>GÄVLEBORGS LÄN</t>
        </is>
      </c>
      <c r="E2879" t="inlineStr">
        <is>
          <t>NORDANSTIG</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30982-2024</t>
        </is>
      </c>
      <c r="B2880" s="1" t="n">
        <v>45499.50350694444</v>
      </c>
      <c r="C2880" s="1" t="n">
        <v>45911</v>
      </c>
      <c r="D2880" t="inlineStr">
        <is>
          <t>GÄVLEBORGS LÄN</t>
        </is>
      </c>
      <c r="E2880" t="inlineStr">
        <is>
          <t>HUDIKSVALL</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28810-2024</t>
        </is>
      </c>
      <c r="B2881" s="1" t="n">
        <v>45478.63699074074</v>
      </c>
      <c r="C2881" s="1" t="n">
        <v>45911</v>
      </c>
      <c r="D2881" t="inlineStr">
        <is>
          <t>GÄVLEBORGS LÄN</t>
        </is>
      </c>
      <c r="E2881" t="inlineStr">
        <is>
          <t>BOLLNÄS</t>
        </is>
      </c>
      <c r="F2881" t="inlineStr">
        <is>
          <t>Bergvik skog väst AB</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30187-2024</t>
        </is>
      </c>
      <c r="B2882" s="1" t="n">
        <v>45490.27436342592</v>
      </c>
      <c r="C2882" s="1" t="n">
        <v>45911</v>
      </c>
      <c r="D2882" t="inlineStr">
        <is>
          <t>GÄVLEBORGS LÄN</t>
        </is>
      </c>
      <c r="E2882" t="inlineStr">
        <is>
          <t>BOLLNÄS</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46278-2020</t>
        </is>
      </c>
      <c r="B2883" s="1" t="n">
        <v>44092</v>
      </c>
      <c r="C2883" s="1" t="n">
        <v>45911</v>
      </c>
      <c r="D2883" t="inlineStr">
        <is>
          <t>GÄVLEBORGS LÄN</t>
        </is>
      </c>
      <c r="E2883" t="inlineStr">
        <is>
          <t>HOFORS</t>
        </is>
      </c>
      <c r="F2883" t="inlineStr">
        <is>
          <t>Sveaskog</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46293-2020</t>
        </is>
      </c>
      <c r="B2884" s="1" t="n">
        <v>44092</v>
      </c>
      <c r="C2884" s="1" t="n">
        <v>45911</v>
      </c>
      <c r="D2884" t="inlineStr">
        <is>
          <t>GÄVLEBORGS LÄN</t>
        </is>
      </c>
      <c r="E2884" t="inlineStr">
        <is>
          <t>LJUSDAL</t>
        </is>
      </c>
      <c r="F2884" t="inlineStr">
        <is>
          <t>Sveaskog</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25497-2025</t>
        </is>
      </c>
      <c r="B2885" s="1" t="n">
        <v>45803.34307870371</v>
      </c>
      <c r="C2885" s="1" t="n">
        <v>45911</v>
      </c>
      <c r="D2885" t="inlineStr">
        <is>
          <t>GÄVLEBORGS LÄN</t>
        </is>
      </c>
      <c r="E2885" t="inlineStr">
        <is>
          <t>HUDIKSVALL</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19652-2024</t>
        </is>
      </c>
      <c r="B2886" s="1" t="n">
        <v>45432.44259259259</v>
      </c>
      <c r="C2886" s="1" t="n">
        <v>45911</v>
      </c>
      <c r="D2886" t="inlineStr">
        <is>
          <t>GÄVLEBORGS LÄN</t>
        </is>
      </c>
      <c r="E2886" t="inlineStr">
        <is>
          <t>SÖDERHAMN</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19656-2024</t>
        </is>
      </c>
      <c r="B2887" s="1" t="n">
        <v>45432.45020833334</v>
      </c>
      <c r="C2887" s="1" t="n">
        <v>45911</v>
      </c>
      <c r="D2887" t="inlineStr">
        <is>
          <t>GÄVLEBORGS LÄN</t>
        </is>
      </c>
      <c r="E2887" t="inlineStr">
        <is>
          <t>OVANÅKER</t>
        </is>
      </c>
      <c r="G2887" t="n">
        <v>9.4</v>
      </c>
      <c r="H2887" t="n">
        <v>0</v>
      </c>
      <c r="I2887" t="n">
        <v>0</v>
      </c>
      <c r="J2887" t="n">
        <v>0</v>
      </c>
      <c r="K2887" t="n">
        <v>0</v>
      </c>
      <c r="L2887" t="n">
        <v>0</v>
      </c>
      <c r="M2887" t="n">
        <v>0</v>
      </c>
      <c r="N2887" t="n">
        <v>0</v>
      </c>
      <c r="O2887" t="n">
        <v>0</v>
      </c>
      <c r="P2887" t="n">
        <v>0</v>
      </c>
      <c r="Q2887" t="n">
        <v>0</v>
      </c>
      <c r="R2887" s="2" t="inlineStr"/>
    </row>
    <row r="2888" ht="15" customHeight="1">
      <c r="A2888" t="inlineStr">
        <is>
          <t>A 25684-2025</t>
        </is>
      </c>
      <c r="B2888" s="1" t="n">
        <v>45803.65211805556</v>
      </c>
      <c r="C2888" s="1" t="n">
        <v>45911</v>
      </c>
      <c r="D2888" t="inlineStr">
        <is>
          <t>GÄVLEBORGS LÄN</t>
        </is>
      </c>
      <c r="E2888" t="inlineStr">
        <is>
          <t>LJUSDAL</t>
        </is>
      </c>
      <c r="F2888" t="inlineStr">
        <is>
          <t>Holmen skog AB</t>
        </is>
      </c>
      <c r="G2888" t="n">
        <v>22.6</v>
      </c>
      <c r="H2888" t="n">
        <v>0</v>
      </c>
      <c r="I2888" t="n">
        <v>0</v>
      </c>
      <c r="J2888" t="n">
        <v>0</v>
      </c>
      <c r="K2888" t="n">
        <v>0</v>
      </c>
      <c r="L2888" t="n">
        <v>0</v>
      </c>
      <c r="M2888" t="n">
        <v>0</v>
      </c>
      <c r="N2888" t="n">
        <v>0</v>
      </c>
      <c r="O2888" t="n">
        <v>0</v>
      </c>
      <c r="P2888" t="n">
        <v>0</v>
      </c>
      <c r="Q2888" t="n">
        <v>0</v>
      </c>
      <c r="R2888" s="2" t="inlineStr"/>
    </row>
    <row r="2889" ht="15" customHeight="1">
      <c r="A2889" t="inlineStr">
        <is>
          <t>A 25469-2025</t>
        </is>
      </c>
      <c r="B2889" s="1" t="n">
        <v>45802.70565972223</v>
      </c>
      <c r="C2889" s="1" t="n">
        <v>45911</v>
      </c>
      <c r="D2889" t="inlineStr">
        <is>
          <t>GÄVLEBORGS LÄN</t>
        </is>
      </c>
      <c r="E2889" t="inlineStr">
        <is>
          <t>NORDANSTIG</t>
        </is>
      </c>
      <c r="F2889" t="inlineStr">
        <is>
          <t>Holmen skog AB</t>
        </is>
      </c>
      <c r="G2889" t="n">
        <v>6.4</v>
      </c>
      <c r="H2889" t="n">
        <v>0</v>
      </c>
      <c r="I2889" t="n">
        <v>0</v>
      </c>
      <c r="J2889" t="n">
        <v>0</v>
      </c>
      <c r="K2889" t="n">
        <v>0</v>
      </c>
      <c r="L2889" t="n">
        <v>0</v>
      </c>
      <c r="M2889" t="n">
        <v>0</v>
      </c>
      <c r="N2889" t="n">
        <v>0</v>
      </c>
      <c r="O2889" t="n">
        <v>0</v>
      </c>
      <c r="P2889" t="n">
        <v>0</v>
      </c>
      <c r="Q2889" t="n">
        <v>0</v>
      </c>
      <c r="R2889" s="2" t="inlineStr"/>
    </row>
    <row r="2890" ht="15" customHeight="1">
      <c r="A2890" t="inlineStr">
        <is>
          <t>A 54171-2024</t>
        </is>
      </c>
      <c r="B2890" s="1" t="n">
        <v>45616.62708333333</v>
      </c>
      <c r="C2890" s="1" t="n">
        <v>45911</v>
      </c>
      <c r="D2890" t="inlineStr">
        <is>
          <t>GÄVLEBORGS LÄN</t>
        </is>
      </c>
      <c r="E2890" t="inlineStr">
        <is>
          <t>SÖDERHAMN</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2584-2025</t>
        </is>
      </c>
      <c r="B2891" s="1" t="n">
        <v>45674</v>
      </c>
      <c r="C2891" s="1" t="n">
        <v>45911</v>
      </c>
      <c r="D2891" t="inlineStr">
        <is>
          <t>GÄVLEBORGS LÄN</t>
        </is>
      </c>
      <c r="E2891" t="inlineStr">
        <is>
          <t>LJUSDAL</t>
        </is>
      </c>
      <c r="F2891" t="inlineStr">
        <is>
          <t>Sveaskog</t>
        </is>
      </c>
      <c r="G2891" t="n">
        <v>4.1</v>
      </c>
      <c r="H2891" t="n">
        <v>0</v>
      </c>
      <c r="I2891" t="n">
        <v>0</v>
      </c>
      <c r="J2891" t="n">
        <v>0</v>
      </c>
      <c r="K2891" t="n">
        <v>0</v>
      </c>
      <c r="L2891" t="n">
        <v>0</v>
      </c>
      <c r="M2891" t="n">
        <v>0</v>
      </c>
      <c r="N2891" t="n">
        <v>0</v>
      </c>
      <c r="O2891" t="n">
        <v>0</v>
      </c>
      <c r="P2891" t="n">
        <v>0</v>
      </c>
      <c r="Q2891" t="n">
        <v>0</v>
      </c>
      <c r="R2891" s="2" t="inlineStr"/>
    </row>
    <row r="2892" ht="15" customHeight="1">
      <c r="A2892" t="inlineStr">
        <is>
          <t>A 67049-2021</t>
        </is>
      </c>
      <c r="B2892" s="1" t="n">
        <v>44522.74202546296</v>
      </c>
      <c r="C2892" s="1" t="n">
        <v>45911</v>
      </c>
      <c r="D2892" t="inlineStr">
        <is>
          <t>GÄVLEBORGS LÄN</t>
        </is>
      </c>
      <c r="E2892" t="inlineStr">
        <is>
          <t>HUDIKSVALL</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25740-2025</t>
        </is>
      </c>
      <c r="B2893" s="1" t="n">
        <v>45803.86391203704</v>
      </c>
      <c r="C2893" s="1" t="n">
        <v>45911</v>
      </c>
      <c r="D2893" t="inlineStr">
        <is>
          <t>GÄVLEBORGS LÄN</t>
        </is>
      </c>
      <c r="E2893" t="inlineStr">
        <is>
          <t>BOLLNÄS</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51122-2022</t>
        </is>
      </c>
      <c r="B2894" s="1" t="n">
        <v>44868.46877314815</v>
      </c>
      <c r="C2894" s="1" t="n">
        <v>45911</v>
      </c>
      <c r="D2894" t="inlineStr">
        <is>
          <t>GÄVLEBORGS LÄN</t>
        </is>
      </c>
      <c r="E2894" t="inlineStr">
        <is>
          <t>OVANÅKER</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70478-2021</t>
        </is>
      </c>
      <c r="B2895" s="1" t="n">
        <v>44536</v>
      </c>
      <c r="C2895" s="1" t="n">
        <v>45911</v>
      </c>
      <c r="D2895" t="inlineStr">
        <is>
          <t>GÄVLEBORGS LÄN</t>
        </is>
      </c>
      <c r="E2895" t="inlineStr">
        <is>
          <t>LJUSDAL</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74009-2021</t>
        </is>
      </c>
      <c r="B2896" s="1" t="n">
        <v>44557</v>
      </c>
      <c r="C2896" s="1" t="n">
        <v>45911</v>
      </c>
      <c r="D2896" t="inlineStr">
        <is>
          <t>GÄVLEBORGS LÄN</t>
        </is>
      </c>
      <c r="E2896" t="inlineStr">
        <is>
          <t>HUDIKSVALL</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25828-2025</t>
        </is>
      </c>
      <c r="B2897" s="1" t="n">
        <v>45804.44484953704</v>
      </c>
      <c r="C2897" s="1" t="n">
        <v>45911</v>
      </c>
      <c r="D2897" t="inlineStr">
        <is>
          <t>GÄVLEBORGS LÄN</t>
        </is>
      </c>
      <c r="E2897" t="inlineStr">
        <is>
          <t>HUDIKSVALL</t>
        </is>
      </c>
      <c r="F2897" t="inlineStr">
        <is>
          <t>Holmen skog AB</t>
        </is>
      </c>
      <c r="G2897" t="n">
        <v>7.3</v>
      </c>
      <c r="H2897" t="n">
        <v>0</v>
      </c>
      <c r="I2897" t="n">
        <v>0</v>
      </c>
      <c r="J2897" t="n">
        <v>0</v>
      </c>
      <c r="K2897" t="n">
        <v>0</v>
      </c>
      <c r="L2897" t="n">
        <v>0</v>
      </c>
      <c r="M2897" t="n">
        <v>0</v>
      </c>
      <c r="N2897" t="n">
        <v>0</v>
      </c>
      <c r="O2897" t="n">
        <v>0</v>
      </c>
      <c r="P2897" t="n">
        <v>0</v>
      </c>
      <c r="Q2897" t="n">
        <v>0</v>
      </c>
      <c r="R2897" s="2" t="inlineStr"/>
    </row>
    <row r="2898" ht="15" customHeight="1">
      <c r="A2898" t="inlineStr">
        <is>
          <t>A 58799-2024</t>
        </is>
      </c>
      <c r="B2898" s="1" t="n">
        <v>45636.32105324074</v>
      </c>
      <c r="C2898" s="1" t="n">
        <v>45911</v>
      </c>
      <c r="D2898" t="inlineStr">
        <is>
          <t>GÄVLEBORGS LÄN</t>
        </is>
      </c>
      <c r="E2898" t="inlineStr">
        <is>
          <t>SÖDERHAMN</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58894-2024</t>
        </is>
      </c>
      <c r="B2899" s="1" t="n">
        <v>45636.46609953704</v>
      </c>
      <c r="C2899" s="1" t="n">
        <v>45911</v>
      </c>
      <c r="D2899" t="inlineStr">
        <is>
          <t>GÄVLEBORGS LÄN</t>
        </is>
      </c>
      <c r="E2899" t="inlineStr">
        <is>
          <t>LJUSDAL</t>
        </is>
      </c>
      <c r="G2899" t="n">
        <v>4.4</v>
      </c>
      <c r="H2899" t="n">
        <v>0</v>
      </c>
      <c r="I2899" t="n">
        <v>0</v>
      </c>
      <c r="J2899" t="n">
        <v>0</v>
      </c>
      <c r="K2899" t="n">
        <v>0</v>
      </c>
      <c r="L2899" t="n">
        <v>0</v>
      </c>
      <c r="M2899" t="n">
        <v>0</v>
      </c>
      <c r="N2899" t="n">
        <v>0</v>
      </c>
      <c r="O2899" t="n">
        <v>0</v>
      </c>
      <c r="P2899" t="n">
        <v>0</v>
      </c>
      <c r="Q2899" t="n">
        <v>0</v>
      </c>
      <c r="R2899" s="2" t="inlineStr"/>
    </row>
    <row r="2900" ht="15" customHeight="1">
      <c r="A2900" t="inlineStr">
        <is>
          <t>A 14010-2022</t>
        </is>
      </c>
      <c r="B2900" s="1" t="n">
        <v>44650</v>
      </c>
      <c r="C2900" s="1" t="n">
        <v>45911</v>
      </c>
      <c r="D2900" t="inlineStr">
        <is>
          <t>GÄVLEBORGS LÄN</t>
        </is>
      </c>
      <c r="E2900" t="inlineStr">
        <is>
          <t>LJUSDAL</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26264-2023</t>
        </is>
      </c>
      <c r="B2901" s="1" t="n">
        <v>45091.60821759259</v>
      </c>
      <c r="C2901" s="1" t="n">
        <v>45911</v>
      </c>
      <c r="D2901" t="inlineStr">
        <is>
          <t>GÄVLEBORGS LÄN</t>
        </is>
      </c>
      <c r="E2901" t="inlineStr">
        <is>
          <t>LJUSDAL</t>
        </is>
      </c>
      <c r="G2901" t="n">
        <v>6.3</v>
      </c>
      <c r="H2901" t="n">
        <v>0</v>
      </c>
      <c r="I2901" t="n">
        <v>0</v>
      </c>
      <c r="J2901" t="n">
        <v>0</v>
      </c>
      <c r="K2901" t="n">
        <v>0</v>
      </c>
      <c r="L2901" t="n">
        <v>0</v>
      </c>
      <c r="M2901" t="n">
        <v>0</v>
      </c>
      <c r="N2901" t="n">
        <v>0</v>
      </c>
      <c r="O2901" t="n">
        <v>0</v>
      </c>
      <c r="P2901" t="n">
        <v>0</v>
      </c>
      <c r="Q2901" t="n">
        <v>0</v>
      </c>
      <c r="R2901" s="2" t="inlineStr"/>
    </row>
    <row r="2902" ht="15" customHeight="1">
      <c r="A2902" t="inlineStr">
        <is>
          <t>A 58077-2024</t>
        </is>
      </c>
      <c r="B2902" s="1" t="n">
        <v>45632.31140046296</v>
      </c>
      <c r="C2902" s="1" t="n">
        <v>45911</v>
      </c>
      <c r="D2902" t="inlineStr">
        <is>
          <t>GÄVLEBORGS LÄN</t>
        </is>
      </c>
      <c r="E2902" t="inlineStr">
        <is>
          <t>SÖDERHAMN</t>
        </is>
      </c>
      <c r="F2902" t="inlineStr">
        <is>
          <t>Bergvik skog väst AB</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2911-2024</t>
        </is>
      </c>
      <c r="B2903" s="1" t="n">
        <v>45315</v>
      </c>
      <c r="C2903" s="1" t="n">
        <v>45911</v>
      </c>
      <c r="D2903" t="inlineStr">
        <is>
          <t>GÄVLEBORGS LÄN</t>
        </is>
      </c>
      <c r="E2903" t="inlineStr">
        <is>
          <t>OVANÅKER</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13345-2023</t>
        </is>
      </c>
      <c r="B2904" s="1" t="n">
        <v>45005.45013888889</v>
      </c>
      <c r="C2904" s="1" t="n">
        <v>45911</v>
      </c>
      <c r="D2904" t="inlineStr">
        <is>
          <t>GÄVLEBORGS LÄN</t>
        </is>
      </c>
      <c r="E2904" t="inlineStr">
        <is>
          <t>LJUSDAL</t>
        </is>
      </c>
      <c r="F2904" t="inlineStr">
        <is>
          <t>Holmen skog AB</t>
        </is>
      </c>
      <c r="G2904" t="n">
        <v>17.8</v>
      </c>
      <c r="H2904" t="n">
        <v>0</v>
      </c>
      <c r="I2904" t="n">
        <v>0</v>
      </c>
      <c r="J2904" t="n">
        <v>0</v>
      </c>
      <c r="K2904" t="n">
        <v>0</v>
      </c>
      <c r="L2904" t="n">
        <v>0</v>
      </c>
      <c r="M2904" t="n">
        <v>0</v>
      </c>
      <c r="N2904" t="n">
        <v>0</v>
      </c>
      <c r="O2904" t="n">
        <v>0</v>
      </c>
      <c r="P2904" t="n">
        <v>0</v>
      </c>
      <c r="Q2904" t="n">
        <v>0</v>
      </c>
      <c r="R2904" s="2" t="inlineStr"/>
    </row>
    <row r="2905" ht="15" customHeight="1">
      <c r="A2905" t="inlineStr">
        <is>
          <t>A 25898-2025</t>
        </is>
      </c>
      <c r="B2905" s="1" t="n">
        <v>45804.54803240741</v>
      </c>
      <c r="C2905" s="1" t="n">
        <v>45911</v>
      </c>
      <c r="D2905" t="inlineStr">
        <is>
          <t>GÄVLEBORGS LÄN</t>
        </is>
      </c>
      <c r="E2905" t="inlineStr">
        <is>
          <t>LJUSDAL</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57806-2024</t>
        </is>
      </c>
      <c r="B2906" s="1" t="n">
        <v>45631.35064814815</v>
      </c>
      <c r="C2906" s="1" t="n">
        <v>45911</v>
      </c>
      <c r="D2906" t="inlineStr">
        <is>
          <t>GÄVLEBORGS LÄN</t>
        </is>
      </c>
      <c r="E2906" t="inlineStr">
        <is>
          <t>NORDANSTIG</t>
        </is>
      </c>
      <c r="F2906" t="inlineStr">
        <is>
          <t>Holmen skog AB</t>
        </is>
      </c>
      <c r="G2906" t="n">
        <v>2.6</v>
      </c>
      <c r="H2906" t="n">
        <v>0</v>
      </c>
      <c r="I2906" t="n">
        <v>0</v>
      </c>
      <c r="J2906" t="n">
        <v>0</v>
      </c>
      <c r="K2906" t="n">
        <v>0</v>
      </c>
      <c r="L2906" t="n">
        <v>0</v>
      </c>
      <c r="M2906" t="n">
        <v>0</v>
      </c>
      <c r="N2906" t="n">
        <v>0</v>
      </c>
      <c r="O2906" t="n">
        <v>0</v>
      </c>
      <c r="P2906" t="n">
        <v>0</v>
      </c>
      <c r="Q2906" t="n">
        <v>0</v>
      </c>
      <c r="R2906" s="2" t="inlineStr"/>
      <c r="U2906">
        <f>HYPERLINK("https://klasma.github.io/Logging_2132/knärot/A 57806-2024 karta knärot.png", "A 57806-2024")</f>
        <v/>
      </c>
      <c r="V2906">
        <f>HYPERLINK("https://klasma.github.io/Logging_2132/klagomål/A 57806-2024 FSC-klagomål.docx", "A 57806-2024")</f>
        <v/>
      </c>
      <c r="W2906">
        <f>HYPERLINK("https://klasma.github.io/Logging_2132/klagomålsmail/A 57806-2024 FSC-klagomål mail.docx", "A 57806-2024")</f>
        <v/>
      </c>
      <c r="X2906">
        <f>HYPERLINK("https://klasma.github.io/Logging_2132/tillsyn/A 57806-2024 tillsynsbegäran.docx", "A 57806-2024")</f>
        <v/>
      </c>
      <c r="Y2906">
        <f>HYPERLINK("https://klasma.github.io/Logging_2132/tillsynsmail/A 57806-2024 tillsynsbegäran mail.docx", "A 57806-2024")</f>
        <v/>
      </c>
    </row>
    <row r="2907" ht="15" customHeight="1">
      <c r="A2907" t="inlineStr">
        <is>
          <t>A 7731-2025</t>
        </is>
      </c>
      <c r="B2907" s="1" t="n">
        <v>45706.46439814815</v>
      </c>
      <c r="C2907" s="1" t="n">
        <v>45911</v>
      </c>
      <c r="D2907" t="inlineStr">
        <is>
          <t>GÄVLEBORGS LÄN</t>
        </is>
      </c>
      <c r="E2907" t="inlineStr">
        <is>
          <t>GÄVLE</t>
        </is>
      </c>
      <c r="F2907" t="inlineStr">
        <is>
          <t>Bergvik skog öst AB</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10042-2025</t>
        </is>
      </c>
      <c r="B2908" s="1" t="n">
        <v>45719.50333333333</v>
      </c>
      <c r="C2908" s="1" t="n">
        <v>45911</v>
      </c>
      <c r="D2908" t="inlineStr">
        <is>
          <t>GÄVLEBORGS LÄN</t>
        </is>
      </c>
      <c r="E2908" t="inlineStr">
        <is>
          <t>NORDANSTIG</t>
        </is>
      </c>
      <c r="F2908" t="inlineStr">
        <is>
          <t>Holmen skog AB</t>
        </is>
      </c>
      <c r="G2908" t="n">
        <v>6.6</v>
      </c>
      <c r="H2908" t="n">
        <v>0</v>
      </c>
      <c r="I2908" t="n">
        <v>0</v>
      </c>
      <c r="J2908" t="n">
        <v>0</v>
      </c>
      <c r="K2908" t="n">
        <v>0</v>
      </c>
      <c r="L2908" t="n">
        <v>0</v>
      </c>
      <c r="M2908" t="n">
        <v>0</v>
      </c>
      <c r="N2908" t="n">
        <v>0</v>
      </c>
      <c r="O2908" t="n">
        <v>0</v>
      </c>
      <c r="P2908" t="n">
        <v>0</v>
      </c>
      <c r="Q2908" t="n">
        <v>0</v>
      </c>
      <c r="R2908" s="2" t="inlineStr"/>
    </row>
    <row r="2909" ht="15" customHeight="1">
      <c r="A2909" t="inlineStr">
        <is>
          <t>A 8913-2025</t>
        </is>
      </c>
      <c r="B2909" s="1" t="n">
        <v>45713.42717592593</v>
      </c>
      <c r="C2909" s="1" t="n">
        <v>45911</v>
      </c>
      <c r="D2909" t="inlineStr">
        <is>
          <t>GÄVLEBORGS LÄN</t>
        </is>
      </c>
      <c r="E2909" t="inlineStr">
        <is>
          <t>OCKELBO</t>
        </is>
      </c>
      <c r="F2909" t="inlineStr">
        <is>
          <t>Bergvik skog öst AB</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22945-2023</t>
        </is>
      </c>
      <c r="B2910" s="1" t="n">
        <v>45072</v>
      </c>
      <c r="C2910" s="1" t="n">
        <v>45911</v>
      </c>
      <c r="D2910" t="inlineStr">
        <is>
          <t>GÄVLEBORGS LÄN</t>
        </is>
      </c>
      <c r="E2910" t="inlineStr">
        <is>
          <t>HUDIKSVALL</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22952-2023</t>
        </is>
      </c>
      <c r="B2911" s="1" t="n">
        <v>45072</v>
      </c>
      <c r="C2911" s="1" t="n">
        <v>45911</v>
      </c>
      <c r="D2911" t="inlineStr">
        <is>
          <t>GÄVLEBORGS LÄN</t>
        </is>
      </c>
      <c r="E2911" t="inlineStr">
        <is>
          <t>OCKELBO</t>
        </is>
      </c>
      <c r="G2911" t="n">
        <v>5.6</v>
      </c>
      <c r="H2911" t="n">
        <v>0</v>
      </c>
      <c r="I2911" t="n">
        <v>0</v>
      </c>
      <c r="J2911" t="n">
        <v>0</v>
      </c>
      <c r="K2911" t="n">
        <v>0</v>
      </c>
      <c r="L2911" t="n">
        <v>0</v>
      </c>
      <c r="M2911" t="n">
        <v>0</v>
      </c>
      <c r="N2911" t="n">
        <v>0</v>
      </c>
      <c r="O2911" t="n">
        <v>0</v>
      </c>
      <c r="P2911" t="n">
        <v>0</v>
      </c>
      <c r="Q2911" t="n">
        <v>0</v>
      </c>
      <c r="R2911" s="2" t="inlineStr"/>
    </row>
    <row r="2912" ht="15" customHeight="1">
      <c r="A2912" t="inlineStr">
        <is>
          <t>A 10107-2025</t>
        </is>
      </c>
      <c r="B2912" s="1" t="n">
        <v>45719.58622685185</v>
      </c>
      <c r="C2912" s="1" t="n">
        <v>45911</v>
      </c>
      <c r="D2912" t="inlineStr">
        <is>
          <t>GÄVLEBORGS LÄN</t>
        </is>
      </c>
      <c r="E2912" t="inlineStr">
        <is>
          <t>OVANÅKER</t>
        </is>
      </c>
      <c r="F2912" t="inlineStr">
        <is>
          <t>Bergvik skog väst AB</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25884-2025</t>
        </is>
      </c>
      <c r="B2913" s="1" t="n">
        <v>45804.50662037037</v>
      </c>
      <c r="C2913" s="1" t="n">
        <v>45911</v>
      </c>
      <c r="D2913" t="inlineStr">
        <is>
          <t>GÄVLEBORGS LÄN</t>
        </is>
      </c>
      <c r="E2913" t="inlineStr">
        <is>
          <t>LJUSDAL</t>
        </is>
      </c>
      <c r="F2913" t="inlineStr">
        <is>
          <t>Holmen skog AB</t>
        </is>
      </c>
      <c r="G2913" t="n">
        <v>11.4</v>
      </c>
      <c r="H2913" t="n">
        <v>0</v>
      </c>
      <c r="I2913" t="n">
        <v>0</v>
      </c>
      <c r="J2913" t="n">
        <v>0</v>
      </c>
      <c r="K2913" t="n">
        <v>0</v>
      </c>
      <c r="L2913" t="n">
        <v>0</v>
      </c>
      <c r="M2913" t="n">
        <v>0</v>
      </c>
      <c r="N2913" t="n">
        <v>0</v>
      </c>
      <c r="O2913" t="n">
        <v>0</v>
      </c>
      <c r="P2913" t="n">
        <v>0</v>
      </c>
      <c r="Q2913" t="n">
        <v>0</v>
      </c>
      <c r="R2913" s="2" t="inlineStr"/>
    </row>
    <row r="2914" ht="15" customHeight="1">
      <c r="A2914" t="inlineStr">
        <is>
          <t>A 25918-2025</t>
        </is>
      </c>
      <c r="B2914" s="1" t="n">
        <v>45803</v>
      </c>
      <c r="C2914" s="1" t="n">
        <v>45911</v>
      </c>
      <c r="D2914" t="inlineStr">
        <is>
          <t>GÄVLEBORGS LÄN</t>
        </is>
      </c>
      <c r="E2914" t="inlineStr">
        <is>
          <t>GÄVLE</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25987-2025</t>
        </is>
      </c>
      <c r="B2915" s="1" t="n">
        <v>45804.64680555555</v>
      </c>
      <c r="C2915" s="1" t="n">
        <v>45911</v>
      </c>
      <c r="D2915" t="inlineStr">
        <is>
          <t>GÄVLEBORGS LÄN</t>
        </is>
      </c>
      <c r="E2915" t="inlineStr">
        <is>
          <t>BOLLNÄS</t>
        </is>
      </c>
      <c r="F2915" t="inlineStr">
        <is>
          <t>Bergvik skog väst AB</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45179-2024</t>
        </is>
      </c>
      <c r="B2916" s="1" t="n">
        <v>45575.66247685185</v>
      </c>
      <c r="C2916" s="1" t="n">
        <v>45911</v>
      </c>
      <c r="D2916" t="inlineStr">
        <is>
          <t>GÄVLEBORGS LÄN</t>
        </is>
      </c>
      <c r="E2916" t="inlineStr">
        <is>
          <t>HUDIKSVALL</t>
        </is>
      </c>
      <c r="F2916" t="inlineStr">
        <is>
          <t>Holmen skog AB</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4142-2023</t>
        </is>
      </c>
      <c r="B2917" s="1" t="n">
        <v>44953</v>
      </c>
      <c r="C2917" s="1" t="n">
        <v>45911</v>
      </c>
      <c r="D2917" t="inlineStr">
        <is>
          <t>GÄVLEBORGS LÄN</t>
        </is>
      </c>
      <c r="E2917" t="inlineStr">
        <is>
          <t>NORDANSTIG</t>
        </is>
      </c>
      <c r="F2917" t="inlineStr">
        <is>
          <t>Holmen skog AB</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41701-2023</t>
        </is>
      </c>
      <c r="B2918" s="1" t="n">
        <v>45176.37850694444</v>
      </c>
      <c r="C2918" s="1" t="n">
        <v>45911</v>
      </c>
      <c r="D2918" t="inlineStr">
        <is>
          <t>GÄVLEBORGS LÄN</t>
        </is>
      </c>
      <c r="E2918" t="inlineStr">
        <is>
          <t>NORDANSTIG</t>
        </is>
      </c>
      <c r="F2918" t="inlineStr">
        <is>
          <t>Holmen skog AB</t>
        </is>
      </c>
      <c r="G2918" t="n">
        <v>5.6</v>
      </c>
      <c r="H2918" t="n">
        <v>0</v>
      </c>
      <c r="I2918" t="n">
        <v>0</v>
      </c>
      <c r="J2918" t="n">
        <v>0</v>
      </c>
      <c r="K2918" t="n">
        <v>0</v>
      </c>
      <c r="L2918" t="n">
        <v>0</v>
      </c>
      <c r="M2918" t="n">
        <v>0</v>
      </c>
      <c r="N2918" t="n">
        <v>0</v>
      </c>
      <c r="O2918" t="n">
        <v>0</v>
      </c>
      <c r="P2918" t="n">
        <v>0</v>
      </c>
      <c r="Q2918" t="n">
        <v>0</v>
      </c>
      <c r="R2918" s="2" t="inlineStr"/>
    </row>
    <row r="2919" ht="15" customHeight="1">
      <c r="A2919" t="inlineStr">
        <is>
          <t>A 41020-2023</t>
        </is>
      </c>
      <c r="B2919" s="1" t="n">
        <v>45173.59236111111</v>
      </c>
      <c r="C2919" s="1" t="n">
        <v>45911</v>
      </c>
      <c r="D2919" t="inlineStr">
        <is>
          <t>GÄVLEBORGS LÄN</t>
        </is>
      </c>
      <c r="E2919" t="inlineStr">
        <is>
          <t>HOFORS</t>
        </is>
      </c>
      <c r="F2919" t="inlineStr">
        <is>
          <t>Sveaskog</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20016-2023</t>
        </is>
      </c>
      <c r="B2920" s="1" t="n">
        <v>45054.63719907407</v>
      </c>
      <c r="C2920" s="1" t="n">
        <v>45911</v>
      </c>
      <c r="D2920" t="inlineStr">
        <is>
          <t>GÄVLEBORGS LÄN</t>
        </is>
      </c>
      <c r="E2920" t="inlineStr">
        <is>
          <t>LJUSDAL</t>
        </is>
      </c>
      <c r="F2920" t="inlineStr">
        <is>
          <t>Kommuner</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68516-2021</t>
        </is>
      </c>
      <c r="B2921" s="1" t="n">
        <v>44526</v>
      </c>
      <c r="C2921" s="1" t="n">
        <v>45911</v>
      </c>
      <c r="D2921" t="inlineStr">
        <is>
          <t>GÄVLEBORGS LÄN</t>
        </is>
      </c>
      <c r="E2921" t="inlineStr">
        <is>
          <t>BOLLNÄS</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30701-2024</t>
        </is>
      </c>
      <c r="B2922" s="1" t="n">
        <v>45496.36615740741</v>
      </c>
      <c r="C2922" s="1" t="n">
        <v>45911</v>
      </c>
      <c r="D2922" t="inlineStr">
        <is>
          <t>GÄVLEBORGS LÄN</t>
        </is>
      </c>
      <c r="E2922" t="inlineStr">
        <is>
          <t>HUDIKSVALL</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25503-2025</t>
        </is>
      </c>
      <c r="B2923" s="1" t="n">
        <v>45803.34987268518</v>
      </c>
      <c r="C2923" s="1" t="n">
        <v>45911</v>
      </c>
      <c r="D2923" t="inlineStr">
        <is>
          <t>GÄVLEBORGS LÄN</t>
        </is>
      </c>
      <c r="E2923" t="inlineStr">
        <is>
          <t>HUDIKSVALL</t>
        </is>
      </c>
      <c r="F2923" t="inlineStr">
        <is>
          <t>Holmen skog AB</t>
        </is>
      </c>
      <c r="G2923" t="n">
        <v>7.8</v>
      </c>
      <c r="H2923" t="n">
        <v>0</v>
      </c>
      <c r="I2923" t="n">
        <v>0</v>
      </c>
      <c r="J2923" t="n">
        <v>0</v>
      </c>
      <c r="K2923" t="n">
        <v>0</v>
      </c>
      <c r="L2923" t="n">
        <v>0</v>
      </c>
      <c r="M2923" t="n">
        <v>0</v>
      </c>
      <c r="N2923" t="n">
        <v>0</v>
      </c>
      <c r="O2923" t="n">
        <v>0</v>
      </c>
      <c r="P2923" t="n">
        <v>0</v>
      </c>
      <c r="Q2923" t="n">
        <v>0</v>
      </c>
      <c r="R2923" s="2" t="inlineStr"/>
    </row>
    <row r="2924" ht="15" customHeight="1">
      <c r="A2924" t="inlineStr">
        <is>
          <t>A 25504-2025</t>
        </is>
      </c>
      <c r="B2924" s="1" t="n">
        <v>45803.35074074074</v>
      </c>
      <c r="C2924" s="1" t="n">
        <v>45911</v>
      </c>
      <c r="D2924" t="inlineStr">
        <is>
          <t>GÄVLEBORGS LÄN</t>
        </is>
      </c>
      <c r="E2924" t="inlineStr">
        <is>
          <t>LJUSDAL</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57863-2024</t>
        </is>
      </c>
      <c r="B2925" s="1" t="n">
        <v>45631.43291666666</v>
      </c>
      <c r="C2925" s="1" t="n">
        <v>45911</v>
      </c>
      <c r="D2925" t="inlineStr">
        <is>
          <t>GÄVLEBORGS LÄN</t>
        </is>
      </c>
      <c r="E2925" t="inlineStr">
        <is>
          <t>NORDANSTIG</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57866-2024</t>
        </is>
      </c>
      <c r="B2926" s="1" t="n">
        <v>45631.43737268518</v>
      </c>
      <c r="C2926" s="1" t="n">
        <v>45911</v>
      </c>
      <c r="D2926" t="inlineStr">
        <is>
          <t>GÄVLEBORGS LÄN</t>
        </is>
      </c>
      <c r="E2926" t="inlineStr">
        <is>
          <t>NORDANSTIG</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28905-2023</t>
        </is>
      </c>
      <c r="B2927" s="1" t="n">
        <v>45104.50863425926</v>
      </c>
      <c r="C2927" s="1" t="n">
        <v>45911</v>
      </c>
      <c r="D2927" t="inlineStr">
        <is>
          <t>GÄVLEBORGS LÄN</t>
        </is>
      </c>
      <c r="E2927" t="inlineStr">
        <is>
          <t>GÄVLE</t>
        </is>
      </c>
      <c r="F2927" t="inlineStr">
        <is>
          <t>Bergvik skog väst AB</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30503-2024</t>
        </is>
      </c>
      <c r="B2928" s="1" t="n">
        <v>45492</v>
      </c>
      <c r="C2928" s="1" t="n">
        <v>45911</v>
      </c>
      <c r="D2928" t="inlineStr">
        <is>
          <t>GÄVLEBORGS LÄN</t>
        </is>
      </c>
      <c r="E2928" t="inlineStr">
        <is>
          <t>LJUSDAL</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40745-2024</t>
        </is>
      </c>
      <c r="B2929" s="1" t="n">
        <v>45558.45087962963</v>
      </c>
      <c r="C2929" s="1" t="n">
        <v>45911</v>
      </c>
      <c r="D2929" t="inlineStr">
        <is>
          <t>GÄVLEBORGS LÄN</t>
        </is>
      </c>
      <c r="E2929" t="inlineStr">
        <is>
          <t>SANDVIKEN</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25787-2025</t>
        </is>
      </c>
      <c r="B2930" s="1" t="n">
        <v>45804.37753472223</v>
      </c>
      <c r="C2930" s="1" t="n">
        <v>45911</v>
      </c>
      <c r="D2930" t="inlineStr">
        <is>
          <t>GÄVLEBORGS LÄN</t>
        </is>
      </c>
      <c r="E2930" t="inlineStr">
        <is>
          <t>BOLLNÄS</t>
        </is>
      </c>
      <c r="F2930" t="inlineStr">
        <is>
          <t>Bergvik skog väst AB</t>
        </is>
      </c>
      <c r="G2930" t="n">
        <v>5.1</v>
      </c>
      <c r="H2930" t="n">
        <v>0</v>
      </c>
      <c r="I2930" t="n">
        <v>0</v>
      </c>
      <c r="J2930" t="n">
        <v>0</v>
      </c>
      <c r="K2930" t="n">
        <v>0</v>
      </c>
      <c r="L2930" t="n">
        <v>0</v>
      </c>
      <c r="M2930" t="n">
        <v>0</v>
      </c>
      <c r="N2930" t="n">
        <v>0</v>
      </c>
      <c r="O2930" t="n">
        <v>0</v>
      </c>
      <c r="P2930" t="n">
        <v>0</v>
      </c>
      <c r="Q2930" t="n">
        <v>0</v>
      </c>
      <c r="R2930" s="2" t="inlineStr"/>
    </row>
    <row r="2931" ht="15" customHeight="1">
      <c r="A2931" t="inlineStr">
        <is>
          <t>A 41616-2023</t>
        </is>
      </c>
      <c r="B2931" s="1" t="n">
        <v>45175.67030092593</v>
      </c>
      <c r="C2931" s="1" t="n">
        <v>45911</v>
      </c>
      <c r="D2931" t="inlineStr">
        <is>
          <t>GÄVLEBORGS LÄN</t>
        </is>
      </c>
      <c r="E2931" t="inlineStr">
        <is>
          <t>NORDANSTIG</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19909-2023</t>
        </is>
      </c>
      <c r="B2932" s="1" t="n">
        <v>45054.4237037037</v>
      </c>
      <c r="C2932" s="1" t="n">
        <v>45911</v>
      </c>
      <c r="D2932" t="inlineStr">
        <is>
          <t>GÄVLEBORGS LÄN</t>
        </is>
      </c>
      <c r="E2932" t="inlineStr">
        <is>
          <t>OCKELBO</t>
        </is>
      </c>
      <c r="F2932" t="inlineStr">
        <is>
          <t>Bergvik skog väst AB</t>
        </is>
      </c>
      <c r="G2932" t="n">
        <v>3.1</v>
      </c>
      <c r="H2932" t="n">
        <v>0</v>
      </c>
      <c r="I2932" t="n">
        <v>0</v>
      </c>
      <c r="J2932" t="n">
        <v>0</v>
      </c>
      <c r="K2932" t="n">
        <v>0</v>
      </c>
      <c r="L2932" t="n">
        <v>0</v>
      </c>
      <c r="M2932" t="n">
        <v>0</v>
      </c>
      <c r="N2932" t="n">
        <v>0</v>
      </c>
      <c r="O2932" t="n">
        <v>0</v>
      </c>
      <c r="P2932" t="n">
        <v>0</v>
      </c>
      <c r="Q2932" t="n">
        <v>0</v>
      </c>
      <c r="R2932" s="2" t="inlineStr"/>
    </row>
    <row r="2933" ht="15" customHeight="1">
      <c r="A2933" t="inlineStr">
        <is>
          <t>A 33802-2023</t>
        </is>
      </c>
      <c r="B2933" s="1" t="n">
        <v>45133.57393518519</v>
      </c>
      <c r="C2933" s="1" t="n">
        <v>45911</v>
      </c>
      <c r="D2933" t="inlineStr">
        <is>
          <t>GÄVLEBORGS LÄN</t>
        </is>
      </c>
      <c r="E2933" t="inlineStr">
        <is>
          <t>LJUSDAL</t>
        </is>
      </c>
      <c r="F2933" t="inlineStr">
        <is>
          <t>Bergvik skog väst AB</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47108-2024</t>
        </is>
      </c>
      <c r="B2934" s="1" t="n">
        <v>45586.55236111111</v>
      </c>
      <c r="C2934" s="1" t="n">
        <v>45911</v>
      </c>
      <c r="D2934" t="inlineStr">
        <is>
          <t>GÄVLEBORGS LÄN</t>
        </is>
      </c>
      <c r="E2934" t="inlineStr">
        <is>
          <t>GÄVLE</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9026-2023</t>
        </is>
      </c>
      <c r="B2935" s="1" t="n">
        <v>44979.62972222222</v>
      </c>
      <c r="C2935" s="1" t="n">
        <v>45911</v>
      </c>
      <c r="D2935" t="inlineStr">
        <is>
          <t>GÄVLEBORGS LÄN</t>
        </is>
      </c>
      <c r="E2935" t="inlineStr">
        <is>
          <t>HUDIKSVALL</t>
        </is>
      </c>
      <c r="F2935" t="inlineStr">
        <is>
          <t>Holmen skog AB</t>
        </is>
      </c>
      <c r="G2935" t="n">
        <v>10</v>
      </c>
      <c r="H2935" t="n">
        <v>0</v>
      </c>
      <c r="I2935" t="n">
        <v>0</v>
      </c>
      <c r="J2935" t="n">
        <v>0</v>
      </c>
      <c r="K2935" t="n">
        <v>0</v>
      </c>
      <c r="L2935" t="n">
        <v>0</v>
      </c>
      <c r="M2935" t="n">
        <v>0</v>
      </c>
      <c r="N2935" t="n">
        <v>0</v>
      </c>
      <c r="O2935" t="n">
        <v>0</v>
      </c>
      <c r="P2935" t="n">
        <v>0</v>
      </c>
      <c r="Q2935" t="n">
        <v>0</v>
      </c>
      <c r="R2935" s="2" t="inlineStr"/>
    </row>
    <row r="2936" ht="15" customHeight="1">
      <c r="A2936" t="inlineStr">
        <is>
          <t>A 26091-2025</t>
        </is>
      </c>
      <c r="B2936" s="1" t="n">
        <v>45805.34539351852</v>
      </c>
      <c r="C2936" s="1" t="n">
        <v>45911</v>
      </c>
      <c r="D2936" t="inlineStr">
        <is>
          <t>GÄVLEBORGS LÄN</t>
        </is>
      </c>
      <c r="E2936" t="inlineStr">
        <is>
          <t>LJUSDAL</t>
        </is>
      </c>
      <c r="F2936" t="inlineStr">
        <is>
          <t>SCA</t>
        </is>
      </c>
      <c r="G2936" t="n">
        <v>5.2</v>
      </c>
      <c r="H2936" t="n">
        <v>0</v>
      </c>
      <c r="I2936" t="n">
        <v>0</v>
      </c>
      <c r="J2936" t="n">
        <v>0</v>
      </c>
      <c r="K2936" t="n">
        <v>0</v>
      </c>
      <c r="L2936" t="n">
        <v>0</v>
      </c>
      <c r="M2936" t="n">
        <v>0</v>
      </c>
      <c r="N2936" t="n">
        <v>0</v>
      </c>
      <c r="O2936" t="n">
        <v>0</v>
      </c>
      <c r="P2936" t="n">
        <v>0</v>
      </c>
      <c r="Q2936" t="n">
        <v>0</v>
      </c>
      <c r="R2936" s="2" t="inlineStr"/>
    </row>
    <row r="2937" ht="15" customHeight="1">
      <c r="A2937" t="inlineStr">
        <is>
          <t>A 321-2024</t>
        </is>
      </c>
      <c r="B2937" s="1" t="n">
        <v>45295</v>
      </c>
      <c r="C2937" s="1" t="n">
        <v>45911</v>
      </c>
      <c r="D2937" t="inlineStr">
        <is>
          <t>GÄVLEBORGS LÄN</t>
        </is>
      </c>
      <c r="E2937" t="inlineStr">
        <is>
          <t>NORDANSTIG</t>
        </is>
      </c>
      <c r="F2937" t="inlineStr">
        <is>
          <t>Holmen skog AB</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6095-2024</t>
        </is>
      </c>
      <c r="B2938" s="1" t="n">
        <v>45337</v>
      </c>
      <c r="C2938" s="1" t="n">
        <v>45911</v>
      </c>
      <c r="D2938" t="inlineStr">
        <is>
          <t>GÄVLEBORGS LÄN</t>
        </is>
      </c>
      <c r="E2938" t="inlineStr">
        <is>
          <t>HUDIKSVALL</t>
        </is>
      </c>
      <c r="F2938" t="inlineStr">
        <is>
          <t>Holmen skog AB</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19919-2023</t>
        </is>
      </c>
      <c r="B2939" s="1" t="n">
        <v>45054.44943287037</v>
      </c>
      <c r="C2939" s="1" t="n">
        <v>45911</v>
      </c>
      <c r="D2939" t="inlineStr">
        <is>
          <t>GÄVLEBORGS LÄN</t>
        </is>
      </c>
      <c r="E2939" t="inlineStr">
        <is>
          <t>OCKELBO</t>
        </is>
      </c>
      <c r="F2939" t="inlineStr">
        <is>
          <t>Bergvik skog väst AB</t>
        </is>
      </c>
      <c r="G2939" t="n">
        <v>8</v>
      </c>
      <c r="H2939" t="n">
        <v>0</v>
      </c>
      <c r="I2939" t="n">
        <v>0</v>
      </c>
      <c r="J2939" t="n">
        <v>0</v>
      </c>
      <c r="K2939" t="n">
        <v>0</v>
      </c>
      <c r="L2939" t="n">
        <v>0</v>
      </c>
      <c r="M2939" t="n">
        <v>0</v>
      </c>
      <c r="N2939" t="n">
        <v>0</v>
      </c>
      <c r="O2939" t="n">
        <v>0</v>
      </c>
      <c r="P2939" t="n">
        <v>0</v>
      </c>
      <c r="Q2939" t="n">
        <v>0</v>
      </c>
      <c r="R2939" s="2" t="inlineStr"/>
    </row>
    <row r="2940" ht="15" customHeight="1">
      <c r="A2940" t="inlineStr">
        <is>
          <t>A 8153-2022</t>
        </is>
      </c>
      <c r="B2940" s="1" t="n">
        <v>44609.62958333334</v>
      </c>
      <c r="C2940" s="1" t="n">
        <v>45911</v>
      </c>
      <c r="D2940" t="inlineStr">
        <is>
          <t>GÄVLEBORGS LÄN</t>
        </is>
      </c>
      <c r="E2940" t="inlineStr">
        <is>
          <t>LJUSDAL</t>
        </is>
      </c>
      <c r="F2940" t="inlineStr">
        <is>
          <t>Holmen skog AB</t>
        </is>
      </c>
      <c r="G2940" t="n">
        <v>3.8</v>
      </c>
      <c r="H2940" t="n">
        <v>0</v>
      </c>
      <c r="I2940" t="n">
        <v>0</v>
      </c>
      <c r="J2940" t="n">
        <v>0</v>
      </c>
      <c r="K2940" t="n">
        <v>0</v>
      </c>
      <c r="L2940" t="n">
        <v>0</v>
      </c>
      <c r="M2940" t="n">
        <v>0</v>
      </c>
      <c r="N2940" t="n">
        <v>0</v>
      </c>
      <c r="O2940" t="n">
        <v>0</v>
      </c>
      <c r="P2940" t="n">
        <v>0</v>
      </c>
      <c r="Q2940" t="n">
        <v>0</v>
      </c>
      <c r="R2940" s="2" t="inlineStr"/>
    </row>
    <row r="2941" ht="15" customHeight="1">
      <c r="A2941" t="inlineStr">
        <is>
          <t>A 41074-2023</t>
        </is>
      </c>
      <c r="B2941" s="1" t="n">
        <v>45173</v>
      </c>
      <c r="C2941" s="1" t="n">
        <v>45911</v>
      </c>
      <c r="D2941" t="inlineStr">
        <is>
          <t>GÄVLEBORGS LÄN</t>
        </is>
      </c>
      <c r="E2941" t="inlineStr">
        <is>
          <t>NORDANSTIG</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6730-2024</t>
        </is>
      </c>
      <c r="B2942" s="1" t="n">
        <v>45342.38497685185</v>
      </c>
      <c r="C2942" s="1" t="n">
        <v>45911</v>
      </c>
      <c r="D2942" t="inlineStr">
        <is>
          <t>GÄVLEBORGS LÄN</t>
        </is>
      </c>
      <c r="E2942" t="inlineStr">
        <is>
          <t>HUDIKSVALL</t>
        </is>
      </c>
      <c r="G2942" t="n">
        <v>6.4</v>
      </c>
      <c r="H2942" t="n">
        <v>0</v>
      </c>
      <c r="I2942" t="n">
        <v>0</v>
      </c>
      <c r="J2942" t="n">
        <v>0</v>
      </c>
      <c r="K2942" t="n">
        <v>0</v>
      </c>
      <c r="L2942" t="n">
        <v>0</v>
      </c>
      <c r="M2942" t="n">
        <v>0</v>
      </c>
      <c r="N2942" t="n">
        <v>0</v>
      </c>
      <c r="O2942" t="n">
        <v>0</v>
      </c>
      <c r="P2942" t="n">
        <v>0</v>
      </c>
      <c r="Q2942" t="n">
        <v>0</v>
      </c>
      <c r="R2942" s="2" t="inlineStr"/>
    </row>
    <row r="2943" ht="15" customHeight="1">
      <c r="A2943" t="inlineStr">
        <is>
          <t>A 26201-2025</t>
        </is>
      </c>
      <c r="B2943" s="1" t="n">
        <v>45805.50863425926</v>
      </c>
      <c r="C2943" s="1" t="n">
        <v>45911</v>
      </c>
      <c r="D2943" t="inlineStr">
        <is>
          <t>GÄVLEBORGS LÄN</t>
        </is>
      </c>
      <c r="E2943" t="inlineStr">
        <is>
          <t>SANDVIKEN</t>
        </is>
      </c>
      <c r="F2943" t="inlineStr">
        <is>
          <t>Sveaskog</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26268-2025</t>
        </is>
      </c>
      <c r="B2944" s="1" t="n">
        <v>45805.59122685185</v>
      </c>
      <c r="C2944" s="1" t="n">
        <v>45911</v>
      </c>
      <c r="D2944" t="inlineStr">
        <is>
          <t>GÄVLEBORGS LÄN</t>
        </is>
      </c>
      <c r="E2944" t="inlineStr">
        <is>
          <t>LJUSDAL</t>
        </is>
      </c>
      <c r="F2944" t="inlineStr">
        <is>
          <t>Kommuner</t>
        </is>
      </c>
      <c r="G2944" t="n">
        <v>4.9</v>
      </c>
      <c r="H2944" t="n">
        <v>0</v>
      </c>
      <c r="I2944" t="n">
        <v>0</v>
      </c>
      <c r="J2944" t="n">
        <v>0</v>
      </c>
      <c r="K2944" t="n">
        <v>0</v>
      </c>
      <c r="L2944" t="n">
        <v>0</v>
      </c>
      <c r="M2944" t="n">
        <v>0</v>
      </c>
      <c r="N2944" t="n">
        <v>0</v>
      </c>
      <c r="O2944" t="n">
        <v>0</v>
      </c>
      <c r="P2944" t="n">
        <v>0</v>
      </c>
      <c r="Q2944" t="n">
        <v>0</v>
      </c>
      <c r="R2944" s="2" t="inlineStr"/>
    </row>
    <row r="2945" ht="15" customHeight="1">
      <c r="A2945" t="inlineStr">
        <is>
          <t>A 26289-2025</t>
        </is>
      </c>
      <c r="B2945" s="1" t="n">
        <v>45805.62409722222</v>
      </c>
      <c r="C2945" s="1" t="n">
        <v>45911</v>
      </c>
      <c r="D2945" t="inlineStr">
        <is>
          <t>GÄVLEBORGS LÄN</t>
        </is>
      </c>
      <c r="E2945" t="inlineStr">
        <is>
          <t>BOLLNÄS</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46960-2022</t>
        </is>
      </c>
      <c r="B2946" s="1" t="n">
        <v>44851.94489583333</v>
      </c>
      <c r="C2946" s="1" t="n">
        <v>45911</v>
      </c>
      <c r="D2946" t="inlineStr">
        <is>
          <t>GÄVLEBORGS LÄN</t>
        </is>
      </c>
      <c r="E2946" t="inlineStr">
        <is>
          <t>OVANÅKER</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26316-2025</t>
        </is>
      </c>
      <c r="B2947" s="1" t="n">
        <v>45805</v>
      </c>
      <c r="C2947" s="1" t="n">
        <v>45911</v>
      </c>
      <c r="D2947" t="inlineStr">
        <is>
          <t>GÄVLEBORGS LÄN</t>
        </is>
      </c>
      <c r="E2947" t="inlineStr">
        <is>
          <t>OVANÅKER</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40318-2024</t>
        </is>
      </c>
      <c r="B2948" s="1" t="n">
        <v>45554.79619212963</v>
      </c>
      <c r="C2948" s="1" t="n">
        <v>45911</v>
      </c>
      <c r="D2948" t="inlineStr">
        <is>
          <t>GÄVLEBORGS LÄN</t>
        </is>
      </c>
      <c r="E2948" t="inlineStr">
        <is>
          <t>LJUSDAL</t>
        </is>
      </c>
      <c r="G2948" t="n">
        <v>7.1</v>
      </c>
      <c r="H2948" t="n">
        <v>0</v>
      </c>
      <c r="I2948" t="n">
        <v>0</v>
      </c>
      <c r="J2948" t="n">
        <v>0</v>
      </c>
      <c r="K2948" t="n">
        <v>0</v>
      </c>
      <c r="L2948" t="n">
        <v>0</v>
      </c>
      <c r="M2948" t="n">
        <v>0</v>
      </c>
      <c r="N2948" t="n">
        <v>0</v>
      </c>
      <c r="O2948" t="n">
        <v>0</v>
      </c>
      <c r="P2948" t="n">
        <v>0</v>
      </c>
      <c r="Q2948" t="n">
        <v>0</v>
      </c>
      <c r="R2948" s="2" t="inlineStr"/>
    </row>
    <row r="2949" ht="15" customHeight="1">
      <c r="A2949" t="inlineStr">
        <is>
          <t>A 40321-2024</t>
        </is>
      </c>
      <c r="B2949" s="1" t="n">
        <v>45554.80881944444</v>
      </c>
      <c r="C2949" s="1" t="n">
        <v>45911</v>
      </c>
      <c r="D2949" t="inlineStr">
        <is>
          <t>GÄVLEBORGS LÄN</t>
        </is>
      </c>
      <c r="E2949" t="inlineStr">
        <is>
          <t>HUDIKSVALL</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40336-2024</t>
        </is>
      </c>
      <c r="B2950" s="1" t="n">
        <v>45555.32482638889</v>
      </c>
      <c r="C2950" s="1" t="n">
        <v>45911</v>
      </c>
      <c r="D2950" t="inlineStr">
        <is>
          <t>GÄVLEBORGS LÄN</t>
        </is>
      </c>
      <c r="E2950" t="inlineStr">
        <is>
          <t>BOLLNÄS</t>
        </is>
      </c>
      <c r="F2950" t="inlineStr">
        <is>
          <t>Bergvik skog väst AB</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38609-2022</t>
        </is>
      </c>
      <c r="B2951" s="1" t="n">
        <v>44813</v>
      </c>
      <c r="C2951" s="1" t="n">
        <v>45911</v>
      </c>
      <c r="D2951" t="inlineStr">
        <is>
          <t>GÄVLEBORGS LÄN</t>
        </is>
      </c>
      <c r="E2951" t="inlineStr">
        <is>
          <t>SANDVIKEN</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40928-2024</t>
        </is>
      </c>
      <c r="B2952" s="1" t="n">
        <v>45558.64020833333</v>
      </c>
      <c r="C2952" s="1" t="n">
        <v>45911</v>
      </c>
      <c r="D2952" t="inlineStr">
        <is>
          <t>GÄVLEBORGS LÄN</t>
        </is>
      </c>
      <c r="E2952" t="inlineStr">
        <is>
          <t>BOLLNÄS</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40613-2023</t>
        </is>
      </c>
      <c r="B2953" s="1" t="n">
        <v>45170.51297453704</v>
      </c>
      <c r="C2953" s="1" t="n">
        <v>45911</v>
      </c>
      <c r="D2953" t="inlineStr">
        <is>
          <t>GÄVLEBORGS LÄN</t>
        </is>
      </c>
      <c r="E2953" t="inlineStr">
        <is>
          <t>NORDANSTIG</t>
        </is>
      </c>
      <c r="F2953" t="inlineStr">
        <is>
          <t>Holmen skog AB</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36446-2024</t>
        </is>
      </c>
      <c r="B2954" s="1" t="n">
        <v>45537</v>
      </c>
      <c r="C2954" s="1" t="n">
        <v>45911</v>
      </c>
      <c r="D2954" t="inlineStr">
        <is>
          <t>GÄVLEBORGS LÄN</t>
        </is>
      </c>
      <c r="E2954" t="inlineStr">
        <is>
          <t>LJUSDAL</t>
        </is>
      </c>
      <c r="F2954" t="inlineStr">
        <is>
          <t>Sveaskog</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56728-2024</t>
        </is>
      </c>
      <c r="B2955" s="1" t="n">
        <v>45628.35456018519</v>
      </c>
      <c r="C2955" s="1" t="n">
        <v>45911</v>
      </c>
      <c r="D2955" t="inlineStr">
        <is>
          <t>GÄVLEBORGS LÄN</t>
        </is>
      </c>
      <c r="E2955" t="inlineStr">
        <is>
          <t>GÄVLE</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56733-2024</t>
        </is>
      </c>
      <c r="B2956" s="1" t="n">
        <v>45628.36013888889</v>
      </c>
      <c r="C2956" s="1" t="n">
        <v>45911</v>
      </c>
      <c r="D2956" t="inlineStr">
        <is>
          <t>GÄVLEBORGS LÄN</t>
        </is>
      </c>
      <c r="E2956" t="inlineStr">
        <is>
          <t>NORDANSTIG</t>
        </is>
      </c>
      <c r="F2956" t="inlineStr">
        <is>
          <t>Holmen skog AB</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54977-2024</t>
        </is>
      </c>
      <c r="B2957" s="1" t="n">
        <v>45620.68857638889</v>
      </c>
      <c r="C2957" s="1" t="n">
        <v>45911</v>
      </c>
      <c r="D2957" t="inlineStr">
        <is>
          <t>GÄVLEBORGS LÄN</t>
        </is>
      </c>
      <c r="E2957" t="inlineStr">
        <is>
          <t>OCKELBO</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43499-2024</t>
        </is>
      </c>
      <c r="B2958" s="1" t="n">
        <v>45569.29876157407</v>
      </c>
      <c r="C2958" s="1" t="n">
        <v>45911</v>
      </c>
      <c r="D2958" t="inlineStr">
        <is>
          <t>GÄVLEBORGS LÄN</t>
        </is>
      </c>
      <c r="E2958" t="inlineStr">
        <is>
          <t>LJUSDAL</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13270-2022</t>
        </is>
      </c>
      <c r="B2959" s="1" t="n">
        <v>44644.71585648148</v>
      </c>
      <c r="C2959" s="1" t="n">
        <v>45911</v>
      </c>
      <c r="D2959" t="inlineStr">
        <is>
          <t>GÄVLEBORGS LÄN</t>
        </is>
      </c>
      <c r="E2959" t="inlineStr">
        <is>
          <t>NORDANSTIG</t>
        </is>
      </c>
      <c r="G2959" t="n">
        <v>9</v>
      </c>
      <c r="H2959" t="n">
        <v>0</v>
      </c>
      <c r="I2959" t="n">
        <v>0</v>
      </c>
      <c r="J2959" t="n">
        <v>0</v>
      </c>
      <c r="K2959" t="n">
        <v>0</v>
      </c>
      <c r="L2959" t="n">
        <v>0</v>
      </c>
      <c r="M2959" t="n">
        <v>0</v>
      </c>
      <c r="N2959" t="n">
        <v>0</v>
      </c>
      <c r="O2959" t="n">
        <v>0</v>
      </c>
      <c r="P2959" t="n">
        <v>0</v>
      </c>
      <c r="Q2959" t="n">
        <v>0</v>
      </c>
      <c r="R2959" s="2" t="inlineStr"/>
    </row>
    <row r="2960" ht="15" customHeight="1">
      <c r="A2960" t="inlineStr">
        <is>
          <t>A 57977-2024</t>
        </is>
      </c>
      <c r="B2960" s="1" t="n">
        <v>45631.60908564815</v>
      </c>
      <c r="C2960" s="1" t="n">
        <v>45911</v>
      </c>
      <c r="D2960" t="inlineStr">
        <is>
          <t>GÄVLEBORGS LÄN</t>
        </is>
      </c>
      <c r="E2960" t="inlineStr">
        <is>
          <t>NORDANSTIG</t>
        </is>
      </c>
      <c r="F2960" t="inlineStr">
        <is>
          <t>Holmen skog AB</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58005-2024</t>
        </is>
      </c>
      <c r="B2961" s="1" t="n">
        <v>45631.6459837963</v>
      </c>
      <c r="C2961" s="1" t="n">
        <v>45911</v>
      </c>
      <c r="D2961" t="inlineStr">
        <is>
          <t>GÄVLEBORGS LÄN</t>
        </is>
      </c>
      <c r="E2961" t="inlineStr">
        <is>
          <t>HUDIKSVALL</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10482-2024</t>
        </is>
      </c>
      <c r="B2962" s="1" t="n">
        <v>45366</v>
      </c>
      <c r="C2962" s="1" t="n">
        <v>45911</v>
      </c>
      <c r="D2962" t="inlineStr">
        <is>
          <t>GÄVLEBORGS LÄN</t>
        </is>
      </c>
      <c r="E2962" t="inlineStr">
        <is>
          <t>BOLLNÄS</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63632-2023</t>
        </is>
      </c>
      <c r="B2963" s="1" t="n">
        <v>45275.56056712963</v>
      </c>
      <c r="C2963" s="1" t="n">
        <v>45911</v>
      </c>
      <c r="D2963" t="inlineStr">
        <is>
          <t>GÄVLEBORGS LÄN</t>
        </is>
      </c>
      <c r="E2963" t="inlineStr">
        <is>
          <t>SÖDERHAMN</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37689-2024</t>
        </is>
      </c>
      <c r="B2964" s="1" t="n">
        <v>45541</v>
      </c>
      <c r="C2964" s="1" t="n">
        <v>45911</v>
      </c>
      <c r="D2964" t="inlineStr">
        <is>
          <t>GÄVLEBORGS LÄN</t>
        </is>
      </c>
      <c r="E2964" t="inlineStr">
        <is>
          <t>HUDIKSVALL</t>
        </is>
      </c>
      <c r="F2964" t="inlineStr">
        <is>
          <t>Kommuner</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49529-2024</t>
        </is>
      </c>
      <c r="B2965" s="1" t="n">
        <v>45596.4116087963</v>
      </c>
      <c r="C2965" s="1" t="n">
        <v>45911</v>
      </c>
      <c r="D2965" t="inlineStr">
        <is>
          <t>GÄVLEBORGS LÄN</t>
        </is>
      </c>
      <c r="E2965" t="inlineStr">
        <is>
          <t>OCKELBO</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6568-2024</t>
        </is>
      </c>
      <c r="B2966" s="1" t="n">
        <v>45341.46197916667</v>
      </c>
      <c r="C2966" s="1" t="n">
        <v>45911</v>
      </c>
      <c r="D2966" t="inlineStr">
        <is>
          <t>GÄVLEBORGS LÄN</t>
        </is>
      </c>
      <c r="E2966" t="inlineStr">
        <is>
          <t>OCKELBO</t>
        </is>
      </c>
      <c r="G2966" t="n">
        <v>2.9</v>
      </c>
      <c r="H2966" t="n">
        <v>0</v>
      </c>
      <c r="I2966" t="n">
        <v>0</v>
      </c>
      <c r="J2966" t="n">
        <v>0</v>
      </c>
      <c r="K2966" t="n">
        <v>0</v>
      </c>
      <c r="L2966" t="n">
        <v>0</v>
      </c>
      <c r="M2966" t="n">
        <v>0</v>
      </c>
      <c r="N2966" t="n">
        <v>0</v>
      </c>
      <c r="O2966" t="n">
        <v>0</v>
      </c>
      <c r="P2966" t="n">
        <v>0</v>
      </c>
      <c r="Q2966" t="n">
        <v>0</v>
      </c>
      <c r="R2966" s="2" t="inlineStr"/>
    </row>
    <row r="2967" ht="15" customHeight="1">
      <c r="A2967" t="inlineStr">
        <is>
          <t>A 26062-2025</t>
        </is>
      </c>
      <c r="B2967" s="1" t="n">
        <v>45805.25457175926</v>
      </c>
      <c r="C2967" s="1" t="n">
        <v>45911</v>
      </c>
      <c r="D2967" t="inlineStr">
        <is>
          <t>GÄVLEBORGS LÄN</t>
        </is>
      </c>
      <c r="E2967" t="inlineStr">
        <is>
          <t>OVANÅKER</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26103-2025</t>
        </is>
      </c>
      <c r="B2968" s="1" t="n">
        <v>45805.35861111111</v>
      </c>
      <c r="C2968" s="1" t="n">
        <v>45911</v>
      </c>
      <c r="D2968" t="inlineStr">
        <is>
          <t>GÄVLEBORGS LÄN</t>
        </is>
      </c>
      <c r="E2968" t="inlineStr">
        <is>
          <t>LJUSDAL</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19682-2024</t>
        </is>
      </c>
      <c r="B2969" s="1" t="n">
        <v>45432</v>
      </c>
      <c r="C2969" s="1" t="n">
        <v>45911</v>
      </c>
      <c r="D2969" t="inlineStr">
        <is>
          <t>GÄVLEBORGS LÄN</t>
        </is>
      </c>
      <c r="E2969" t="inlineStr">
        <is>
          <t>HUDIKSVALL</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26203-2025</t>
        </is>
      </c>
      <c r="B2970" s="1" t="n">
        <v>45805.50974537037</v>
      </c>
      <c r="C2970" s="1" t="n">
        <v>45911</v>
      </c>
      <c r="D2970" t="inlineStr">
        <is>
          <t>GÄVLEBORGS LÄN</t>
        </is>
      </c>
      <c r="E2970" t="inlineStr">
        <is>
          <t>SANDVIKEN</t>
        </is>
      </c>
      <c r="F2970" t="inlineStr">
        <is>
          <t>Sveaskog</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1238-2023</t>
        </is>
      </c>
      <c r="B2971" s="1" t="n">
        <v>44936</v>
      </c>
      <c r="C2971" s="1" t="n">
        <v>45911</v>
      </c>
      <c r="D2971" t="inlineStr">
        <is>
          <t>GÄVLEBORGS LÄN</t>
        </is>
      </c>
      <c r="E2971" t="inlineStr">
        <is>
          <t>GÄVLE</t>
        </is>
      </c>
      <c r="G2971" t="n">
        <v>4.1</v>
      </c>
      <c r="H2971" t="n">
        <v>0</v>
      </c>
      <c r="I2971" t="n">
        <v>0</v>
      </c>
      <c r="J2971" t="n">
        <v>0</v>
      </c>
      <c r="K2971" t="n">
        <v>0</v>
      </c>
      <c r="L2971" t="n">
        <v>0</v>
      </c>
      <c r="M2971" t="n">
        <v>0</v>
      </c>
      <c r="N2971" t="n">
        <v>0</v>
      </c>
      <c r="O2971" t="n">
        <v>0</v>
      </c>
      <c r="P2971" t="n">
        <v>0</v>
      </c>
      <c r="Q2971" t="n">
        <v>0</v>
      </c>
      <c r="R2971" s="2" t="inlineStr"/>
    </row>
    <row r="2972" ht="15" customHeight="1">
      <c r="A2972" t="inlineStr">
        <is>
          <t>A 2105-2023</t>
        </is>
      </c>
      <c r="B2972" s="1" t="n">
        <v>44939.9237037037</v>
      </c>
      <c r="C2972" s="1" t="n">
        <v>45911</v>
      </c>
      <c r="D2972" t="inlineStr">
        <is>
          <t>GÄVLEBORGS LÄN</t>
        </is>
      </c>
      <c r="E2972" t="inlineStr">
        <is>
          <t>NORDANSTIG</t>
        </is>
      </c>
      <c r="G2972" t="n">
        <v>3.6</v>
      </c>
      <c r="H2972" t="n">
        <v>0</v>
      </c>
      <c r="I2972" t="n">
        <v>0</v>
      </c>
      <c r="J2972" t="n">
        <v>0</v>
      </c>
      <c r="K2972" t="n">
        <v>0</v>
      </c>
      <c r="L2972" t="n">
        <v>0</v>
      </c>
      <c r="M2972" t="n">
        <v>0</v>
      </c>
      <c r="N2972" t="n">
        <v>0</v>
      </c>
      <c r="O2972" t="n">
        <v>0</v>
      </c>
      <c r="P2972" t="n">
        <v>0</v>
      </c>
      <c r="Q2972" t="n">
        <v>0</v>
      </c>
      <c r="R2972" s="2" t="inlineStr"/>
    </row>
    <row r="2973" ht="15" customHeight="1">
      <c r="A2973" t="inlineStr">
        <is>
          <t>A 40253-2023</t>
        </is>
      </c>
      <c r="B2973" s="1" t="n">
        <v>45169</v>
      </c>
      <c r="C2973" s="1" t="n">
        <v>45911</v>
      </c>
      <c r="D2973" t="inlineStr">
        <is>
          <t>GÄVLEBORGS LÄN</t>
        </is>
      </c>
      <c r="E2973" t="inlineStr">
        <is>
          <t>LJUSDAL</t>
        </is>
      </c>
      <c r="G2973" t="n">
        <v>9.300000000000001</v>
      </c>
      <c r="H2973" t="n">
        <v>0</v>
      </c>
      <c r="I2973" t="n">
        <v>0</v>
      </c>
      <c r="J2973" t="n">
        <v>0</v>
      </c>
      <c r="K2973" t="n">
        <v>0</v>
      </c>
      <c r="L2973" t="n">
        <v>0</v>
      </c>
      <c r="M2973" t="n">
        <v>0</v>
      </c>
      <c r="N2973" t="n">
        <v>0</v>
      </c>
      <c r="O2973" t="n">
        <v>0</v>
      </c>
      <c r="P2973" t="n">
        <v>0</v>
      </c>
      <c r="Q2973" t="n">
        <v>0</v>
      </c>
      <c r="R2973" s="2" t="inlineStr"/>
    </row>
    <row r="2974" ht="15" customHeight="1">
      <c r="A2974" t="inlineStr">
        <is>
          <t>A 40261-2023</t>
        </is>
      </c>
      <c r="B2974" s="1" t="n">
        <v>45169.5165625</v>
      </c>
      <c r="C2974" s="1" t="n">
        <v>45911</v>
      </c>
      <c r="D2974" t="inlineStr">
        <is>
          <t>GÄVLEBORGS LÄN</t>
        </is>
      </c>
      <c r="E2974" t="inlineStr">
        <is>
          <t>NORDANSTIG</t>
        </is>
      </c>
      <c r="F2974" t="inlineStr">
        <is>
          <t>Holmen skog AB</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40281-2023</t>
        </is>
      </c>
      <c r="B2975" s="1" t="n">
        <v>45169</v>
      </c>
      <c r="C2975" s="1" t="n">
        <v>45911</v>
      </c>
      <c r="D2975" t="inlineStr">
        <is>
          <t>GÄVLEBORGS LÄN</t>
        </is>
      </c>
      <c r="E2975" t="inlineStr">
        <is>
          <t>LJUSDAL</t>
        </is>
      </c>
      <c r="F2975" t="inlineStr">
        <is>
          <t>Sveaskog</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49944-2024</t>
        </is>
      </c>
      <c r="B2976" s="1" t="n">
        <v>45597.60057870371</v>
      </c>
      <c r="C2976" s="1" t="n">
        <v>45911</v>
      </c>
      <c r="D2976" t="inlineStr">
        <is>
          <t>GÄVLEBORGS LÄN</t>
        </is>
      </c>
      <c r="E2976" t="inlineStr">
        <is>
          <t>SÖDERHAMN</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36316-2023</t>
        </is>
      </c>
      <c r="B2977" s="1" t="n">
        <v>45152.41521990741</v>
      </c>
      <c r="C2977" s="1" t="n">
        <v>45911</v>
      </c>
      <c r="D2977" t="inlineStr">
        <is>
          <t>GÄVLEBORGS LÄN</t>
        </is>
      </c>
      <c r="E2977" t="inlineStr">
        <is>
          <t>OVANÅKER</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36321-2023</t>
        </is>
      </c>
      <c r="B2978" s="1" t="n">
        <v>45152.425</v>
      </c>
      <c r="C2978" s="1" t="n">
        <v>45911</v>
      </c>
      <c r="D2978" t="inlineStr">
        <is>
          <t>GÄVLEBORGS LÄN</t>
        </is>
      </c>
      <c r="E2978" t="inlineStr">
        <is>
          <t>LJUSDAL</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35204-2024</t>
        </is>
      </c>
      <c r="B2979" s="1" t="n">
        <v>45530</v>
      </c>
      <c r="C2979" s="1" t="n">
        <v>45911</v>
      </c>
      <c r="D2979" t="inlineStr">
        <is>
          <t>GÄVLEBORGS LÄN</t>
        </is>
      </c>
      <c r="E2979" t="inlineStr">
        <is>
          <t>GÄVLE</t>
        </is>
      </c>
      <c r="F2979" t="inlineStr">
        <is>
          <t>Bergvik skog öst AB</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27477-2024</t>
        </is>
      </c>
      <c r="B2980" s="1" t="n">
        <v>45474</v>
      </c>
      <c r="C2980" s="1" t="n">
        <v>45911</v>
      </c>
      <c r="D2980" t="inlineStr">
        <is>
          <t>GÄVLEBORGS LÄN</t>
        </is>
      </c>
      <c r="E2980" t="inlineStr">
        <is>
          <t>HUDIKSVALL</t>
        </is>
      </c>
      <c r="F2980" t="inlineStr">
        <is>
          <t>Holmen skog AB</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675-2023</t>
        </is>
      </c>
      <c r="B2981" s="1" t="n">
        <v>44930.69663194445</v>
      </c>
      <c r="C2981" s="1" t="n">
        <v>45911</v>
      </c>
      <c r="D2981" t="inlineStr">
        <is>
          <t>GÄVLEBORGS LÄN</t>
        </is>
      </c>
      <c r="E2981" t="inlineStr">
        <is>
          <t>NORDANSTIG</t>
        </is>
      </c>
      <c r="F2981" t="inlineStr">
        <is>
          <t>Holmen skog AB</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37232-2024</t>
        </is>
      </c>
      <c r="B2982" s="1" t="n">
        <v>45540</v>
      </c>
      <c r="C2982" s="1" t="n">
        <v>45911</v>
      </c>
      <c r="D2982" t="inlineStr">
        <is>
          <t>GÄVLEBORGS LÄN</t>
        </is>
      </c>
      <c r="E2982" t="inlineStr">
        <is>
          <t>SANDVIKEN</t>
        </is>
      </c>
      <c r="G2982" t="n">
        <v>4.9</v>
      </c>
      <c r="H2982" t="n">
        <v>0</v>
      </c>
      <c r="I2982" t="n">
        <v>0</v>
      </c>
      <c r="J2982" t="n">
        <v>0</v>
      </c>
      <c r="K2982" t="n">
        <v>0</v>
      </c>
      <c r="L2982" t="n">
        <v>0</v>
      </c>
      <c r="M2982" t="n">
        <v>0</v>
      </c>
      <c r="N2982" t="n">
        <v>0</v>
      </c>
      <c r="O2982" t="n">
        <v>0</v>
      </c>
      <c r="P2982" t="n">
        <v>0</v>
      </c>
      <c r="Q2982" t="n">
        <v>0</v>
      </c>
      <c r="R2982" s="2" t="inlineStr"/>
    </row>
    <row r="2983" ht="15" customHeight="1">
      <c r="A2983" t="inlineStr">
        <is>
          <t>A 37306-2024</t>
        </is>
      </c>
      <c r="B2983" s="1" t="n">
        <v>45540</v>
      </c>
      <c r="C2983" s="1" t="n">
        <v>45911</v>
      </c>
      <c r="D2983" t="inlineStr">
        <is>
          <t>GÄVLEBORGS LÄN</t>
        </is>
      </c>
      <c r="E2983" t="inlineStr">
        <is>
          <t>OVANÅKER</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7235-2025</t>
        </is>
      </c>
      <c r="B2984" s="1" t="n">
        <v>45702.51921296296</v>
      </c>
      <c r="C2984" s="1" t="n">
        <v>45911</v>
      </c>
      <c r="D2984" t="inlineStr">
        <is>
          <t>GÄVLEBORGS LÄN</t>
        </is>
      </c>
      <c r="E2984" t="inlineStr">
        <is>
          <t>GÄVLE</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26922-2024</t>
        </is>
      </c>
      <c r="B2985" s="1" t="n">
        <v>45470.93087962963</v>
      </c>
      <c r="C2985" s="1" t="n">
        <v>45911</v>
      </c>
      <c r="D2985" t="inlineStr">
        <is>
          <t>GÄVLEBORGS LÄN</t>
        </is>
      </c>
      <c r="E2985" t="inlineStr">
        <is>
          <t>BOLLNÄS</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22039-2023</t>
        </is>
      </c>
      <c r="B2986" s="1" t="n">
        <v>45069</v>
      </c>
      <c r="C2986" s="1" t="n">
        <v>45911</v>
      </c>
      <c r="D2986" t="inlineStr">
        <is>
          <t>GÄVLEBORGS LÄN</t>
        </is>
      </c>
      <c r="E2986" t="inlineStr">
        <is>
          <t>LJUSDAL</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2141-2024</t>
        </is>
      </c>
      <c r="B2987" s="1" t="n">
        <v>45309.55506944445</v>
      </c>
      <c r="C2987" s="1" t="n">
        <v>45911</v>
      </c>
      <c r="D2987" t="inlineStr">
        <is>
          <t>GÄVLEBORGS LÄN</t>
        </is>
      </c>
      <c r="E2987" t="inlineStr">
        <is>
          <t>NORDANSTIG</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26266-2025</t>
        </is>
      </c>
      <c r="B2988" s="1" t="n">
        <v>45805.5902199074</v>
      </c>
      <c r="C2988" s="1" t="n">
        <v>45911</v>
      </c>
      <c r="D2988" t="inlineStr">
        <is>
          <t>GÄVLEBORGS LÄN</t>
        </is>
      </c>
      <c r="E2988" t="inlineStr">
        <is>
          <t>SÖDERHAMN</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32996-2024</t>
        </is>
      </c>
      <c r="B2989" s="1" t="n">
        <v>45517.47853009259</v>
      </c>
      <c r="C2989" s="1" t="n">
        <v>45911</v>
      </c>
      <c r="D2989" t="inlineStr">
        <is>
          <t>GÄVLEBORGS LÄN</t>
        </is>
      </c>
      <c r="E2989" t="inlineStr">
        <is>
          <t>OVANÅKER</t>
        </is>
      </c>
      <c r="F2989" t="inlineStr">
        <is>
          <t>Bergvik skog väst AB</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60282-2024</t>
        </is>
      </c>
      <c r="B2990" s="1" t="n">
        <v>45642.91938657407</v>
      </c>
      <c r="C2990" s="1" t="n">
        <v>45911</v>
      </c>
      <c r="D2990" t="inlineStr">
        <is>
          <t>GÄVLEBORGS LÄN</t>
        </is>
      </c>
      <c r="E2990" t="inlineStr">
        <is>
          <t>LJUSDAL</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60285-2024</t>
        </is>
      </c>
      <c r="B2991" s="1" t="n">
        <v>45642.92408564815</v>
      </c>
      <c r="C2991" s="1" t="n">
        <v>45911</v>
      </c>
      <c r="D2991" t="inlineStr">
        <is>
          <t>GÄVLEBORGS LÄN</t>
        </is>
      </c>
      <c r="E2991" t="inlineStr">
        <is>
          <t>NORDANSTIG</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58180-2024</t>
        </is>
      </c>
      <c r="B2992" s="1" t="n">
        <v>45632.46930555555</v>
      </c>
      <c r="C2992" s="1" t="n">
        <v>45911</v>
      </c>
      <c r="D2992" t="inlineStr">
        <is>
          <t>GÄVLEBORGS LÄN</t>
        </is>
      </c>
      <c r="E2992" t="inlineStr">
        <is>
          <t>SÖDERHAMN</t>
        </is>
      </c>
      <c r="F2992" t="inlineStr">
        <is>
          <t>Bergvik skog väst AB</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37641-2024</t>
        </is>
      </c>
      <c r="B2993" s="1" t="n">
        <v>45541</v>
      </c>
      <c r="C2993" s="1" t="n">
        <v>45911</v>
      </c>
      <c r="D2993" t="inlineStr">
        <is>
          <t>GÄVLEBORGS LÄN</t>
        </is>
      </c>
      <c r="E2993" t="inlineStr">
        <is>
          <t>SANDVIKEN</t>
        </is>
      </c>
      <c r="F2993" t="inlineStr">
        <is>
          <t>Sveaskog</t>
        </is>
      </c>
      <c r="G2993" t="n">
        <v>4.8</v>
      </c>
      <c r="H2993" t="n">
        <v>0</v>
      </c>
      <c r="I2993" t="n">
        <v>0</v>
      </c>
      <c r="J2993" t="n">
        <v>0</v>
      </c>
      <c r="K2993" t="n">
        <v>0</v>
      </c>
      <c r="L2993" t="n">
        <v>0</v>
      </c>
      <c r="M2993" t="n">
        <v>0</v>
      </c>
      <c r="N2993" t="n">
        <v>0</v>
      </c>
      <c r="O2993" t="n">
        <v>0</v>
      </c>
      <c r="P2993" t="n">
        <v>0</v>
      </c>
      <c r="Q2993" t="n">
        <v>0</v>
      </c>
      <c r="R2993" s="2" t="inlineStr"/>
    </row>
    <row r="2994" ht="15" customHeight="1">
      <c r="A2994" t="inlineStr">
        <is>
          <t>A 26324-2025</t>
        </is>
      </c>
      <c r="B2994" s="1" t="n">
        <v>45805</v>
      </c>
      <c r="C2994" s="1" t="n">
        <v>45911</v>
      </c>
      <c r="D2994" t="inlineStr">
        <is>
          <t>GÄVLEBORGS LÄN</t>
        </is>
      </c>
      <c r="E2994" t="inlineStr">
        <is>
          <t>OVANÅKER</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7012-2025</t>
        </is>
      </c>
      <c r="B2995" s="1" t="n">
        <v>45701.60899305555</v>
      </c>
      <c r="C2995" s="1" t="n">
        <v>45911</v>
      </c>
      <c r="D2995" t="inlineStr">
        <is>
          <t>GÄVLEBORGS LÄN</t>
        </is>
      </c>
      <c r="E2995" t="inlineStr">
        <is>
          <t>NORDANSTIG</t>
        </is>
      </c>
      <c r="F2995" t="inlineStr">
        <is>
          <t>Holmen skog AB</t>
        </is>
      </c>
      <c r="G2995" t="n">
        <v>6.9</v>
      </c>
      <c r="H2995" t="n">
        <v>0</v>
      </c>
      <c r="I2995" t="n">
        <v>0</v>
      </c>
      <c r="J2995" t="n">
        <v>0</v>
      </c>
      <c r="K2995" t="n">
        <v>0</v>
      </c>
      <c r="L2995" t="n">
        <v>0</v>
      </c>
      <c r="M2995" t="n">
        <v>0</v>
      </c>
      <c r="N2995" t="n">
        <v>0</v>
      </c>
      <c r="O2995" t="n">
        <v>0</v>
      </c>
      <c r="P2995" t="n">
        <v>0</v>
      </c>
      <c r="Q2995" t="n">
        <v>0</v>
      </c>
      <c r="R2995" s="2" t="inlineStr"/>
    </row>
    <row r="2996" ht="15" customHeight="1">
      <c r="A2996" t="inlineStr">
        <is>
          <t>A 7015-2025</t>
        </is>
      </c>
      <c r="B2996" s="1" t="n">
        <v>45701.61202546296</v>
      </c>
      <c r="C2996" s="1" t="n">
        <v>45911</v>
      </c>
      <c r="D2996" t="inlineStr">
        <is>
          <t>GÄVLEBORGS LÄN</t>
        </is>
      </c>
      <c r="E2996" t="inlineStr">
        <is>
          <t>BOLLNÄS</t>
        </is>
      </c>
      <c r="G2996" t="n">
        <v>3.2</v>
      </c>
      <c r="H2996" t="n">
        <v>0</v>
      </c>
      <c r="I2996" t="n">
        <v>0</v>
      </c>
      <c r="J2996" t="n">
        <v>0</v>
      </c>
      <c r="K2996" t="n">
        <v>0</v>
      </c>
      <c r="L2996" t="n">
        <v>0</v>
      </c>
      <c r="M2996" t="n">
        <v>0</v>
      </c>
      <c r="N2996" t="n">
        <v>0</v>
      </c>
      <c r="O2996" t="n">
        <v>0</v>
      </c>
      <c r="P2996" t="n">
        <v>0</v>
      </c>
      <c r="Q2996" t="n">
        <v>0</v>
      </c>
      <c r="R2996" s="2" t="inlineStr"/>
    </row>
    <row r="2997" ht="15" customHeight="1">
      <c r="A2997" t="inlineStr">
        <is>
          <t>A 19942-2025</t>
        </is>
      </c>
      <c r="B2997" s="1" t="n">
        <v>45771.64755787037</v>
      </c>
      <c r="C2997" s="1" t="n">
        <v>45911</v>
      </c>
      <c r="D2997" t="inlineStr">
        <is>
          <t>GÄVLEBORGS LÄN</t>
        </is>
      </c>
      <c r="E2997" t="inlineStr">
        <is>
          <t>HUDIKSVALL</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16070-2025</t>
        </is>
      </c>
      <c r="B2998" s="1" t="n">
        <v>45749.67291666667</v>
      </c>
      <c r="C2998" s="1" t="n">
        <v>45911</v>
      </c>
      <c r="D2998" t="inlineStr">
        <is>
          <t>GÄVLEBORGS LÄN</t>
        </is>
      </c>
      <c r="E2998" t="inlineStr">
        <is>
          <t>HUDIKSVALL</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47403-2024</t>
        </is>
      </c>
      <c r="B2999" s="1" t="n">
        <v>45587.47396990741</v>
      </c>
      <c r="C2999" s="1" t="n">
        <v>45911</v>
      </c>
      <c r="D2999" t="inlineStr">
        <is>
          <t>GÄVLEBORGS LÄN</t>
        </is>
      </c>
      <c r="E2999" t="inlineStr">
        <is>
          <t>LJUSDAL</t>
        </is>
      </c>
      <c r="F2999" t="inlineStr">
        <is>
          <t>Bergvik skog väst AB</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7032-2025</t>
        </is>
      </c>
      <c r="B3000" s="1" t="n">
        <v>45701.63517361111</v>
      </c>
      <c r="C3000" s="1" t="n">
        <v>45911</v>
      </c>
      <c r="D3000" t="inlineStr">
        <is>
          <t>GÄVLEBORGS LÄN</t>
        </is>
      </c>
      <c r="E3000" t="inlineStr">
        <is>
          <t>SANDVIKEN</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13064-2022</t>
        </is>
      </c>
      <c r="B3001" s="1" t="n">
        <v>44643.66391203704</v>
      </c>
      <c r="C3001" s="1" t="n">
        <v>45911</v>
      </c>
      <c r="D3001" t="inlineStr">
        <is>
          <t>GÄVLEBORGS LÄN</t>
        </is>
      </c>
      <c r="E3001" t="inlineStr">
        <is>
          <t>LJUSDAL</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389-2025</t>
        </is>
      </c>
      <c r="B3002" s="1" t="n">
        <v>45662.74996527778</v>
      </c>
      <c r="C3002" s="1" t="n">
        <v>45911</v>
      </c>
      <c r="D3002" t="inlineStr">
        <is>
          <t>GÄVLEBORGS LÄN</t>
        </is>
      </c>
      <c r="E3002" t="inlineStr">
        <is>
          <t>SANDVIKEN</t>
        </is>
      </c>
      <c r="G3002" t="n">
        <v>6</v>
      </c>
      <c r="H3002" t="n">
        <v>0</v>
      </c>
      <c r="I3002" t="n">
        <v>0</v>
      </c>
      <c r="J3002" t="n">
        <v>0</v>
      </c>
      <c r="K3002" t="n">
        <v>0</v>
      </c>
      <c r="L3002" t="n">
        <v>0</v>
      </c>
      <c r="M3002" t="n">
        <v>0</v>
      </c>
      <c r="N3002" t="n">
        <v>0</v>
      </c>
      <c r="O3002" t="n">
        <v>0</v>
      </c>
      <c r="P3002" t="n">
        <v>0</v>
      </c>
      <c r="Q3002" t="n">
        <v>0</v>
      </c>
      <c r="R3002" s="2" t="inlineStr"/>
    </row>
    <row r="3003" ht="15" customHeight="1">
      <c r="A3003" t="inlineStr">
        <is>
          <t>A 54926-2024</t>
        </is>
      </c>
      <c r="B3003" s="1" t="n">
        <v>45618.71902777778</v>
      </c>
      <c r="C3003" s="1" t="n">
        <v>45911</v>
      </c>
      <c r="D3003" t="inlineStr">
        <is>
          <t>GÄVLEBORGS LÄN</t>
        </is>
      </c>
      <c r="E3003" t="inlineStr">
        <is>
          <t>LJUSDAL</t>
        </is>
      </c>
      <c r="F3003" t="inlineStr">
        <is>
          <t>SCA</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55477-2024</t>
        </is>
      </c>
      <c r="B3004" s="1" t="n">
        <v>45622</v>
      </c>
      <c r="C3004" s="1" t="n">
        <v>45911</v>
      </c>
      <c r="D3004" t="inlineStr">
        <is>
          <t>GÄVLEBORGS LÄN</t>
        </is>
      </c>
      <c r="E3004" t="inlineStr">
        <is>
          <t>NORDANSTIG</t>
        </is>
      </c>
      <c r="F3004" t="inlineStr">
        <is>
          <t>Holmen skog AB</t>
        </is>
      </c>
      <c r="G3004" t="n">
        <v>3</v>
      </c>
      <c r="H3004" t="n">
        <v>0</v>
      </c>
      <c r="I3004" t="n">
        <v>0</v>
      </c>
      <c r="J3004" t="n">
        <v>0</v>
      </c>
      <c r="K3004" t="n">
        <v>0</v>
      </c>
      <c r="L3004" t="n">
        <v>0</v>
      </c>
      <c r="M3004" t="n">
        <v>0</v>
      </c>
      <c r="N3004" t="n">
        <v>0</v>
      </c>
      <c r="O3004" t="n">
        <v>0</v>
      </c>
      <c r="P3004" t="n">
        <v>0</v>
      </c>
      <c r="Q3004" t="n">
        <v>0</v>
      </c>
      <c r="R3004" s="2" t="inlineStr"/>
    </row>
    <row r="3005" ht="15" customHeight="1">
      <c r="A3005" t="inlineStr">
        <is>
          <t>A 29954-2024</t>
        </is>
      </c>
      <c r="B3005" s="1" t="n">
        <v>45488.45084490741</v>
      </c>
      <c r="C3005" s="1" t="n">
        <v>45911</v>
      </c>
      <c r="D3005" t="inlineStr">
        <is>
          <t>GÄVLEBORGS LÄN</t>
        </is>
      </c>
      <c r="E3005" t="inlineStr">
        <is>
          <t>OCKELBO</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60904-2024</t>
        </is>
      </c>
      <c r="B3006" s="1" t="n">
        <v>45645.30571759259</v>
      </c>
      <c r="C3006" s="1" t="n">
        <v>45911</v>
      </c>
      <c r="D3006" t="inlineStr">
        <is>
          <t>GÄVLEBORGS LÄN</t>
        </is>
      </c>
      <c r="E3006" t="inlineStr">
        <is>
          <t>HUDIKSVALL</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4445-2025</t>
        </is>
      </c>
      <c r="B3007" s="1" t="n">
        <v>45686.56731481481</v>
      </c>
      <c r="C3007" s="1" t="n">
        <v>45911</v>
      </c>
      <c r="D3007" t="inlineStr">
        <is>
          <t>GÄVLEBORGS LÄN</t>
        </is>
      </c>
      <c r="E3007" t="inlineStr">
        <is>
          <t>NORDANSTIG</t>
        </is>
      </c>
      <c r="F3007" t="inlineStr">
        <is>
          <t>Holmen skog AB</t>
        </is>
      </c>
      <c r="G3007" t="n">
        <v>13.4</v>
      </c>
      <c r="H3007" t="n">
        <v>0</v>
      </c>
      <c r="I3007" t="n">
        <v>0</v>
      </c>
      <c r="J3007" t="n">
        <v>0</v>
      </c>
      <c r="K3007" t="n">
        <v>0</v>
      </c>
      <c r="L3007" t="n">
        <v>0</v>
      </c>
      <c r="M3007" t="n">
        <v>0</v>
      </c>
      <c r="N3007" t="n">
        <v>0</v>
      </c>
      <c r="O3007" t="n">
        <v>0</v>
      </c>
      <c r="P3007" t="n">
        <v>0</v>
      </c>
      <c r="Q3007" t="n">
        <v>0</v>
      </c>
      <c r="R3007" s="2" t="inlineStr"/>
    </row>
    <row r="3008" ht="15" customHeight="1">
      <c r="A3008" t="inlineStr">
        <is>
          <t>A 8051-2024</t>
        </is>
      </c>
      <c r="B3008" s="1" t="n">
        <v>45351</v>
      </c>
      <c r="C3008" s="1" t="n">
        <v>45911</v>
      </c>
      <c r="D3008" t="inlineStr">
        <is>
          <t>GÄVLEBORGS LÄN</t>
        </is>
      </c>
      <c r="E3008" t="inlineStr">
        <is>
          <t>HUDIKSVALL</t>
        </is>
      </c>
      <c r="F3008" t="inlineStr">
        <is>
          <t>Holmen skog AB</t>
        </is>
      </c>
      <c r="G3008" t="n">
        <v>12.9</v>
      </c>
      <c r="H3008" t="n">
        <v>0</v>
      </c>
      <c r="I3008" t="n">
        <v>0</v>
      </c>
      <c r="J3008" t="n">
        <v>0</v>
      </c>
      <c r="K3008" t="n">
        <v>0</v>
      </c>
      <c r="L3008" t="n">
        <v>0</v>
      </c>
      <c r="M3008" t="n">
        <v>0</v>
      </c>
      <c r="N3008" t="n">
        <v>0</v>
      </c>
      <c r="O3008" t="n">
        <v>0</v>
      </c>
      <c r="P3008" t="n">
        <v>0</v>
      </c>
      <c r="Q3008" t="n">
        <v>0</v>
      </c>
      <c r="R3008" s="2" t="inlineStr"/>
    </row>
    <row r="3009" ht="15" customHeight="1">
      <c r="A3009" t="inlineStr">
        <is>
          <t>A 8096-2024</t>
        </is>
      </c>
      <c r="B3009" s="1" t="n">
        <v>45351.45673611111</v>
      </c>
      <c r="C3009" s="1" t="n">
        <v>45911</v>
      </c>
      <c r="D3009" t="inlineStr">
        <is>
          <t>GÄVLEBORGS LÄN</t>
        </is>
      </c>
      <c r="E3009" t="inlineStr">
        <is>
          <t>HUDIKSVALL</t>
        </is>
      </c>
      <c r="F3009" t="inlineStr">
        <is>
          <t>Holmen skog AB</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10762-2025</t>
        </is>
      </c>
      <c r="B3010" s="1" t="n">
        <v>45722.45832175926</v>
      </c>
      <c r="C3010" s="1" t="n">
        <v>45911</v>
      </c>
      <c r="D3010" t="inlineStr">
        <is>
          <t>GÄVLEBORGS LÄN</t>
        </is>
      </c>
      <c r="E3010" t="inlineStr">
        <is>
          <t>OVANÅKER</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59772-2024</t>
        </is>
      </c>
      <c r="B3011" s="1" t="n">
        <v>45639.56792824074</v>
      </c>
      <c r="C3011" s="1" t="n">
        <v>45911</v>
      </c>
      <c r="D3011" t="inlineStr">
        <is>
          <t>GÄVLEBORGS LÄN</t>
        </is>
      </c>
      <c r="E3011" t="inlineStr">
        <is>
          <t>SÖDERHAMN</t>
        </is>
      </c>
      <c r="G3011" t="n">
        <v>3.9</v>
      </c>
      <c r="H3011" t="n">
        <v>0</v>
      </c>
      <c r="I3011" t="n">
        <v>0</v>
      </c>
      <c r="J3011" t="n">
        <v>0</v>
      </c>
      <c r="K3011" t="n">
        <v>0</v>
      </c>
      <c r="L3011" t="n">
        <v>0</v>
      </c>
      <c r="M3011" t="n">
        <v>0</v>
      </c>
      <c r="N3011" t="n">
        <v>0</v>
      </c>
      <c r="O3011" t="n">
        <v>0</v>
      </c>
      <c r="P3011" t="n">
        <v>0</v>
      </c>
      <c r="Q3011" t="n">
        <v>0</v>
      </c>
      <c r="R3011" s="2" t="inlineStr"/>
    </row>
    <row r="3012" ht="15" customHeight="1">
      <c r="A3012" t="inlineStr">
        <is>
          <t>A 45562-2022</t>
        </is>
      </c>
      <c r="B3012" s="1" t="n">
        <v>44845</v>
      </c>
      <c r="C3012" s="1" t="n">
        <v>45911</v>
      </c>
      <c r="D3012" t="inlineStr">
        <is>
          <t>GÄVLEBORGS LÄN</t>
        </is>
      </c>
      <c r="E3012" t="inlineStr">
        <is>
          <t>SANDVIKEN</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45628-2022</t>
        </is>
      </c>
      <c r="B3013" s="1" t="n">
        <v>44845</v>
      </c>
      <c r="C3013" s="1" t="n">
        <v>45911</v>
      </c>
      <c r="D3013" t="inlineStr">
        <is>
          <t>GÄVLEBORGS LÄN</t>
        </is>
      </c>
      <c r="E3013" t="inlineStr">
        <is>
          <t>GÄVLE</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50899-2021</t>
        </is>
      </c>
      <c r="B3014" s="1" t="n">
        <v>44460</v>
      </c>
      <c r="C3014" s="1" t="n">
        <v>45911</v>
      </c>
      <c r="D3014" t="inlineStr">
        <is>
          <t>GÄVLEBORGS LÄN</t>
        </is>
      </c>
      <c r="E3014" t="inlineStr">
        <is>
          <t>HUDIKSVALL</t>
        </is>
      </c>
      <c r="F3014" t="inlineStr">
        <is>
          <t>Holmen skog AB</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57649-2023</t>
        </is>
      </c>
      <c r="B3015" s="1" t="n">
        <v>45246.59743055556</v>
      </c>
      <c r="C3015" s="1" t="n">
        <v>45911</v>
      </c>
      <c r="D3015" t="inlineStr">
        <is>
          <t>GÄVLEBORGS LÄN</t>
        </is>
      </c>
      <c r="E3015" t="inlineStr">
        <is>
          <t>LJUSDAL</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57753-2023</t>
        </is>
      </c>
      <c r="B3016" s="1" t="n">
        <v>45246.78600694444</v>
      </c>
      <c r="C3016" s="1" t="n">
        <v>45911</v>
      </c>
      <c r="D3016" t="inlineStr">
        <is>
          <t>GÄVLEBORGS LÄN</t>
        </is>
      </c>
      <c r="E3016" t="inlineStr">
        <is>
          <t>SÖDERHAMN</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57269-2022</t>
        </is>
      </c>
      <c r="B3017" s="1" t="n">
        <v>44895</v>
      </c>
      <c r="C3017" s="1" t="n">
        <v>45911</v>
      </c>
      <c r="D3017" t="inlineStr">
        <is>
          <t>GÄVLEBORGS LÄN</t>
        </is>
      </c>
      <c r="E3017" t="inlineStr">
        <is>
          <t>LJUSDAL</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26120-2025</t>
        </is>
      </c>
      <c r="B3018" s="1" t="n">
        <v>45805.38447916666</v>
      </c>
      <c r="C3018" s="1" t="n">
        <v>45911</v>
      </c>
      <c r="D3018" t="inlineStr">
        <is>
          <t>GÄVLEBORGS LÄN</t>
        </is>
      </c>
      <c r="E3018" t="inlineStr">
        <is>
          <t>NORDANSTIG</t>
        </is>
      </c>
      <c r="F3018" t="inlineStr">
        <is>
          <t>Holmen skog AB</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54949-2022</t>
        </is>
      </c>
      <c r="B3019" s="1" t="n">
        <v>44886.469375</v>
      </c>
      <c r="C3019" s="1" t="n">
        <v>45911</v>
      </c>
      <c r="D3019" t="inlineStr">
        <is>
          <t>GÄVLEBORGS LÄN</t>
        </is>
      </c>
      <c r="E3019" t="inlineStr">
        <is>
          <t>BOLLNÄS</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18130-2024</t>
        </is>
      </c>
      <c r="B3020" s="1" t="n">
        <v>45420.56704861111</v>
      </c>
      <c r="C3020" s="1" t="n">
        <v>45911</v>
      </c>
      <c r="D3020" t="inlineStr">
        <is>
          <t>GÄVLEBORGS LÄN</t>
        </is>
      </c>
      <c r="E3020" t="inlineStr">
        <is>
          <t>LJUSDAL</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20876-2024</t>
        </is>
      </c>
      <c r="B3021" s="1" t="n">
        <v>45439.44590277778</v>
      </c>
      <c r="C3021" s="1" t="n">
        <v>45911</v>
      </c>
      <c r="D3021" t="inlineStr">
        <is>
          <t>GÄVLEBORGS LÄN</t>
        </is>
      </c>
      <c r="E3021" t="inlineStr">
        <is>
          <t>BOLLNÄS</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51121-2020</t>
        </is>
      </c>
      <c r="B3022" s="1" t="n">
        <v>44112</v>
      </c>
      <c r="C3022" s="1" t="n">
        <v>45911</v>
      </c>
      <c r="D3022" t="inlineStr">
        <is>
          <t>GÄVLEBORGS LÄN</t>
        </is>
      </c>
      <c r="E3022" t="inlineStr">
        <is>
          <t>GÄVLE</t>
        </is>
      </c>
      <c r="F3022" t="inlineStr">
        <is>
          <t>Bergvik skog öst AB</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32109-2024</t>
        </is>
      </c>
      <c r="B3023" s="1" t="n">
        <v>45511.4409837963</v>
      </c>
      <c r="C3023" s="1" t="n">
        <v>45911</v>
      </c>
      <c r="D3023" t="inlineStr">
        <is>
          <t>GÄVLEBORGS LÄN</t>
        </is>
      </c>
      <c r="E3023" t="inlineStr">
        <is>
          <t>HUDIKSVALL</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31002-2024</t>
        </is>
      </c>
      <c r="B3024" s="1" t="n">
        <v>45499.62605324074</v>
      </c>
      <c r="C3024" s="1" t="n">
        <v>45911</v>
      </c>
      <c r="D3024" t="inlineStr">
        <is>
          <t>GÄVLEBORGS LÄN</t>
        </is>
      </c>
      <c r="E3024" t="inlineStr">
        <is>
          <t>NORDANSTIG</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31022-2024</t>
        </is>
      </c>
      <c r="B3025" s="1" t="n">
        <v>45500.42336805556</v>
      </c>
      <c r="C3025" s="1" t="n">
        <v>45911</v>
      </c>
      <c r="D3025" t="inlineStr">
        <is>
          <t>GÄVLEBORGS LÄN</t>
        </is>
      </c>
      <c r="E3025" t="inlineStr">
        <is>
          <t>BOLLNÄS</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61389-2024</t>
        </is>
      </c>
      <c r="B3026" s="1" t="n">
        <v>45646.41528935185</v>
      </c>
      <c r="C3026" s="1" t="n">
        <v>45911</v>
      </c>
      <c r="D3026" t="inlineStr">
        <is>
          <t>GÄVLEBORGS LÄN</t>
        </is>
      </c>
      <c r="E3026" t="inlineStr">
        <is>
          <t>OCKELBO</t>
        </is>
      </c>
      <c r="F3026" t="inlineStr">
        <is>
          <t>Bergvik skog öst AB</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61420-2024</t>
        </is>
      </c>
      <c r="B3027" s="1" t="n">
        <v>45646.45043981481</v>
      </c>
      <c r="C3027" s="1" t="n">
        <v>45911</v>
      </c>
      <c r="D3027" t="inlineStr">
        <is>
          <t>GÄVLEBORGS LÄN</t>
        </is>
      </c>
      <c r="E3027" t="inlineStr">
        <is>
          <t>LJUSDAL</t>
        </is>
      </c>
      <c r="F3027" t="inlineStr">
        <is>
          <t>Sveaskog</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32143-2024</t>
        </is>
      </c>
      <c r="B3028" s="1" t="n">
        <v>45511.55277777778</v>
      </c>
      <c r="C3028" s="1" t="n">
        <v>45911</v>
      </c>
      <c r="D3028" t="inlineStr">
        <is>
          <t>GÄVLEBORGS LÄN</t>
        </is>
      </c>
      <c r="E3028" t="inlineStr">
        <is>
          <t>GÄVLE</t>
        </is>
      </c>
      <c r="F3028" t="inlineStr">
        <is>
          <t>Bergvik skog väst AB</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27050-2024</t>
        </is>
      </c>
      <c r="B3029" s="1" t="n">
        <v>45471.44736111111</v>
      </c>
      <c r="C3029" s="1" t="n">
        <v>45911</v>
      </c>
      <c r="D3029" t="inlineStr">
        <is>
          <t>GÄVLEBORGS LÄN</t>
        </is>
      </c>
      <c r="E3029" t="inlineStr">
        <is>
          <t>SÖDERHAMN</t>
        </is>
      </c>
      <c r="F3029" t="inlineStr">
        <is>
          <t>Kommuner</t>
        </is>
      </c>
      <c r="G3029" t="n">
        <v>10.8</v>
      </c>
      <c r="H3029" t="n">
        <v>0</v>
      </c>
      <c r="I3029" t="n">
        <v>0</v>
      </c>
      <c r="J3029" t="n">
        <v>0</v>
      </c>
      <c r="K3029" t="n">
        <v>0</v>
      </c>
      <c r="L3029" t="n">
        <v>0</v>
      </c>
      <c r="M3029" t="n">
        <v>0</v>
      </c>
      <c r="N3029" t="n">
        <v>0</v>
      </c>
      <c r="O3029" t="n">
        <v>0</v>
      </c>
      <c r="P3029" t="n">
        <v>0</v>
      </c>
      <c r="Q3029" t="n">
        <v>0</v>
      </c>
      <c r="R3029" s="2" t="inlineStr"/>
    </row>
    <row r="3030" ht="15" customHeight="1">
      <c r="A3030" t="inlineStr">
        <is>
          <t>A 58602-2024</t>
        </is>
      </c>
      <c r="B3030" s="1" t="n">
        <v>45635.54371527778</v>
      </c>
      <c r="C3030" s="1" t="n">
        <v>45911</v>
      </c>
      <c r="D3030" t="inlineStr">
        <is>
          <t>GÄVLEBORGS LÄN</t>
        </is>
      </c>
      <c r="E3030" t="inlineStr">
        <is>
          <t>LJUSDAL</t>
        </is>
      </c>
      <c r="F3030" t="inlineStr">
        <is>
          <t>Allmännings- och besparingsskogar</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28658-2024</t>
        </is>
      </c>
      <c r="B3031" s="1" t="n">
        <v>45478.47041666666</v>
      </c>
      <c r="C3031" s="1" t="n">
        <v>45911</v>
      </c>
      <c r="D3031" t="inlineStr">
        <is>
          <t>GÄVLEBORGS LÄN</t>
        </is>
      </c>
      <c r="E3031" t="inlineStr">
        <is>
          <t>BOLLNÄS</t>
        </is>
      </c>
      <c r="F3031" t="inlineStr">
        <is>
          <t>Bergvik skog väst AB</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57315-2024</t>
        </is>
      </c>
      <c r="B3032" s="1" t="n">
        <v>45629.61274305556</v>
      </c>
      <c r="C3032" s="1" t="n">
        <v>45911</v>
      </c>
      <c r="D3032" t="inlineStr">
        <is>
          <t>GÄVLEBORGS LÄN</t>
        </is>
      </c>
      <c r="E3032" t="inlineStr">
        <is>
          <t>LJUSDAL</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58204-2024</t>
        </is>
      </c>
      <c r="B3033" s="1" t="n">
        <v>45632.48819444444</v>
      </c>
      <c r="C3033" s="1" t="n">
        <v>45911</v>
      </c>
      <c r="D3033" t="inlineStr">
        <is>
          <t>GÄVLEBORGS LÄN</t>
        </is>
      </c>
      <c r="E3033" t="inlineStr">
        <is>
          <t>GÄVLE</t>
        </is>
      </c>
      <c r="G3033" t="n">
        <v>3.9</v>
      </c>
      <c r="H3033" t="n">
        <v>0</v>
      </c>
      <c r="I3033" t="n">
        <v>0</v>
      </c>
      <c r="J3033" t="n">
        <v>0</v>
      </c>
      <c r="K3033" t="n">
        <v>0</v>
      </c>
      <c r="L3033" t="n">
        <v>0</v>
      </c>
      <c r="M3033" t="n">
        <v>0</v>
      </c>
      <c r="N3033" t="n">
        <v>0</v>
      </c>
      <c r="O3033" t="n">
        <v>0</v>
      </c>
      <c r="P3033" t="n">
        <v>0</v>
      </c>
      <c r="Q3033" t="n">
        <v>0</v>
      </c>
      <c r="R3033" s="2" t="inlineStr"/>
    </row>
    <row r="3034" ht="15" customHeight="1">
      <c r="A3034" t="inlineStr">
        <is>
          <t>A 60675-2024</t>
        </is>
      </c>
      <c r="B3034" s="1" t="n">
        <v>45644.45839120371</v>
      </c>
      <c r="C3034" s="1" t="n">
        <v>45911</v>
      </c>
      <c r="D3034" t="inlineStr">
        <is>
          <t>GÄVLEBORGS LÄN</t>
        </is>
      </c>
      <c r="E3034" t="inlineStr">
        <is>
          <t>NORDANSTIG</t>
        </is>
      </c>
      <c r="F3034" t="inlineStr">
        <is>
          <t>Holmen skog AB</t>
        </is>
      </c>
      <c r="G3034" t="n">
        <v>4</v>
      </c>
      <c r="H3034" t="n">
        <v>0</v>
      </c>
      <c r="I3034" t="n">
        <v>0</v>
      </c>
      <c r="J3034" t="n">
        <v>0</v>
      </c>
      <c r="K3034" t="n">
        <v>0</v>
      </c>
      <c r="L3034" t="n">
        <v>0</v>
      </c>
      <c r="M3034" t="n">
        <v>0</v>
      </c>
      <c r="N3034" t="n">
        <v>0</v>
      </c>
      <c r="O3034" t="n">
        <v>0</v>
      </c>
      <c r="P3034" t="n">
        <v>0</v>
      </c>
      <c r="Q3034" t="n">
        <v>0</v>
      </c>
      <c r="R3034" s="2" t="inlineStr"/>
    </row>
    <row r="3035" ht="15" customHeight="1">
      <c r="A3035" t="inlineStr">
        <is>
          <t>A 49740-2024</t>
        </is>
      </c>
      <c r="B3035" s="1" t="n">
        <v>45596.92895833333</v>
      </c>
      <c r="C3035" s="1" t="n">
        <v>45911</v>
      </c>
      <c r="D3035" t="inlineStr">
        <is>
          <t>GÄVLEBORGS LÄN</t>
        </is>
      </c>
      <c r="E3035" t="inlineStr">
        <is>
          <t>OCKELBO</t>
        </is>
      </c>
      <c r="F3035" t="inlineStr">
        <is>
          <t>Bergvik skog väst AB</t>
        </is>
      </c>
      <c r="G3035" t="n">
        <v>4.4</v>
      </c>
      <c r="H3035" t="n">
        <v>0</v>
      </c>
      <c r="I3035" t="n">
        <v>0</v>
      </c>
      <c r="J3035" t="n">
        <v>0</v>
      </c>
      <c r="K3035" t="n">
        <v>0</v>
      </c>
      <c r="L3035" t="n">
        <v>0</v>
      </c>
      <c r="M3035" t="n">
        <v>0</v>
      </c>
      <c r="N3035" t="n">
        <v>0</v>
      </c>
      <c r="O3035" t="n">
        <v>0</v>
      </c>
      <c r="P3035" t="n">
        <v>0</v>
      </c>
      <c r="Q3035" t="n">
        <v>0</v>
      </c>
      <c r="R3035" s="2" t="inlineStr"/>
    </row>
    <row r="3036" ht="15" customHeight="1">
      <c r="A3036" t="inlineStr">
        <is>
          <t>A 49765-2024</t>
        </is>
      </c>
      <c r="B3036" s="1" t="n">
        <v>45597.34137731481</v>
      </c>
      <c r="C3036" s="1" t="n">
        <v>45911</v>
      </c>
      <c r="D3036" t="inlineStr">
        <is>
          <t>GÄVLEBORGS LÄN</t>
        </is>
      </c>
      <c r="E3036" t="inlineStr">
        <is>
          <t>SÖDERHAMN</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60699-2024</t>
        </is>
      </c>
      <c r="B3037" s="1" t="n">
        <v>45644.48552083333</v>
      </c>
      <c r="C3037" s="1" t="n">
        <v>45911</v>
      </c>
      <c r="D3037" t="inlineStr">
        <is>
          <t>GÄVLEBORGS LÄN</t>
        </is>
      </c>
      <c r="E3037" t="inlineStr">
        <is>
          <t>OCKELBO</t>
        </is>
      </c>
      <c r="F3037" t="inlineStr">
        <is>
          <t>Bergvik skog väst AB</t>
        </is>
      </c>
      <c r="G3037" t="n">
        <v>5.3</v>
      </c>
      <c r="H3037" t="n">
        <v>0</v>
      </c>
      <c r="I3037" t="n">
        <v>0</v>
      </c>
      <c r="J3037" t="n">
        <v>0</v>
      </c>
      <c r="K3037" t="n">
        <v>0</v>
      </c>
      <c r="L3037" t="n">
        <v>0</v>
      </c>
      <c r="M3037" t="n">
        <v>0</v>
      </c>
      <c r="N3037" t="n">
        <v>0</v>
      </c>
      <c r="O3037" t="n">
        <v>0</v>
      </c>
      <c r="P3037" t="n">
        <v>0</v>
      </c>
      <c r="Q3037" t="n">
        <v>0</v>
      </c>
      <c r="R3037" s="2" t="inlineStr"/>
    </row>
    <row r="3038" ht="15" customHeight="1">
      <c r="A3038" t="inlineStr">
        <is>
          <t>A 62635-2020</t>
        </is>
      </c>
      <c r="B3038" s="1" t="n">
        <v>44161</v>
      </c>
      <c r="C3038" s="1" t="n">
        <v>45911</v>
      </c>
      <c r="D3038" t="inlineStr">
        <is>
          <t>GÄVLEBORGS LÄN</t>
        </is>
      </c>
      <c r="E3038" t="inlineStr">
        <is>
          <t>BOLLNÄS</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58748-2024</t>
        </is>
      </c>
      <c r="B3039" s="1" t="n">
        <v>45635.71362268519</v>
      </c>
      <c r="C3039" s="1" t="n">
        <v>45911</v>
      </c>
      <c r="D3039" t="inlineStr">
        <is>
          <t>GÄVLEBORGS LÄN</t>
        </is>
      </c>
      <c r="E3039" t="inlineStr">
        <is>
          <t>BOLLNÄS</t>
        </is>
      </c>
      <c r="G3039" t="n">
        <v>6.5</v>
      </c>
      <c r="H3039" t="n">
        <v>0</v>
      </c>
      <c r="I3039" t="n">
        <v>0</v>
      </c>
      <c r="J3039" t="n">
        <v>0</v>
      </c>
      <c r="K3039" t="n">
        <v>0</v>
      </c>
      <c r="L3039" t="n">
        <v>0</v>
      </c>
      <c r="M3039" t="n">
        <v>0</v>
      </c>
      <c r="N3039" t="n">
        <v>0</v>
      </c>
      <c r="O3039" t="n">
        <v>0</v>
      </c>
      <c r="P3039" t="n">
        <v>0</v>
      </c>
      <c r="Q3039" t="n">
        <v>0</v>
      </c>
      <c r="R3039" s="2" t="inlineStr"/>
    </row>
    <row r="3040" ht="15" customHeight="1">
      <c r="A3040" t="inlineStr">
        <is>
          <t>A 9935-2022</t>
        </is>
      </c>
      <c r="B3040" s="1" t="n">
        <v>44620.92258101852</v>
      </c>
      <c r="C3040" s="1" t="n">
        <v>45911</v>
      </c>
      <c r="D3040" t="inlineStr">
        <is>
          <t>GÄVLEBORGS LÄN</t>
        </is>
      </c>
      <c r="E3040" t="inlineStr">
        <is>
          <t>LJUSDAL</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50194-2024</t>
        </is>
      </c>
      <c r="B3041" s="1" t="n">
        <v>45600.48512731482</v>
      </c>
      <c r="C3041" s="1" t="n">
        <v>45911</v>
      </c>
      <c r="D3041" t="inlineStr">
        <is>
          <t>GÄVLEBORGS LÄN</t>
        </is>
      </c>
      <c r="E3041" t="inlineStr">
        <is>
          <t>OCKELBO</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139-2022</t>
        </is>
      </c>
      <c r="B3042" s="1" t="n">
        <v>44564.57825231482</v>
      </c>
      <c r="C3042" s="1" t="n">
        <v>45911</v>
      </c>
      <c r="D3042" t="inlineStr">
        <is>
          <t>GÄVLEBORGS LÄN</t>
        </is>
      </c>
      <c r="E3042" t="inlineStr">
        <is>
          <t>SANDVIKEN</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61474-2024</t>
        </is>
      </c>
      <c r="B3043" s="1" t="n">
        <v>45646.51774305556</v>
      </c>
      <c r="C3043" s="1" t="n">
        <v>45911</v>
      </c>
      <c r="D3043" t="inlineStr">
        <is>
          <t>GÄVLEBORGS LÄN</t>
        </is>
      </c>
      <c r="E3043" t="inlineStr">
        <is>
          <t>LJUSDAL</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29715-2024</t>
        </is>
      </c>
      <c r="B3044" s="1" t="n">
        <v>45485.35292824074</v>
      </c>
      <c r="C3044" s="1" t="n">
        <v>45911</v>
      </c>
      <c r="D3044" t="inlineStr">
        <is>
          <t>GÄVLEBORGS LÄN</t>
        </is>
      </c>
      <c r="E3044" t="inlineStr">
        <is>
          <t>BOLLNÄS</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26308-2025</t>
        </is>
      </c>
      <c r="B3045" s="1" t="n">
        <v>45805.64973379629</v>
      </c>
      <c r="C3045" s="1" t="n">
        <v>45911</v>
      </c>
      <c r="D3045" t="inlineStr">
        <is>
          <t>GÄVLEBORGS LÄN</t>
        </is>
      </c>
      <c r="E3045" t="inlineStr">
        <is>
          <t>BOLLNÄS</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26028-2024</t>
        </is>
      </c>
      <c r="B3046" s="1" t="n">
        <v>45467.96247685186</v>
      </c>
      <c r="C3046" s="1" t="n">
        <v>45911</v>
      </c>
      <c r="D3046" t="inlineStr">
        <is>
          <t>GÄVLEBORGS LÄN</t>
        </is>
      </c>
      <c r="E3046" t="inlineStr">
        <is>
          <t>OVANÅKER</t>
        </is>
      </c>
      <c r="G3046" t="n">
        <v>5.4</v>
      </c>
      <c r="H3046" t="n">
        <v>0</v>
      </c>
      <c r="I3046" t="n">
        <v>0</v>
      </c>
      <c r="J3046" t="n">
        <v>0</v>
      </c>
      <c r="K3046" t="n">
        <v>0</v>
      </c>
      <c r="L3046" t="n">
        <v>0</v>
      </c>
      <c r="M3046" t="n">
        <v>0</v>
      </c>
      <c r="N3046" t="n">
        <v>0</v>
      </c>
      <c r="O3046" t="n">
        <v>0</v>
      </c>
      <c r="P3046" t="n">
        <v>0</v>
      </c>
      <c r="Q3046" t="n">
        <v>0</v>
      </c>
      <c r="R3046" s="2" t="inlineStr"/>
    </row>
    <row r="3047" ht="15" customHeight="1">
      <c r="A3047" t="inlineStr">
        <is>
          <t>A 24-2025</t>
        </is>
      </c>
      <c r="B3047" s="1" t="n">
        <v>45658.82557870371</v>
      </c>
      <c r="C3047" s="1" t="n">
        <v>45911</v>
      </c>
      <c r="D3047" t="inlineStr">
        <is>
          <t>GÄVLEBORGS LÄN</t>
        </is>
      </c>
      <c r="E3047" t="inlineStr">
        <is>
          <t>GÄVLE</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53259-2024</t>
        </is>
      </c>
      <c r="B3048" s="1" t="n">
        <v>45614.34181712963</v>
      </c>
      <c r="C3048" s="1" t="n">
        <v>45911</v>
      </c>
      <c r="D3048" t="inlineStr">
        <is>
          <t>GÄVLEBORGS LÄN</t>
        </is>
      </c>
      <c r="E3048" t="inlineStr">
        <is>
          <t>HUDIKSVALL</t>
        </is>
      </c>
      <c r="F3048" t="inlineStr">
        <is>
          <t>Holmen skog AB</t>
        </is>
      </c>
      <c r="G3048" t="n">
        <v>35.7</v>
      </c>
      <c r="H3048" t="n">
        <v>0</v>
      </c>
      <c r="I3048" t="n">
        <v>0</v>
      </c>
      <c r="J3048" t="n">
        <v>0</v>
      </c>
      <c r="K3048" t="n">
        <v>0</v>
      </c>
      <c r="L3048" t="n">
        <v>0</v>
      </c>
      <c r="M3048" t="n">
        <v>0</v>
      </c>
      <c r="N3048" t="n">
        <v>0</v>
      </c>
      <c r="O3048" t="n">
        <v>0</v>
      </c>
      <c r="P3048" t="n">
        <v>0</v>
      </c>
      <c r="Q3048" t="n">
        <v>0</v>
      </c>
      <c r="R3048" s="2" t="inlineStr"/>
    </row>
    <row r="3049" ht="15" customHeight="1">
      <c r="A3049" t="inlineStr">
        <is>
          <t>A 55450-2024</t>
        </is>
      </c>
      <c r="B3049" s="1" t="n">
        <v>45622</v>
      </c>
      <c r="C3049" s="1" t="n">
        <v>45911</v>
      </c>
      <c r="D3049" t="inlineStr">
        <is>
          <t>GÄVLEBORGS LÄN</t>
        </is>
      </c>
      <c r="E3049" t="inlineStr">
        <is>
          <t>NORDANSTIG</t>
        </is>
      </c>
      <c r="F3049" t="inlineStr">
        <is>
          <t>Holmen skog AB</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55451-2024</t>
        </is>
      </c>
      <c r="B3050" s="1" t="n">
        <v>45622</v>
      </c>
      <c r="C3050" s="1" t="n">
        <v>45911</v>
      </c>
      <c r="D3050" t="inlineStr">
        <is>
          <t>GÄVLEBORGS LÄN</t>
        </is>
      </c>
      <c r="E3050" t="inlineStr">
        <is>
          <t>LJUSDAL</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549-2022</t>
        </is>
      </c>
      <c r="B3051" s="1" t="n">
        <v>44566.65258101852</v>
      </c>
      <c r="C3051" s="1" t="n">
        <v>45911</v>
      </c>
      <c r="D3051" t="inlineStr">
        <is>
          <t>GÄVLEBORGS LÄN</t>
        </is>
      </c>
      <c r="E3051" t="inlineStr">
        <is>
          <t>SANDVIKEN</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574-2022</t>
        </is>
      </c>
      <c r="B3052" s="1" t="n">
        <v>44566</v>
      </c>
      <c r="C3052" s="1" t="n">
        <v>45911</v>
      </c>
      <c r="D3052" t="inlineStr">
        <is>
          <t>GÄVLEBORGS LÄN</t>
        </is>
      </c>
      <c r="E3052" t="inlineStr">
        <is>
          <t>LJUSDAL</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26294-2025</t>
        </is>
      </c>
      <c r="B3053" s="1" t="n">
        <v>45805</v>
      </c>
      <c r="C3053" s="1" t="n">
        <v>45911</v>
      </c>
      <c r="D3053" t="inlineStr">
        <is>
          <t>GÄVLEBORGS LÄN</t>
        </is>
      </c>
      <c r="E3053" t="inlineStr">
        <is>
          <t>SANDVIKEN</t>
        </is>
      </c>
      <c r="F3053" t="inlineStr">
        <is>
          <t>Sveaskog</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11762-2023</t>
        </is>
      </c>
      <c r="B3054" s="1" t="n">
        <v>44994</v>
      </c>
      <c r="C3054" s="1" t="n">
        <v>45911</v>
      </c>
      <c r="D3054" t="inlineStr">
        <is>
          <t>GÄVLEBORGS LÄN</t>
        </is>
      </c>
      <c r="E3054" t="inlineStr">
        <is>
          <t>NORDANSTIG</t>
        </is>
      </c>
      <c r="G3054" t="n">
        <v>9.5</v>
      </c>
      <c r="H3054" t="n">
        <v>0</v>
      </c>
      <c r="I3054" t="n">
        <v>0</v>
      </c>
      <c r="J3054" t="n">
        <v>0</v>
      </c>
      <c r="K3054" t="n">
        <v>0</v>
      </c>
      <c r="L3054" t="n">
        <v>0</v>
      </c>
      <c r="M3054" t="n">
        <v>0</v>
      </c>
      <c r="N3054" t="n">
        <v>0</v>
      </c>
      <c r="O3054" t="n">
        <v>0</v>
      </c>
      <c r="P3054" t="n">
        <v>0</v>
      </c>
      <c r="Q3054" t="n">
        <v>0</v>
      </c>
      <c r="R3054" s="2" t="inlineStr"/>
    </row>
    <row r="3055" ht="15" customHeight="1">
      <c r="A3055" t="inlineStr">
        <is>
          <t>A 28810-2023</t>
        </is>
      </c>
      <c r="B3055" s="1" t="n">
        <v>45104</v>
      </c>
      <c r="C3055" s="1" t="n">
        <v>45911</v>
      </c>
      <c r="D3055" t="inlineStr">
        <is>
          <t>GÄVLEBORGS LÄN</t>
        </is>
      </c>
      <c r="E3055" t="inlineStr">
        <is>
          <t>HUDIKSVALL</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69378-2021</t>
        </is>
      </c>
      <c r="B3056" s="1" t="n">
        <v>44531.56668981481</v>
      </c>
      <c r="C3056" s="1" t="n">
        <v>45911</v>
      </c>
      <c r="D3056" t="inlineStr">
        <is>
          <t>GÄVLEBORGS LÄN</t>
        </is>
      </c>
      <c r="E3056" t="inlineStr">
        <is>
          <t>BOLLNÄS</t>
        </is>
      </c>
      <c r="F3056" t="inlineStr">
        <is>
          <t>Bergvik skog väst AB</t>
        </is>
      </c>
      <c r="G3056" t="n">
        <v>5</v>
      </c>
      <c r="H3056" t="n">
        <v>0</v>
      </c>
      <c r="I3056" t="n">
        <v>0</v>
      </c>
      <c r="J3056" t="n">
        <v>0</v>
      </c>
      <c r="K3056" t="n">
        <v>0</v>
      </c>
      <c r="L3056" t="n">
        <v>0</v>
      </c>
      <c r="M3056" t="n">
        <v>0</v>
      </c>
      <c r="N3056" t="n">
        <v>0</v>
      </c>
      <c r="O3056" t="n">
        <v>0</v>
      </c>
      <c r="P3056" t="n">
        <v>0</v>
      </c>
      <c r="Q3056" t="n">
        <v>0</v>
      </c>
      <c r="R3056" s="2" t="inlineStr"/>
    </row>
    <row r="3057" ht="15" customHeight="1">
      <c r="A3057" t="inlineStr">
        <is>
          <t>A 23162-2023</t>
        </is>
      </c>
      <c r="B3057" s="1" t="n">
        <v>45075</v>
      </c>
      <c r="C3057" s="1" t="n">
        <v>45911</v>
      </c>
      <c r="D3057" t="inlineStr">
        <is>
          <t>GÄVLEBORGS LÄN</t>
        </is>
      </c>
      <c r="E3057" t="inlineStr">
        <is>
          <t>SANDVIKEN</t>
        </is>
      </c>
      <c r="F3057" t="inlineStr">
        <is>
          <t>Bergvik skog öst AB</t>
        </is>
      </c>
      <c r="G3057" t="n">
        <v>6.3</v>
      </c>
      <c r="H3057" t="n">
        <v>0</v>
      </c>
      <c r="I3057" t="n">
        <v>0</v>
      </c>
      <c r="J3057" t="n">
        <v>0</v>
      </c>
      <c r="K3057" t="n">
        <v>0</v>
      </c>
      <c r="L3057" t="n">
        <v>0</v>
      </c>
      <c r="M3057" t="n">
        <v>0</v>
      </c>
      <c r="N3057" t="n">
        <v>0</v>
      </c>
      <c r="O3057" t="n">
        <v>0</v>
      </c>
      <c r="P3057" t="n">
        <v>0</v>
      </c>
      <c r="Q3057" t="n">
        <v>0</v>
      </c>
      <c r="R3057" s="2" t="inlineStr"/>
    </row>
    <row r="3058" ht="15" customHeight="1">
      <c r="A3058" t="inlineStr">
        <is>
          <t>A 54896-2024</t>
        </is>
      </c>
      <c r="B3058" s="1" t="n">
        <v>45618.63685185185</v>
      </c>
      <c r="C3058" s="1" t="n">
        <v>45911</v>
      </c>
      <c r="D3058" t="inlineStr">
        <is>
          <t>GÄVLEBORGS LÄN</t>
        </is>
      </c>
      <c r="E3058" t="inlineStr">
        <is>
          <t>NORDANSTIG</t>
        </is>
      </c>
      <c r="F3058" t="inlineStr">
        <is>
          <t>Holmen skog AB</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60801-2024</t>
        </is>
      </c>
      <c r="B3059" s="1" t="n">
        <v>45644.60451388889</v>
      </c>
      <c r="C3059" s="1" t="n">
        <v>45911</v>
      </c>
      <c r="D3059" t="inlineStr">
        <is>
          <t>GÄVLEBORGS LÄN</t>
        </is>
      </c>
      <c r="E3059" t="inlineStr">
        <is>
          <t>GÄVLE</t>
        </is>
      </c>
      <c r="F3059" t="inlineStr">
        <is>
          <t>Kyrkan</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41293-2023</t>
        </is>
      </c>
      <c r="B3060" s="1" t="n">
        <v>45174.59391203704</v>
      </c>
      <c r="C3060" s="1" t="n">
        <v>45911</v>
      </c>
      <c r="D3060" t="inlineStr">
        <is>
          <t>GÄVLEBORGS LÄN</t>
        </is>
      </c>
      <c r="E3060" t="inlineStr">
        <is>
          <t>LJUSDAL</t>
        </is>
      </c>
      <c r="F3060" t="inlineStr">
        <is>
          <t>Sveaskog</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58082-2024</t>
        </is>
      </c>
      <c r="B3061" s="1" t="n">
        <v>45632.33841435185</v>
      </c>
      <c r="C3061" s="1" t="n">
        <v>45911</v>
      </c>
      <c r="D3061" t="inlineStr">
        <is>
          <t>GÄVLEBORGS LÄN</t>
        </is>
      </c>
      <c r="E3061" t="inlineStr">
        <is>
          <t>SÖDERHAMN</t>
        </is>
      </c>
      <c r="F3061" t="inlineStr">
        <is>
          <t>Bergvik skog väst AB</t>
        </is>
      </c>
      <c r="G3061" t="n">
        <v>5.5</v>
      </c>
      <c r="H3061" t="n">
        <v>0</v>
      </c>
      <c r="I3061" t="n">
        <v>0</v>
      </c>
      <c r="J3061" t="n">
        <v>0</v>
      </c>
      <c r="K3061" t="n">
        <v>0</v>
      </c>
      <c r="L3061" t="n">
        <v>0</v>
      </c>
      <c r="M3061" t="n">
        <v>0</v>
      </c>
      <c r="N3061" t="n">
        <v>0</v>
      </c>
      <c r="O3061" t="n">
        <v>0</v>
      </c>
      <c r="P3061" t="n">
        <v>0</v>
      </c>
      <c r="Q3061" t="n">
        <v>0</v>
      </c>
      <c r="R3061" s="2" t="inlineStr"/>
    </row>
    <row r="3062" ht="15" customHeight="1">
      <c r="A3062" t="inlineStr">
        <is>
          <t>A 26187-2025</t>
        </is>
      </c>
      <c r="B3062" s="1" t="n">
        <v>45805.48078703704</v>
      </c>
      <c r="C3062" s="1" t="n">
        <v>45911</v>
      </c>
      <c r="D3062" t="inlineStr">
        <is>
          <t>GÄVLEBORGS LÄN</t>
        </is>
      </c>
      <c r="E3062" t="inlineStr">
        <is>
          <t>SÖDERHAMN</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43550-2023</t>
        </is>
      </c>
      <c r="B3063" s="1" t="n">
        <v>45184</v>
      </c>
      <c r="C3063" s="1" t="n">
        <v>45911</v>
      </c>
      <c r="D3063" t="inlineStr">
        <is>
          <t>GÄVLEBORGS LÄN</t>
        </is>
      </c>
      <c r="E3063" t="inlineStr">
        <is>
          <t>OCKELBO</t>
        </is>
      </c>
      <c r="F3063" t="inlineStr">
        <is>
          <t>Bergvik skog väst AB</t>
        </is>
      </c>
      <c r="G3063" t="n">
        <v>3.2</v>
      </c>
      <c r="H3063" t="n">
        <v>0</v>
      </c>
      <c r="I3063" t="n">
        <v>0</v>
      </c>
      <c r="J3063" t="n">
        <v>0</v>
      </c>
      <c r="K3063" t="n">
        <v>0</v>
      </c>
      <c r="L3063" t="n">
        <v>0</v>
      </c>
      <c r="M3063" t="n">
        <v>0</v>
      </c>
      <c r="N3063" t="n">
        <v>0</v>
      </c>
      <c r="O3063" t="n">
        <v>0</v>
      </c>
      <c r="P3063" t="n">
        <v>0</v>
      </c>
      <c r="Q3063" t="n">
        <v>0</v>
      </c>
      <c r="R3063" s="2" t="inlineStr"/>
    </row>
    <row r="3064" ht="15" customHeight="1">
      <c r="A3064" t="inlineStr">
        <is>
          <t>A 56151-2020</t>
        </is>
      </c>
      <c r="B3064" s="1" t="n">
        <v>44133</v>
      </c>
      <c r="C3064" s="1" t="n">
        <v>45911</v>
      </c>
      <c r="D3064" t="inlineStr">
        <is>
          <t>GÄVLEBORGS LÄN</t>
        </is>
      </c>
      <c r="E3064" t="inlineStr">
        <is>
          <t>BOLLNÄS</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26195-2025</t>
        </is>
      </c>
      <c r="B3065" s="1" t="n">
        <v>45805.49575231481</v>
      </c>
      <c r="C3065" s="1" t="n">
        <v>45911</v>
      </c>
      <c r="D3065" t="inlineStr">
        <is>
          <t>GÄVLEBORGS LÄN</t>
        </is>
      </c>
      <c r="E3065" t="inlineStr">
        <is>
          <t>OCKELBO</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58093-2024</t>
        </is>
      </c>
      <c r="B3066" s="1" t="n">
        <v>45632.35192129629</v>
      </c>
      <c r="C3066" s="1" t="n">
        <v>45911</v>
      </c>
      <c r="D3066" t="inlineStr">
        <is>
          <t>GÄVLEBORGS LÄN</t>
        </is>
      </c>
      <c r="E3066" t="inlineStr">
        <is>
          <t>SÖDERHAMN</t>
        </is>
      </c>
      <c r="F3066" t="inlineStr">
        <is>
          <t>Bergvik skog väst AB</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28348-2023</t>
        </is>
      </c>
      <c r="B3067" s="1" t="n">
        <v>45099.79817129629</v>
      </c>
      <c r="C3067" s="1" t="n">
        <v>45911</v>
      </c>
      <c r="D3067" t="inlineStr">
        <is>
          <t>GÄVLEBORGS LÄN</t>
        </is>
      </c>
      <c r="E3067" t="inlineStr">
        <is>
          <t>LJUSDAL</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55319-2021</t>
        </is>
      </c>
      <c r="B3068" s="1" t="n">
        <v>44475</v>
      </c>
      <c r="C3068" s="1" t="n">
        <v>45911</v>
      </c>
      <c r="D3068" t="inlineStr">
        <is>
          <t>GÄVLEBORGS LÄN</t>
        </is>
      </c>
      <c r="E3068" t="inlineStr">
        <is>
          <t>HUDIKSVALL</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22373-2023</t>
        </is>
      </c>
      <c r="B3069" s="1" t="n">
        <v>45070.60813657408</v>
      </c>
      <c r="C3069" s="1" t="n">
        <v>45911</v>
      </c>
      <c r="D3069" t="inlineStr">
        <is>
          <t>GÄVLEBORGS LÄN</t>
        </is>
      </c>
      <c r="E3069" t="inlineStr">
        <is>
          <t>SANDVIKEN</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12266-2025</t>
        </is>
      </c>
      <c r="B3070" s="1" t="n">
        <v>45729.63112268518</v>
      </c>
      <c r="C3070" s="1" t="n">
        <v>45911</v>
      </c>
      <c r="D3070" t="inlineStr">
        <is>
          <t>GÄVLEBORGS LÄN</t>
        </is>
      </c>
      <c r="E3070" t="inlineStr">
        <is>
          <t>NORDANSTIG</t>
        </is>
      </c>
      <c r="F3070" t="inlineStr">
        <is>
          <t>Holmen skog AB</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6766-2022</t>
        </is>
      </c>
      <c r="B3071" s="1" t="n">
        <v>44602.50246527778</v>
      </c>
      <c r="C3071" s="1" t="n">
        <v>45911</v>
      </c>
      <c r="D3071" t="inlineStr">
        <is>
          <t>GÄVLEBORGS LÄN</t>
        </is>
      </c>
      <c r="E3071" t="inlineStr">
        <is>
          <t>OVANÅKER</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22627-2023</t>
        </is>
      </c>
      <c r="B3072" s="1" t="n">
        <v>45071.58001157407</v>
      </c>
      <c r="C3072" s="1" t="n">
        <v>45911</v>
      </c>
      <c r="D3072" t="inlineStr">
        <is>
          <t>GÄVLEBORGS LÄN</t>
        </is>
      </c>
      <c r="E3072" t="inlineStr">
        <is>
          <t>LJUSDAL</t>
        </is>
      </c>
      <c r="F3072" t="inlineStr">
        <is>
          <t>Holmen skog AB</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14857-2022</t>
        </is>
      </c>
      <c r="B3073" s="1" t="n">
        <v>44656.65101851852</v>
      </c>
      <c r="C3073" s="1" t="n">
        <v>45911</v>
      </c>
      <c r="D3073" t="inlineStr">
        <is>
          <t>GÄVLEBORGS LÄN</t>
        </is>
      </c>
      <c r="E3073" t="inlineStr">
        <is>
          <t>BOLLNÄS</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26094-2025</t>
        </is>
      </c>
      <c r="B3074" s="1" t="n">
        <v>45805</v>
      </c>
      <c r="C3074" s="1" t="n">
        <v>45911</v>
      </c>
      <c r="D3074" t="inlineStr">
        <is>
          <t>GÄVLEBORGS LÄN</t>
        </is>
      </c>
      <c r="E3074" t="inlineStr">
        <is>
          <t>GÄVLE</t>
        </is>
      </c>
      <c r="G3074" t="n">
        <v>12.4</v>
      </c>
      <c r="H3074" t="n">
        <v>0</v>
      </c>
      <c r="I3074" t="n">
        <v>0</v>
      </c>
      <c r="J3074" t="n">
        <v>0</v>
      </c>
      <c r="K3074" t="n">
        <v>0</v>
      </c>
      <c r="L3074" t="n">
        <v>0</v>
      </c>
      <c r="M3074" t="n">
        <v>0</v>
      </c>
      <c r="N3074" t="n">
        <v>0</v>
      </c>
      <c r="O3074" t="n">
        <v>0</v>
      </c>
      <c r="P3074" t="n">
        <v>0</v>
      </c>
      <c r="Q3074" t="n">
        <v>0</v>
      </c>
      <c r="R3074" s="2" t="inlineStr"/>
    </row>
    <row r="3075" ht="15" customHeight="1">
      <c r="A3075" t="inlineStr">
        <is>
          <t>A 58168-2024</t>
        </is>
      </c>
      <c r="B3075" s="1" t="n">
        <v>45632.45894675926</v>
      </c>
      <c r="C3075" s="1" t="n">
        <v>45911</v>
      </c>
      <c r="D3075" t="inlineStr">
        <is>
          <t>GÄVLEBORGS LÄN</t>
        </is>
      </c>
      <c r="E3075" t="inlineStr">
        <is>
          <t>LJUSDAL</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10180-2022</t>
        </is>
      </c>
      <c r="B3076" s="1" t="n">
        <v>44622.40689814815</v>
      </c>
      <c r="C3076" s="1" t="n">
        <v>45911</v>
      </c>
      <c r="D3076" t="inlineStr">
        <is>
          <t>GÄVLEBORGS LÄN</t>
        </is>
      </c>
      <c r="E3076" t="inlineStr">
        <is>
          <t>BOLLNÄS</t>
        </is>
      </c>
      <c r="G3076" t="n">
        <v>0.2</v>
      </c>
      <c r="H3076" t="n">
        <v>0</v>
      </c>
      <c r="I3076" t="n">
        <v>0</v>
      </c>
      <c r="J3076" t="n">
        <v>0</v>
      </c>
      <c r="K3076" t="n">
        <v>0</v>
      </c>
      <c r="L3076" t="n">
        <v>0</v>
      </c>
      <c r="M3076" t="n">
        <v>0</v>
      </c>
      <c r="N3076" t="n">
        <v>0</v>
      </c>
      <c r="O3076" t="n">
        <v>0</v>
      </c>
      <c r="P3076" t="n">
        <v>0</v>
      </c>
      <c r="Q3076" t="n">
        <v>0</v>
      </c>
      <c r="R3076" s="2" t="inlineStr"/>
    </row>
    <row r="3077" ht="15" customHeight="1">
      <c r="A3077" t="inlineStr">
        <is>
          <t>A 26304-2025</t>
        </is>
      </c>
      <c r="B3077" s="1" t="n">
        <v>45805</v>
      </c>
      <c r="C3077" s="1" t="n">
        <v>45911</v>
      </c>
      <c r="D3077" t="inlineStr">
        <is>
          <t>GÄVLEBORGS LÄN</t>
        </is>
      </c>
      <c r="E3077" t="inlineStr">
        <is>
          <t>OVANÅKER</t>
        </is>
      </c>
      <c r="G3077" t="n">
        <v>3.4</v>
      </c>
      <c r="H3077" t="n">
        <v>0</v>
      </c>
      <c r="I3077" t="n">
        <v>0</v>
      </c>
      <c r="J3077" t="n">
        <v>0</v>
      </c>
      <c r="K3077" t="n">
        <v>0</v>
      </c>
      <c r="L3077" t="n">
        <v>0</v>
      </c>
      <c r="M3077" t="n">
        <v>0</v>
      </c>
      <c r="N3077" t="n">
        <v>0</v>
      </c>
      <c r="O3077" t="n">
        <v>0</v>
      </c>
      <c r="P3077" t="n">
        <v>0</v>
      </c>
      <c r="Q3077" t="n">
        <v>0</v>
      </c>
      <c r="R3077" s="2" t="inlineStr"/>
    </row>
    <row r="3078" ht="15" customHeight="1">
      <c r="A3078" t="inlineStr">
        <is>
          <t>A 26323-2025</t>
        </is>
      </c>
      <c r="B3078" s="1" t="n">
        <v>45805.66572916666</v>
      </c>
      <c r="C3078" s="1" t="n">
        <v>45911</v>
      </c>
      <c r="D3078" t="inlineStr">
        <is>
          <t>GÄVLEBORGS LÄN</t>
        </is>
      </c>
      <c r="E3078" t="inlineStr">
        <is>
          <t>BOLLNÄS</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45444-2021</t>
        </is>
      </c>
      <c r="B3079" s="1" t="n">
        <v>44440.43269675926</v>
      </c>
      <c r="C3079" s="1" t="n">
        <v>45911</v>
      </c>
      <c r="D3079" t="inlineStr">
        <is>
          <t>GÄVLEBORGS LÄN</t>
        </is>
      </c>
      <c r="E3079" t="inlineStr">
        <is>
          <t>LJUSDAL</t>
        </is>
      </c>
      <c r="F3079" t="inlineStr">
        <is>
          <t>Allmännings- och besparingsskogar</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74460-2021</t>
        </is>
      </c>
      <c r="B3080" s="1" t="n">
        <v>44560.51326388889</v>
      </c>
      <c r="C3080" s="1" t="n">
        <v>45911</v>
      </c>
      <c r="D3080" t="inlineStr">
        <is>
          <t>GÄVLEBORGS LÄN</t>
        </is>
      </c>
      <c r="E3080" t="inlineStr">
        <is>
          <t>NORDANSTIG</t>
        </is>
      </c>
      <c r="F3080" t="inlineStr">
        <is>
          <t>Holmen skog AB</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30-2022</t>
        </is>
      </c>
      <c r="B3081" s="1" t="n">
        <v>44564</v>
      </c>
      <c r="C3081" s="1" t="n">
        <v>45911</v>
      </c>
      <c r="D3081" t="inlineStr">
        <is>
          <t>GÄVLEBORGS LÄN</t>
        </is>
      </c>
      <c r="E3081" t="inlineStr">
        <is>
          <t>LJUSDAL</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61258-2022</t>
        </is>
      </c>
      <c r="B3082" s="1" t="n">
        <v>44915</v>
      </c>
      <c r="C3082" s="1" t="n">
        <v>45911</v>
      </c>
      <c r="D3082" t="inlineStr">
        <is>
          <t>GÄVLEBORGS LÄN</t>
        </is>
      </c>
      <c r="E3082" t="inlineStr">
        <is>
          <t>HUDIKSVALL</t>
        </is>
      </c>
      <c r="G3082" t="n">
        <v>10.3</v>
      </c>
      <c r="H3082" t="n">
        <v>0</v>
      </c>
      <c r="I3082" t="n">
        <v>0</v>
      </c>
      <c r="J3082" t="n">
        <v>0</v>
      </c>
      <c r="K3082" t="n">
        <v>0</v>
      </c>
      <c r="L3082" t="n">
        <v>0</v>
      </c>
      <c r="M3082" t="n">
        <v>0</v>
      </c>
      <c r="N3082" t="n">
        <v>0</v>
      </c>
      <c r="O3082" t="n">
        <v>0</v>
      </c>
      <c r="P3082" t="n">
        <v>0</v>
      </c>
      <c r="Q3082" t="n">
        <v>0</v>
      </c>
      <c r="R3082" s="2" t="inlineStr"/>
    </row>
    <row r="3083" ht="15" customHeight="1">
      <c r="A3083" t="inlineStr">
        <is>
          <t>A 51634-2022</t>
        </is>
      </c>
      <c r="B3083" s="1" t="n">
        <v>44872</v>
      </c>
      <c r="C3083" s="1" t="n">
        <v>45911</v>
      </c>
      <c r="D3083" t="inlineStr">
        <is>
          <t>GÄVLEBORGS LÄN</t>
        </is>
      </c>
      <c r="E3083" t="inlineStr">
        <is>
          <t>LJUSDAL</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36553-2021</t>
        </is>
      </c>
      <c r="B3084" s="1" t="n">
        <v>44391</v>
      </c>
      <c r="C3084" s="1" t="n">
        <v>45911</v>
      </c>
      <c r="D3084" t="inlineStr">
        <is>
          <t>GÄVLEBORGS LÄN</t>
        </is>
      </c>
      <c r="E3084" t="inlineStr">
        <is>
          <t>OCKELBO</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36568-2021</t>
        </is>
      </c>
      <c r="B3085" s="1" t="n">
        <v>44391</v>
      </c>
      <c r="C3085" s="1" t="n">
        <v>45911</v>
      </c>
      <c r="D3085" t="inlineStr">
        <is>
          <t>GÄVLEBORGS LÄN</t>
        </is>
      </c>
      <c r="E3085" t="inlineStr">
        <is>
          <t>LJUSDAL</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36252-2024</t>
        </is>
      </c>
      <c r="B3086" s="1" t="n">
        <v>45534</v>
      </c>
      <c r="C3086" s="1" t="n">
        <v>45911</v>
      </c>
      <c r="D3086" t="inlineStr">
        <is>
          <t>GÄVLEBORGS LÄN</t>
        </is>
      </c>
      <c r="E3086" t="inlineStr">
        <is>
          <t>OVANÅKER</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36254-2024</t>
        </is>
      </c>
      <c r="B3087" s="1" t="n">
        <v>45534</v>
      </c>
      <c r="C3087" s="1" t="n">
        <v>45911</v>
      </c>
      <c r="D3087" t="inlineStr">
        <is>
          <t>GÄVLEBORGS LÄN</t>
        </is>
      </c>
      <c r="E3087" t="inlineStr">
        <is>
          <t>OVANÅKER</t>
        </is>
      </c>
      <c r="G3087" t="n">
        <v>0.3</v>
      </c>
      <c r="H3087" t="n">
        <v>0</v>
      </c>
      <c r="I3087" t="n">
        <v>0</v>
      </c>
      <c r="J3087" t="n">
        <v>0</v>
      </c>
      <c r="K3087" t="n">
        <v>0</v>
      </c>
      <c r="L3087" t="n">
        <v>0</v>
      </c>
      <c r="M3087" t="n">
        <v>0</v>
      </c>
      <c r="N3087" t="n">
        <v>0</v>
      </c>
      <c r="O3087" t="n">
        <v>0</v>
      </c>
      <c r="P3087" t="n">
        <v>0</v>
      </c>
      <c r="Q3087" t="n">
        <v>0</v>
      </c>
      <c r="R3087" s="2" t="inlineStr"/>
    </row>
    <row r="3088" ht="15" customHeight="1">
      <c r="A3088" t="inlineStr">
        <is>
          <t>A 6227-2023</t>
        </is>
      </c>
      <c r="B3088" s="1" t="n">
        <v>44964</v>
      </c>
      <c r="C3088" s="1" t="n">
        <v>45911</v>
      </c>
      <c r="D3088" t="inlineStr">
        <is>
          <t>GÄVLEBORGS LÄN</t>
        </is>
      </c>
      <c r="E3088" t="inlineStr">
        <is>
          <t>HUDIKSVALL</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11756-2023</t>
        </is>
      </c>
      <c r="B3089" s="1" t="n">
        <v>44994</v>
      </c>
      <c r="C3089" s="1" t="n">
        <v>45911</v>
      </c>
      <c r="D3089" t="inlineStr">
        <is>
          <t>GÄVLEBORGS LÄN</t>
        </is>
      </c>
      <c r="E3089" t="inlineStr">
        <is>
          <t>SANDVIKEN</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11764-2023</t>
        </is>
      </c>
      <c r="B3090" s="1" t="n">
        <v>44994.62415509259</v>
      </c>
      <c r="C3090" s="1" t="n">
        <v>45911</v>
      </c>
      <c r="D3090" t="inlineStr">
        <is>
          <t>GÄVLEBORGS LÄN</t>
        </is>
      </c>
      <c r="E3090" t="inlineStr">
        <is>
          <t>SANDVIKEN</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57694-2022</t>
        </is>
      </c>
      <c r="B3091" s="1" t="n">
        <v>44897.49520833333</v>
      </c>
      <c r="C3091" s="1" t="n">
        <v>45911</v>
      </c>
      <c r="D3091" t="inlineStr">
        <is>
          <t>GÄVLEBORGS LÄN</t>
        </is>
      </c>
      <c r="E3091" t="inlineStr">
        <is>
          <t>SÖDERHAMN</t>
        </is>
      </c>
      <c r="G3091" t="n">
        <v>8.1</v>
      </c>
      <c r="H3091" t="n">
        <v>0</v>
      </c>
      <c r="I3091" t="n">
        <v>0</v>
      </c>
      <c r="J3091" t="n">
        <v>0</v>
      </c>
      <c r="K3091" t="n">
        <v>0</v>
      </c>
      <c r="L3091" t="n">
        <v>0</v>
      </c>
      <c r="M3091" t="n">
        <v>0</v>
      </c>
      <c r="N3091" t="n">
        <v>0</v>
      </c>
      <c r="O3091" t="n">
        <v>0</v>
      </c>
      <c r="P3091" t="n">
        <v>0</v>
      </c>
      <c r="Q3091" t="n">
        <v>0</v>
      </c>
      <c r="R3091" s="2" t="inlineStr"/>
    </row>
    <row r="3092" ht="15" customHeight="1">
      <c r="A3092" t="inlineStr">
        <is>
          <t>A 1409-2024</t>
        </is>
      </c>
      <c r="B3092" s="1" t="n">
        <v>45303.60253472222</v>
      </c>
      <c r="C3092" s="1" t="n">
        <v>45911</v>
      </c>
      <c r="D3092" t="inlineStr">
        <is>
          <t>GÄVLEBORGS LÄN</t>
        </is>
      </c>
      <c r="E3092" t="inlineStr">
        <is>
          <t>HUDIKSVALL</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55498-2024</t>
        </is>
      </c>
      <c r="B3093" s="1" t="n">
        <v>45622</v>
      </c>
      <c r="C3093" s="1" t="n">
        <v>45911</v>
      </c>
      <c r="D3093" t="inlineStr">
        <is>
          <t>GÄVLEBORGS LÄN</t>
        </is>
      </c>
      <c r="E3093" t="inlineStr">
        <is>
          <t>NORDANSTIG</t>
        </is>
      </c>
      <c r="F3093" t="inlineStr">
        <is>
          <t>Holmen skog AB</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36656-2023</t>
        </is>
      </c>
      <c r="B3094" s="1" t="n">
        <v>45153.56925925926</v>
      </c>
      <c r="C3094" s="1" t="n">
        <v>45911</v>
      </c>
      <c r="D3094" t="inlineStr">
        <is>
          <t>GÄVLEBORGS LÄN</t>
        </is>
      </c>
      <c r="E3094" t="inlineStr">
        <is>
          <t>SANDVIKEN</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36660-2023</t>
        </is>
      </c>
      <c r="B3095" s="1" t="n">
        <v>45153.57439814815</v>
      </c>
      <c r="C3095" s="1" t="n">
        <v>45911</v>
      </c>
      <c r="D3095" t="inlineStr">
        <is>
          <t>GÄVLEBORGS LÄN</t>
        </is>
      </c>
      <c r="E3095" t="inlineStr">
        <is>
          <t>SANDVIKEN</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55511-2024</t>
        </is>
      </c>
      <c r="B3096" s="1" t="n">
        <v>45622.46751157408</v>
      </c>
      <c r="C3096" s="1" t="n">
        <v>45911</v>
      </c>
      <c r="D3096" t="inlineStr">
        <is>
          <t>GÄVLEBORGS LÄN</t>
        </is>
      </c>
      <c r="E3096" t="inlineStr">
        <is>
          <t>HUDIKSVALL</t>
        </is>
      </c>
      <c r="F3096" t="inlineStr">
        <is>
          <t>Holmen skog AB</t>
        </is>
      </c>
      <c r="G3096" t="n">
        <v>4.9</v>
      </c>
      <c r="H3096" t="n">
        <v>0</v>
      </c>
      <c r="I3096" t="n">
        <v>0</v>
      </c>
      <c r="J3096" t="n">
        <v>0</v>
      </c>
      <c r="K3096" t="n">
        <v>0</v>
      </c>
      <c r="L3096" t="n">
        <v>0</v>
      </c>
      <c r="M3096" t="n">
        <v>0</v>
      </c>
      <c r="N3096" t="n">
        <v>0</v>
      </c>
      <c r="O3096" t="n">
        <v>0</v>
      </c>
      <c r="P3096" t="n">
        <v>0</v>
      </c>
      <c r="Q3096" t="n">
        <v>0</v>
      </c>
      <c r="R3096" s="2" t="inlineStr"/>
    </row>
    <row r="3097" ht="15" customHeight="1">
      <c r="A3097" t="inlineStr">
        <is>
          <t>A 22070-2023</t>
        </is>
      </c>
      <c r="B3097" s="1" t="n">
        <v>45069</v>
      </c>
      <c r="C3097" s="1" t="n">
        <v>45911</v>
      </c>
      <c r="D3097" t="inlineStr">
        <is>
          <t>GÄVLEBORGS LÄN</t>
        </is>
      </c>
      <c r="E3097" t="inlineStr">
        <is>
          <t>SANDVIKEN</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23924-2023</t>
        </is>
      </c>
      <c r="B3098" s="1" t="n">
        <v>45078.58785879629</v>
      </c>
      <c r="C3098" s="1" t="n">
        <v>45911</v>
      </c>
      <c r="D3098" t="inlineStr">
        <is>
          <t>GÄVLEBORGS LÄN</t>
        </is>
      </c>
      <c r="E3098" t="inlineStr">
        <is>
          <t>HUDIKSVALL</t>
        </is>
      </c>
      <c r="F3098" t="inlineStr">
        <is>
          <t>Holmen skog AB</t>
        </is>
      </c>
      <c r="G3098" t="n">
        <v>4.6</v>
      </c>
      <c r="H3098" t="n">
        <v>0</v>
      </c>
      <c r="I3098" t="n">
        <v>0</v>
      </c>
      <c r="J3098" t="n">
        <v>0</v>
      </c>
      <c r="K3098" t="n">
        <v>0</v>
      </c>
      <c r="L3098" t="n">
        <v>0</v>
      </c>
      <c r="M3098" t="n">
        <v>0</v>
      </c>
      <c r="N3098" t="n">
        <v>0</v>
      </c>
      <c r="O3098" t="n">
        <v>0</v>
      </c>
      <c r="P3098" t="n">
        <v>0</v>
      </c>
      <c r="Q3098" t="n">
        <v>0</v>
      </c>
      <c r="R3098" s="2" t="inlineStr"/>
    </row>
    <row r="3099" ht="15" customHeight="1">
      <c r="A3099" t="inlineStr">
        <is>
          <t>A 25250-2024</t>
        </is>
      </c>
      <c r="B3099" s="1" t="n">
        <v>45462.60744212963</v>
      </c>
      <c r="C3099" s="1" t="n">
        <v>45911</v>
      </c>
      <c r="D3099" t="inlineStr">
        <is>
          <t>GÄVLEBORGS LÄN</t>
        </is>
      </c>
      <c r="E3099" t="inlineStr">
        <is>
          <t>OVANÅKER</t>
        </is>
      </c>
      <c r="F3099" t="inlineStr">
        <is>
          <t>Bergvik skog öst AB</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60517-2022</t>
        </is>
      </c>
      <c r="B3100" s="1" t="n">
        <v>44911</v>
      </c>
      <c r="C3100" s="1" t="n">
        <v>45911</v>
      </c>
      <c r="D3100" t="inlineStr">
        <is>
          <t>GÄVLEBORGS LÄN</t>
        </is>
      </c>
      <c r="E3100" t="inlineStr">
        <is>
          <t>HUDIKSVALL</t>
        </is>
      </c>
      <c r="F3100" t="inlineStr">
        <is>
          <t>Holmen skog AB</t>
        </is>
      </c>
      <c r="G3100" t="n">
        <v>3.8</v>
      </c>
      <c r="H3100" t="n">
        <v>0</v>
      </c>
      <c r="I3100" t="n">
        <v>0</v>
      </c>
      <c r="J3100" t="n">
        <v>0</v>
      </c>
      <c r="K3100" t="n">
        <v>0</v>
      </c>
      <c r="L3100" t="n">
        <v>0</v>
      </c>
      <c r="M3100" t="n">
        <v>0</v>
      </c>
      <c r="N3100" t="n">
        <v>0</v>
      </c>
      <c r="O3100" t="n">
        <v>0</v>
      </c>
      <c r="P3100" t="n">
        <v>0</v>
      </c>
      <c r="Q3100" t="n">
        <v>0</v>
      </c>
      <c r="R3100" s="2" t="inlineStr"/>
    </row>
    <row r="3101" ht="15" customHeight="1">
      <c r="A3101" t="inlineStr">
        <is>
          <t>A 39267-2022</t>
        </is>
      </c>
      <c r="B3101" s="1" t="n">
        <v>44817</v>
      </c>
      <c r="C3101" s="1" t="n">
        <v>45911</v>
      </c>
      <c r="D3101" t="inlineStr">
        <is>
          <t>GÄVLEBORGS LÄN</t>
        </is>
      </c>
      <c r="E3101" t="inlineStr">
        <is>
          <t>HUDIKSVALL</t>
        </is>
      </c>
      <c r="F3101" t="inlineStr">
        <is>
          <t>Holmen skog AB</t>
        </is>
      </c>
      <c r="G3101" t="n">
        <v>11.2</v>
      </c>
      <c r="H3101" t="n">
        <v>0</v>
      </c>
      <c r="I3101" t="n">
        <v>0</v>
      </c>
      <c r="J3101" t="n">
        <v>0</v>
      </c>
      <c r="K3101" t="n">
        <v>0</v>
      </c>
      <c r="L3101" t="n">
        <v>0</v>
      </c>
      <c r="M3101" t="n">
        <v>0</v>
      </c>
      <c r="N3101" t="n">
        <v>0</v>
      </c>
      <c r="O3101" t="n">
        <v>0</v>
      </c>
      <c r="P3101" t="n">
        <v>0</v>
      </c>
      <c r="Q3101" t="n">
        <v>0</v>
      </c>
      <c r="R3101" s="2" t="inlineStr"/>
    </row>
    <row r="3102" ht="15" customHeight="1">
      <c r="A3102" t="inlineStr">
        <is>
          <t>A 46495-2020</t>
        </is>
      </c>
      <c r="B3102" s="1" t="n">
        <v>44095</v>
      </c>
      <c r="C3102" s="1" t="n">
        <v>45911</v>
      </c>
      <c r="D3102" t="inlineStr">
        <is>
          <t>GÄVLEBORGS LÄN</t>
        </is>
      </c>
      <c r="E3102" t="inlineStr">
        <is>
          <t>SÖDERHAMN</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7503-2022</t>
        </is>
      </c>
      <c r="B3103" s="1" t="n">
        <v>44607.46671296296</v>
      </c>
      <c r="C3103" s="1" t="n">
        <v>45911</v>
      </c>
      <c r="D3103" t="inlineStr">
        <is>
          <t>GÄVLEBORGS LÄN</t>
        </is>
      </c>
      <c r="E3103" t="inlineStr">
        <is>
          <t>NORDANSTIG</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30983-2024</t>
        </is>
      </c>
      <c r="B3104" s="1" t="n">
        <v>45499.50947916666</v>
      </c>
      <c r="C3104" s="1" t="n">
        <v>45911</v>
      </c>
      <c r="D3104" t="inlineStr">
        <is>
          <t>GÄVLEBORGS LÄN</t>
        </is>
      </c>
      <c r="E3104" t="inlineStr">
        <is>
          <t>HUDIKSVALL</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58239-2022</t>
        </is>
      </c>
      <c r="B3105" s="1" t="n">
        <v>44901.40701388889</v>
      </c>
      <c r="C3105" s="1" t="n">
        <v>45911</v>
      </c>
      <c r="D3105" t="inlineStr">
        <is>
          <t>GÄVLEBORGS LÄN</t>
        </is>
      </c>
      <c r="E3105" t="inlineStr">
        <is>
          <t>LJUSDAL</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13882-2025</t>
        </is>
      </c>
      <c r="B3106" s="1" t="n">
        <v>45737.60047453704</v>
      </c>
      <c r="C3106" s="1" t="n">
        <v>45911</v>
      </c>
      <c r="D3106" t="inlineStr">
        <is>
          <t>GÄVLEBORGS LÄN</t>
        </is>
      </c>
      <c r="E3106" t="inlineStr">
        <is>
          <t>LJUSDAL</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16379-2022</t>
        </is>
      </c>
      <c r="B3107" s="1" t="n">
        <v>44671</v>
      </c>
      <c r="C3107" s="1" t="n">
        <v>45911</v>
      </c>
      <c r="D3107" t="inlineStr">
        <is>
          <t>GÄVLEBORGS LÄN</t>
        </is>
      </c>
      <c r="E3107" t="inlineStr">
        <is>
          <t>BOLLNÄS</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47917-2022</t>
        </is>
      </c>
      <c r="B3108" s="1" t="n">
        <v>44855.49208333333</v>
      </c>
      <c r="C3108" s="1" t="n">
        <v>45911</v>
      </c>
      <c r="D3108" t="inlineStr">
        <is>
          <t>GÄVLEBORGS LÄN</t>
        </is>
      </c>
      <c r="E3108" t="inlineStr">
        <is>
          <t>OVANÅKER</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7799-2025</t>
        </is>
      </c>
      <c r="B3109" s="1" t="n">
        <v>45706.60534722222</v>
      </c>
      <c r="C3109" s="1" t="n">
        <v>45911</v>
      </c>
      <c r="D3109" t="inlineStr">
        <is>
          <t>GÄVLEBORGS LÄN</t>
        </is>
      </c>
      <c r="E3109" t="inlineStr">
        <is>
          <t>SÖDERHAMN</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31052-2024</t>
        </is>
      </c>
      <c r="B3110" s="1" t="n">
        <v>45502.34298611111</v>
      </c>
      <c r="C3110" s="1" t="n">
        <v>45911</v>
      </c>
      <c r="D3110" t="inlineStr">
        <is>
          <t>GÄVLEBORGS LÄN</t>
        </is>
      </c>
      <c r="E3110" t="inlineStr">
        <is>
          <t>OVANÅKER</t>
        </is>
      </c>
      <c r="F3110" t="inlineStr">
        <is>
          <t>Bergvik skog väst AB</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10591-2022</t>
        </is>
      </c>
      <c r="B3111" s="1" t="n">
        <v>44624.40858796296</v>
      </c>
      <c r="C3111" s="1" t="n">
        <v>45911</v>
      </c>
      <c r="D3111" t="inlineStr">
        <is>
          <t>GÄVLEBORGS LÄN</t>
        </is>
      </c>
      <c r="E3111" t="inlineStr">
        <is>
          <t>LJUSDAL</t>
        </is>
      </c>
      <c r="G3111" t="n">
        <v>4</v>
      </c>
      <c r="H3111" t="n">
        <v>0</v>
      </c>
      <c r="I3111" t="n">
        <v>0</v>
      </c>
      <c r="J3111" t="n">
        <v>0</v>
      </c>
      <c r="K3111" t="n">
        <v>0</v>
      </c>
      <c r="L3111" t="n">
        <v>0</v>
      </c>
      <c r="M3111" t="n">
        <v>0</v>
      </c>
      <c r="N3111" t="n">
        <v>0</v>
      </c>
      <c r="O3111" t="n">
        <v>0</v>
      </c>
      <c r="P3111" t="n">
        <v>0</v>
      </c>
      <c r="Q3111" t="n">
        <v>0</v>
      </c>
      <c r="R3111" s="2" t="inlineStr"/>
    </row>
    <row r="3112" ht="15" customHeight="1">
      <c r="A3112" t="inlineStr">
        <is>
          <t>A 31084-2024</t>
        </is>
      </c>
      <c r="B3112" s="1" t="n">
        <v>45502.47806712963</v>
      </c>
      <c r="C3112" s="1" t="n">
        <v>45911</v>
      </c>
      <c r="D3112" t="inlineStr">
        <is>
          <t>GÄVLEBORGS LÄN</t>
        </is>
      </c>
      <c r="E3112" t="inlineStr">
        <is>
          <t>OVANÅKER</t>
        </is>
      </c>
      <c r="F3112" t="inlineStr">
        <is>
          <t>Bergvik skog öst AB</t>
        </is>
      </c>
      <c r="G3112" t="n">
        <v>6.7</v>
      </c>
      <c r="H3112" t="n">
        <v>0</v>
      </c>
      <c r="I3112" t="n">
        <v>0</v>
      </c>
      <c r="J3112" t="n">
        <v>0</v>
      </c>
      <c r="K3112" t="n">
        <v>0</v>
      </c>
      <c r="L3112" t="n">
        <v>0</v>
      </c>
      <c r="M3112" t="n">
        <v>0</v>
      </c>
      <c r="N3112" t="n">
        <v>0</v>
      </c>
      <c r="O3112" t="n">
        <v>0</v>
      </c>
      <c r="P3112" t="n">
        <v>0</v>
      </c>
      <c r="Q3112" t="n">
        <v>0</v>
      </c>
      <c r="R3112" s="2" t="inlineStr"/>
    </row>
    <row r="3113" ht="15" customHeight="1">
      <c r="A3113" t="inlineStr">
        <is>
          <t>A 25173-2024</t>
        </is>
      </c>
      <c r="B3113" s="1" t="n">
        <v>45462.54525462963</v>
      </c>
      <c r="C3113" s="1" t="n">
        <v>45911</v>
      </c>
      <c r="D3113" t="inlineStr">
        <is>
          <t>GÄVLEBORGS LÄN</t>
        </is>
      </c>
      <c r="E3113" t="inlineStr">
        <is>
          <t>HUDIKSVALL</t>
        </is>
      </c>
      <c r="F3113" t="inlineStr">
        <is>
          <t>Holmen skog AB</t>
        </is>
      </c>
      <c r="G3113" t="n">
        <v>7.4</v>
      </c>
      <c r="H3113" t="n">
        <v>0</v>
      </c>
      <c r="I3113" t="n">
        <v>0</v>
      </c>
      <c r="J3113" t="n">
        <v>0</v>
      </c>
      <c r="K3113" t="n">
        <v>0</v>
      </c>
      <c r="L3113" t="n">
        <v>0</v>
      </c>
      <c r="M3113" t="n">
        <v>0</v>
      </c>
      <c r="N3113" t="n">
        <v>0</v>
      </c>
      <c r="O3113" t="n">
        <v>0</v>
      </c>
      <c r="P3113" t="n">
        <v>0</v>
      </c>
      <c r="Q3113" t="n">
        <v>0</v>
      </c>
      <c r="R3113" s="2" t="inlineStr"/>
    </row>
    <row r="3114" ht="15" customHeight="1">
      <c r="A3114" t="inlineStr">
        <is>
          <t>A 33229-2024</t>
        </is>
      </c>
      <c r="B3114" s="1" t="n">
        <v>45518.57375</v>
      </c>
      <c r="C3114" s="1" t="n">
        <v>45911</v>
      </c>
      <c r="D3114" t="inlineStr">
        <is>
          <t>GÄVLEBORGS LÄN</t>
        </is>
      </c>
      <c r="E3114" t="inlineStr">
        <is>
          <t>OCKELBO</t>
        </is>
      </c>
      <c r="F3114" t="inlineStr">
        <is>
          <t>Bergvik skog väst AB</t>
        </is>
      </c>
      <c r="G3114" t="n">
        <v>16.6</v>
      </c>
      <c r="H3114" t="n">
        <v>0</v>
      </c>
      <c r="I3114" t="n">
        <v>0</v>
      </c>
      <c r="J3114" t="n">
        <v>0</v>
      </c>
      <c r="K3114" t="n">
        <v>0</v>
      </c>
      <c r="L3114" t="n">
        <v>0</v>
      </c>
      <c r="M3114" t="n">
        <v>0</v>
      </c>
      <c r="N3114" t="n">
        <v>0</v>
      </c>
      <c r="O3114" t="n">
        <v>0</v>
      </c>
      <c r="P3114" t="n">
        <v>0</v>
      </c>
      <c r="Q3114" t="n">
        <v>0</v>
      </c>
      <c r="R3114" s="2" t="inlineStr"/>
    </row>
    <row r="3115" ht="15" customHeight="1">
      <c r="A3115" t="inlineStr">
        <is>
          <t>A 26303-2025</t>
        </is>
      </c>
      <c r="B3115" s="1" t="n">
        <v>45805.64239583333</v>
      </c>
      <c r="C3115" s="1" t="n">
        <v>45911</v>
      </c>
      <c r="D3115" t="inlineStr">
        <is>
          <t>GÄVLEBORGS LÄN</t>
        </is>
      </c>
      <c r="E3115" t="inlineStr">
        <is>
          <t>BOLLNÄS</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38342-2024</t>
        </is>
      </c>
      <c r="B3116" s="1" t="n">
        <v>45545.69261574074</v>
      </c>
      <c r="C3116" s="1" t="n">
        <v>45911</v>
      </c>
      <c r="D3116" t="inlineStr">
        <is>
          <t>GÄVLEBORGS LÄN</t>
        </is>
      </c>
      <c r="E3116" t="inlineStr">
        <is>
          <t>NORDANSTIG</t>
        </is>
      </c>
      <c r="F3116" t="inlineStr">
        <is>
          <t>Holmen skog AB</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50693-2024</t>
        </is>
      </c>
      <c r="B3117" s="1" t="n">
        <v>45602.34721064815</v>
      </c>
      <c r="C3117" s="1" t="n">
        <v>45911</v>
      </c>
      <c r="D3117" t="inlineStr">
        <is>
          <t>GÄVLEBORGS LÄN</t>
        </is>
      </c>
      <c r="E3117" t="inlineStr">
        <is>
          <t>OCKELBO</t>
        </is>
      </c>
      <c r="F3117" t="inlineStr">
        <is>
          <t>Bergvik skog väst AB</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61004-2024</t>
        </is>
      </c>
      <c r="B3118" s="1" t="n">
        <v>45645.44195601852</v>
      </c>
      <c r="C3118" s="1" t="n">
        <v>45911</v>
      </c>
      <c r="D3118" t="inlineStr">
        <is>
          <t>GÄVLEBORGS LÄN</t>
        </is>
      </c>
      <c r="E3118" t="inlineStr">
        <is>
          <t>GÄVLE</t>
        </is>
      </c>
      <c r="F3118" t="inlineStr">
        <is>
          <t>Bergvik skog öst AB</t>
        </is>
      </c>
      <c r="G3118" t="n">
        <v>11.6</v>
      </c>
      <c r="H3118" t="n">
        <v>0</v>
      </c>
      <c r="I3118" t="n">
        <v>0</v>
      </c>
      <c r="J3118" t="n">
        <v>0</v>
      </c>
      <c r="K3118" t="n">
        <v>0</v>
      </c>
      <c r="L3118" t="n">
        <v>0</v>
      </c>
      <c r="M3118" t="n">
        <v>0</v>
      </c>
      <c r="N3118" t="n">
        <v>0</v>
      </c>
      <c r="O3118" t="n">
        <v>0</v>
      </c>
      <c r="P3118" t="n">
        <v>0</v>
      </c>
      <c r="Q3118" t="n">
        <v>0</v>
      </c>
      <c r="R3118" s="2" t="inlineStr"/>
    </row>
    <row r="3119" ht="15" customHeight="1">
      <c r="A3119" t="inlineStr">
        <is>
          <t>A 62124-2023</t>
        </is>
      </c>
      <c r="B3119" s="1" t="n">
        <v>45267.32875</v>
      </c>
      <c r="C3119" s="1" t="n">
        <v>45911</v>
      </c>
      <c r="D3119" t="inlineStr">
        <is>
          <t>GÄVLEBORGS LÄN</t>
        </is>
      </c>
      <c r="E3119" t="inlineStr">
        <is>
          <t>HUDIKSVALL</t>
        </is>
      </c>
      <c r="F3119" t="inlineStr">
        <is>
          <t>Sveaskog</t>
        </is>
      </c>
      <c r="G3119" t="n">
        <v>10.3</v>
      </c>
      <c r="H3119" t="n">
        <v>0</v>
      </c>
      <c r="I3119" t="n">
        <v>0</v>
      </c>
      <c r="J3119" t="n">
        <v>0</v>
      </c>
      <c r="K3119" t="n">
        <v>0</v>
      </c>
      <c r="L3119" t="n">
        <v>0</v>
      </c>
      <c r="M3119" t="n">
        <v>0</v>
      </c>
      <c r="N3119" t="n">
        <v>0</v>
      </c>
      <c r="O3119" t="n">
        <v>0</v>
      </c>
      <c r="P3119" t="n">
        <v>0</v>
      </c>
      <c r="Q3119" t="n">
        <v>0</v>
      </c>
      <c r="R3119" s="2" t="inlineStr"/>
    </row>
    <row r="3120" ht="15" customHeight="1">
      <c r="A3120" t="inlineStr">
        <is>
          <t>A 11579-2025</t>
        </is>
      </c>
      <c r="B3120" s="1" t="n">
        <v>45727.3865162037</v>
      </c>
      <c r="C3120" s="1" t="n">
        <v>45911</v>
      </c>
      <c r="D3120" t="inlineStr">
        <is>
          <t>GÄVLEBORGS LÄN</t>
        </is>
      </c>
      <c r="E3120" t="inlineStr">
        <is>
          <t>BOLLNÄS</t>
        </is>
      </c>
      <c r="F3120" t="inlineStr">
        <is>
          <t>Kyrkan</t>
        </is>
      </c>
      <c r="G3120" t="n">
        <v>5.7</v>
      </c>
      <c r="H3120" t="n">
        <v>0</v>
      </c>
      <c r="I3120" t="n">
        <v>0</v>
      </c>
      <c r="J3120" t="n">
        <v>0</v>
      </c>
      <c r="K3120" t="n">
        <v>0</v>
      </c>
      <c r="L3120" t="n">
        <v>0</v>
      </c>
      <c r="M3120" t="n">
        <v>0</v>
      </c>
      <c r="N3120" t="n">
        <v>0</v>
      </c>
      <c r="O3120" t="n">
        <v>0</v>
      </c>
      <c r="P3120" t="n">
        <v>0</v>
      </c>
      <c r="Q3120" t="n">
        <v>0</v>
      </c>
      <c r="R3120" s="2" t="inlineStr"/>
    </row>
    <row r="3121" ht="15" customHeight="1">
      <c r="A3121" t="inlineStr">
        <is>
          <t>A 11602-2025</t>
        </is>
      </c>
      <c r="B3121" s="1" t="n">
        <v>45727.43175925926</v>
      </c>
      <c r="C3121" s="1" t="n">
        <v>45911</v>
      </c>
      <c r="D3121" t="inlineStr">
        <is>
          <t>GÄVLEBORGS LÄN</t>
        </is>
      </c>
      <c r="E3121" t="inlineStr">
        <is>
          <t>BOLLNÄS</t>
        </is>
      </c>
      <c r="F3121" t="inlineStr">
        <is>
          <t>Kyrkan</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32056-2023</t>
        </is>
      </c>
      <c r="B3122" s="1" t="n">
        <v>45119.55945601852</v>
      </c>
      <c r="C3122" s="1" t="n">
        <v>45911</v>
      </c>
      <c r="D3122" t="inlineStr">
        <is>
          <t>GÄVLEBORGS LÄN</t>
        </is>
      </c>
      <c r="E3122" t="inlineStr">
        <is>
          <t>BOLLNÄS</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1526-2024</t>
        </is>
      </c>
      <c r="B3123" s="1" t="n">
        <v>45306</v>
      </c>
      <c r="C3123" s="1" t="n">
        <v>45911</v>
      </c>
      <c r="D3123" t="inlineStr">
        <is>
          <t>GÄVLEBORGS LÄN</t>
        </is>
      </c>
      <c r="E3123" t="inlineStr">
        <is>
          <t>NORDANSTIG</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55613-2024</t>
        </is>
      </c>
      <c r="B3124" s="1" t="n">
        <v>45622</v>
      </c>
      <c r="C3124" s="1" t="n">
        <v>45911</v>
      </c>
      <c r="D3124" t="inlineStr">
        <is>
          <t>GÄVLEBORGS LÄN</t>
        </is>
      </c>
      <c r="E3124" t="inlineStr">
        <is>
          <t>HUDIKSVALL</t>
        </is>
      </c>
      <c r="F3124" t="inlineStr">
        <is>
          <t>Holmen skog AB</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51003-2024</t>
        </is>
      </c>
      <c r="B3125" s="1" t="n">
        <v>45603</v>
      </c>
      <c r="C3125" s="1" t="n">
        <v>45911</v>
      </c>
      <c r="D3125" t="inlineStr">
        <is>
          <t>GÄVLEBORGS LÄN</t>
        </is>
      </c>
      <c r="E3125" t="inlineStr">
        <is>
          <t>OVANÅKER</t>
        </is>
      </c>
      <c r="G3125" t="n">
        <v>14.3</v>
      </c>
      <c r="H3125" t="n">
        <v>0</v>
      </c>
      <c r="I3125" t="n">
        <v>0</v>
      </c>
      <c r="J3125" t="n">
        <v>0</v>
      </c>
      <c r="K3125" t="n">
        <v>0</v>
      </c>
      <c r="L3125" t="n">
        <v>0</v>
      </c>
      <c r="M3125" t="n">
        <v>0</v>
      </c>
      <c r="N3125" t="n">
        <v>0</v>
      </c>
      <c r="O3125" t="n">
        <v>0</v>
      </c>
      <c r="P3125" t="n">
        <v>0</v>
      </c>
      <c r="Q3125" t="n">
        <v>0</v>
      </c>
      <c r="R3125" s="2" t="inlineStr"/>
    </row>
    <row r="3126" ht="15" customHeight="1">
      <c r="A3126" t="inlineStr">
        <is>
          <t>A 33297-2024</t>
        </is>
      </c>
      <c r="B3126" s="1" t="n">
        <v>45518.93506944444</v>
      </c>
      <c r="C3126" s="1" t="n">
        <v>45911</v>
      </c>
      <c r="D3126" t="inlineStr">
        <is>
          <t>GÄVLEBORGS LÄN</t>
        </is>
      </c>
      <c r="E3126" t="inlineStr">
        <is>
          <t>LJUSDAL</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14647-2025</t>
        </is>
      </c>
      <c r="B3127" s="1" t="n">
        <v>45742.47987268519</v>
      </c>
      <c r="C3127" s="1" t="n">
        <v>45911</v>
      </c>
      <c r="D3127" t="inlineStr">
        <is>
          <t>GÄVLEBORGS LÄN</t>
        </is>
      </c>
      <c r="E3127" t="inlineStr">
        <is>
          <t>GÄVLE</t>
        </is>
      </c>
      <c r="F3127" t="inlineStr">
        <is>
          <t>Bergvik skog öst AB</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14668-2025</t>
        </is>
      </c>
      <c r="B3128" s="1" t="n">
        <v>45742.54047453704</v>
      </c>
      <c r="C3128" s="1" t="n">
        <v>45911</v>
      </c>
      <c r="D3128" t="inlineStr">
        <is>
          <t>GÄVLEBORGS LÄN</t>
        </is>
      </c>
      <c r="E3128" t="inlineStr">
        <is>
          <t>GÄVLE</t>
        </is>
      </c>
      <c r="F3128" t="inlineStr">
        <is>
          <t>Bergvik skog öst AB</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37693-2023</t>
        </is>
      </c>
      <c r="B3129" s="1" t="n">
        <v>45159.57056712963</v>
      </c>
      <c r="C3129" s="1" t="n">
        <v>45911</v>
      </c>
      <c r="D3129" t="inlineStr">
        <is>
          <t>GÄVLEBORGS LÄN</t>
        </is>
      </c>
      <c r="E3129" t="inlineStr">
        <is>
          <t>HOFORS</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21194-2024</t>
        </is>
      </c>
      <c r="B3130" s="1" t="n">
        <v>45440</v>
      </c>
      <c r="C3130" s="1" t="n">
        <v>45911</v>
      </c>
      <c r="D3130" t="inlineStr">
        <is>
          <t>GÄVLEBORGS LÄN</t>
        </is>
      </c>
      <c r="E3130" t="inlineStr">
        <is>
          <t>LJUSDAL</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15417-2025</t>
        </is>
      </c>
      <c r="B3131" s="1" t="n">
        <v>45747.45960648148</v>
      </c>
      <c r="C3131" s="1" t="n">
        <v>45911</v>
      </c>
      <c r="D3131" t="inlineStr">
        <is>
          <t>GÄVLEBORGS LÄN</t>
        </is>
      </c>
      <c r="E3131" t="inlineStr">
        <is>
          <t>SÖDERHAMN</t>
        </is>
      </c>
      <c r="G3131" t="n">
        <v>11.2</v>
      </c>
      <c r="H3131" t="n">
        <v>0</v>
      </c>
      <c r="I3131" t="n">
        <v>0</v>
      </c>
      <c r="J3131" t="n">
        <v>0</v>
      </c>
      <c r="K3131" t="n">
        <v>0</v>
      </c>
      <c r="L3131" t="n">
        <v>0</v>
      </c>
      <c r="M3131" t="n">
        <v>0</v>
      </c>
      <c r="N3131" t="n">
        <v>0</v>
      </c>
      <c r="O3131" t="n">
        <v>0</v>
      </c>
      <c r="P3131" t="n">
        <v>0</v>
      </c>
      <c r="Q3131" t="n">
        <v>0</v>
      </c>
      <c r="R3131" s="2" t="inlineStr"/>
    </row>
    <row r="3132" ht="15" customHeight="1">
      <c r="A3132" t="inlineStr">
        <is>
          <t>A 54799-2022</t>
        </is>
      </c>
      <c r="B3132" s="1" t="n">
        <v>44883</v>
      </c>
      <c r="C3132" s="1" t="n">
        <v>45911</v>
      </c>
      <c r="D3132" t="inlineStr">
        <is>
          <t>GÄVLEBORGS LÄN</t>
        </is>
      </c>
      <c r="E3132" t="inlineStr">
        <is>
          <t>SÖDERHAMN</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52120-2022</t>
        </is>
      </c>
      <c r="B3133" s="1" t="n">
        <v>44873.42377314815</v>
      </c>
      <c r="C3133" s="1" t="n">
        <v>45911</v>
      </c>
      <c r="D3133" t="inlineStr">
        <is>
          <t>GÄVLEBORGS LÄN</t>
        </is>
      </c>
      <c r="E3133" t="inlineStr">
        <is>
          <t>NORDANSTIG</t>
        </is>
      </c>
      <c r="G3133" t="n">
        <v>6.9</v>
      </c>
      <c r="H3133" t="n">
        <v>0</v>
      </c>
      <c r="I3133" t="n">
        <v>0</v>
      </c>
      <c r="J3133" t="n">
        <v>0</v>
      </c>
      <c r="K3133" t="n">
        <v>0</v>
      </c>
      <c r="L3133" t="n">
        <v>0</v>
      </c>
      <c r="M3133" t="n">
        <v>0</v>
      </c>
      <c r="N3133" t="n">
        <v>0</v>
      </c>
      <c r="O3133" t="n">
        <v>0</v>
      </c>
      <c r="P3133" t="n">
        <v>0</v>
      </c>
      <c r="Q3133" t="n">
        <v>0</v>
      </c>
      <c r="R3133" s="2" t="inlineStr"/>
    </row>
    <row r="3134" ht="15" customHeight="1">
      <c r="A3134" t="inlineStr">
        <is>
          <t>A 16858-2024</t>
        </is>
      </c>
      <c r="B3134" s="1" t="n">
        <v>45411.55578703704</v>
      </c>
      <c r="C3134" s="1" t="n">
        <v>45911</v>
      </c>
      <c r="D3134" t="inlineStr">
        <is>
          <t>GÄVLEBORGS LÄN</t>
        </is>
      </c>
      <c r="E3134" t="inlineStr">
        <is>
          <t>HUDIKSVALL</t>
        </is>
      </c>
      <c r="G3134" t="n">
        <v>5.7</v>
      </c>
      <c r="H3134" t="n">
        <v>0</v>
      </c>
      <c r="I3134" t="n">
        <v>0</v>
      </c>
      <c r="J3134" t="n">
        <v>0</v>
      </c>
      <c r="K3134" t="n">
        <v>0</v>
      </c>
      <c r="L3134" t="n">
        <v>0</v>
      </c>
      <c r="M3134" t="n">
        <v>0</v>
      </c>
      <c r="N3134" t="n">
        <v>0</v>
      </c>
      <c r="O3134" t="n">
        <v>0</v>
      </c>
      <c r="P3134" t="n">
        <v>0</v>
      </c>
      <c r="Q3134" t="n">
        <v>0</v>
      </c>
      <c r="R3134" s="2" t="inlineStr"/>
    </row>
    <row r="3135" ht="15" customHeight="1">
      <c r="A3135" t="inlineStr">
        <is>
          <t>A 16781-2024</t>
        </is>
      </c>
      <c r="B3135" s="1" t="n">
        <v>45411.4180324074</v>
      </c>
      <c r="C3135" s="1" t="n">
        <v>45911</v>
      </c>
      <c r="D3135" t="inlineStr">
        <is>
          <t>GÄVLEBORGS LÄN</t>
        </is>
      </c>
      <c r="E3135" t="inlineStr">
        <is>
          <t>HUDIKSVALL</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26816-2025</t>
        </is>
      </c>
      <c r="B3136" s="1" t="n">
        <v>45810.63582175926</v>
      </c>
      <c r="C3136" s="1" t="n">
        <v>45911</v>
      </c>
      <c r="D3136" t="inlineStr">
        <is>
          <t>GÄVLEBORGS LÄN</t>
        </is>
      </c>
      <c r="E3136" t="inlineStr">
        <is>
          <t>LJUSDAL</t>
        </is>
      </c>
      <c r="F3136" t="inlineStr">
        <is>
          <t>SCA</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26821-2025</t>
        </is>
      </c>
      <c r="B3137" s="1" t="n">
        <v>45810.64354166666</v>
      </c>
      <c r="C3137" s="1" t="n">
        <v>45911</v>
      </c>
      <c r="D3137" t="inlineStr">
        <is>
          <t>GÄVLEBORGS LÄN</t>
        </is>
      </c>
      <c r="E3137" t="inlineStr">
        <is>
          <t>OCKELBO</t>
        </is>
      </c>
      <c r="F3137" t="inlineStr">
        <is>
          <t>Bergvik skog väst AB</t>
        </is>
      </c>
      <c r="G3137" t="n">
        <v>4.7</v>
      </c>
      <c r="H3137" t="n">
        <v>0</v>
      </c>
      <c r="I3137" t="n">
        <v>0</v>
      </c>
      <c r="J3137" t="n">
        <v>0</v>
      </c>
      <c r="K3137" t="n">
        <v>0</v>
      </c>
      <c r="L3137" t="n">
        <v>0</v>
      </c>
      <c r="M3137" t="n">
        <v>0</v>
      </c>
      <c r="N3137" t="n">
        <v>0</v>
      </c>
      <c r="O3137" t="n">
        <v>0</v>
      </c>
      <c r="P3137" t="n">
        <v>0</v>
      </c>
      <c r="Q3137" t="n">
        <v>0</v>
      </c>
      <c r="R3137" s="2" t="inlineStr"/>
    </row>
    <row r="3138" ht="15" customHeight="1">
      <c r="A3138" t="inlineStr">
        <is>
          <t>A 26827-2025</t>
        </is>
      </c>
      <c r="B3138" s="1" t="n">
        <v>45810.65016203704</v>
      </c>
      <c r="C3138" s="1" t="n">
        <v>45911</v>
      </c>
      <c r="D3138" t="inlineStr">
        <is>
          <t>GÄVLEBORGS LÄN</t>
        </is>
      </c>
      <c r="E3138" t="inlineStr">
        <is>
          <t>HUDIKSVALL</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20023-2025</t>
        </is>
      </c>
      <c r="B3139" s="1" t="n">
        <v>45772.34421296296</v>
      </c>
      <c r="C3139" s="1" t="n">
        <v>45911</v>
      </c>
      <c r="D3139" t="inlineStr">
        <is>
          <t>GÄVLEBORGS LÄN</t>
        </is>
      </c>
      <c r="E3139" t="inlineStr">
        <is>
          <t>LJUSDAL</t>
        </is>
      </c>
      <c r="F3139" t="inlineStr">
        <is>
          <t>SCA</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45925-2020</t>
        </is>
      </c>
      <c r="B3140" s="1" t="n">
        <v>44091</v>
      </c>
      <c r="C3140" s="1" t="n">
        <v>45911</v>
      </c>
      <c r="D3140" t="inlineStr">
        <is>
          <t>GÄVLEBORGS LÄN</t>
        </is>
      </c>
      <c r="E3140" t="inlineStr">
        <is>
          <t>OVANÅKER</t>
        </is>
      </c>
      <c r="G3140" t="n">
        <v>0.3</v>
      </c>
      <c r="H3140" t="n">
        <v>0</v>
      </c>
      <c r="I3140" t="n">
        <v>0</v>
      </c>
      <c r="J3140" t="n">
        <v>0</v>
      </c>
      <c r="K3140" t="n">
        <v>0</v>
      </c>
      <c r="L3140" t="n">
        <v>0</v>
      </c>
      <c r="M3140" t="n">
        <v>0</v>
      </c>
      <c r="N3140" t="n">
        <v>0</v>
      </c>
      <c r="O3140" t="n">
        <v>0</v>
      </c>
      <c r="P3140" t="n">
        <v>0</v>
      </c>
      <c r="Q3140" t="n">
        <v>0</v>
      </c>
      <c r="R3140" s="2" t="inlineStr"/>
    </row>
    <row r="3141" ht="15" customHeight="1">
      <c r="A3141" t="inlineStr">
        <is>
          <t>A 72899-2021</t>
        </is>
      </c>
      <c r="B3141" s="1" t="n">
        <v>44547.58841435185</v>
      </c>
      <c r="C3141" s="1" t="n">
        <v>45911</v>
      </c>
      <c r="D3141" t="inlineStr">
        <is>
          <t>GÄVLEBORGS LÄN</t>
        </is>
      </c>
      <c r="E3141" t="inlineStr">
        <is>
          <t>HUDIKSVALL</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7624-2023</t>
        </is>
      </c>
      <c r="B3142" s="1" t="n">
        <v>44972</v>
      </c>
      <c r="C3142" s="1" t="n">
        <v>45911</v>
      </c>
      <c r="D3142" t="inlineStr">
        <is>
          <t>GÄVLEBORGS LÄN</t>
        </is>
      </c>
      <c r="E3142" t="inlineStr">
        <is>
          <t>SANDVIKEN</t>
        </is>
      </c>
      <c r="G3142" t="n">
        <v>4</v>
      </c>
      <c r="H3142" t="n">
        <v>0</v>
      </c>
      <c r="I3142" t="n">
        <v>0</v>
      </c>
      <c r="J3142" t="n">
        <v>0</v>
      </c>
      <c r="K3142" t="n">
        <v>0</v>
      </c>
      <c r="L3142" t="n">
        <v>0</v>
      </c>
      <c r="M3142" t="n">
        <v>0</v>
      </c>
      <c r="N3142" t="n">
        <v>0</v>
      </c>
      <c r="O3142" t="n">
        <v>0</v>
      </c>
      <c r="P3142" t="n">
        <v>0</v>
      </c>
      <c r="Q3142" t="n">
        <v>0</v>
      </c>
      <c r="R3142" s="2" t="inlineStr"/>
    </row>
    <row r="3143" ht="15" customHeight="1">
      <c r="A3143" t="inlineStr">
        <is>
          <t>A 37763-2023</t>
        </is>
      </c>
      <c r="B3143" s="1" t="n">
        <v>45156</v>
      </c>
      <c r="C3143" s="1" t="n">
        <v>45911</v>
      </c>
      <c r="D3143" t="inlineStr">
        <is>
          <t>GÄVLEBORGS LÄN</t>
        </is>
      </c>
      <c r="E3143" t="inlineStr">
        <is>
          <t>HOFORS</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18486-2022</t>
        </is>
      </c>
      <c r="B3144" s="1" t="n">
        <v>44686.5978125</v>
      </c>
      <c r="C3144" s="1" t="n">
        <v>45911</v>
      </c>
      <c r="D3144" t="inlineStr">
        <is>
          <t>GÄVLEBORGS LÄN</t>
        </is>
      </c>
      <c r="E3144" t="inlineStr">
        <is>
          <t>BOLLNÄS</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30662-2022</t>
        </is>
      </c>
      <c r="B3145" s="1" t="n">
        <v>44763</v>
      </c>
      <c r="C3145" s="1" t="n">
        <v>45911</v>
      </c>
      <c r="D3145" t="inlineStr">
        <is>
          <t>GÄVLEBORGS LÄN</t>
        </is>
      </c>
      <c r="E3145" t="inlineStr">
        <is>
          <t>GÄVLE</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53393-2022</t>
        </is>
      </c>
      <c r="B3146" s="1" t="n">
        <v>44879</v>
      </c>
      <c r="C3146" s="1" t="n">
        <v>45911</v>
      </c>
      <c r="D3146" t="inlineStr">
        <is>
          <t>GÄVLEBORGS LÄN</t>
        </is>
      </c>
      <c r="E3146" t="inlineStr">
        <is>
          <t>OCKELBO</t>
        </is>
      </c>
      <c r="G3146" t="n">
        <v>4.2</v>
      </c>
      <c r="H3146" t="n">
        <v>0</v>
      </c>
      <c r="I3146" t="n">
        <v>0</v>
      </c>
      <c r="J3146" t="n">
        <v>0</v>
      </c>
      <c r="K3146" t="n">
        <v>0</v>
      </c>
      <c r="L3146" t="n">
        <v>0</v>
      </c>
      <c r="M3146" t="n">
        <v>0</v>
      </c>
      <c r="N3146" t="n">
        <v>0</v>
      </c>
      <c r="O3146" t="n">
        <v>0</v>
      </c>
      <c r="P3146" t="n">
        <v>0</v>
      </c>
      <c r="Q3146" t="n">
        <v>0</v>
      </c>
      <c r="R3146" s="2" t="inlineStr"/>
    </row>
    <row r="3147" ht="15" customHeight="1">
      <c r="A3147" t="inlineStr">
        <is>
          <t>A 60449-2022</t>
        </is>
      </c>
      <c r="B3147" s="1" t="n">
        <v>44911.37099537037</v>
      </c>
      <c r="C3147" s="1" t="n">
        <v>45911</v>
      </c>
      <c r="D3147" t="inlineStr">
        <is>
          <t>GÄVLEBORGS LÄN</t>
        </is>
      </c>
      <c r="E3147" t="inlineStr">
        <is>
          <t>OVANÅKER</t>
        </is>
      </c>
      <c r="F3147" t="inlineStr">
        <is>
          <t>Sveaskog</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42217-2024</t>
        </is>
      </c>
      <c r="B3148" s="1" t="n">
        <v>45562.54127314815</v>
      </c>
      <c r="C3148" s="1" t="n">
        <v>45911</v>
      </c>
      <c r="D3148" t="inlineStr">
        <is>
          <t>GÄVLEBORGS LÄN</t>
        </is>
      </c>
      <c r="E3148" t="inlineStr">
        <is>
          <t>HUDIKSVALL</t>
        </is>
      </c>
      <c r="F3148" t="inlineStr">
        <is>
          <t>Holmen skog AB</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8395-2024</t>
        </is>
      </c>
      <c r="B3149" s="1" t="n">
        <v>45352.68155092592</v>
      </c>
      <c r="C3149" s="1" t="n">
        <v>45911</v>
      </c>
      <c r="D3149" t="inlineStr">
        <is>
          <t>GÄVLEBORGS LÄN</t>
        </is>
      </c>
      <c r="E3149" t="inlineStr">
        <is>
          <t>NORDANSTIG</t>
        </is>
      </c>
      <c r="F3149" t="inlineStr">
        <is>
          <t>Holmen skog AB</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62420-2022</t>
        </is>
      </c>
      <c r="B3150" s="1" t="n">
        <v>44924</v>
      </c>
      <c r="C3150" s="1" t="n">
        <v>45911</v>
      </c>
      <c r="D3150" t="inlineStr">
        <is>
          <t>GÄVLEBORGS LÄN</t>
        </is>
      </c>
      <c r="E3150" t="inlineStr">
        <is>
          <t>LJUSDAL</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37352-2024</t>
        </is>
      </c>
      <c r="B3151" s="1" t="n">
        <v>45540</v>
      </c>
      <c r="C3151" s="1" t="n">
        <v>45911</v>
      </c>
      <c r="D3151" t="inlineStr">
        <is>
          <t>GÄVLEBORGS LÄN</t>
        </is>
      </c>
      <c r="E3151" t="inlineStr">
        <is>
          <t>GÄVLE</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30718-2023</t>
        </is>
      </c>
      <c r="B3152" s="1" t="n">
        <v>45112</v>
      </c>
      <c r="C3152" s="1" t="n">
        <v>45911</v>
      </c>
      <c r="D3152" t="inlineStr">
        <is>
          <t>GÄVLEBORGS LÄN</t>
        </is>
      </c>
      <c r="E3152" t="inlineStr">
        <is>
          <t>SANDVIKEN</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54807-2024</t>
        </is>
      </c>
      <c r="B3153" s="1" t="n">
        <v>45618.51423611111</v>
      </c>
      <c r="C3153" s="1" t="n">
        <v>45911</v>
      </c>
      <c r="D3153" t="inlineStr">
        <is>
          <t>GÄVLEBORGS LÄN</t>
        </is>
      </c>
      <c r="E3153" t="inlineStr">
        <is>
          <t>OCKELBO</t>
        </is>
      </c>
      <c r="G3153" t="n">
        <v>8</v>
      </c>
      <c r="H3153" t="n">
        <v>0</v>
      </c>
      <c r="I3153" t="n">
        <v>0</v>
      </c>
      <c r="J3153" t="n">
        <v>0</v>
      </c>
      <c r="K3153" t="n">
        <v>0</v>
      </c>
      <c r="L3153" t="n">
        <v>0</v>
      </c>
      <c r="M3153" t="n">
        <v>0</v>
      </c>
      <c r="N3153" t="n">
        <v>0</v>
      </c>
      <c r="O3153" t="n">
        <v>0</v>
      </c>
      <c r="P3153" t="n">
        <v>0</v>
      </c>
      <c r="Q3153" t="n">
        <v>0</v>
      </c>
      <c r="R3153" s="2" t="inlineStr"/>
    </row>
    <row r="3154" ht="15" customHeight="1">
      <c r="A3154" t="inlineStr">
        <is>
          <t>A 55352-2024</t>
        </is>
      </c>
      <c r="B3154" s="1" t="n">
        <v>45621</v>
      </c>
      <c r="C3154" s="1" t="n">
        <v>45911</v>
      </c>
      <c r="D3154" t="inlineStr">
        <is>
          <t>GÄVLEBORGS LÄN</t>
        </is>
      </c>
      <c r="E3154" t="inlineStr">
        <is>
          <t>HUDIKSVALL</t>
        </is>
      </c>
      <c r="F3154" t="inlineStr">
        <is>
          <t>Holmen skog AB</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22559-2023</t>
        </is>
      </c>
      <c r="B3155" s="1" t="n">
        <v>45071.44723379629</v>
      </c>
      <c r="C3155" s="1" t="n">
        <v>45911</v>
      </c>
      <c r="D3155" t="inlineStr">
        <is>
          <t>GÄVLEBORGS LÄN</t>
        </is>
      </c>
      <c r="E3155" t="inlineStr">
        <is>
          <t>LJUSDAL</t>
        </is>
      </c>
      <c r="F3155" t="inlineStr">
        <is>
          <t>Holmen skog AB</t>
        </is>
      </c>
      <c r="G3155" t="n">
        <v>4.4</v>
      </c>
      <c r="H3155" t="n">
        <v>0</v>
      </c>
      <c r="I3155" t="n">
        <v>0</v>
      </c>
      <c r="J3155" t="n">
        <v>0</v>
      </c>
      <c r="K3155" t="n">
        <v>0</v>
      </c>
      <c r="L3155" t="n">
        <v>0</v>
      </c>
      <c r="M3155" t="n">
        <v>0</v>
      </c>
      <c r="N3155" t="n">
        <v>0</v>
      </c>
      <c r="O3155" t="n">
        <v>0</v>
      </c>
      <c r="P3155" t="n">
        <v>0</v>
      </c>
      <c r="Q3155" t="n">
        <v>0</v>
      </c>
      <c r="R3155" s="2" t="inlineStr"/>
    </row>
    <row r="3156" ht="15" customHeight="1">
      <c r="A3156" t="inlineStr">
        <is>
          <t>A 56355-2024</t>
        </is>
      </c>
      <c r="B3156" s="1" t="n">
        <v>45624.9339699074</v>
      </c>
      <c r="C3156" s="1" t="n">
        <v>45911</v>
      </c>
      <c r="D3156" t="inlineStr">
        <is>
          <t>GÄVLEBORGS LÄN</t>
        </is>
      </c>
      <c r="E3156" t="inlineStr">
        <is>
          <t>LJUSDAL</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14757-2024</t>
        </is>
      </c>
      <c r="B3157" s="1" t="n">
        <v>45397</v>
      </c>
      <c r="C3157" s="1" t="n">
        <v>45911</v>
      </c>
      <c r="D3157" t="inlineStr">
        <is>
          <t>GÄVLEBORGS LÄN</t>
        </is>
      </c>
      <c r="E3157" t="inlineStr">
        <is>
          <t>SÖDERHAMN</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34128-2024</t>
        </is>
      </c>
      <c r="B3158" s="1" t="n">
        <v>45524.34494212963</v>
      </c>
      <c r="C3158" s="1" t="n">
        <v>45911</v>
      </c>
      <c r="D3158" t="inlineStr">
        <is>
          <t>GÄVLEBORGS LÄN</t>
        </is>
      </c>
      <c r="E3158" t="inlineStr">
        <is>
          <t>HUDIKSVALL</t>
        </is>
      </c>
      <c r="F3158" t="inlineStr">
        <is>
          <t>Holmen skog AB</t>
        </is>
      </c>
      <c r="G3158" t="n">
        <v>5</v>
      </c>
      <c r="H3158" t="n">
        <v>0</v>
      </c>
      <c r="I3158" t="n">
        <v>0</v>
      </c>
      <c r="J3158" t="n">
        <v>0</v>
      </c>
      <c r="K3158" t="n">
        <v>0</v>
      </c>
      <c r="L3158" t="n">
        <v>0</v>
      </c>
      <c r="M3158" t="n">
        <v>0</v>
      </c>
      <c r="N3158" t="n">
        <v>0</v>
      </c>
      <c r="O3158" t="n">
        <v>0</v>
      </c>
      <c r="P3158" t="n">
        <v>0</v>
      </c>
      <c r="Q3158" t="n">
        <v>0</v>
      </c>
      <c r="R3158" s="2" t="inlineStr"/>
    </row>
    <row r="3159" ht="15" customHeight="1">
      <c r="A3159" t="inlineStr">
        <is>
          <t>A 50038-2024</t>
        </is>
      </c>
      <c r="B3159" s="1" t="n">
        <v>45599.98630787037</v>
      </c>
      <c r="C3159" s="1" t="n">
        <v>45911</v>
      </c>
      <c r="D3159" t="inlineStr">
        <is>
          <t>GÄVLEBORGS LÄN</t>
        </is>
      </c>
      <c r="E3159" t="inlineStr">
        <is>
          <t>BOLLNÄS</t>
        </is>
      </c>
      <c r="G3159" t="n">
        <v>6.6</v>
      </c>
      <c r="H3159" t="n">
        <v>0</v>
      </c>
      <c r="I3159" t="n">
        <v>0</v>
      </c>
      <c r="J3159" t="n">
        <v>0</v>
      </c>
      <c r="K3159" t="n">
        <v>0</v>
      </c>
      <c r="L3159" t="n">
        <v>0</v>
      </c>
      <c r="M3159" t="n">
        <v>0</v>
      </c>
      <c r="N3159" t="n">
        <v>0</v>
      </c>
      <c r="O3159" t="n">
        <v>0</v>
      </c>
      <c r="P3159" t="n">
        <v>0</v>
      </c>
      <c r="Q3159" t="n">
        <v>0</v>
      </c>
      <c r="R3159" s="2" t="inlineStr"/>
    </row>
    <row r="3160" ht="15" customHeight="1">
      <c r="A3160" t="inlineStr">
        <is>
          <t>A 60275-2022</t>
        </is>
      </c>
      <c r="B3160" s="1" t="n">
        <v>44910</v>
      </c>
      <c r="C3160" s="1" t="n">
        <v>45911</v>
      </c>
      <c r="D3160" t="inlineStr">
        <is>
          <t>GÄVLEBORGS LÄN</t>
        </is>
      </c>
      <c r="E3160" t="inlineStr">
        <is>
          <t>OVANÅKER</t>
        </is>
      </c>
      <c r="F3160" t="inlineStr">
        <is>
          <t>Sveaskog</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59614-2024</t>
        </is>
      </c>
      <c r="B3161" s="1" t="n">
        <v>45638.78225694445</v>
      </c>
      <c r="C3161" s="1" t="n">
        <v>45911</v>
      </c>
      <c r="D3161" t="inlineStr">
        <is>
          <t>GÄVLEBORGS LÄN</t>
        </is>
      </c>
      <c r="E3161" t="inlineStr">
        <is>
          <t>SANDVIKEN</t>
        </is>
      </c>
      <c r="G3161" t="n">
        <v>4.1</v>
      </c>
      <c r="H3161" t="n">
        <v>0</v>
      </c>
      <c r="I3161" t="n">
        <v>0</v>
      </c>
      <c r="J3161" t="n">
        <v>0</v>
      </c>
      <c r="K3161" t="n">
        <v>0</v>
      </c>
      <c r="L3161" t="n">
        <v>0</v>
      </c>
      <c r="M3161" t="n">
        <v>0</v>
      </c>
      <c r="N3161" t="n">
        <v>0</v>
      </c>
      <c r="O3161" t="n">
        <v>0</v>
      </c>
      <c r="P3161" t="n">
        <v>0</v>
      </c>
      <c r="Q3161" t="n">
        <v>0</v>
      </c>
      <c r="R3161" s="2" t="inlineStr"/>
    </row>
    <row r="3162" ht="15" customHeight="1">
      <c r="A3162" t="inlineStr">
        <is>
          <t>A 55952-2022</t>
        </is>
      </c>
      <c r="B3162" s="1" t="n">
        <v>44889</v>
      </c>
      <c r="C3162" s="1" t="n">
        <v>45911</v>
      </c>
      <c r="D3162" t="inlineStr">
        <is>
          <t>GÄVLEBORGS LÄN</t>
        </is>
      </c>
      <c r="E3162" t="inlineStr">
        <is>
          <t>OCKELBO</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47876-2023</t>
        </is>
      </c>
      <c r="B3163" s="1" t="n">
        <v>45204</v>
      </c>
      <c r="C3163" s="1" t="n">
        <v>45911</v>
      </c>
      <c r="D3163" t="inlineStr">
        <is>
          <t>GÄVLEBORGS LÄN</t>
        </is>
      </c>
      <c r="E3163" t="inlineStr">
        <is>
          <t>NORDANSTIG</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5475-2023</t>
        </is>
      </c>
      <c r="B3164" s="1" t="n">
        <v>44960</v>
      </c>
      <c r="C3164" s="1" t="n">
        <v>45911</v>
      </c>
      <c r="D3164" t="inlineStr">
        <is>
          <t>GÄVLEBORGS LÄN</t>
        </is>
      </c>
      <c r="E3164" t="inlineStr">
        <is>
          <t>NORDANSTIG</t>
        </is>
      </c>
      <c r="G3164" t="n">
        <v>7</v>
      </c>
      <c r="H3164" t="n">
        <v>0</v>
      </c>
      <c r="I3164" t="n">
        <v>0</v>
      </c>
      <c r="J3164" t="n">
        <v>0</v>
      </c>
      <c r="K3164" t="n">
        <v>0</v>
      </c>
      <c r="L3164" t="n">
        <v>0</v>
      </c>
      <c r="M3164" t="n">
        <v>0</v>
      </c>
      <c r="N3164" t="n">
        <v>0</v>
      </c>
      <c r="O3164" t="n">
        <v>0</v>
      </c>
      <c r="P3164" t="n">
        <v>0</v>
      </c>
      <c r="Q3164" t="n">
        <v>0</v>
      </c>
      <c r="R3164" s="2" t="inlineStr"/>
    </row>
    <row r="3165" ht="15" customHeight="1">
      <c r="A3165" t="inlineStr">
        <is>
          <t>A 57510-2023</t>
        </is>
      </c>
      <c r="B3165" s="1" t="n">
        <v>45246</v>
      </c>
      <c r="C3165" s="1" t="n">
        <v>45911</v>
      </c>
      <c r="D3165" t="inlineStr">
        <is>
          <t>GÄVLEBORGS LÄN</t>
        </is>
      </c>
      <c r="E3165" t="inlineStr">
        <is>
          <t>BOLLNÄS</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18401-2023</t>
        </is>
      </c>
      <c r="B3166" s="1" t="n">
        <v>45042.3791550926</v>
      </c>
      <c r="C3166" s="1" t="n">
        <v>45911</v>
      </c>
      <c r="D3166" t="inlineStr">
        <is>
          <t>GÄVLEBORGS LÄN</t>
        </is>
      </c>
      <c r="E3166" t="inlineStr">
        <is>
          <t>NORDANSTIG</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38298-2024</t>
        </is>
      </c>
      <c r="B3167" s="1" t="n">
        <v>45545</v>
      </c>
      <c r="C3167" s="1" t="n">
        <v>45911</v>
      </c>
      <c r="D3167" t="inlineStr">
        <is>
          <t>GÄVLEBORGS LÄN</t>
        </is>
      </c>
      <c r="E3167" t="inlineStr">
        <is>
          <t>NORDANSTIG</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35203-2024</t>
        </is>
      </c>
      <c r="B3168" s="1" t="n">
        <v>45530.47789351852</v>
      </c>
      <c r="C3168" s="1" t="n">
        <v>45911</v>
      </c>
      <c r="D3168" t="inlineStr">
        <is>
          <t>GÄVLEBORGS LÄN</t>
        </is>
      </c>
      <c r="E3168" t="inlineStr">
        <is>
          <t>GÄVLE</t>
        </is>
      </c>
      <c r="F3168" t="inlineStr">
        <is>
          <t>Bergvik skog öst AB</t>
        </is>
      </c>
      <c r="G3168" t="n">
        <v>8.199999999999999</v>
      </c>
      <c r="H3168" t="n">
        <v>0</v>
      </c>
      <c r="I3168" t="n">
        <v>0</v>
      </c>
      <c r="J3168" t="n">
        <v>0</v>
      </c>
      <c r="K3168" t="n">
        <v>0</v>
      </c>
      <c r="L3168" t="n">
        <v>0</v>
      </c>
      <c r="M3168" t="n">
        <v>0</v>
      </c>
      <c r="N3168" t="n">
        <v>0</v>
      </c>
      <c r="O3168" t="n">
        <v>0</v>
      </c>
      <c r="P3168" t="n">
        <v>0</v>
      </c>
      <c r="Q3168" t="n">
        <v>0</v>
      </c>
      <c r="R3168" s="2" t="inlineStr"/>
    </row>
    <row r="3169" ht="15" customHeight="1">
      <c r="A3169" t="inlineStr">
        <is>
          <t>A 51071-2024</t>
        </is>
      </c>
      <c r="B3169" s="1" t="n">
        <v>45603.44983796297</v>
      </c>
      <c r="C3169" s="1" t="n">
        <v>45911</v>
      </c>
      <c r="D3169" t="inlineStr">
        <is>
          <t>GÄVLEBORGS LÄN</t>
        </is>
      </c>
      <c r="E3169" t="inlineStr">
        <is>
          <t>HUDIKSVALL</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51091-2024</t>
        </is>
      </c>
      <c r="B3170" s="1" t="n">
        <v>45603.46905092592</v>
      </c>
      <c r="C3170" s="1" t="n">
        <v>45911</v>
      </c>
      <c r="D3170" t="inlineStr">
        <is>
          <t>GÄVLEBORGS LÄN</t>
        </is>
      </c>
      <c r="E3170" t="inlineStr">
        <is>
          <t>NORDANSTIG</t>
        </is>
      </c>
      <c r="F3170" t="inlineStr">
        <is>
          <t>SCA</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51138-2024</t>
        </is>
      </c>
      <c r="B3171" s="1" t="n">
        <v>45603.53780092593</v>
      </c>
      <c r="C3171" s="1" t="n">
        <v>45911</v>
      </c>
      <c r="D3171" t="inlineStr">
        <is>
          <t>GÄVLEBORGS LÄN</t>
        </is>
      </c>
      <c r="E3171" t="inlineStr">
        <is>
          <t>GÄVLE</t>
        </is>
      </c>
      <c r="F3171" t="inlineStr">
        <is>
          <t>Bergvik skog öst AB</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33478-2023</t>
        </is>
      </c>
      <c r="B3172" s="1" t="n">
        <v>45131.4106712963</v>
      </c>
      <c r="C3172" s="1" t="n">
        <v>45911</v>
      </c>
      <c r="D3172" t="inlineStr">
        <is>
          <t>GÄVLEBORGS LÄN</t>
        </is>
      </c>
      <c r="E3172" t="inlineStr">
        <is>
          <t>NORDANSTIG</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37892-2023</t>
        </is>
      </c>
      <c r="B3173" s="1" t="n">
        <v>45160.46523148148</v>
      </c>
      <c r="C3173" s="1" t="n">
        <v>45911</v>
      </c>
      <c r="D3173" t="inlineStr">
        <is>
          <t>GÄVLEBORGS LÄN</t>
        </is>
      </c>
      <c r="E3173" t="inlineStr">
        <is>
          <t>LJUSDAL</t>
        </is>
      </c>
      <c r="F3173" t="inlineStr">
        <is>
          <t>Sveaskog</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60044-2024</t>
        </is>
      </c>
      <c r="B3174" s="1" t="n">
        <v>45642.47278935185</v>
      </c>
      <c r="C3174" s="1" t="n">
        <v>45911</v>
      </c>
      <c r="D3174" t="inlineStr">
        <is>
          <t>GÄVLEBORGS LÄN</t>
        </is>
      </c>
      <c r="E3174" t="inlineStr">
        <is>
          <t>BOLLNÄS</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10543-2025</t>
        </is>
      </c>
      <c r="B3175" s="1" t="n">
        <v>45721.48769675926</v>
      </c>
      <c r="C3175" s="1" t="n">
        <v>45911</v>
      </c>
      <c r="D3175" t="inlineStr">
        <is>
          <t>GÄVLEBORGS LÄN</t>
        </is>
      </c>
      <c r="E3175" t="inlineStr">
        <is>
          <t>NORDANSTIG</t>
        </is>
      </c>
      <c r="F3175" t="inlineStr">
        <is>
          <t>Holmen skog AB</t>
        </is>
      </c>
      <c r="G3175" t="n">
        <v>8.9</v>
      </c>
      <c r="H3175" t="n">
        <v>0</v>
      </c>
      <c r="I3175" t="n">
        <v>0</v>
      </c>
      <c r="J3175" t="n">
        <v>0</v>
      </c>
      <c r="K3175" t="n">
        <v>0</v>
      </c>
      <c r="L3175" t="n">
        <v>0</v>
      </c>
      <c r="M3175" t="n">
        <v>0</v>
      </c>
      <c r="N3175" t="n">
        <v>0</v>
      </c>
      <c r="O3175" t="n">
        <v>0</v>
      </c>
      <c r="P3175" t="n">
        <v>0</v>
      </c>
      <c r="Q3175" t="n">
        <v>0</v>
      </c>
      <c r="R3175" s="2" t="inlineStr"/>
    </row>
    <row r="3176" ht="15" customHeight="1">
      <c r="A3176" t="inlineStr">
        <is>
          <t>A 10578-2025</t>
        </is>
      </c>
      <c r="B3176" s="1" t="n">
        <v>45721.54731481482</v>
      </c>
      <c r="C3176" s="1" t="n">
        <v>45911</v>
      </c>
      <c r="D3176" t="inlineStr">
        <is>
          <t>GÄVLEBORGS LÄN</t>
        </is>
      </c>
      <c r="E3176" t="inlineStr">
        <is>
          <t>SANDVIKEN</t>
        </is>
      </c>
      <c r="F3176" t="inlineStr">
        <is>
          <t>Sveaskog</t>
        </is>
      </c>
      <c r="G3176" t="n">
        <v>5.8</v>
      </c>
      <c r="H3176" t="n">
        <v>0</v>
      </c>
      <c r="I3176" t="n">
        <v>0</v>
      </c>
      <c r="J3176" t="n">
        <v>0</v>
      </c>
      <c r="K3176" t="n">
        <v>0</v>
      </c>
      <c r="L3176" t="n">
        <v>0</v>
      </c>
      <c r="M3176" t="n">
        <v>0</v>
      </c>
      <c r="N3176" t="n">
        <v>0</v>
      </c>
      <c r="O3176" t="n">
        <v>0</v>
      </c>
      <c r="P3176" t="n">
        <v>0</v>
      </c>
      <c r="Q3176" t="n">
        <v>0</v>
      </c>
      <c r="R3176" s="2" t="inlineStr"/>
    </row>
    <row r="3177" ht="15" customHeight="1">
      <c r="A3177" t="inlineStr">
        <is>
          <t>A 11476-2025</t>
        </is>
      </c>
      <c r="B3177" s="1" t="n">
        <v>45726.67202546296</v>
      </c>
      <c r="C3177" s="1" t="n">
        <v>45911</v>
      </c>
      <c r="D3177" t="inlineStr">
        <is>
          <t>GÄVLEBORGS LÄN</t>
        </is>
      </c>
      <c r="E3177" t="inlineStr">
        <is>
          <t>OVANÅKER</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30007-2024</t>
        </is>
      </c>
      <c r="B3178" s="1" t="n">
        <v>45488.60150462963</v>
      </c>
      <c r="C3178" s="1" t="n">
        <v>45911</v>
      </c>
      <c r="D3178" t="inlineStr">
        <is>
          <t>GÄVLEBORGS LÄN</t>
        </is>
      </c>
      <c r="E3178" t="inlineStr">
        <is>
          <t>HOFORS</t>
        </is>
      </c>
      <c r="F3178" t="inlineStr">
        <is>
          <t>Sveaskog</t>
        </is>
      </c>
      <c r="G3178" t="n">
        <v>11.5</v>
      </c>
      <c r="H3178" t="n">
        <v>0</v>
      </c>
      <c r="I3178" t="n">
        <v>0</v>
      </c>
      <c r="J3178" t="n">
        <v>0</v>
      </c>
      <c r="K3178" t="n">
        <v>0</v>
      </c>
      <c r="L3178" t="n">
        <v>0</v>
      </c>
      <c r="M3178" t="n">
        <v>0</v>
      </c>
      <c r="N3178" t="n">
        <v>0</v>
      </c>
      <c r="O3178" t="n">
        <v>0</v>
      </c>
      <c r="P3178" t="n">
        <v>0</v>
      </c>
      <c r="Q3178" t="n">
        <v>0</v>
      </c>
      <c r="R3178" s="2" t="inlineStr"/>
    </row>
    <row r="3179" ht="15" customHeight="1">
      <c r="A3179" t="inlineStr">
        <is>
          <t>A 38883-2022</t>
        </is>
      </c>
      <c r="B3179" s="1" t="n">
        <v>44816.56690972222</v>
      </c>
      <c r="C3179" s="1" t="n">
        <v>45911</v>
      </c>
      <c r="D3179" t="inlineStr">
        <is>
          <t>GÄVLEBORGS LÄN</t>
        </is>
      </c>
      <c r="E3179" t="inlineStr">
        <is>
          <t>BOLLNÄS</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18217-2024</t>
        </is>
      </c>
      <c r="B3180" s="1" t="n">
        <v>45420</v>
      </c>
      <c r="C3180" s="1" t="n">
        <v>45911</v>
      </c>
      <c r="D3180" t="inlineStr">
        <is>
          <t>GÄVLEBORGS LÄN</t>
        </is>
      </c>
      <c r="E3180" t="inlineStr">
        <is>
          <t>GÄVLE</t>
        </is>
      </c>
      <c r="F3180" t="inlineStr">
        <is>
          <t>Bergvik skog väst AB</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30009-2024</t>
        </is>
      </c>
      <c r="B3181" s="1" t="n">
        <v>45488.60546296297</v>
      </c>
      <c r="C3181" s="1" t="n">
        <v>45911</v>
      </c>
      <c r="D3181" t="inlineStr">
        <is>
          <t>GÄVLEBORGS LÄN</t>
        </is>
      </c>
      <c r="E3181" t="inlineStr">
        <is>
          <t>HOFORS</t>
        </is>
      </c>
      <c r="F3181" t="inlineStr">
        <is>
          <t>Sveaskog</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17394-2022</t>
        </is>
      </c>
      <c r="B3182" s="1" t="n">
        <v>44678.68134259259</v>
      </c>
      <c r="C3182" s="1" t="n">
        <v>45911</v>
      </c>
      <c r="D3182" t="inlineStr">
        <is>
          <t>GÄVLEBORGS LÄN</t>
        </is>
      </c>
      <c r="E3182" t="inlineStr">
        <is>
          <t>BOLLNÄS</t>
        </is>
      </c>
      <c r="G3182" t="n">
        <v>4.8</v>
      </c>
      <c r="H3182" t="n">
        <v>0</v>
      </c>
      <c r="I3182" t="n">
        <v>0</v>
      </c>
      <c r="J3182" t="n">
        <v>0</v>
      </c>
      <c r="K3182" t="n">
        <v>0</v>
      </c>
      <c r="L3182" t="n">
        <v>0</v>
      </c>
      <c r="M3182" t="n">
        <v>0</v>
      </c>
      <c r="N3182" t="n">
        <v>0</v>
      </c>
      <c r="O3182" t="n">
        <v>0</v>
      </c>
      <c r="P3182" t="n">
        <v>0</v>
      </c>
      <c r="Q3182" t="n">
        <v>0</v>
      </c>
      <c r="R3182" s="2" t="inlineStr"/>
    </row>
    <row r="3183" ht="15" customHeight="1">
      <c r="A3183" t="inlineStr">
        <is>
          <t>A 27787-2024</t>
        </is>
      </c>
      <c r="B3183" s="1" t="n">
        <v>45475.54822916666</v>
      </c>
      <c r="C3183" s="1" t="n">
        <v>45911</v>
      </c>
      <c r="D3183" t="inlineStr">
        <is>
          <t>GÄVLEBORGS LÄN</t>
        </is>
      </c>
      <c r="E3183" t="inlineStr">
        <is>
          <t>GÄVLE</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27788-2024</t>
        </is>
      </c>
      <c r="B3184" s="1" t="n">
        <v>45475.54844907407</v>
      </c>
      <c r="C3184" s="1" t="n">
        <v>45911</v>
      </c>
      <c r="D3184" t="inlineStr">
        <is>
          <t>GÄVLEBORGS LÄN</t>
        </is>
      </c>
      <c r="E3184" t="inlineStr">
        <is>
          <t>BOLLNÄS</t>
        </is>
      </c>
      <c r="G3184" t="n">
        <v>3.8</v>
      </c>
      <c r="H3184" t="n">
        <v>0</v>
      </c>
      <c r="I3184" t="n">
        <v>0</v>
      </c>
      <c r="J3184" t="n">
        <v>0</v>
      </c>
      <c r="K3184" t="n">
        <v>0</v>
      </c>
      <c r="L3184" t="n">
        <v>0</v>
      </c>
      <c r="M3184" t="n">
        <v>0</v>
      </c>
      <c r="N3184" t="n">
        <v>0</v>
      </c>
      <c r="O3184" t="n">
        <v>0</v>
      </c>
      <c r="P3184" t="n">
        <v>0</v>
      </c>
      <c r="Q3184" t="n">
        <v>0</v>
      </c>
      <c r="R3184" s="2" t="inlineStr"/>
    </row>
    <row r="3185" ht="15" customHeight="1">
      <c r="A3185" t="inlineStr">
        <is>
          <t>A 50905-2024</t>
        </is>
      </c>
      <c r="B3185" s="1" t="n">
        <v>45602.69391203704</v>
      </c>
      <c r="C3185" s="1" t="n">
        <v>45911</v>
      </c>
      <c r="D3185" t="inlineStr">
        <is>
          <t>GÄVLEBORGS LÄN</t>
        </is>
      </c>
      <c r="E3185" t="inlineStr">
        <is>
          <t>SANDVIKEN</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26399-2025</t>
        </is>
      </c>
      <c r="B3186" s="1" t="n">
        <v>45807.33063657407</v>
      </c>
      <c r="C3186" s="1" t="n">
        <v>45911</v>
      </c>
      <c r="D3186" t="inlineStr">
        <is>
          <t>GÄVLEBORGS LÄN</t>
        </is>
      </c>
      <c r="E3186" t="inlineStr">
        <is>
          <t>LJUSDAL</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8269-2022</t>
        </is>
      </c>
      <c r="B3187" s="1" t="n">
        <v>44610</v>
      </c>
      <c r="C3187" s="1" t="n">
        <v>45911</v>
      </c>
      <c r="D3187" t="inlineStr">
        <is>
          <t>GÄVLEBORGS LÄN</t>
        </is>
      </c>
      <c r="E3187" t="inlineStr">
        <is>
          <t>HUDIKSVALL</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26402-2025</t>
        </is>
      </c>
      <c r="B3188" s="1" t="n">
        <v>45807.3384375</v>
      </c>
      <c r="C3188" s="1" t="n">
        <v>45911</v>
      </c>
      <c r="D3188" t="inlineStr">
        <is>
          <t>GÄVLEBORGS LÄN</t>
        </is>
      </c>
      <c r="E3188" t="inlineStr">
        <is>
          <t>HUDIKSVALL</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19495-2024</t>
        </is>
      </c>
      <c r="B3189" s="1" t="n">
        <v>45429.58289351852</v>
      </c>
      <c r="C3189" s="1" t="n">
        <v>45911</v>
      </c>
      <c r="D3189" t="inlineStr">
        <is>
          <t>GÄVLEBORGS LÄN</t>
        </is>
      </c>
      <c r="E3189" t="inlineStr">
        <is>
          <t>OCKELBO</t>
        </is>
      </c>
      <c r="F3189" t="inlineStr">
        <is>
          <t>Bergvik skog väst AB</t>
        </is>
      </c>
      <c r="G3189" t="n">
        <v>10.4</v>
      </c>
      <c r="H3189" t="n">
        <v>0</v>
      </c>
      <c r="I3189" t="n">
        <v>0</v>
      </c>
      <c r="J3189" t="n">
        <v>0</v>
      </c>
      <c r="K3189" t="n">
        <v>0</v>
      </c>
      <c r="L3189" t="n">
        <v>0</v>
      </c>
      <c r="M3189" t="n">
        <v>0</v>
      </c>
      <c r="N3189" t="n">
        <v>0</v>
      </c>
      <c r="O3189" t="n">
        <v>0</v>
      </c>
      <c r="P3189" t="n">
        <v>0</v>
      </c>
      <c r="Q3189" t="n">
        <v>0</v>
      </c>
      <c r="R3189" s="2" t="inlineStr"/>
    </row>
    <row r="3190" ht="15" customHeight="1">
      <c r="A3190" t="inlineStr">
        <is>
          <t>A 49815-2024</t>
        </is>
      </c>
      <c r="B3190" s="1" t="n">
        <v>45597.39709490741</v>
      </c>
      <c r="C3190" s="1" t="n">
        <v>45911</v>
      </c>
      <c r="D3190" t="inlineStr">
        <is>
          <t>GÄVLEBORGS LÄN</t>
        </is>
      </c>
      <c r="E3190" t="inlineStr">
        <is>
          <t>HOFORS</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62654-2020</t>
        </is>
      </c>
      <c r="B3191" s="1" t="n">
        <v>44161</v>
      </c>
      <c r="C3191" s="1" t="n">
        <v>45911</v>
      </c>
      <c r="D3191" t="inlineStr">
        <is>
          <t>GÄVLEBORGS LÄN</t>
        </is>
      </c>
      <c r="E3191" t="inlineStr">
        <is>
          <t>GÄVLE</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19629-2024</t>
        </is>
      </c>
      <c r="B3192" s="1" t="n">
        <v>45432.36076388889</v>
      </c>
      <c r="C3192" s="1" t="n">
        <v>45911</v>
      </c>
      <c r="D3192" t="inlineStr">
        <is>
          <t>GÄVLEBORGS LÄN</t>
        </is>
      </c>
      <c r="E3192" t="inlineStr">
        <is>
          <t>OVANÅKER</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11629-2024</t>
        </is>
      </c>
      <c r="B3193" s="1" t="n">
        <v>45373</v>
      </c>
      <c r="C3193" s="1" t="n">
        <v>45911</v>
      </c>
      <c r="D3193" t="inlineStr">
        <is>
          <t>GÄVLEBORGS LÄN</t>
        </is>
      </c>
      <c r="E3193" t="inlineStr">
        <is>
          <t>HUDIKSVALL</t>
        </is>
      </c>
      <c r="F3193" t="inlineStr">
        <is>
          <t>Holmen skog AB</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50498-2024</t>
        </is>
      </c>
      <c r="B3194" s="1" t="n">
        <v>45601.51543981482</v>
      </c>
      <c r="C3194" s="1" t="n">
        <v>45911</v>
      </c>
      <c r="D3194" t="inlineStr">
        <is>
          <t>GÄVLEBORGS LÄN</t>
        </is>
      </c>
      <c r="E3194" t="inlineStr">
        <is>
          <t>HUDIKSVALL</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7472-2022</t>
        </is>
      </c>
      <c r="B3195" s="1" t="n">
        <v>44607.39039351852</v>
      </c>
      <c r="C3195" s="1" t="n">
        <v>45911</v>
      </c>
      <c r="D3195" t="inlineStr">
        <is>
          <t>GÄVLEBORGS LÄN</t>
        </is>
      </c>
      <c r="E3195" t="inlineStr">
        <is>
          <t>LJUSDAL</t>
        </is>
      </c>
      <c r="F3195" t="inlineStr">
        <is>
          <t>Holmen skog AB</t>
        </is>
      </c>
      <c r="G3195" t="n">
        <v>7.3</v>
      </c>
      <c r="H3195" t="n">
        <v>0</v>
      </c>
      <c r="I3195" t="n">
        <v>0</v>
      </c>
      <c r="J3195" t="n">
        <v>0</v>
      </c>
      <c r="K3195" t="n">
        <v>0</v>
      </c>
      <c r="L3195" t="n">
        <v>0</v>
      </c>
      <c r="M3195" t="n">
        <v>0</v>
      </c>
      <c r="N3195" t="n">
        <v>0</v>
      </c>
      <c r="O3195" t="n">
        <v>0</v>
      </c>
      <c r="P3195" t="n">
        <v>0</v>
      </c>
      <c r="Q3195" t="n">
        <v>0</v>
      </c>
      <c r="R3195" s="2" t="inlineStr"/>
    </row>
    <row r="3196" ht="15" customHeight="1">
      <c r="A3196" t="inlineStr">
        <is>
          <t>A 53691-2024</t>
        </is>
      </c>
      <c r="B3196" s="1" t="n">
        <v>45615.37226851852</v>
      </c>
      <c r="C3196" s="1" t="n">
        <v>45911</v>
      </c>
      <c r="D3196" t="inlineStr">
        <is>
          <t>GÄVLEBORGS LÄN</t>
        </is>
      </c>
      <c r="E3196" t="inlineStr">
        <is>
          <t>NORDANSTIG</t>
        </is>
      </c>
      <c r="G3196" t="n">
        <v>3.8</v>
      </c>
      <c r="H3196" t="n">
        <v>0</v>
      </c>
      <c r="I3196" t="n">
        <v>0</v>
      </c>
      <c r="J3196" t="n">
        <v>0</v>
      </c>
      <c r="K3196" t="n">
        <v>0</v>
      </c>
      <c r="L3196" t="n">
        <v>0</v>
      </c>
      <c r="M3196" t="n">
        <v>0</v>
      </c>
      <c r="N3196" t="n">
        <v>0</v>
      </c>
      <c r="O3196" t="n">
        <v>0</v>
      </c>
      <c r="P3196" t="n">
        <v>0</v>
      </c>
      <c r="Q3196" t="n">
        <v>0</v>
      </c>
      <c r="R3196" s="2" t="inlineStr"/>
    </row>
    <row r="3197" ht="15" customHeight="1">
      <c r="A3197" t="inlineStr">
        <is>
          <t>A 61579-2024</t>
        </is>
      </c>
      <c r="B3197" s="1" t="n">
        <v>45646.62292824074</v>
      </c>
      <c r="C3197" s="1" t="n">
        <v>45911</v>
      </c>
      <c r="D3197" t="inlineStr">
        <is>
          <t>GÄVLEBORGS LÄN</t>
        </is>
      </c>
      <c r="E3197" t="inlineStr">
        <is>
          <t>HUDIKSVALL</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38535-2023</t>
        </is>
      </c>
      <c r="B3198" s="1" t="n">
        <v>45162</v>
      </c>
      <c r="C3198" s="1" t="n">
        <v>45911</v>
      </c>
      <c r="D3198" t="inlineStr">
        <is>
          <t>GÄVLEBORGS LÄN</t>
        </is>
      </c>
      <c r="E3198" t="inlineStr">
        <is>
          <t>HUDIKSVALL</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39275-2024</t>
        </is>
      </c>
      <c r="B3199" s="1" t="n">
        <v>45551.34778935185</v>
      </c>
      <c r="C3199" s="1" t="n">
        <v>45911</v>
      </c>
      <c r="D3199" t="inlineStr">
        <is>
          <t>GÄVLEBORGS LÄN</t>
        </is>
      </c>
      <c r="E3199" t="inlineStr">
        <is>
          <t>HUDIKSVALL</t>
        </is>
      </c>
      <c r="F3199" t="inlineStr">
        <is>
          <t>Holmen skog AB</t>
        </is>
      </c>
      <c r="G3199" t="n">
        <v>4.9</v>
      </c>
      <c r="H3199" t="n">
        <v>0</v>
      </c>
      <c r="I3199" t="n">
        <v>0</v>
      </c>
      <c r="J3199" t="n">
        <v>0</v>
      </c>
      <c r="K3199" t="n">
        <v>0</v>
      </c>
      <c r="L3199" t="n">
        <v>0</v>
      </c>
      <c r="M3199" t="n">
        <v>0</v>
      </c>
      <c r="N3199" t="n">
        <v>0</v>
      </c>
      <c r="O3199" t="n">
        <v>0</v>
      </c>
      <c r="P3199" t="n">
        <v>0</v>
      </c>
      <c r="Q3199" t="n">
        <v>0</v>
      </c>
      <c r="R3199" s="2" t="inlineStr"/>
    </row>
    <row r="3200" ht="15" customHeight="1">
      <c r="A3200" t="inlineStr">
        <is>
          <t>A 39342-2024</t>
        </is>
      </c>
      <c r="B3200" s="1" t="n">
        <v>45551.44482638889</v>
      </c>
      <c r="C3200" s="1" t="n">
        <v>45911</v>
      </c>
      <c r="D3200" t="inlineStr">
        <is>
          <t>GÄVLEBORGS LÄN</t>
        </is>
      </c>
      <c r="E3200" t="inlineStr">
        <is>
          <t>SANDVIKEN</t>
        </is>
      </c>
      <c r="F3200" t="inlineStr">
        <is>
          <t>Sveaskog</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39384-2023</t>
        </is>
      </c>
      <c r="B3201" s="1" t="n">
        <v>45166.64621527777</v>
      </c>
      <c r="C3201" s="1" t="n">
        <v>45911</v>
      </c>
      <c r="D3201" t="inlineStr">
        <is>
          <t>GÄVLEBORGS LÄN</t>
        </is>
      </c>
      <c r="E3201" t="inlineStr">
        <is>
          <t>OVANÅKER</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52921-2024</t>
        </is>
      </c>
      <c r="B3202" s="1" t="n">
        <v>45610.71336805556</v>
      </c>
      <c r="C3202" s="1" t="n">
        <v>45911</v>
      </c>
      <c r="D3202" t="inlineStr">
        <is>
          <t>GÄVLEBORGS LÄN</t>
        </is>
      </c>
      <c r="E3202" t="inlineStr">
        <is>
          <t>LJUSDAL</t>
        </is>
      </c>
      <c r="F3202" t="inlineStr">
        <is>
          <t>Allmännings- och besparingsskogar</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1468-2025</t>
        </is>
      </c>
      <c r="B3203" s="1" t="n">
        <v>45670</v>
      </c>
      <c r="C3203" s="1" t="n">
        <v>45911</v>
      </c>
      <c r="D3203" t="inlineStr">
        <is>
          <t>GÄVLEBORGS LÄN</t>
        </is>
      </c>
      <c r="E3203" t="inlineStr">
        <is>
          <t>HUDIKSVALL</t>
        </is>
      </c>
      <c r="G3203" t="n">
        <v>11.8</v>
      </c>
      <c r="H3203" t="n">
        <v>0</v>
      </c>
      <c r="I3203" t="n">
        <v>0</v>
      </c>
      <c r="J3203" t="n">
        <v>0</v>
      </c>
      <c r="K3203" t="n">
        <v>0</v>
      </c>
      <c r="L3203" t="n">
        <v>0</v>
      </c>
      <c r="M3203" t="n">
        <v>0</v>
      </c>
      <c r="N3203" t="n">
        <v>0</v>
      </c>
      <c r="O3203" t="n">
        <v>0</v>
      </c>
      <c r="P3203" t="n">
        <v>0</v>
      </c>
      <c r="Q3203" t="n">
        <v>0</v>
      </c>
      <c r="R3203" s="2" t="inlineStr"/>
    </row>
    <row r="3204" ht="15" customHeight="1">
      <c r="A3204" t="inlineStr">
        <is>
          <t>A 60335-2022</t>
        </is>
      </c>
      <c r="B3204" s="1" t="n">
        <v>44910.60543981481</v>
      </c>
      <c r="C3204" s="1" t="n">
        <v>45911</v>
      </c>
      <c r="D3204" t="inlineStr">
        <is>
          <t>GÄVLEBORGS LÄN</t>
        </is>
      </c>
      <c r="E3204" t="inlineStr">
        <is>
          <t>BOLLNÄS</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52981-2024</t>
        </is>
      </c>
      <c r="B3205" s="1" t="n">
        <v>45611.35353009259</v>
      </c>
      <c r="C3205" s="1" t="n">
        <v>45911</v>
      </c>
      <c r="D3205" t="inlineStr">
        <is>
          <t>GÄVLEBORGS LÄN</t>
        </is>
      </c>
      <c r="E3205" t="inlineStr">
        <is>
          <t>LJUSDAL</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19014-2024</t>
        </is>
      </c>
      <c r="B3206" s="1" t="n">
        <v>45427</v>
      </c>
      <c r="C3206" s="1" t="n">
        <v>45911</v>
      </c>
      <c r="D3206" t="inlineStr">
        <is>
          <t>GÄVLEBORGS LÄN</t>
        </is>
      </c>
      <c r="E3206" t="inlineStr">
        <is>
          <t>HUDIKSVALL</t>
        </is>
      </c>
      <c r="F3206" t="inlineStr">
        <is>
          <t>Holmen skog AB</t>
        </is>
      </c>
      <c r="G3206" t="n">
        <v>17.7</v>
      </c>
      <c r="H3206" t="n">
        <v>0</v>
      </c>
      <c r="I3206" t="n">
        <v>0</v>
      </c>
      <c r="J3206" t="n">
        <v>0</v>
      </c>
      <c r="K3206" t="n">
        <v>0</v>
      </c>
      <c r="L3206" t="n">
        <v>0</v>
      </c>
      <c r="M3206" t="n">
        <v>0</v>
      </c>
      <c r="N3206" t="n">
        <v>0</v>
      </c>
      <c r="O3206" t="n">
        <v>0</v>
      </c>
      <c r="P3206" t="n">
        <v>0</v>
      </c>
      <c r="Q3206" t="n">
        <v>0</v>
      </c>
      <c r="R3206" s="2" t="inlineStr"/>
    </row>
    <row r="3207" ht="15" customHeight="1">
      <c r="A3207" t="inlineStr">
        <is>
          <t>A 1221-2025</t>
        </is>
      </c>
      <c r="B3207" s="1" t="n">
        <v>45667.43208333333</v>
      </c>
      <c r="C3207" s="1" t="n">
        <v>45911</v>
      </c>
      <c r="D3207" t="inlineStr">
        <is>
          <t>GÄVLEBORGS LÄN</t>
        </is>
      </c>
      <c r="E3207" t="inlineStr">
        <is>
          <t>BOLLNÄS</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1226-2025</t>
        </is>
      </c>
      <c r="B3208" s="1" t="n">
        <v>45667.43862268519</v>
      </c>
      <c r="C3208" s="1" t="n">
        <v>45911</v>
      </c>
      <c r="D3208" t="inlineStr">
        <is>
          <t>GÄVLEBORGS LÄN</t>
        </is>
      </c>
      <c r="E3208" t="inlineStr">
        <is>
          <t>LJUSDAL</t>
        </is>
      </c>
      <c r="F3208" t="inlineStr">
        <is>
          <t>Bergvik skog väst AB</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48832-2022</t>
        </is>
      </c>
      <c r="B3209" s="1" t="n">
        <v>44859.65696759259</v>
      </c>
      <c r="C3209" s="1" t="n">
        <v>45911</v>
      </c>
      <c r="D3209" t="inlineStr">
        <is>
          <t>GÄVLEBORGS LÄN</t>
        </is>
      </c>
      <c r="E3209" t="inlineStr">
        <is>
          <t>NORDANSTIG</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38556-2021</t>
        </is>
      </c>
      <c r="B3210" s="1" t="n">
        <v>44407</v>
      </c>
      <c r="C3210" s="1" t="n">
        <v>45911</v>
      </c>
      <c r="D3210" t="inlineStr">
        <is>
          <t>GÄVLEBORGS LÄN</t>
        </is>
      </c>
      <c r="E3210" t="inlineStr">
        <is>
          <t>BOLLNÄS</t>
        </is>
      </c>
      <c r="G3210" t="n">
        <v>3.4</v>
      </c>
      <c r="H3210" t="n">
        <v>0</v>
      </c>
      <c r="I3210" t="n">
        <v>0</v>
      </c>
      <c r="J3210" t="n">
        <v>0</v>
      </c>
      <c r="K3210" t="n">
        <v>0</v>
      </c>
      <c r="L3210" t="n">
        <v>0</v>
      </c>
      <c r="M3210" t="n">
        <v>0</v>
      </c>
      <c r="N3210" t="n">
        <v>0</v>
      </c>
      <c r="O3210" t="n">
        <v>0</v>
      </c>
      <c r="P3210" t="n">
        <v>0</v>
      </c>
      <c r="Q3210" t="n">
        <v>0</v>
      </c>
      <c r="R3210" s="2" t="inlineStr"/>
    </row>
    <row r="3211" ht="15" customHeight="1">
      <c r="A3211" t="inlineStr">
        <is>
          <t>A 26581-2025</t>
        </is>
      </c>
      <c r="B3211" s="1" t="n">
        <v>45807</v>
      </c>
      <c r="C3211" s="1" t="n">
        <v>45911</v>
      </c>
      <c r="D3211" t="inlineStr">
        <is>
          <t>GÄVLEBORGS LÄN</t>
        </is>
      </c>
      <c r="E3211" t="inlineStr">
        <is>
          <t>OVANÅKER</t>
        </is>
      </c>
      <c r="G3211" t="n">
        <v>5.2</v>
      </c>
      <c r="H3211" t="n">
        <v>0</v>
      </c>
      <c r="I3211" t="n">
        <v>0</v>
      </c>
      <c r="J3211" t="n">
        <v>0</v>
      </c>
      <c r="K3211" t="n">
        <v>0</v>
      </c>
      <c r="L3211" t="n">
        <v>0</v>
      </c>
      <c r="M3211" t="n">
        <v>0</v>
      </c>
      <c r="N3211" t="n">
        <v>0</v>
      </c>
      <c r="O3211" t="n">
        <v>0</v>
      </c>
      <c r="P3211" t="n">
        <v>0</v>
      </c>
      <c r="Q3211" t="n">
        <v>0</v>
      </c>
      <c r="R3211" s="2" t="inlineStr"/>
    </row>
    <row r="3212" ht="15" customHeight="1">
      <c r="A3212" t="inlineStr">
        <is>
          <t>A 37258-2024</t>
        </is>
      </c>
      <c r="B3212" s="1" t="n">
        <v>45540.36945601852</v>
      </c>
      <c r="C3212" s="1" t="n">
        <v>45911</v>
      </c>
      <c r="D3212" t="inlineStr">
        <is>
          <t>GÄVLEBORGS LÄN</t>
        </is>
      </c>
      <c r="E3212" t="inlineStr">
        <is>
          <t>GÄVLE</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36464-2024</t>
        </is>
      </c>
      <c r="B3213" s="1" t="n">
        <v>45537.35846064815</v>
      </c>
      <c r="C3213" s="1" t="n">
        <v>45911</v>
      </c>
      <c r="D3213" t="inlineStr">
        <is>
          <t>GÄVLEBORGS LÄN</t>
        </is>
      </c>
      <c r="E3213" t="inlineStr">
        <is>
          <t>NORDANSTIG</t>
        </is>
      </c>
      <c r="F3213" t="inlineStr">
        <is>
          <t>SCA</t>
        </is>
      </c>
      <c r="G3213" t="n">
        <v>4.4</v>
      </c>
      <c r="H3213" t="n">
        <v>0</v>
      </c>
      <c r="I3213" t="n">
        <v>0</v>
      </c>
      <c r="J3213" t="n">
        <v>0</v>
      </c>
      <c r="K3213" t="n">
        <v>0</v>
      </c>
      <c r="L3213" t="n">
        <v>0</v>
      </c>
      <c r="M3213" t="n">
        <v>0</v>
      </c>
      <c r="N3213" t="n">
        <v>0</v>
      </c>
      <c r="O3213" t="n">
        <v>0</v>
      </c>
      <c r="P3213" t="n">
        <v>0</v>
      </c>
      <c r="Q3213" t="n">
        <v>0</v>
      </c>
      <c r="R3213" s="2" t="inlineStr"/>
    </row>
    <row r="3214" ht="15" customHeight="1">
      <c r="A3214" t="inlineStr">
        <is>
          <t>A 54273-2024</t>
        </is>
      </c>
      <c r="B3214" s="1" t="n">
        <v>45616.82413194444</v>
      </c>
      <c r="C3214" s="1" t="n">
        <v>45911</v>
      </c>
      <c r="D3214" t="inlineStr">
        <is>
          <t>GÄVLEBORGS LÄN</t>
        </is>
      </c>
      <c r="E3214" t="inlineStr">
        <is>
          <t>OVANÅKER</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40965-2023</t>
        </is>
      </c>
      <c r="B3215" s="1" t="n">
        <v>45173</v>
      </c>
      <c r="C3215" s="1" t="n">
        <v>45911</v>
      </c>
      <c r="D3215" t="inlineStr">
        <is>
          <t>GÄVLEBORGS LÄN</t>
        </is>
      </c>
      <c r="E3215" t="inlineStr">
        <is>
          <t>HUDIKSVALL</t>
        </is>
      </c>
      <c r="F3215" t="inlineStr">
        <is>
          <t>Holmen skog AB</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54309-2024</t>
        </is>
      </c>
      <c r="B3216" s="1" t="n">
        <v>45617.34234953704</v>
      </c>
      <c r="C3216" s="1" t="n">
        <v>45911</v>
      </c>
      <c r="D3216" t="inlineStr">
        <is>
          <t>GÄVLEBORGS LÄN</t>
        </is>
      </c>
      <c r="E3216" t="inlineStr">
        <is>
          <t>OCKELBO</t>
        </is>
      </c>
      <c r="F3216" t="inlineStr">
        <is>
          <t>Bergvik skog väst AB</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8667-2024</t>
        </is>
      </c>
      <c r="B3217" s="1" t="n">
        <v>45356.29768518519</v>
      </c>
      <c r="C3217" s="1" t="n">
        <v>45911</v>
      </c>
      <c r="D3217" t="inlineStr">
        <is>
          <t>GÄVLEBORGS LÄN</t>
        </is>
      </c>
      <c r="E3217" t="inlineStr">
        <is>
          <t>LJUSDAL</t>
        </is>
      </c>
      <c r="G3217" t="n">
        <v>3.6</v>
      </c>
      <c r="H3217" t="n">
        <v>0</v>
      </c>
      <c r="I3217" t="n">
        <v>0</v>
      </c>
      <c r="J3217" t="n">
        <v>0</v>
      </c>
      <c r="K3217" t="n">
        <v>0</v>
      </c>
      <c r="L3217" t="n">
        <v>0</v>
      </c>
      <c r="M3217" t="n">
        <v>0</v>
      </c>
      <c r="N3217" t="n">
        <v>0</v>
      </c>
      <c r="O3217" t="n">
        <v>0</v>
      </c>
      <c r="P3217" t="n">
        <v>0</v>
      </c>
      <c r="Q3217" t="n">
        <v>0</v>
      </c>
      <c r="R3217" s="2" t="inlineStr"/>
    </row>
    <row r="3218" ht="15" customHeight="1">
      <c r="A3218" t="inlineStr">
        <is>
          <t>A 20682-2023</t>
        </is>
      </c>
      <c r="B3218" s="1" t="n">
        <v>45058.38581018519</v>
      </c>
      <c r="C3218" s="1" t="n">
        <v>45911</v>
      </c>
      <c r="D3218" t="inlineStr">
        <is>
          <t>GÄVLEBORGS LÄN</t>
        </is>
      </c>
      <c r="E3218" t="inlineStr">
        <is>
          <t>GÄVLE</t>
        </is>
      </c>
      <c r="G3218" t="n">
        <v>5.1</v>
      </c>
      <c r="H3218" t="n">
        <v>0</v>
      </c>
      <c r="I3218" t="n">
        <v>0</v>
      </c>
      <c r="J3218" t="n">
        <v>0</v>
      </c>
      <c r="K3218" t="n">
        <v>0</v>
      </c>
      <c r="L3218" t="n">
        <v>0</v>
      </c>
      <c r="M3218" t="n">
        <v>0</v>
      </c>
      <c r="N3218" t="n">
        <v>0</v>
      </c>
      <c r="O3218" t="n">
        <v>0</v>
      </c>
      <c r="P3218" t="n">
        <v>0</v>
      </c>
      <c r="Q3218" t="n">
        <v>0</v>
      </c>
      <c r="R3218" s="2" t="inlineStr"/>
    </row>
    <row r="3219" ht="15" customHeight="1">
      <c r="A3219" t="inlineStr">
        <is>
          <t>A 8693-2024</t>
        </is>
      </c>
      <c r="B3219" s="1" t="n">
        <v>45356.36994212963</v>
      </c>
      <c r="C3219" s="1" t="n">
        <v>45911</v>
      </c>
      <c r="D3219" t="inlineStr">
        <is>
          <t>GÄVLEBORGS LÄN</t>
        </is>
      </c>
      <c r="E3219" t="inlineStr">
        <is>
          <t>GÄVLE</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33198-2024</t>
        </is>
      </c>
      <c r="B3220" s="1" t="n">
        <v>45518</v>
      </c>
      <c r="C3220" s="1" t="n">
        <v>45911</v>
      </c>
      <c r="D3220" t="inlineStr">
        <is>
          <t>GÄVLEBORGS LÄN</t>
        </is>
      </c>
      <c r="E3220" t="inlineStr">
        <is>
          <t>OVANÅKER</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26181-2023</t>
        </is>
      </c>
      <c r="B3221" s="1" t="n">
        <v>45091.53126157408</v>
      </c>
      <c r="C3221" s="1" t="n">
        <v>45911</v>
      </c>
      <c r="D3221" t="inlineStr">
        <is>
          <t>GÄVLEBORGS LÄN</t>
        </is>
      </c>
      <c r="E3221" t="inlineStr">
        <is>
          <t>LJUSDAL</t>
        </is>
      </c>
      <c r="F3221" t="inlineStr">
        <is>
          <t>Sveaskog</t>
        </is>
      </c>
      <c r="G3221" t="n">
        <v>6.8</v>
      </c>
      <c r="H3221" t="n">
        <v>0</v>
      </c>
      <c r="I3221" t="n">
        <v>0</v>
      </c>
      <c r="J3221" t="n">
        <v>0</v>
      </c>
      <c r="K3221" t="n">
        <v>0</v>
      </c>
      <c r="L3221" t="n">
        <v>0</v>
      </c>
      <c r="M3221" t="n">
        <v>0</v>
      </c>
      <c r="N3221" t="n">
        <v>0</v>
      </c>
      <c r="O3221" t="n">
        <v>0</v>
      </c>
      <c r="P3221" t="n">
        <v>0</v>
      </c>
      <c r="Q3221" t="n">
        <v>0</v>
      </c>
      <c r="R3221" s="2" t="inlineStr"/>
    </row>
    <row r="3222" ht="15" customHeight="1">
      <c r="A3222" t="inlineStr">
        <is>
          <t>A 26184-2023</t>
        </is>
      </c>
      <c r="B3222" s="1" t="n">
        <v>45091.53296296296</v>
      </c>
      <c r="C3222" s="1" t="n">
        <v>45911</v>
      </c>
      <c r="D3222" t="inlineStr">
        <is>
          <t>GÄVLEBORGS LÄN</t>
        </is>
      </c>
      <c r="E3222" t="inlineStr">
        <is>
          <t>LJUSDAL</t>
        </is>
      </c>
      <c r="F3222" t="inlineStr">
        <is>
          <t>Sveaskog</t>
        </is>
      </c>
      <c r="G3222" t="n">
        <v>11.8</v>
      </c>
      <c r="H3222" t="n">
        <v>0</v>
      </c>
      <c r="I3222" t="n">
        <v>0</v>
      </c>
      <c r="J3222" t="n">
        <v>0</v>
      </c>
      <c r="K3222" t="n">
        <v>0</v>
      </c>
      <c r="L3222" t="n">
        <v>0</v>
      </c>
      <c r="M3222" t="n">
        <v>0</v>
      </c>
      <c r="N3222" t="n">
        <v>0</v>
      </c>
      <c r="O3222" t="n">
        <v>0</v>
      </c>
      <c r="P3222" t="n">
        <v>0</v>
      </c>
      <c r="Q3222" t="n">
        <v>0</v>
      </c>
      <c r="R3222" s="2" t="inlineStr"/>
    </row>
    <row r="3223" ht="15" customHeight="1">
      <c r="A3223" t="inlineStr">
        <is>
          <t>A 48367-2024</t>
        </is>
      </c>
      <c r="B3223" s="1" t="n">
        <v>45590.57818287037</v>
      </c>
      <c r="C3223" s="1" t="n">
        <v>45911</v>
      </c>
      <c r="D3223" t="inlineStr">
        <is>
          <t>GÄVLEBORGS LÄN</t>
        </is>
      </c>
      <c r="E3223" t="inlineStr">
        <is>
          <t>HUDIKSVALL</t>
        </is>
      </c>
      <c r="F3223" t="inlineStr">
        <is>
          <t>Holmen skog AB</t>
        </is>
      </c>
      <c r="G3223" t="n">
        <v>17.6</v>
      </c>
      <c r="H3223" t="n">
        <v>0</v>
      </c>
      <c r="I3223" t="n">
        <v>0</v>
      </c>
      <c r="J3223" t="n">
        <v>0</v>
      </c>
      <c r="K3223" t="n">
        <v>0</v>
      </c>
      <c r="L3223" t="n">
        <v>0</v>
      </c>
      <c r="M3223" t="n">
        <v>0</v>
      </c>
      <c r="N3223" t="n">
        <v>0</v>
      </c>
      <c r="O3223" t="n">
        <v>0</v>
      </c>
      <c r="P3223" t="n">
        <v>0</v>
      </c>
      <c r="Q3223" t="n">
        <v>0</v>
      </c>
      <c r="R3223" s="2" t="inlineStr"/>
    </row>
    <row r="3224" ht="15" customHeight="1">
      <c r="A3224" t="inlineStr">
        <is>
          <t>A 603-2025</t>
        </is>
      </c>
      <c r="B3224" s="1" t="n">
        <v>45664</v>
      </c>
      <c r="C3224" s="1" t="n">
        <v>45911</v>
      </c>
      <c r="D3224" t="inlineStr">
        <is>
          <t>GÄVLEBORGS LÄN</t>
        </is>
      </c>
      <c r="E3224" t="inlineStr">
        <is>
          <t>HUDIKSVALL</t>
        </is>
      </c>
      <c r="F3224" t="inlineStr">
        <is>
          <t>Holmen skog AB</t>
        </is>
      </c>
      <c r="G3224" t="n">
        <v>5.2</v>
      </c>
      <c r="H3224" t="n">
        <v>0</v>
      </c>
      <c r="I3224" t="n">
        <v>0</v>
      </c>
      <c r="J3224" t="n">
        <v>0</v>
      </c>
      <c r="K3224" t="n">
        <v>0</v>
      </c>
      <c r="L3224" t="n">
        <v>0</v>
      </c>
      <c r="M3224" t="n">
        <v>0</v>
      </c>
      <c r="N3224" t="n">
        <v>0</v>
      </c>
      <c r="O3224" t="n">
        <v>0</v>
      </c>
      <c r="P3224" t="n">
        <v>0</v>
      </c>
      <c r="Q3224" t="n">
        <v>0</v>
      </c>
      <c r="R3224" s="2" t="inlineStr"/>
    </row>
    <row r="3225" ht="15" customHeight="1">
      <c r="A3225" t="inlineStr">
        <is>
          <t>A 55519-2024</t>
        </is>
      </c>
      <c r="B3225" s="1" t="n">
        <v>45622</v>
      </c>
      <c r="C3225" s="1" t="n">
        <v>45911</v>
      </c>
      <c r="D3225" t="inlineStr">
        <is>
          <t>GÄVLEBORGS LÄN</t>
        </is>
      </c>
      <c r="E3225" t="inlineStr">
        <is>
          <t>HUDIKSVALL</t>
        </is>
      </c>
      <c r="F3225" t="inlineStr">
        <is>
          <t>Holmen skog AB</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29812-2024</t>
        </is>
      </c>
      <c r="B3226" s="1" t="n">
        <v>45485</v>
      </c>
      <c r="C3226" s="1" t="n">
        <v>45911</v>
      </c>
      <c r="D3226" t="inlineStr">
        <is>
          <t>GÄVLEBORGS LÄN</t>
        </is>
      </c>
      <c r="E3226" t="inlineStr">
        <is>
          <t>LJUSDAL</t>
        </is>
      </c>
      <c r="F3226" t="inlineStr">
        <is>
          <t>Allmännings- och besparingsskogar</t>
        </is>
      </c>
      <c r="G3226" t="n">
        <v>10.3</v>
      </c>
      <c r="H3226" t="n">
        <v>0</v>
      </c>
      <c r="I3226" t="n">
        <v>0</v>
      </c>
      <c r="J3226" t="n">
        <v>0</v>
      </c>
      <c r="K3226" t="n">
        <v>0</v>
      </c>
      <c r="L3226" t="n">
        <v>0</v>
      </c>
      <c r="M3226" t="n">
        <v>0</v>
      </c>
      <c r="N3226" t="n">
        <v>0</v>
      </c>
      <c r="O3226" t="n">
        <v>0</v>
      </c>
      <c r="P3226" t="n">
        <v>0</v>
      </c>
      <c r="Q3226" t="n">
        <v>0</v>
      </c>
      <c r="R3226" s="2" t="inlineStr"/>
    </row>
    <row r="3227" ht="15" customHeight="1">
      <c r="A3227" t="inlineStr">
        <is>
          <t>A 62903-2023</t>
        </is>
      </c>
      <c r="B3227" s="1" t="n">
        <v>45272</v>
      </c>
      <c r="C3227" s="1" t="n">
        <v>45911</v>
      </c>
      <c r="D3227" t="inlineStr">
        <is>
          <t>GÄVLEBORGS LÄN</t>
        </is>
      </c>
      <c r="E3227" t="inlineStr">
        <is>
          <t>SÖDERHAMN</t>
        </is>
      </c>
      <c r="G3227" t="n">
        <v>7.4</v>
      </c>
      <c r="H3227" t="n">
        <v>0</v>
      </c>
      <c r="I3227" t="n">
        <v>0</v>
      </c>
      <c r="J3227" t="n">
        <v>0</v>
      </c>
      <c r="K3227" t="n">
        <v>0</v>
      </c>
      <c r="L3227" t="n">
        <v>0</v>
      </c>
      <c r="M3227" t="n">
        <v>0</v>
      </c>
      <c r="N3227" t="n">
        <v>0</v>
      </c>
      <c r="O3227" t="n">
        <v>0</v>
      </c>
      <c r="P3227" t="n">
        <v>0</v>
      </c>
      <c r="Q3227" t="n">
        <v>0</v>
      </c>
      <c r="R3227" s="2" t="inlineStr"/>
    </row>
    <row r="3228" ht="15" customHeight="1">
      <c r="A3228" t="inlineStr">
        <is>
          <t>A 42088-2024</t>
        </is>
      </c>
      <c r="B3228" s="1" t="n">
        <v>45562.34226851852</v>
      </c>
      <c r="C3228" s="1" t="n">
        <v>45911</v>
      </c>
      <c r="D3228" t="inlineStr">
        <is>
          <t>GÄVLEBORGS LÄN</t>
        </is>
      </c>
      <c r="E3228" t="inlineStr">
        <is>
          <t>SANDVIKEN</t>
        </is>
      </c>
      <c r="G3228" t="n">
        <v>6</v>
      </c>
      <c r="H3228" t="n">
        <v>0</v>
      </c>
      <c r="I3228" t="n">
        <v>0</v>
      </c>
      <c r="J3228" t="n">
        <v>0</v>
      </c>
      <c r="K3228" t="n">
        <v>0</v>
      </c>
      <c r="L3228" t="n">
        <v>0</v>
      </c>
      <c r="M3228" t="n">
        <v>0</v>
      </c>
      <c r="N3228" t="n">
        <v>0</v>
      </c>
      <c r="O3228" t="n">
        <v>0</v>
      </c>
      <c r="P3228" t="n">
        <v>0</v>
      </c>
      <c r="Q3228" t="n">
        <v>0</v>
      </c>
      <c r="R3228" s="2" t="inlineStr"/>
    </row>
    <row r="3229" ht="15" customHeight="1">
      <c r="A3229" t="inlineStr">
        <is>
          <t>A 42107-2024</t>
        </is>
      </c>
      <c r="B3229" s="1" t="n">
        <v>45562.36814814815</v>
      </c>
      <c r="C3229" s="1" t="n">
        <v>45911</v>
      </c>
      <c r="D3229" t="inlineStr">
        <is>
          <t>GÄVLEBORGS LÄN</t>
        </is>
      </c>
      <c r="E3229" t="inlineStr">
        <is>
          <t>SANDVIKEN</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55526-2024</t>
        </is>
      </c>
      <c r="B3230" s="1" t="n">
        <v>45622</v>
      </c>
      <c r="C3230" s="1" t="n">
        <v>45911</v>
      </c>
      <c r="D3230" t="inlineStr">
        <is>
          <t>GÄVLEBORGS LÄN</t>
        </is>
      </c>
      <c r="E3230" t="inlineStr">
        <is>
          <t>NORDANSTIG</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11382-2025</t>
        </is>
      </c>
      <c r="B3231" s="1" t="n">
        <v>45726.56217592592</v>
      </c>
      <c r="C3231" s="1" t="n">
        <v>45911</v>
      </c>
      <c r="D3231" t="inlineStr">
        <is>
          <t>GÄVLEBORGS LÄN</t>
        </is>
      </c>
      <c r="E3231" t="inlineStr">
        <is>
          <t>GÄVLE</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33347-2024</t>
        </is>
      </c>
      <c r="B3232" s="1" t="n">
        <v>45519.36583333334</v>
      </c>
      <c r="C3232" s="1" t="n">
        <v>45911</v>
      </c>
      <c r="D3232" t="inlineStr">
        <is>
          <t>GÄVLEBORGS LÄN</t>
        </is>
      </c>
      <c r="E3232" t="inlineStr">
        <is>
          <t>LJUSDAL</t>
        </is>
      </c>
      <c r="F3232" t="inlineStr">
        <is>
          <t>Holmen skog AB</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55574-2024</t>
        </is>
      </c>
      <c r="B3233" s="1" t="n">
        <v>45622.55423611111</v>
      </c>
      <c r="C3233" s="1" t="n">
        <v>45911</v>
      </c>
      <c r="D3233" t="inlineStr">
        <is>
          <t>GÄVLEBORGS LÄN</t>
        </is>
      </c>
      <c r="E3233" t="inlineStr">
        <is>
          <t>HUDIKSVALL</t>
        </is>
      </c>
      <c r="F3233" t="inlineStr">
        <is>
          <t>Holmen skog AB</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45639-2023</t>
        </is>
      </c>
      <c r="B3234" s="1" t="n">
        <v>45194.68771990741</v>
      </c>
      <c r="C3234" s="1" t="n">
        <v>45911</v>
      </c>
      <c r="D3234" t="inlineStr">
        <is>
          <t>GÄVLEBORGS LÄN</t>
        </is>
      </c>
      <c r="E3234" t="inlineStr">
        <is>
          <t>BOLLNÄS</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1860-2025</t>
        </is>
      </c>
      <c r="B3235" s="1" t="n">
        <v>45671.60770833334</v>
      </c>
      <c r="C3235" s="1" t="n">
        <v>45911</v>
      </c>
      <c r="D3235" t="inlineStr">
        <is>
          <t>GÄVLEBORGS LÄN</t>
        </is>
      </c>
      <c r="E3235" t="inlineStr">
        <is>
          <t>NORDANSTIG</t>
        </is>
      </c>
      <c r="F3235" t="inlineStr">
        <is>
          <t>Holmen skog AB</t>
        </is>
      </c>
      <c r="G3235" t="n">
        <v>5.2</v>
      </c>
      <c r="H3235" t="n">
        <v>0</v>
      </c>
      <c r="I3235" t="n">
        <v>0</v>
      </c>
      <c r="J3235" t="n">
        <v>0</v>
      </c>
      <c r="K3235" t="n">
        <v>0</v>
      </c>
      <c r="L3235" t="n">
        <v>0</v>
      </c>
      <c r="M3235" t="n">
        <v>0</v>
      </c>
      <c r="N3235" t="n">
        <v>0</v>
      </c>
      <c r="O3235" t="n">
        <v>0</v>
      </c>
      <c r="P3235" t="n">
        <v>0</v>
      </c>
      <c r="Q3235" t="n">
        <v>0</v>
      </c>
      <c r="R3235" s="2" t="inlineStr"/>
    </row>
    <row r="3236" ht="15" customHeight="1">
      <c r="A3236" t="inlineStr">
        <is>
          <t>A 10074-2022</t>
        </is>
      </c>
      <c r="B3236" s="1" t="n">
        <v>44621</v>
      </c>
      <c r="C3236" s="1" t="n">
        <v>45911</v>
      </c>
      <c r="D3236" t="inlineStr">
        <is>
          <t>GÄVLEBORGS LÄN</t>
        </is>
      </c>
      <c r="E3236" t="inlineStr">
        <is>
          <t>LJUSDAL</t>
        </is>
      </c>
      <c r="F3236" t="inlineStr">
        <is>
          <t>Kommuner</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39137-2023</t>
        </is>
      </c>
      <c r="B3237" s="1" t="n">
        <v>45165.88039351852</v>
      </c>
      <c r="C3237" s="1" t="n">
        <v>45911</v>
      </c>
      <c r="D3237" t="inlineStr">
        <is>
          <t>GÄVLEBORGS LÄN</t>
        </is>
      </c>
      <c r="E3237" t="inlineStr">
        <is>
          <t>SÖDERHAMN</t>
        </is>
      </c>
      <c r="G3237" t="n">
        <v>5.2</v>
      </c>
      <c r="H3237" t="n">
        <v>0</v>
      </c>
      <c r="I3237" t="n">
        <v>0</v>
      </c>
      <c r="J3237" t="n">
        <v>0</v>
      </c>
      <c r="K3237" t="n">
        <v>0</v>
      </c>
      <c r="L3237" t="n">
        <v>0</v>
      </c>
      <c r="M3237" t="n">
        <v>0</v>
      </c>
      <c r="N3237" t="n">
        <v>0</v>
      </c>
      <c r="O3237" t="n">
        <v>0</v>
      </c>
      <c r="P3237" t="n">
        <v>0</v>
      </c>
      <c r="Q3237" t="n">
        <v>0</v>
      </c>
      <c r="R3237" s="2" t="inlineStr"/>
    </row>
    <row r="3238" ht="15" customHeight="1">
      <c r="A3238" t="inlineStr">
        <is>
          <t>A 25557-2025</t>
        </is>
      </c>
      <c r="B3238" s="1" t="n">
        <v>45803.45233796296</v>
      </c>
      <c r="C3238" s="1" t="n">
        <v>45911</v>
      </c>
      <c r="D3238" t="inlineStr">
        <is>
          <t>GÄVLEBORGS LÄN</t>
        </is>
      </c>
      <c r="E3238" t="inlineStr">
        <is>
          <t>OVANÅKER</t>
        </is>
      </c>
      <c r="G3238" t="n">
        <v>4.8</v>
      </c>
      <c r="H3238" t="n">
        <v>0</v>
      </c>
      <c r="I3238" t="n">
        <v>0</v>
      </c>
      <c r="J3238" t="n">
        <v>0</v>
      </c>
      <c r="K3238" t="n">
        <v>0</v>
      </c>
      <c r="L3238" t="n">
        <v>0</v>
      </c>
      <c r="M3238" t="n">
        <v>0</v>
      </c>
      <c r="N3238" t="n">
        <v>0</v>
      </c>
      <c r="O3238" t="n">
        <v>0</v>
      </c>
      <c r="P3238" t="n">
        <v>0</v>
      </c>
      <c r="Q3238" t="n">
        <v>0</v>
      </c>
      <c r="R3238" s="2" t="inlineStr"/>
    </row>
    <row r="3239" ht="15" customHeight="1">
      <c r="A3239" t="inlineStr">
        <is>
          <t>A 42858-2024</t>
        </is>
      </c>
      <c r="B3239" s="1" t="n">
        <v>45566.65224537037</v>
      </c>
      <c r="C3239" s="1" t="n">
        <v>45911</v>
      </c>
      <c r="D3239" t="inlineStr">
        <is>
          <t>GÄVLEBORGS LÄN</t>
        </is>
      </c>
      <c r="E3239" t="inlineStr">
        <is>
          <t>NORDANSTIG</t>
        </is>
      </c>
      <c r="G3239" t="n">
        <v>3.2</v>
      </c>
      <c r="H3239" t="n">
        <v>0</v>
      </c>
      <c r="I3239" t="n">
        <v>0</v>
      </c>
      <c r="J3239" t="n">
        <v>0</v>
      </c>
      <c r="K3239" t="n">
        <v>0</v>
      </c>
      <c r="L3239" t="n">
        <v>0</v>
      </c>
      <c r="M3239" t="n">
        <v>0</v>
      </c>
      <c r="N3239" t="n">
        <v>0</v>
      </c>
      <c r="O3239" t="n">
        <v>0</v>
      </c>
      <c r="P3239" t="n">
        <v>0</v>
      </c>
      <c r="Q3239" t="n">
        <v>0</v>
      </c>
      <c r="R3239" s="2" t="inlineStr"/>
    </row>
    <row r="3240" ht="15" customHeight="1">
      <c r="A3240" t="inlineStr">
        <is>
          <t>A 61091-2024</t>
        </is>
      </c>
      <c r="B3240" s="1" t="n">
        <v>45645.54240740741</v>
      </c>
      <c r="C3240" s="1" t="n">
        <v>45911</v>
      </c>
      <c r="D3240" t="inlineStr">
        <is>
          <t>GÄVLEBORGS LÄN</t>
        </is>
      </c>
      <c r="E3240" t="inlineStr">
        <is>
          <t>LJUSDAL</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42868-2024</t>
        </is>
      </c>
      <c r="B3241" s="1" t="n">
        <v>45566.6625462963</v>
      </c>
      <c r="C3241" s="1" t="n">
        <v>45911</v>
      </c>
      <c r="D3241" t="inlineStr">
        <is>
          <t>GÄVLEBORGS LÄN</t>
        </is>
      </c>
      <c r="E3241" t="inlineStr">
        <is>
          <t>SANDVIKEN</t>
        </is>
      </c>
      <c r="F3241" t="inlineStr">
        <is>
          <t>Sveaskog</t>
        </is>
      </c>
      <c r="G3241" t="n">
        <v>3.3</v>
      </c>
      <c r="H3241" t="n">
        <v>0</v>
      </c>
      <c r="I3241" t="n">
        <v>0</v>
      </c>
      <c r="J3241" t="n">
        <v>0</v>
      </c>
      <c r="K3241" t="n">
        <v>0</v>
      </c>
      <c r="L3241" t="n">
        <v>0</v>
      </c>
      <c r="M3241" t="n">
        <v>0</v>
      </c>
      <c r="N3241" t="n">
        <v>0</v>
      </c>
      <c r="O3241" t="n">
        <v>0</v>
      </c>
      <c r="P3241" t="n">
        <v>0</v>
      </c>
      <c r="Q3241" t="n">
        <v>0</v>
      </c>
      <c r="R3241" s="2" t="inlineStr"/>
    </row>
    <row r="3242" ht="15" customHeight="1">
      <c r="A3242" t="inlineStr">
        <is>
          <t>A 51797-2023</t>
        </is>
      </c>
      <c r="B3242" s="1" t="n">
        <v>45222</v>
      </c>
      <c r="C3242" s="1" t="n">
        <v>45911</v>
      </c>
      <c r="D3242" t="inlineStr">
        <is>
          <t>GÄVLEBORGS LÄN</t>
        </is>
      </c>
      <c r="E3242" t="inlineStr">
        <is>
          <t>BOLLNÄS</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43131-2024</t>
        </is>
      </c>
      <c r="B3243" s="1" t="n">
        <v>45567.60054398148</v>
      </c>
      <c r="C3243" s="1" t="n">
        <v>45911</v>
      </c>
      <c r="D3243" t="inlineStr">
        <is>
          <t>GÄVLEBORGS LÄN</t>
        </is>
      </c>
      <c r="E3243" t="inlineStr">
        <is>
          <t>BOLLNÄS</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5316-2025</t>
        </is>
      </c>
      <c r="B3244" s="1" t="n">
        <v>45692.51339120371</v>
      </c>
      <c r="C3244" s="1" t="n">
        <v>45911</v>
      </c>
      <c r="D3244" t="inlineStr">
        <is>
          <t>GÄVLEBORGS LÄN</t>
        </is>
      </c>
      <c r="E3244" t="inlineStr">
        <is>
          <t>LJUSDAL</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6096-2022</t>
        </is>
      </c>
      <c r="B3245" s="1" t="n">
        <v>44599</v>
      </c>
      <c r="C3245" s="1" t="n">
        <v>45911</v>
      </c>
      <c r="D3245" t="inlineStr">
        <is>
          <t>GÄVLEBORGS LÄN</t>
        </is>
      </c>
      <c r="E3245" t="inlineStr">
        <is>
          <t>NORDANSTIG</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5905-2025</t>
        </is>
      </c>
      <c r="B3246" s="1" t="n">
        <v>45695.40097222223</v>
      </c>
      <c r="C3246" s="1" t="n">
        <v>45911</v>
      </c>
      <c r="D3246" t="inlineStr">
        <is>
          <t>GÄVLEBORGS LÄN</t>
        </is>
      </c>
      <c r="E3246" t="inlineStr">
        <is>
          <t>HUDIKSVALL</t>
        </is>
      </c>
      <c r="F3246" t="inlineStr">
        <is>
          <t>Holmen skog AB</t>
        </is>
      </c>
      <c r="G3246" t="n">
        <v>7.6</v>
      </c>
      <c r="H3246" t="n">
        <v>0</v>
      </c>
      <c r="I3246" t="n">
        <v>0</v>
      </c>
      <c r="J3246" t="n">
        <v>0</v>
      </c>
      <c r="K3246" t="n">
        <v>0</v>
      </c>
      <c r="L3246" t="n">
        <v>0</v>
      </c>
      <c r="M3246" t="n">
        <v>0</v>
      </c>
      <c r="N3246" t="n">
        <v>0</v>
      </c>
      <c r="O3246" t="n">
        <v>0</v>
      </c>
      <c r="P3246" t="n">
        <v>0</v>
      </c>
      <c r="Q3246" t="n">
        <v>0</v>
      </c>
      <c r="R3246" s="2" t="inlineStr"/>
    </row>
    <row r="3247" ht="15" customHeight="1">
      <c r="A3247" t="inlineStr">
        <is>
          <t>A 54578-2024</t>
        </is>
      </c>
      <c r="B3247" s="1" t="n">
        <v>45617.65644675926</v>
      </c>
      <c r="C3247" s="1" t="n">
        <v>45911</v>
      </c>
      <c r="D3247" t="inlineStr">
        <is>
          <t>GÄVLEBORGS LÄN</t>
        </is>
      </c>
      <c r="E3247" t="inlineStr">
        <is>
          <t>HOFORS</t>
        </is>
      </c>
      <c r="G3247" t="n">
        <v>3.9</v>
      </c>
      <c r="H3247" t="n">
        <v>0</v>
      </c>
      <c r="I3247" t="n">
        <v>0</v>
      </c>
      <c r="J3247" t="n">
        <v>0</v>
      </c>
      <c r="K3247" t="n">
        <v>0</v>
      </c>
      <c r="L3247" t="n">
        <v>0</v>
      </c>
      <c r="M3247" t="n">
        <v>0</v>
      </c>
      <c r="N3247" t="n">
        <v>0</v>
      </c>
      <c r="O3247" t="n">
        <v>0</v>
      </c>
      <c r="P3247" t="n">
        <v>0</v>
      </c>
      <c r="Q3247" t="n">
        <v>0</v>
      </c>
      <c r="R3247" s="2" t="inlineStr"/>
    </row>
    <row r="3248" ht="15" customHeight="1">
      <c r="A3248" t="inlineStr">
        <is>
          <t>A 2720-2025</t>
        </is>
      </c>
      <c r="B3248" s="1" t="n">
        <v>45677.43327546296</v>
      </c>
      <c r="C3248" s="1" t="n">
        <v>45911</v>
      </c>
      <c r="D3248" t="inlineStr">
        <is>
          <t>GÄVLEBORGS LÄN</t>
        </is>
      </c>
      <c r="E3248" t="inlineStr">
        <is>
          <t>HUDIKSVALL</t>
        </is>
      </c>
      <c r="F3248" t="inlineStr">
        <is>
          <t>Holmen skog AB</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5906-2025</t>
        </is>
      </c>
      <c r="B3249" s="1" t="n">
        <v>45695.40210648148</v>
      </c>
      <c r="C3249" s="1" t="n">
        <v>45911</v>
      </c>
      <c r="D3249" t="inlineStr">
        <is>
          <t>GÄVLEBORGS LÄN</t>
        </is>
      </c>
      <c r="E3249" t="inlineStr">
        <is>
          <t>GÄVLE</t>
        </is>
      </c>
      <c r="F3249" t="inlineStr">
        <is>
          <t>Bergvik skog öst AB</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5963-2025</t>
        </is>
      </c>
      <c r="B3250" s="1" t="n">
        <v>45695.48805555556</v>
      </c>
      <c r="C3250" s="1" t="n">
        <v>45911</v>
      </c>
      <c r="D3250" t="inlineStr">
        <is>
          <t>GÄVLEBORGS LÄN</t>
        </is>
      </c>
      <c r="E3250" t="inlineStr">
        <is>
          <t>NORDANSTIG</t>
        </is>
      </c>
      <c r="G3250" t="n">
        <v>3.5</v>
      </c>
      <c r="H3250" t="n">
        <v>0</v>
      </c>
      <c r="I3250" t="n">
        <v>0</v>
      </c>
      <c r="J3250" t="n">
        <v>0</v>
      </c>
      <c r="K3250" t="n">
        <v>0</v>
      </c>
      <c r="L3250" t="n">
        <v>0</v>
      </c>
      <c r="M3250" t="n">
        <v>0</v>
      </c>
      <c r="N3250" t="n">
        <v>0</v>
      </c>
      <c r="O3250" t="n">
        <v>0</v>
      </c>
      <c r="P3250" t="n">
        <v>0</v>
      </c>
      <c r="Q3250" t="n">
        <v>0</v>
      </c>
      <c r="R3250" s="2" t="inlineStr"/>
    </row>
    <row r="3251" ht="15" customHeight="1">
      <c r="A3251" t="inlineStr">
        <is>
          <t>A 38268-2023</t>
        </is>
      </c>
      <c r="B3251" s="1" t="n">
        <v>45161.61159722223</v>
      </c>
      <c r="C3251" s="1" t="n">
        <v>45911</v>
      </c>
      <c r="D3251" t="inlineStr">
        <is>
          <t>GÄVLEBORGS LÄN</t>
        </is>
      </c>
      <c r="E3251" t="inlineStr">
        <is>
          <t>BOLLNÄS</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56468-2020</t>
        </is>
      </c>
      <c r="B3252" s="1" t="n">
        <v>44133</v>
      </c>
      <c r="C3252" s="1" t="n">
        <v>45911</v>
      </c>
      <c r="D3252" t="inlineStr">
        <is>
          <t>GÄVLEBORGS LÄN</t>
        </is>
      </c>
      <c r="E3252" t="inlineStr">
        <is>
          <t>SÖDERHAMN</t>
        </is>
      </c>
      <c r="G3252" t="n">
        <v>12.8</v>
      </c>
      <c r="H3252" t="n">
        <v>0</v>
      </c>
      <c r="I3252" t="n">
        <v>0</v>
      </c>
      <c r="J3252" t="n">
        <v>0</v>
      </c>
      <c r="K3252" t="n">
        <v>0</v>
      </c>
      <c r="L3252" t="n">
        <v>0</v>
      </c>
      <c r="M3252" t="n">
        <v>0</v>
      </c>
      <c r="N3252" t="n">
        <v>0</v>
      </c>
      <c r="O3252" t="n">
        <v>0</v>
      </c>
      <c r="P3252" t="n">
        <v>0</v>
      </c>
      <c r="Q3252" t="n">
        <v>0</v>
      </c>
      <c r="R3252" s="2" t="inlineStr"/>
    </row>
    <row r="3253" ht="15" customHeight="1">
      <c r="A3253" t="inlineStr">
        <is>
          <t>A 26582-2025</t>
        </is>
      </c>
      <c r="B3253" s="1" t="n">
        <v>45807</v>
      </c>
      <c r="C3253" s="1" t="n">
        <v>45911</v>
      </c>
      <c r="D3253" t="inlineStr">
        <is>
          <t>GÄVLEBORGS LÄN</t>
        </is>
      </c>
      <c r="E3253" t="inlineStr">
        <is>
          <t>OVANÅKER</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42585-2023</t>
        </is>
      </c>
      <c r="B3254" s="1" t="n">
        <v>45181</v>
      </c>
      <c r="C3254" s="1" t="n">
        <v>45911</v>
      </c>
      <c r="D3254" t="inlineStr">
        <is>
          <t>GÄVLEBORGS LÄN</t>
        </is>
      </c>
      <c r="E3254" t="inlineStr">
        <is>
          <t>OCKELBO</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56295-2024</t>
        </is>
      </c>
      <c r="B3255" s="1" t="n">
        <v>45624.6821875</v>
      </c>
      <c r="C3255" s="1" t="n">
        <v>45911</v>
      </c>
      <c r="D3255" t="inlineStr">
        <is>
          <t>GÄVLEBORGS LÄN</t>
        </is>
      </c>
      <c r="E3255" t="inlineStr">
        <is>
          <t>NORDANSTIG</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56406-2024</t>
        </is>
      </c>
      <c r="B3256" s="1" t="n">
        <v>45625.36425925926</v>
      </c>
      <c r="C3256" s="1" t="n">
        <v>45911</v>
      </c>
      <c r="D3256" t="inlineStr">
        <is>
          <t>GÄVLEBORGS LÄN</t>
        </is>
      </c>
      <c r="E3256" t="inlineStr">
        <is>
          <t>NORDANSTIG</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3662-2022</t>
        </is>
      </c>
      <c r="B3257" s="1" t="n">
        <v>44586</v>
      </c>
      <c r="C3257" s="1" t="n">
        <v>45911</v>
      </c>
      <c r="D3257" t="inlineStr">
        <is>
          <t>GÄVLEBORGS LÄN</t>
        </is>
      </c>
      <c r="E3257" t="inlineStr">
        <is>
          <t>GÄVLE</t>
        </is>
      </c>
      <c r="F3257" t="inlineStr">
        <is>
          <t>Bergvik skog öst AB</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56352-2024</t>
        </is>
      </c>
      <c r="B3258" s="1" t="n">
        <v>45624.92115740741</v>
      </c>
      <c r="C3258" s="1" t="n">
        <v>45911</v>
      </c>
      <c r="D3258" t="inlineStr">
        <is>
          <t>GÄVLEBORGS LÄN</t>
        </is>
      </c>
      <c r="E3258" t="inlineStr">
        <is>
          <t>OCKELBO</t>
        </is>
      </c>
      <c r="F3258" t="inlineStr">
        <is>
          <t>Bergvik skog väst AB</t>
        </is>
      </c>
      <c r="G3258" t="n">
        <v>4.6</v>
      </c>
      <c r="H3258" t="n">
        <v>0</v>
      </c>
      <c r="I3258" t="n">
        <v>0</v>
      </c>
      <c r="J3258" t="n">
        <v>0</v>
      </c>
      <c r="K3258" t="n">
        <v>0</v>
      </c>
      <c r="L3258" t="n">
        <v>0</v>
      </c>
      <c r="M3258" t="n">
        <v>0</v>
      </c>
      <c r="N3258" t="n">
        <v>0</v>
      </c>
      <c r="O3258" t="n">
        <v>0</v>
      </c>
      <c r="P3258" t="n">
        <v>0</v>
      </c>
      <c r="Q3258" t="n">
        <v>0</v>
      </c>
      <c r="R3258" s="2" t="inlineStr"/>
    </row>
    <row r="3259" ht="15" customHeight="1">
      <c r="A3259" t="inlineStr">
        <is>
          <t>A 56363-2024</t>
        </is>
      </c>
      <c r="B3259" s="1" t="n">
        <v>45625.30894675926</v>
      </c>
      <c r="C3259" s="1" t="n">
        <v>45911</v>
      </c>
      <c r="D3259" t="inlineStr">
        <is>
          <t>GÄVLEBORGS LÄN</t>
        </is>
      </c>
      <c r="E3259" t="inlineStr">
        <is>
          <t>HUDIKSVALL</t>
        </is>
      </c>
      <c r="G3259" t="n">
        <v>5</v>
      </c>
      <c r="H3259" t="n">
        <v>0</v>
      </c>
      <c r="I3259" t="n">
        <v>0</v>
      </c>
      <c r="J3259" t="n">
        <v>0</v>
      </c>
      <c r="K3259" t="n">
        <v>0</v>
      </c>
      <c r="L3259" t="n">
        <v>0</v>
      </c>
      <c r="M3259" t="n">
        <v>0</v>
      </c>
      <c r="N3259" t="n">
        <v>0</v>
      </c>
      <c r="O3259" t="n">
        <v>0</v>
      </c>
      <c r="P3259" t="n">
        <v>0</v>
      </c>
      <c r="Q3259" t="n">
        <v>0</v>
      </c>
      <c r="R3259" s="2" t="inlineStr"/>
    </row>
    <row r="3260" ht="15" customHeight="1">
      <c r="A3260" t="inlineStr">
        <is>
          <t>A 61977-2022</t>
        </is>
      </c>
      <c r="B3260" s="1" t="n">
        <v>44918</v>
      </c>
      <c r="C3260" s="1" t="n">
        <v>45911</v>
      </c>
      <c r="D3260" t="inlineStr">
        <is>
          <t>GÄVLEBORGS LÄN</t>
        </is>
      </c>
      <c r="E3260" t="inlineStr">
        <is>
          <t>HUDIKSVALL</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13471-2024</t>
        </is>
      </c>
      <c r="B3261" s="1" t="n">
        <v>45387.57859953704</v>
      </c>
      <c r="C3261" s="1" t="n">
        <v>45911</v>
      </c>
      <c r="D3261" t="inlineStr">
        <is>
          <t>GÄVLEBORGS LÄN</t>
        </is>
      </c>
      <c r="E3261" t="inlineStr">
        <is>
          <t>HOFORS</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51970-2024</t>
        </is>
      </c>
      <c r="B3262" s="1" t="n">
        <v>45607</v>
      </c>
      <c r="C3262" s="1" t="n">
        <v>45911</v>
      </c>
      <c r="D3262" t="inlineStr">
        <is>
          <t>GÄVLEBORGS LÄN</t>
        </is>
      </c>
      <c r="E3262" t="inlineStr">
        <is>
          <t>BOLLNÄS</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3989-2025</t>
        </is>
      </c>
      <c r="B3263" s="1" t="n">
        <v>45684.55628472222</v>
      </c>
      <c r="C3263" s="1" t="n">
        <v>45911</v>
      </c>
      <c r="D3263" t="inlineStr">
        <is>
          <t>GÄVLEBORGS LÄN</t>
        </is>
      </c>
      <c r="E3263" t="inlineStr">
        <is>
          <t>OVANÅKER</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52174-2023</t>
        </is>
      </c>
      <c r="B3264" s="1" t="n">
        <v>45224.35961805555</v>
      </c>
      <c r="C3264" s="1" t="n">
        <v>45911</v>
      </c>
      <c r="D3264" t="inlineStr">
        <is>
          <t>GÄVLEBORGS LÄN</t>
        </is>
      </c>
      <c r="E3264" t="inlineStr">
        <is>
          <t>LJUSDAL</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5366-2024</t>
        </is>
      </c>
      <c r="B3265" s="1" t="n">
        <v>45331.4727662037</v>
      </c>
      <c r="C3265" s="1" t="n">
        <v>45911</v>
      </c>
      <c r="D3265" t="inlineStr">
        <is>
          <t>GÄVLEBORGS LÄN</t>
        </is>
      </c>
      <c r="E3265" t="inlineStr">
        <is>
          <t>SÖDERHAMN</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38755-2024</t>
        </is>
      </c>
      <c r="B3266" s="1" t="n">
        <v>45547</v>
      </c>
      <c r="C3266" s="1" t="n">
        <v>45911</v>
      </c>
      <c r="D3266" t="inlineStr">
        <is>
          <t>GÄVLEBORGS LÄN</t>
        </is>
      </c>
      <c r="E3266" t="inlineStr">
        <is>
          <t>HUDIKSVALL</t>
        </is>
      </c>
      <c r="F3266" t="inlineStr">
        <is>
          <t>Holmen skog AB</t>
        </is>
      </c>
      <c r="G3266" t="n">
        <v>6.4</v>
      </c>
      <c r="H3266" t="n">
        <v>0</v>
      </c>
      <c r="I3266" t="n">
        <v>0</v>
      </c>
      <c r="J3266" t="n">
        <v>0</v>
      </c>
      <c r="K3266" t="n">
        <v>0</v>
      </c>
      <c r="L3266" t="n">
        <v>0</v>
      </c>
      <c r="M3266" t="n">
        <v>0</v>
      </c>
      <c r="N3266" t="n">
        <v>0</v>
      </c>
      <c r="O3266" t="n">
        <v>0</v>
      </c>
      <c r="P3266" t="n">
        <v>0</v>
      </c>
      <c r="Q3266" t="n">
        <v>0</v>
      </c>
      <c r="R3266" s="2" t="inlineStr"/>
    </row>
    <row r="3267" ht="15" customHeight="1">
      <c r="A3267" t="inlineStr">
        <is>
          <t>A 38201-2024</t>
        </is>
      </c>
      <c r="B3267" s="1" t="n">
        <v>45545.5003125</v>
      </c>
      <c r="C3267" s="1" t="n">
        <v>45911</v>
      </c>
      <c r="D3267" t="inlineStr">
        <is>
          <t>GÄVLEBORGS LÄN</t>
        </is>
      </c>
      <c r="E3267" t="inlineStr">
        <is>
          <t>HUDIKSVALL</t>
        </is>
      </c>
      <c r="F3267" t="inlineStr">
        <is>
          <t>Holmen skog AB</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58787-2021</t>
        </is>
      </c>
      <c r="B3268" s="1" t="n">
        <v>44489.56234953704</v>
      </c>
      <c r="C3268" s="1" t="n">
        <v>45911</v>
      </c>
      <c r="D3268" t="inlineStr">
        <is>
          <t>GÄVLEBORGS LÄN</t>
        </is>
      </c>
      <c r="E3268" t="inlineStr">
        <is>
          <t>HOFORS</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42313-2023</t>
        </is>
      </c>
      <c r="B3269" s="1" t="n">
        <v>45180.46878472222</v>
      </c>
      <c r="C3269" s="1" t="n">
        <v>45911</v>
      </c>
      <c r="D3269" t="inlineStr">
        <is>
          <t>GÄVLEBORGS LÄN</t>
        </is>
      </c>
      <c r="E3269" t="inlineStr">
        <is>
          <t>OCKELBO</t>
        </is>
      </c>
      <c r="G3269" t="n">
        <v>0.4</v>
      </c>
      <c r="H3269" t="n">
        <v>0</v>
      </c>
      <c r="I3269" t="n">
        <v>0</v>
      </c>
      <c r="J3269" t="n">
        <v>0</v>
      </c>
      <c r="K3269" t="n">
        <v>0</v>
      </c>
      <c r="L3269" t="n">
        <v>0</v>
      </c>
      <c r="M3269" t="n">
        <v>0</v>
      </c>
      <c r="N3269" t="n">
        <v>0</v>
      </c>
      <c r="O3269" t="n">
        <v>0</v>
      </c>
      <c r="P3269" t="n">
        <v>0</v>
      </c>
      <c r="Q3269" t="n">
        <v>0</v>
      </c>
      <c r="R3269" s="2" t="inlineStr"/>
    </row>
    <row r="3270" ht="15" customHeight="1">
      <c r="A3270" t="inlineStr">
        <is>
          <t>A 42314-2023</t>
        </is>
      </c>
      <c r="B3270" s="1" t="n">
        <v>45180</v>
      </c>
      <c r="C3270" s="1" t="n">
        <v>45911</v>
      </c>
      <c r="D3270" t="inlineStr">
        <is>
          <t>GÄVLEBORGS LÄN</t>
        </is>
      </c>
      <c r="E3270" t="inlineStr">
        <is>
          <t>BOLLNÄS</t>
        </is>
      </c>
      <c r="G3270" t="n">
        <v>11.9</v>
      </c>
      <c r="H3270" t="n">
        <v>0</v>
      </c>
      <c r="I3270" t="n">
        <v>0</v>
      </c>
      <c r="J3270" t="n">
        <v>0</v>
      </c>
      <c r="K3270" t="n">
        <v>0</v>
      </c>
      <c r="L3270" t="n">
        <v>0</v>
      </c>
      <c r="M3270" t="n">
        <v>0</v>
      </c>
      <c r="N3270" t="n">
        <v>0</v>
      </c>
      <c r="O3270" t="n">
        <v>0</v>
      </c>
      <c r="P3270" t="n">
        <v>0</v>
      </c>
      <c r="Q3270" t="n">
        <v>0</v>
      </c>
      <c r="R3270" s="2" t="inlineStr"/>
    </row>
    <row r="3271" ht="15" customHeight="1">
      <c r="A3271" t="inlineStr">
        <is>
          <t>A 43716-2023</t>
        </is>
      </c>
      <c r="B3271" s="1" t="n">
        <v>45187</v>
      </c>
      <c r="C3271" s="1" t="n">
        <v>45911</v>
      </c>
      <c r="D3271" t="inlineStr">
        <is>
          <t>GÄVLEBORGS LÄN</t>
        </is>
      </c>
      <c r="E3271" t="inlineStr">
        <is>
          <t>SANDVIKEN</t>
        </is>
      </c>
      <c r="F3271" t="inlineStr">
        <is>
          <t>Sveaskog</t>
        </is>
      </c>
      <c r="G3271" t="n">
        <v>1.6</v>
      </c>
      <c r="H3271" t="n">
        <v>0</v>
      </c>
      <c r="I3271" t="n">
        <v>0</v>
      </c>
      <c r="J3271" t="n">
        <v>0</v>
      </c>
      <c r="K3271" t="n">
        <v>0</v>
      </c>
      <c r="L3271" t="n">
        <v>0</v>
      </c>
      <c r="M3271" t="n">
        <v>0</v>
      </c>
      <c r="N3271" t="n">
        <v>0</v>
      </c>
      <c r="O3271" t="n">
        <v>0</v>
      </c>
      <c r="P3271" t="n">
        <v>0</v>
      </c>
      <c r="Q3271" t="n">
        <v>0</v>
      </c>
      <c r="R3271" s="2" t="inlineStr"/>
      <c r="U3271">
        <f>HYPERLINK("https://klasma.github.io/Logging_2181/knärot/A 43716-2023 karta knärot.png", "A 43716-2023")</f>
        <v/>
      </c>
      <c r="V3271">
        <f>HYPERLINK("https://klasma.github.io/Logging_2181/klagomål/A 43716-2023 FSC-klagomål.docx", "A 43716-2023")</f>
        <v/>
      </c>
      <c r="W3271">
        <f>HYPERLINK("https://klasma.github.io/Logging_2181/klagomålsmail/A 43716-2023 FSC-klagomål mail.docx", "A 43716-2023")</f>
        <v/>
      </c>
      <c r="X3271">
        <f>HYPERLINK("https://klasma.github.io/Logging_2181/tillsyn/A 43716-2023 tillsynsbegäran.docx", "A 43716-2023")</f>
        <v/>
      </c>
      <c r="Y3271">
        <f>HYPERLINK("https://klasma.github.io/Logging_2181/tillsynsmail/A 43716-2023 tillsynsbegäran mail.docx", "A 43716-2023")</f>
        <v/>
      </c>
    </row>
    <row r="3272" ht="15" customHeight="1">
      <c r="A3272" t="inlineStr">
        <is>
          <t>A 3586-2025</t>
        </is>
      </c>
      <c r="B3272" s="1" t="n">
        <v>45680.83643518519</v>
      </c>
      <c r="C3272" s="1" t="n">
        <v>45911</v>
      </c>
      <c r="D3272" t="inlineStr">
        <is>
          <t>GÄVLEBORGS LÄN</t>
        </is>
      </c>
      <c r="E3272" t="inlineStr">
        <is>
          <t>OVANÅKER</t>
        </is>
      </c>
      <c r="G3272" t="n">
        <v>4.5</v>
      </c>
      <c r="H3272" t="n">
        <v>0</v>
      </c>
      <c r="I3272" t="n">
        <v>0</v>
      </c>
      <c r="J3272" t="n">
        <v>0</v>
      </c>
      <c r="K3272" t="n">
        <v>0</v>
      </c>
      <c r="L3272" t="n">
        <v>0</v>
      </c>
      <c r="M3272" t="n">
        <v>0</v>
      </c>
      <c r="N3272" t="n">
        <v>0</v>
      </c>
      <c r="O3272" t="n">
        <v>0</v>
      </c>
      <c r="P3272" t="n">
        <v>0</v>
      </c>
      <c r="Q3272" t="n">
        <v>0</v>
      </c>
      <c r="R3272" s="2" t="inlineStr"/>
    </row>
    <row r="3273" ht="15" customHeight="1">
      <c r="A3273" t="inlineStr">
        <is>
          <t>A 11475-2024</t>
        </is>
      </c>
      <c r="B3273" s="1" t="n">
        <v>45372.61509259259</v>
      </c>
      <c r="C3273" s="1" t="n">
        <v>45911</v>
      </c>
      <c r="D3273" t="inlineStr">
        <is>
          <t>GÄVLEBORGS LÄN</t>
        </is>
      </c>
      <c r="E3273" t="inlineStr">
        <is>
          <t>HUDIKSVALL</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3630-2025</t>
        </is>
      </c>
      <c r="B3274" s="1" t="n">
        <v>45681.37418981481</v>
      </c>
      <c r="C3274" s="1" t="n">
        <v>45911</v>
      </c>
      <c r="D3274" t="inlineStr">
        <is>
          <t>GÄVLEBORGS LÄN</t>
        </is>
      </c>
      <c r="E3274" t="inlineStr">
        <is>
          <t>BOLLNÄS</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38355-2022</t>
        </is>
      </c>
      <c r="B3275" s="1" t="n">
        <v>44812</v>
      </c>
      <c r="C3275" s="1" t="n">
        <v>45911</v>
      </c>
      <c r="D3275" t="inlineStr">
        <is>
          <t>GÄVLEBORGS LÄN</t>
        </is>
      </c>
      <c r="E3275" t="inlineStr">
        <is>
          <t>SÖDERHAMN</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52932-2022</t>
        </is>
      </c>
      <c r="B3276" s="1" t="n">
        <v>44875.62975694444</v>
      </c>
      <c r="C3276" s="1" t="n">
        <v>45911</v>
      </c>
      <c r="D3276" t="inlineStr">
        <is>
          <t>GÄVLEBORGS LÄN</t>
        </is>
      </c>
      <c r="E3276" t="inlineStr">
        <is>
          <t>SANDVIKEN</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44457-2024</t>
        </is>
      </c>
      <c r="B3277" s="1" t="n">
        <v>45574.35596064815</v>
      </c>
      <c r="C3277" s="1" t="n">
        <v>45911</v>
      </c>
      <c r="D3277" t="inlineStr">
        <is>
          <t>GÄVLEBORGS LÄN</t>
        </is>
      </c>
      <c r="E3277" t="inlineStr">
        <is>
          <t>OCKELBO</t>
        </is>
      </c>
      <c r="G3277" t="n">
        <v>3.5</v>
      </c>
      <c r="H3277" t="n">
        <v>0</v>
      </c>
      <c r="I3277" t="n">
        <v>0</v>
      </c>
      <c r="J3277" t="n">
        <v>0</v>
      </c>
      <c r="K3277" t="n">
        <v>0</v>
      </c>
      <c r="L3277" t="n">
        <v>0</v>
      </c>
      <c r="M3277" t="n">
        <v>0</v>
      </c>
      <c r="N3277" t="n">
        <v>0</v>
      </c>
      <c r="O3277" t="n">
        <v>0</v>
      </c>
      <c r="P3277" t="n">
        <v>0</v>
      </c>
      <c r="Q3277" t="n">
        <v>0</v>
      </c>
      <c r="R3277" s="2" t="inlineStr"/>
    </row>
    <row r="3278" ht="15" customHeight="1">
      <c r="A3278" t="inlineStr">
        <is>
          <t>A 38079-2024</t>
        </is>
      </c>
      <c r="B3278" s="1" t="n">
        <v>45545</v>
      </c>
      <c r="C3278" s="1" t="n">
        <v>45911</v>
      </c>
      <c r="D3278" t="inlineStr">
        <is>
          <t>GÄVLEBORGS LÄN</t>
        </is>
      </c>
      <c r="E3278" t="inlineStr">
        <is>
          <t>SÖDERHAMN</t>
        </is>
      </c>
      <c r="G3278" t="n">
        <v>3.4</v>
      </c>
      <c r="H3278" t="n">
        <v>0</v>
      </c>
      <c r="I3278" t="n">
        <v>0</v>
      </c>
      <c r="J3278" t="n">
        <v>0</v>
      </c>
      <c r="K3278" t="n">
        <v>0</v>
      </c>
      <c r="L3278" t="n">
        <v>0</v>
      </c>
      <c r="M3278" t="n">
        <v>0</v>
      </c>
      <c r="N3278" t="n">
        <v>0</v>
      </c>
      <c r="O3278" t="n">
        <v>0</v>
      </c>
      <c r="P3278" t="n">
        <v>0</v>
      </c>
      <c r="Q3278" t="n">
        <v>0</v>
      </c>
      <c r="R3278" s="2" t="inlineStr"/>
    </row>
    <row r="3279" ht="15" customHeight="1">
      <c r="A3279" t="inlineStr">
        <is>
          <t>A 32297-2024</t>
        </is>
      </c>
      <c r="B3279" s="1" t="n">
        <v>45512.43391203704</v>
      </c>
      <c r="C3279" s="1" t="n">
        <v>45911</v>
      </c>
      <c r="D3279" t="inlineStr">
        <is>
          <t>GÄVLEBORGS LÄN</t>
        </is>
      </c>
      <c r="E3279" t="inlineStr">
        <is>
          <t>GÄVLE</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57814-2022</t>
        </is>
      </c>
      <c r="B3280" s="1" t="n">
        <v>44897.91680555556</v>
      </c>
      <c r="C3280" s="1" t="n">
        <v>45911</v>
      </c>
      <c r="D3280" t="inlineStr">
        <is>
          <t>GÄVLEBORGS LÄN</t>
        </is>
      </c>
      <c r="E3280" t="inlineStr">
        <is>
          <t>SÖDERHAMN</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13759-2022</t>
        </is>
      </c>
      <c r="B3281" s="1" t="n">
        <v>44649.45197916667</v>
      </c>
      <c r="C3281" s="1" t="n">
        <v>45911</v>
      </c>
      <c r="D3281" t="inlineStr">
        <is>
          <t>GÄVLEBORGS LÄN</t>
        </is>
      </c>
      <c r="E3281" t="inlineStr">
        <is>
          <t>HUDIKSVALL</t>
        </is>
      </c>
      <c r="F3281" t="inlineStr">
        <is>
          <t>Holmen skog AB</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43521-2024</t>
        </is>
      </c>
      <c r="B3282" s="1" t="n">
        <v>45569.33457175926</v>
      </c>
      <c r="C3282" s="1" t="n">
        <v>45911</v>
      </c>
      <c r="D3282" t="inlineStr">
        <is>
          <t>GÄVLEBORGS LÄN</t>
        </is>
      </c>
      <c r="E3282" t="inlineStr">
        <is>
          <t>OVANÅKER</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26634-2025</t>
        </is>
      </c>
      <c r="B3283" s="1" t="n">
        <v>45810.35309027778</v>
      </c>
      <c r="C3283" s="1" t="n">
        <v>45911</v>
      </c>
      <c r="D3283" t="inlineStr">
        <is>
          <t>GÄVLEBORGS LÄN</t>
        </is>
      </c>
      <c r="E3283" t="inlineStr">
        <is>
          <t>BOLLNÄS</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26627-2025</t>
        </is>
      </c>
      <c r="B3284" s="1" t="n">
        <v>45810.34349537037</v>
      </c>
      <c r="C3284" s="1" t="n">
        <v>45911</v>
      </c>
      <c r="D3284" t="inlineStr">
        <is>
          <t>GÄVLEBORGS LÄN</t>
        </is>
      </c>
      <c r="E3284" t="inlineStr">
        <is>
          <t>OVANÅKER</t>
        </is>
      </c>
      <c r="F3284" t="inlineStr">
        <is>
          <t>Kyrkan</t>
        </is>
      </c>
      <c r="G3284" t="n">
        <v>5.9</v>
      </c>
      <c r="H3284" t="n">
        <v>0</v>
      </c>
      <c r="I3284" t="n">
        <v>0</v>
      </c>
      <c r="J3284" t="n">
        <v>0</v>
      </c>
      <c r="K3284" t="n">
        <v>0</v>
      </c>
      <c r="L3284" t="n">
        <v>0</v>
      </c>
      <c r="M3284" t="n">
        <v>0</v>
      </c>
      <c r="N3284" t="n">
        <v>0</v>
      </c>
      <c r="O3284" t="n">
        <v>0</v>
      </c>
      <c r="P3284" t="n">
        <v>0</v>
      </c>
      <c r="Q3284" t="n">
        <v>0</v>
      </c>
      <c r="R3284" s="2" t="inlineStr"/>
    </row>
    <row r="3285" ht="15" customHeight="1">
      <c r="A3285" t="inlineStr">
        <is>
          <t>A 47520-2020</t>
        </is>
      </c>
      <c r="B3285" s="1" t="n">
        <v>44098</v>
      </c>
      <c r="C3285" s="1" t="n">
        <v>45911</v>
      </c>
      <c r="D3285" t="inlineStr">
        <is>
          <t>GÄVLEBORGS LÄN</t>
        </is>
      </c>
      <c r="E3285" t="inlineStr">
        <is>
          <t>OCKELBO</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25064-2025</t>
        </is>
      </c>
      <c r="B3286" s="1" t="n">
        <v>45799.70355324074</v>
      </c>
      <c r="C3286" s="1" t="n">
        <v>45911</v>
      </c>
      <c r="D3286" t="inlineStr">
        <is>
          <t>GÄVLEBORGS LÄN</t>
        </is>
      </c>
      <c r="E3286" t="inlineStr">
        <is>
          <t>GÄVLE</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49798-2020</t>
        </is>
      </c>
      <c r="B3287" s="1" t="n">
        <v>44106</v>
      </c>
      <c r="C3287" s="1" t="n">
        <v>45911</v>
      </c>
      <c r="D3287" t="inlineStr">
        <is>
          <t>GÄVLEBORGS LÄN</t>
        </is>
      </c>
      <c r="E3287" t="inlineStr">
        <is>
          <t>HUDIKSVALL</t>
        </is>
      </c>
      <c r="F3287" t="inlineStr">
        <is>
          <t>Holmen skog AB</t>
        </is>
      </c>
      <c r="G3287" t="n">
        <v>4.4</v>
      </c>
      <c r="H3287" t="n">
        <v>0</v>
      </c>
      <c r="I3287" t="n">
        <v>0</v>
      </c>
      <c r="J3287" t="n">
        <v>0</v>
      </c>
      <c r="K3287" t="n">
        <v>0</v>
      </c>
      <c r="L3287" t="n">
        <v>0</v>
      </c>
      <c r="M3287" t="n">
        <v>0</v>
      </c>
      <c r="N3287" t="n">
        <v>0</v>
      </c>
      <c r="O3287" t="n">
        <v>0</v>
      </c>
      <c r="P3287" t="n">
        <v>0</v>
      </c>
      <c r="Q3287" t="n">
        <v>0</v>
      </c>
      <c r="R3287" s="2" t="inlineStr"/>
    </row>
    <row r="3288" ht="15" customHeight="1">
      <c r="A3288" t="inlineStr">
        <is>
          <t>A 49198-2020</t>
        </is>
      </c>
      <c r="B3288" s="1" t="n">
        <v>44105</v>
      </c>
      <c r="C3288" s="1" t="n">
        <v>45911</v>
      </c>
      <c r="D3288" t="inlineStr">
        <is>
          <t>GÄVLEBORGS LÄN</t>
        </is>
      </c>
      <c r="E3288" t="inlineStr">
        <is>
          <t>OVANÅKER</t>
        </is>
      </c>
      <c r="F3288" t="inlineStr">
        <is>
          <t>Sveaskog</t>
        </is>
      </c>
      <c r="G3288" t="n">
        <v>3.8</v>
      </c>
      <c r="H3288" t="n">
        <v>0</v>
      </c>
      <c r="I3288" t="n">
        <v>0</v>
      </c>
      <c r="J3288" t="n">
        <v>0</v>
      </c>
      <c r="K3288" t="n">
        <v>0</v>
      </c>
      <c r="L3288" t="n">
        <v>0</v>
      </c>
      <c r="M3288" t="n">
        <v>0</v>
      </c>
      <c r="N3288" t="n">
        <v>0</v>
      </c>
      <c r="O3288" t="n">
        <v>0</v>
      </c>
      <c r="P3288" t="n">
        <v>0</v>
      </c>
      <c r="Q3288" t="n">
        <v>0</v>
      </c>
      <c r="R3288" s="2" t="inlineStr"/>
    </row>
    <row r="3289" ht="15" customHeight="1">
      <c r="A3289" t="inlineStr">
        <is>
          <t>A 26787-2025</t>
        </is>
      </c>
      <c r="B3289" s="1" t="n">
        <v>45810</v>
      </c>
      <c r="C3289" s="1" t="n">
        <v>45911</v>
      </c>
      <c r="D3289" t="inlineStr">
        <is>
          <t>GÄVLEBORGS LÄN</t>
        </is>
      </c>
      <c r="E3289" t="inlineStr">
        <is>
          <t>SANDVIKEN</t>
        </is>
      </c>
      <c r="F3289" t="inlineStr">
        <is>
          <t>Sveaskog</t>
        </is>
      </c>
      <c r="G3289" t="n">
        <v>3.5</v>
      </c>
      <c r="H3289" t="n">
        <v>0</v>
      </c>
      <c r="I3289" t="n">
        <v>0</v>
      </c>
      <c r="J3289" t="n">
        <v>0</v>
      </c>
      <c r="K3289" t="n">
        <v>0</v>
      </c>
      <c r="L3289" t="n">
        <v>0</v>
      </c>
      <c r="M3289" t="n">
        <v>0</v>
      </c>
      <c r="N3289" t="n">
        <v>0</v>
      </c>
      <c r="O3289" t="n">
        <v>0</v>
      </c>
      <c r="P3289" t="n">
        <v>0</v>
      </c>
      <c r="Q3289" t="n">
        <v>0</v>
      </c>
      <c r="R3289" s="2" t="inlineStr"/>
    </row>
    <row r="3290" ht="15" customHeight="1">
      <c r="A3290" t="inlineStr">
        <is>
          <t>A 26799-2025</t>
        </is>
      </c>
      <c r="B3290" s="1" t="n">
        <v>45810.60430555556</v>
      </c>
      <c r="C3290" s="1" t="n">
        <v>45911</v>
      </c>
      <c r="D3290" t="inlineStr">
        <is>
          <t>GÄVLEBORGS LÄN</t>
        </is>
      </c>
      <c r="E3290" t="inlineStr">
        <is>
          <t>BOLLNÄS</t>
        </is>
      </c>
      <c r="G3290" t="n">
        <v>10.3</v>
      </c>
      <c r="H3290" t="n">
        <v>0</v>
      </c>
      <c r="I3290" t="n">
        <v>0</v>
      </c>
      <c r="J3290" t="n">
        <v>0</v>
      </c>
      <c r="K3290" t="n">
        <v>0</v>
      </c>
      <c r="L3290" t="n">
        <v>0</v>
      </c>
      <c r="M3290" t="n">
        <v>0</v>
      </c>
      <c r="N3290" t="n">
        <v>0</v>
      </c>
      <c r="O3290" t="n">
        <v>0</v>
      </c>
      <c r="P3290" t="n">
        <v>0</v>
      </c>
      <c r="Q3290" t="n">
        <v>0</v>
      </c>
      <c r="R3290" s="2" t="inlineStr"/>
    </row>
    <row r="3291" ht="15" customHeight="1">
      <c r="A3291" t="inlineStr">
        <is>
          <t>A 26538-2025</t>
        </is>
      </c>
      <c r="B3291" s="1" t="n">
        <v>45807.57506944444</v>
      </c>
      <c r="C3291" s="1" t="n">
        <v>45911</v>
      </c>
      <c r="D3291" t="inlineStr">
        <is>
          <t>GÄVLEBORGS LÄN</t>
        </is>
      </c>
      <c r="E3291" t="inlineStr">
        <is>
          <t>LJUSDAL</t>
        </is>
      </c>
      <c r="G3291" t="n">
        <v>10.5</v>
      </c>
      <c r="H3291" t="n">
        <v>0</v>
      </c>
      <c r="I3291" t="n">
        <v>0</v>
      </c>
      <c r="J3291" t="n">
        <v>0</v>
      </c>
      <c r="K3291" t="n">
        <v>0</v>
      </c>
      <c r="L3291" t="n">
        <v>0</v>
      </c>
      <c r="M3291" t="n">
        <v>0</v>
      </c>
      <c r="N3291" t="n">
        <v>0</v>
      </c>
      <c r="O3291" t="n">
        <v>0</v>
      </c>
      <c r="P3291" t="n">
        <v>0</v>
      </c>
      <c r="Q3291" t="n">
        <v>0</v>
      </c>
      <c r="R3291" s="2" t="inlineStr"/>
    </row>
    <row r="3292" ht="15" customHeight="1">
      <c r="A3292" t="inlineStr">
        <is>
          <t>A 8005-2022</t>
        </is>
      </c>
      <c r="B3292" s="1" t="n">
        <v>44609.37395833333</v>
      </c>
      <c r="C3292" s="1" t="n">
        <v>45911</v>
      </c>
      <c r="D3292" t="inlineStr">
        <is>
          <t>GÄVLEBORGS LÄN</t>
        </is>
      </c>
      <c r="E3292" t="inlineStr">
        <is>
          <t>HUDIKSVALL</t>
        </is>
      </c>
      <c r="F3292" t="inlineStr">
        <is>
          <t>Holmen skog AB</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55976-2022</t>
        </is>
      </c>
      <c r="B3293" s="1" t="n">
        <v>44889.4528125</v>
      </c>
      <c r="C3293" s="1" t="n">
        <v>45911</v>
      </c>
      <c r="D3293" t="inlineStr">
        <is>
          <t>GÄVLEBORGS LÄN</t>
        </is>
      </c>
      <c r="E3293" t="inlineStr">
        <is>
          <t>GÄVLE</t>
        </is>
      </c>
      <c r="F3293" t="inlineStr">
        <is>
          <t>Kyrkan</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18570-2025</t>
        </is>
      </c>
      <c r="B3294" s="1" t="n">
        <v>45763.4565162037</v>
      </c>
      <c r="C3294" s="1" t="n">
        <v>45911</v>
      </c>
      <c r="D3294" t="inlineStr">
        <is>
          <t>GÄVLEBORGS LÄN</t>
        </is>
      </c>
      <c r="E3294" t="inlineStr">
        <is>
          <t>OVANÅKER</t>
        </is>
      </c>
      <c r="F3294" t="inlineStr">
        <is>
          <t>Holmen skog AB</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40243-2024</t>
        </is>
      </c>
      <c r="B3295" s="1" t="n">
        <v>45554.61340277778</v>
      </c>
      <c r="C3295" s="1" t="n">
        <v>45911</v>
      </c>
      <c r="D3295" t="inlineStr">
        <is>
          <t>GÄVLEBORGS LÄN</t>
        </is>
      </c>
      <c r="E3295" t="inlineStr">
        <is>
          <t>OCKELBO</t>
        </is>
      </c>
      <c r="F3295" t="inlineStr">
        <is>
          <t>Bergvik skog väst AB</t>
        </is>
      </c>
      <c r="G3295" t="n">
        <v>14.8</v>
      </c>
      <c r="H3295" t="n">
        <v>0</v>
      </c>
      <c r="I3295" t="n">
        <v>0</v>
      </c>
      <c r="J3295" t="n">
        <v>0</v>
      </c>
      <c r="K3295" t="n">
        <v>0</v>
      </c>
      <c r="L3295" t="n">
        <v>0</v>
      </c>
      <c r="M3295" t="n">
        <v>0</v>
      </c>
      <c r="N3295" t="n">
        <v>0</v>
      </c>
      <c r="O3295" t="n">
        <v>0</v>
      </c>
      <c r="P3295" t="n">
        <v>0</v>
      </c>
      <c r="Q3295" t="n">
        <v>0</v>
      </c>
      <c r="R3295" s="2" t="inlineStr"/>
    </row>
    <row r="3296" ht="15" customHeight="1">
      <c r="A3296" t="inlineStr">
        <is>
          <t>A 2290-2025</t>
        </is>
      </c>
      <c r="B3296" s="1" t="n">
        <v>45673</v>
      </c>
      <c r="C3296" s="1" t="n">
        <v>45911</v>
      </c>
      <c r="D3296" t="inlineStr">
        <is>
          <t>GÄVLEBORGS LÄN</t>
        </is>
      </c>
      <c r="E3296" t="inlineStr">
        <is>
          <t>SANDVIKEN</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12086-2025</t>
        </is>
      </c>
      <c r="B3297" s="1" t="n">
        <v>45729.25450231481</v>
      </c>
      <c r="C3297" s="1" t="n">
        <v>45911</v>
      </c>
      <c r="D3297" t="inlineStr">
        <is>
          <t>GÄVLEBORGS LÄN</t>
        </is>
      </c>
      <c r="E3297" t="inlineStr">
        <is>
          <t>BOLLNÄS</t>
        </is>
      </c>
      <c r="F3297" t="inlineStr">
        <is>
          <t>Bergvik skog väst AB</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55154-2024</t>
        </is>
      </c>
      <c r="B3298" s="1" t="n">
        <v>45621.4991087963</v>
      </c>
      <c r="C3298" s="1" t="n">
        <v>45911</v>
      </c>
      <c r="D3298" t="inlineStr">
        <is>
          <t>GÄVLEBORGS LÄN</t>
        </is>
      </c>
      <c r="E3298" t="inlineStr">
        <is>
          <t>OCKELBO</t>
        </is>
      </c>
      <c r="F3298" t="inlineStr">
        <is>
          <t>Bergvik skog väst AB</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26578-2025</t>
        </is>
      </c>
      <c r="B3299" s="1" t="n">
        <v>45807</v>
      </c>
      <c r="C3299" s="1" t="n">
        <v>45911</v>
      </c>
      <c r="D3299" t="inlineStr">
        <is>
          <t>GÄVLEBORGS LÄN</t>
        </is>
      </c>
      <c r="E3299" t="inlineStr">
        <is>
          <t>LJUSDAL</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26580-2025</t>
        </is>
      </c>
      <c r="B3300" s="1" t="n">
        <v>45807</v>
      </c>
      <c r="C3300" s="1" t="n">
        <v>45911</v>
      </c>
      <c r="D3300" t="inlineStr">
        <is>
          <t>GÄVLEBORGS LÄN</t>
        </is>
      </c>
      <c r="E3300" t="inlineStr">
        <is>
          <t>LJUSDAL</t>
        </is>
      </c>
      <c r="G3300" t="n">
        <v>0.2</v>
      </c>
      <c r="H3300" t="n">
        <v>0</v>
      </c>
      <c r="I3300" t="n">
        <v>0</v>
      </c>
      <c r="J3300" t="n">
        <v>0</v>
      </c>
      <c r="K3300" t="n">
        <v>0</v>
      </c>
      <c r="L3300" t="n">
        <v>0</v>
      </c>
      <c r="M3300" t="n">
        <v>0</v>
      </c>
      <c r="N3300" t="n">
        <v>0</v>
      </c>
      <c r="O3300" t="n">
        <v>0</v>
      </c>
      <c r="P3300" t="n">
        <v>0</v>
      </c>
      <c r="Q3300" t="n">
        <v>0</v>
      </c>
      <c r="R3300" s="2" t="inlineStr"/>
    </row>
    <row r="3301" ht="15" customHeight="1">
      <c r="A3301" t="inlineStr">
        <is>
          <t>A 26583-2025</t>
        </is>
      </c>
      <c r="B3301" s="1" t="n">
        <v>45807</v>
      </c>
      <c r="C3301" s="1" t="n">
        <v>45911</v>
      </c>
      <c r="D3301" t="inlineStr">
        <is>
          <t>GÄVLEBORGS LÄN</t>
        </is>
      </c>
      <c r="E3301" t="inlineStr">
        <is>
          <t>OVANÅKER</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9131-2024</t>
        </is>
      </c>
      <c r="B3302" s="1" t="n">
        <v>45358.34773148148</v>
      </c>
      <c r="C3302" s="1" t="n">
        <v>45911</v>
      </c>
      <c r="D3302" t="inlineStr">
        <is>
          <t>GÄVLEBORGS LÄN</t>
        </is>
      </c>
      <c r="E3302" t="inlineStr">
        <is>
          <t>NORDANSTIG</t>
        </is>
      </c>
      <c r="F3302" t="inlineStr">
        <is>
          <t>Holmen skog AB</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26819-2025</t>
        </is>
      </c>
      <c r="B3303" s="1" t="n">
        <v>45810.63636574074</v>
      </c>
      <c r="C3303" s="1" t="n">
        <v>45911</v>
      </c>
      <c r="D3303" t="inlineStr">
        <is>
          <t>GÄVLEBORGS LÄN</t>
        </is>
      </c>
      <c r="E3303" t="inlineStr">
        <is>
          <t>LJUSDAL</t>
        </is>
      </c>
      <c r="F3303" t="inlineStr">
        <is>
          <t>SCA</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65879-2021</t>
        </is>
      </c>
      <c r="B3304" s="1" t="n">
        <v>44517</v>
      </c>
      <c r="C3304" s="1" t="n">
        <v>45911</v>
      </c>
      <c r="D3304" t="inlineStr">
        <is>
          <t>GÄVLEBORGS LÄN</t>
        </is>
      </c>
      <c r="E3304" t="inlineStr">
        <is>
          <t>GÄVLE</t>
        </is>
      </c>
      <c r="F3304" t="inlineStr">
        <is>
          <t>Kyrkan</t>
        </is>
      </c>
      <c r="G3304" t="n">
        <v>5.6</v>
      </c>
      <c r="H3304" t="n">
        <v>0</v>
      </c>
      <c r="I3304" t="n">
        <v>0</v>
      </c>
      <c r="J3304" t="n">
        <v>0</v>
      </c>
      <c r="K3304" t="n">
        <v>0</v>
      </c>
      <c r="L3304" t="n">
        <v>0</v>
      </c>
      <c r="M3304" t="n">
        <v>0</v>
      </c>
      <c r="N3304" t="n">
        <v>0</v>
      </c>
      <c r="O3304" t="n">
        <v>0</v>
      </c>
      <c r="P3304" t="n">
        <v>0</v>
      </c>
      <c r="Q3304" t="n">
        <v>0</v>
      </c>
      <c r="R3304" s="2" t="inlineStr"/>
    </row>
    <row r="3305" ht="15" customHeight="1">
      <c r="A3305" t="inlineStr">
        <is>
          <t>A 26864-2025</t>
        </is>
      </c>
      <c r="B3305" s="1" t="n">
        <v>45810.69826388889</v>
      </c>
      <c r="C3305" s="1" t="n">
        <v>45911</v>
      </c>
      <c r="D3305" t="inlineStr">
        <is>
          <t>GÄVLEBORGS LÄN</t>
        </is>
      </c>
      <c r="E3305" t="inlineStr">
        <is>
          <t>LJUSDAL</t>
        </is>
      </c>
      <c r="F3305" t="inlineStr">
        <is>
          <t>SCA</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12674-2023</t>
        </is>
      </c>
      <c r="B3306" s="1" t="n">
        <v>45000</v>
      </c>
      <c r="C3306" s="1" t="n">
        <v>45911</v>
      </c>
      <c r="D3306" t="inlineStr">
        <is>
          <t>GÄVLEBORGS LÄN</t>
        </is>
      </c>
      <c r="E3306" t="inlineStr">
        <is>
          <t>HUDIKSVALL</t>
        </is>
      </c>
      <c r="F3306" t="inlineStr">
        <is>
          <t>Holmen skog AB</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1570-2025</t>
        </is>
      </c>
      <c r="B3307" s="1" t="n">
        <v>45670.55271990741</v>
      </c>
      <c r="C3307" s="1" t="n">
        <v>45911</v>
      </c>
      <c r="D3307" t="inlineStr">
        <is>
          <t>GÄVLEBORGS LÄN</t>
        </is>
      </c>
      <c r="E3307" t="inlineStr">
        <is>
          <t>LJUSDAL</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58885-2024</t>
        </is>
      </c>
      <c r="B3308" s="1" t="n">
        <v>45636.45076388889</v>
      </c>
      <c r="C3308" s="1" t="n">
        <v>45911</v>
      </c>
      <c r="D3308" t="inlineStr">
        <is>
          <t>GÄVLEBORGS LÄN</t>
        </is>
      </c>
      <c r="E3308" t="inlineStr">
        <is>
          <t>SANDVIKEN</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58891-2024</t>
        </is>
      </c>
      <c r="B3309" s="1" t="n">
        <v>45636.46212962963</v>
      </c>
      <c r="C3309" s="1" t="n">
        <v>45911</v>
      </c>
      <c r="D3309" t="inlineStr">
        <is>
          <t>GÄVLEBORGS LÄN</t>
        </is>
      </c>
      <c r="E3309" t="inlineStr">
        <is>
          <t>NORDANSTIG</t>
        </is>
      </c>
      <c r="F3309" t="inlineStr">
        <is>
          <t>Holmen skog AB</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60944-2024</t>
        </is>
      </c>
      <c r="B3310" s="1" t="n">
        <v>45645.37596064815</v>
      </c>
      <c r="C3310" s="1" t="n">
        <v>45911</v>
      </c>
      <c r="D3310" t="inlineStr">
        <is>
          <t>GÄVLEBORGS LÄN</t>
        </is>
      </c>
      <c r="E3310" t="inlineStr">
        <is>
          <t>NORDANSTIG</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20331-2023</t>
        </is>
      </c>
      <c r="B3311" s="1" t="n">
        <v>45056.4747337963</v>
      </c>
      <c r="C3311" s="1" t="n">
        <v>45911</v>
      </c>
      <c r="D3311" t="inlineStr">
        <is>
          <t>GÄVLEBORGS LÄN</t>
        </is>
      </c>
      <c r="E3311" t="inlineStr">
        <is>
          <t>OVANÅKER</t>
        </is>
      </c>
      <c r="G3311" t="n">
        <v>5.1</v>
      </c>
      <c r="H3311" t="n">
        <v>0</v>
      </c>
      <c r="I3311" t="n">
        <v>0</v>
      </c>
      <c r="J3311" t="n">
        <v>0</v>
      </c>
      <c r="K3311" t="n">
        <v>0</v>
      </c>
      <c r="L3311" t="n">
        <v>0</v>
      </c>
      <c r="M3311" t="n">
        <v>0</v>
      </c>
      <c r="N3311" t="n">
        <v>0</v>
      </c>
      <c r="O3311" t="n">
        <v>0</v>
      </c>
      <c r="P3311" t="n">
        <v>0</v>
      </c>
      <c r="Q3311" t="n">
        <v>0</v>
      </c>
      <c r="R3311" s="2" t="inlineStr"/>
    </row>
    <row r="3312" ht="15" customHeight="1">
      <c r="A3312" t="inlineStr">
        <is>
          <t>A 39665-2024</t>
        </is>
      </c>
      <c r="B3312" s="1" t="n">
        <v>45552.51726851852</v>
      </c>
      <c r="C3312" s="1" t="n">
        <v>45911</v>
      </c>
      <c r="D3312" t="inlineStr">
        <is>
          <t>GÄVLEBORGS LÄN</t>
        </is>
      </c>
      <c r="E3312" t="inlineStr">
        <is>
          <t>LJUSDAL</t>
        </is>
      </c>
      <c r="G3312" t="n">
        <v>4.6</v>
      </c>
      <c r="H3312" t="n">
        <v>0</v>
      </c>
      <c r="I3312" t="n">
        <v>0</v>
      </c>
      <c r="J3312" t="n">
        <v>0</v>
      </c>
      <c r="K3312" t="n">
        <v>0</v>
      </c>
      <c r="L3312" t="n">
        <v>0</v>
      </c>
      <c r="M3312" t="n">
        <v>0</v>
      </c>
      <c r="N3312" t="n">
        <v>0</v>
      </c>
      <c r="O3312" t="n">
        <v>0</v>
      </c>
      <c r="P3312" t="n">
        <v>0</v>
      </c>
      <c r="Q3312" t="n">
        <v>0</v>
      </c>
      <c r="R3312" s="2" t="inlineStr"/>
    </row>
    <row r="3313" ht="15" customHeight="1">
      <c r="A3313" t="inlineStr">
        <is>
          <t>A 2022-2025</t>
        </is>
      </c>
      <c r="B3313" s="1" t="n">
        <v>45672.47560185185</v>
      </c>
      <c r="C3313" s="1" t="n">
        <v>45911</v>
      </c>
      <c r="D3313" t="inlineStr">
        <is>
          <t>GÄVLEBORGS LÄN</t>
        </is>
      </c>
      <c r="E3313" t="inlineStr">
        <is>
          <t>BOLLNÄS</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64175-2020</t>
        </is>
      </c>
      <c r="B3314" s="1" t="n">
        <v>44167</v>
      </c>
      <c r="C3314" s="1" t="n">
        <v>45911</v>
      </c>
      <c r="D3314" t="inlineStr">
        <is>
          <t>GÄVLEBORGS LÄN</t>
        </is>
      </c>
      <c r="E3314" t="inlineStr">
        <is>
          <t>BOLLNÄS</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2056-2025</t>
        </is>
      </c>
      <c r="B3315" s="1" t="n">
        <v>45672.55016203703</v>
      </c>
      <c r="C3315" s="1" t="n">
        <v>45911</v>
      </c>
      <c r="D3315" t="inlineStr">
        <is>
          <t>GÄVLEBORGS LÄN</t>
        </is>
      </c>
      <c r="E3315" t="inlineStr">
        <is>
          <t>LJUSDAL</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30240-2023</t>
        </is>
      </c>
      <c r="B3316" s="1" t="n">
        <v>45110.66166666667</v>
      </c>
      <c r="C3316" s="1" t="n">
        <v>45911</v>
      </c>
      <c r="D3316" t="inlineStr">
        <is>
          <t>GÄVLEBORGS LÄN</t>
        </is>
      </c>
      <c r="E3316" t="inlineStr">
        <is>
          <t>LJUSDAL</t>
        </is>
      </c>
      <c r="F3316" t="inlineStr">
        <is>
          <t>Sveaskog</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28070-2024</t>
        </is>
      </c>
      <c r="B3317" s="1" t="n">
        <v>45476</v>
      </c>
      <c r="C3317" s="1" t="n">
        <v>45911</v>
      </c>
      <c r="D3317" t="inlineStr">
        <is>
          <t>GÄVLEBORGS LÄN</t>
        </is>
      </c>
      <c r="E3317" t="inlineStr">
        <is>
          <t>SÖDERHAMN</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27066-2021</t>
        </is>
      </c>
      <c r="B3318" s="1" t="n">
        <v>44350.46327546296</v>
      </c>
      <c r="C3318" s="1" t="n">
        <v>45911</v>
      </c>
      <c r="D3318" t="inlineStr">
        <is>
          <t>GÄVLEBORGS LÄN</t>
        </is>
      </c>
      <c r="E3318" t="inlineStr">
        <is>
          <t>OCKELBO</t>
        </is>
      </c>
      <c r="F3318" t="inlineStr">
        <is>
          <t>Bergvik skog väst AB</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26403-2025</t>
        </is>
      </c>
      <c r="B3319" s="1" t="n">
        <v>45807.33965277778</v>
      </c>
      <c r="C3319" s="1" t="n">
        <v>45911</v>
      </c>
      <c r="D3319" t="inlineStr">
        <is>
          <t>GÄVLEBORGS LÄN</t>
        </is>
      </c>
      <c r="E3319" t="inlineStr">
        <is>
          <t>HUDIKSVALL</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61407-2024</t>
        </is>
      </c>
      <c r="B3320" s="1" t="n">
        <v>45646.43694444445</v>
      </c>
      <c r="C3320" s="1" t="n">
        <v>45911</v>
      </c>
      <c r="D3320" t="inlineStr">
        <is>
          <t>GÄVLEBORGS LÄN</t>
        </is>
      </c>
      <c r="E3320" t="inlineStr">
        <is>
          <t>NORDANSTIG</t>
        </is>
      </c>
      <c r="G3320" t="n">
        <v>5.8</v>
      </c>
      <c r="H3320" t="n">
        <v>0</v>
      </c>
      <c r="I3320" t="n">
        <v>0</v>
      </c>
      <c r="J3320" t="n">
        <v>0</v>
      </c>
      <c r="K3320" t="n">
        <v>0</v>
      </c>
      <c r="L3320" t="n">
        <v>0</v>
      </c>
      <c r="M3320" t="n">
        <v>0</v>
      </c>
      <c r="N3320" t="n">
        <v>0</v>
      </c>
      <c r="O3320" t="n">
        <v>0</v>
      </c>
      <c r="P3320" t="n">
        <v>0</v>
      </c>
      <c r="Q3320" t="n">
        <v>0</v>
      </c>
      <c r="R3320" s="2" t="inlineStr"/>
    </row>
    <row r="3321" ht="15" customHeight="1">
      <c r="A3321" t="inlineStr">
        <is>
          <t>A 61430-2024</t>
        </is>
      </c>
      <c r="B3321" s="1" t="n">
        <v>45646.45672453703</v>
      </c>
      <c r="C3321" s="1" t="n">
        <v>45911</v>
      </c>
      <c r="D3321" t="inlineStr">
        <is>
          <t>GÄVLEBORGS LÄN</t>
        </is>
      </c>
      <c r="E3321" t="inlineStr">
        <is>
          <t>NORDANSTIG</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61501-2024</t>
        </is>
      </c>
      <c r="B3322" s="1" t="n">
        <v>45646.5587037037</v>
      </c>
      <c r="C3322" s="1" t="n">
        <v>45911</v>
      </c>
      <c r="D3322" t="inlineStr">
        <is>
          <t>GÄVLEBORGS LÄN</t>
        </is>
      </c>
      <c r="E3322" t="inlineStr">
        <is>
          <t>GÄVLE</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46299-2023</t>
        </is>
      </c>
      <c r="B3323" s="1" t="n">
        <v>45197.33954861111</v>
      </c>
      <c r="C3323" s="1" t="n">
        <v>45911</v>
      </c>
      <c r="D3323" t="inlineStr">
        <is>
          <t>GÄVLEBORGS LÄN</t>
        </is>
      </c>
      <c r="E3323" t="inlineStr">
        <is>
          <t>NORDANSTIG</t>
        </is>
      </c>
      <c r="F3323" t="inlineStr">
        <is>
          <t>Holmen skog AB</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24040-2025</t>
        </is>
      </c>
      <c r="B3324" s="1" t="n">
        <v>45796.48783564815</v>
      </c>
      <c r="C3324" s="1" t="n">
        <v>45911</v>
      </c>
      <c r="D3324" t="inlineStr">
        <is>
          <t>GÄVLEBORGS LÄN</t>
        </is>
      </c>
      <c r="E3324" t="inlineStr">
        <is>
          <t>HUDIKSVALL</t>
        </is>
      </c>
      <c r="F3324" t="inlineStr">
        <is>
          <t>Holmen skog AB</t>
        </is>
      </c>
      <c r="G3324" t="n">
        <v>16.3</v>
      </c>
      <c r="H3324" t="n">
        <v>0</v>
      </c>
      <c r="I3324" t="n">
        <v>0</v>
      </c>
      <c r="J3324" t="n">
        <v>0</v>
      </c>
      <c r="K3324" t="n">
        <v>0</v>
      </c>
      <c r="L3324" t="n">
        <v>0</v>
      </c>
      <c r="M3324" t="n">
        <v>0</v>
      </c>
      <c r="N3324" t="n">
        <v>0</v>
      </c>
      <c r="O3324" t="n">
        <v>0</v>
      </c>
      <c r="P3324" t="n">
        <v>0</v>
      </c>
      <c r="Q3324" t="n">
        <v>0</v>
      </c>
      <c r="R3324" s="2" t="inlineStr"/>
    </row>
    <row r="3325" ht="15" customHeight="1">
      <c r="A3325" t="inlineStr">
        <is>
          <t>A 26723-2025</t>
        </is>
      </c>
      <c r="B3325" s="1" t="n">
        <v>45810.49068287037</v>
      </c>
      <c r="C3325" s="1" t="n">
        <v>45911</v>
      </c>
      <c r="D3325" t="inlineStr">
        <is>
          <t>GÄVLEBORGS LÄN</t>
        </is>
      </c>
      <c r="E3325" t="inlineStr">
        <is>
          <t>BOLLNÄS</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26654-2025</t>
        </is>
      </c>
      <c r="B3326" s="1" t="n">
        <v>45810.38966435185</v>
      </c>
      <c r="C3326" s="1" t="n">
        <v>45911</v>
      </c>
      <c r="D3326" t="inlineStr">
        <is>
          <t>GÄVLEBORGS LÄN</t>
        </is>
      </c>
      <c r="E3326" t="inlineStr">
        <is>
          <t>OVANÅKER</t>
        </is>
      </c>
      <c r="F3326" t="inlineStr">
        <is>
          <t>Kyrkan</t>
        </is>
      </c>
      <c r="G3326" t="n">
        <v>7.1</v>
      </c>
      <c r="H3326" t="n">
        <v>0</v>
      </c>
      <c r="I3326" t="n">
        <v>0</v>
      </c>
      <c r="J3326" t="n">
        <v>0</v>
      </c>
      <c r="K3326" t="n">
        <v>0</v>
      </c>
      <c r="L3326" t="n">
        <v>0</v>
      </c>
      <c r="M3326" t="n">
        <v>0</v>
      </c>
      <c r="N3326" t="n">
        <v>0</v>
      </c>
      <c r="O3326" t="n">
        <v>0</v>
      </c>
      <c r="P3326" t="n">
        <v>0</v>
      </c>
      <c r="Q3326" t="n">
        <v>0</v>
      </c>
      <c r="R3326" s="2" t="inlineStr"/>
    </row>
    <row r="3327" ht="15" customHeight="1">
      <c r="A3327" t="inlineStr">
        <is>
          <t>A 10577-2023</t>
        </is>
      </c>
      <c r="B3327" s="1" t="n">
        <v>44988</v>
      </c>
      <c r="C3327" s="1" t="n">
        <v>45911</v>
      </c>
      <c r="D3327" t="inlineStr">
        <is>
          <t>GÄVLEBORGS LÄN</t>
        </is>
      </c>
      <c r="E3327" t="inlineStr">
        <is>
          <t>GÄVLE</t>
        </is>
      </c>
      <c r="F3327" t="inlineStr">
        <is>
          <t>Kyrkan</t>
        </is>
      </c>
      <c r="G3327" t="n">
        <v>3.6</v>
      </c>
      <c r="H3327" t="n">
        <v>0</v>
      </c>
      <c r="I3327" t="n">
        <v>0</v>
      </c>
      <c r="J3327" t="n">
        <v>0</v>
      </c>
      <c r="K3327" t="n">
        <v>0</v>
      </c>
      <c r="L3327" t="n">
        <v>0</v>
      </c>
      <c r="M3327" t="n">
        <v>0</v>
      </c>
      <c r="N3327" t="n">
        <v>0</v>
      </c>
      <c r="O3327" t="n">
        <v>0</v>
      </c>
      <c r="P3327" t="n">
        <v>0</v>
      </c>
      <c r="Q3327" t="n">
        <v>0</v>
      </c>
      <c r="R3327" s="2" t="inlineStr"/>
    </row>
    <row r="3328" ht="15" customHeight="1">
      <c r="A3328" t="inlineStr">
        <is>
          <t>A 72820-2021</t>
        </is>
      </c>
      <c r="B3328" s="1" t="n">
        <v>44547</v>
      </c>
      <c r="C3328" s="1" t="n">
        <v>45911</v>
      </c>
      <c r="D3328" t="inlineStr">
        <is>
          <t>GÄVLEBORGS LÄN</t>
        </is>
      </c>
      <c r="E3328" t="inlineStr">
        <is>
          <t>NORDANSTIG</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15304-2025</t>
        </is>
      </c>
      <c r="B3329" s="1" t="n">
        <v>45746.53479166667</v>
      </c>
      <c r="C3329" s="1" t="n">
        <v>45911</v>
      </c>
      <c r="D3329" t="inlineStr">
        <is>
          <t>GÄVLEBORGS LÄN</t>
        </is>
      </c>
      <c r="E3329" t="inlineStr">
        <is>
          <t>OVANÅKER</t>
        </is>
      </c>
      <c r="G3329" t="n">
        <v>7.1</v>
      </c>
      <c r="H3329" t="n">
        <v>0</v>
      </c>
      <c r="I3329" t="n">
        <v>0</v>
      </c>
      <c r="J3329" t="n">
        <v>0</v>
      </c>
      <c r="K3329" t="n">
        <v>0</v>
      </c>
      <c r="L3329" t="n">
        <v>0</v>
      </c>
      <c r="M3329" t="n">
        <v>0</v>
      </c>
      <c r="N3329" t="n">
        <v>0</v>
      </c>
      <c r="O3329" t="n">
        <v>0</v>
      </c>
      <c r="P3329" t="n">
        <v>0</v>
      </c>
      <c r="Q3329" t="n">
        <v>0</v>
      </c>
      <c r="R3329" s="2" t="inlineStr"/>
    </row>
    <row r="3330" ht="15" customHeight="1">
      <c r="A3330" t="inlineStr">
        <is>
          <t>A 10484-2024</t>
        </is>
      </c>
      <c r="B3330" s="1" t="n">
        <v>45366</v>
      </c>
      <c r="C3330" s="1" t="n">
        <v>45911</v>
      </c>
      <c r="D3330" t="inlineStr">
        <is>
          <t>GÄVLEBORGS LÄN</t>
        </is>
      </c>
      <c r="E3330" t="inlineStr">
        <is>
          <t>BOLLNÄS</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57976-2022</t>
        </is>
      </c>
      <c r="B3331" s="1" t="n">
        <v>44900.4591087963</v>
      </c>
      <c r="C3331" s="1" t="n">
        <v>45911</v>
      </c>
      <c r="D3331" t="inlineStr">
        <is>
          <t>GÄVLEBORGS LÄN</t>
        </is>
      </c>
      <c r="E3331" t="inlineStr">
        <is>
          <t>NORDANSTIG</t>
        </is>
      </c>
      <c r="F3331" t="inlineStr">
        <is>
          <t>Holmen skog AB</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57983-2022</t>
        </is>
      </c>
      <c r="B3332" s="1" t="n">
        <v>44900</v>
      </c>
      <c r="C3332" s="1" t="n">
        <v>45911</v>
      </c>
      <c r="D3332" t="inlineStr">
        <is>
          <t>GÄVLEBORGS LÄN</t>
        </is>
      </c>
      <c r="E3332" t="inlineStr">
        <is>
          <t>NORDANSTIG</t>
        </is>
      </c>
      <c r="F3332" t="inlineStr">
        <is>
          <t>Holmen skog AB</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60520-2023</t>
        </is>
      </c>
      <c r="B3333" s="1" t="n">
        <v>45259.65444444444</v>
      </c>
      <c r="C3333" s="1" t="n">
        <v>45911</v>
      </c>
      <c r="D3333" t="inlineStr">
        <is>
          <t>GÄVLEBORGS LÄN</t>
        </is>
      </c>
      <c r="E3333" t="inlineStr">
        <is>
          <t>NORDANSTIG</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55330-2021</t>
        </is>
      </c>
      <c r="B3334" s="1" t="n">
        <v>44475</v>
      </c>
      <c r="C3334" s="1" t="n">
        <v>45911</v>
      </c>
      <c r="D3334" t="inlineStr">
        <is>
          <t>GÄVLEBORGS LÄN</t>
        </is>
      </c>
      <c r="E3334" t="inlineStr">
        <is>
          <t>HUDIKSVALL</t>
        </is>
      </c>
      <c r="G3334" t="n">
        <v>6</v>
      </c>
      <c r="H3334" t="n">
        <v>0</v>
      </c>
      <c r="I3334" t="n">
        <v>0</v>
      </c>
      <c r="J3334" t="n">
        <v>0</v>
      </c>
      <c r="K3334" t="n">
        <v>0</v>
      </c>
      <c r="L3334" t="n">
        <v>0</v>
      </c>
      <c r="M3334" t="n">
        <v>0</v>
      </c>
      <c r="N3334" t="n">
        <v>0</v>
      </c>
      <c r="O3334" t="n">
        <v>0</v>
      </c>
      <c r="P3334" t="n">
        <v>0</v>
      </c>
      <c r="Q3334" t="n">
        <v>0</v>
      </c>
      <c r="R3334" s="2" t="inlineStr"/>
    </row>
    <row r="3335" ht="15" customHeight="1">
      <c r="A3335" t="inlineStr">
        <is>
          <t>A 55371-2021</t>
        </is>
      </c>
      <c r="B3335" s="1" t="n">
        <v>44475.49870370371</v>
      </c>
      <c r="C3335" s="1" t="n">
        <v>45911</v>
      </c>
      <c r="D3335" t="inlineStr">
        <is>
          <t>GÄVLEBORGS LÄN</t>
        </is>
      </c>
      <c r="E3335" t="inlineStr">
        <is>
          <t>OVANÅKER</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26788-2025</t>
        </is>
      </c>
      <c r="B3336" s="1" t="n">
        <v>45810.58700231482</v>
      </c>
      <c r="C3336" s="1" t="n">
        <v>45911</v>
      </c>
      <c r="D3336" t="inlineStr">
        <is>
          <t>GÄVLEBORGS LÄN</t>
        </is>
      </c>
      <c r="E3336" t="inlineStr">
        <is>
          <t>HUDIKSVALL</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26805-2025</t>
        </is>
      </c>
      <c r="B3337" s="1" t="n">
        <v>45810.61028935185</v>
      </c>
      <c r="C3337" s="1" t="n">
        <v>45911</v>
      </c>
      <c r="D3337" t="inlineStr">
        <is>
          <t>GÄVLEBORGS LÄN</t>
        </is>
      </c>
      <c r="E3337" t="inlineStr">
        <is>
          <t>SÖDERHAMN</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26806-2025</t>
        </is>
      </c>
      <c r="B3338" s="1" t="n">
        <v>45810.61306712963</v>
      </c>
      <c r="C3338" s="1" t="n">
        <v>45911</v>
      </c>
      <c r="D3338" t="inlineStr">
        <is>
          <t>GÄVLEBORGS LÄN</t>
        </is>
      </c>
      <c r="E3338" t="inlineStr">
        <is>
          <t>BOLLNÄS</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2149-2024</t>
        </is>
      </c>
      <c r="B3339" s="1" t="n">
        <v>45309.57211805556</v>
      </c>
      <c r="C3339" s="1" t="n">
        <v>45911</v>
      </c>
      <c r="D3339" t="inlineStr">
        <is>
          <t>GÄVLEBORGS LÄN</t>
        </is>
      </c>
      <c r="E3339" t="inlineStr">
        <is>
          <t>NORDANSTIG</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61487-2024</t>
        </is>
      </c>
      <c r="B3340" s="1" t="n">
        <v>45646.54785879629</v>
      </c>
      <c r="C3340" s="1" t="n">
        <v>45911</v>
      </c>
      <c r="D3340" t="inlineStr">
        <is>
          <t>GÄVLEBORGS LÄN</t>
        </is>
      </c>
      <c r="E3340" t="inlineStr">
        <is>
          <t>OVANÅKER</t>
        </is>
      </c>
      <c r="G3340" t="n">
        <v>0.2</v>
      </c>
      <c r="H3340" t="n">
        <v>0</v>
      </c>
      <c r="I3340" t="n">
        <v>0</v>
      </c>
      <c r="J3340" t="n">
        <v>0</v>
      </c>
      <c r="K3340" t="n">
        <v>0</v>
      </c>
      <c r="L3340" t="n">
        <v>0</v>
      </c>
      <c r="M3340" t="n">
        <v>0</v>
      </c>
      <c r="N3340" t="n">
        <v>0</v>
      </c>
      <c r="O3340" t="n">
        <v>0</v>
      </c>
      <c r="P3340" t="n">
        <v>0</v>
      </c>
      <c r="Q3340" t="n">
        <v>0</v>
      </c>
      <c r="R3340" s="2" t="inlineStr"/>
    </row>
    <row r="3341" ht="15" customHeight="1">
      <c r="A3341" t="inlineStr">
        <is>
          <t>A 3044-2023</t>
        </is>
      </c>
      <c r="B3341" s="1" t="n">
        <v>44946</v>
      </c>
      <c r="C3341" s="1" t="n">
        <v>45911</v>
      </c>
      <c r="D3341" t="inlineStr">
        <is>
          <t>GÄVLEBORGS LÄN</t>
        </is>
      </c>
      <c r="E3341" t="inlineStr">
        <is>
          <t>OVANÅKER</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42732-2023</t>
        </is>
      </c>
      <c r="B3342" s="1" t="n">
        <v>45181</v>
      </c>
      <c r="C3342" s="1" t="n">
        <v>45911</v>
      </c>
      <c r="D3342" t="inlineStr">
        <is>
          <t>GÄVLEBORGS LÄN</t>
        </is>
      </c>
      <c r="E3342" t="inlineStr">
        <is>
          <t>LJUSDAL</t>
        </is>
      </c>
      <c r="F3342" t="inlineStr">
        <is>
          <t>Kommuner</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55019-2024</t>
        </is>
      </c>
      <c r="B3343" s="1" t="n">
        <v>45621.35841435185</v>
      </c>
      <c r="C3343" s="1" t="n">
        <v>45911</v>
      </c>
      <c r="D3343" t="inlineStr">
        <is>
          <t>GÄVLEBORGS LÄN</t>
        </is>
      </c>
      <c r="E3343" t="inlineStr">
        <is>
          <t>BOLLNÄS</t>
        </is>
      </c>
      <c r="G3343" t="n">
        <v>3.6</v>
      </c>
      <c r="H3343" t="n">
        <v>0</v>
      </c>
      <c r="I3343" t="n">
        <v>0</v>
      </c>
      <c r="J3343" t="n">
        <v>0</v>
      </c>
      <c r="K3343" t="n">
        <v>0</v>
      </c>
      <c r="L3343" t="n">
        <v>0</v>
      </c>
      <c r="M3343" t="n">
        <v>0</v>
      </c>
      <c r="N3343" t="n">
        <v>0</v>
      </c>
      <c r="O3343" t="n">
        <v>0</v>
      </c>
      <c r="P3343" t="n">
        <v>0</v>
      </c>
      <c r="Q3343" t="n">
        <v>0</v>
      </c>
      <c r="R3343" s="2" t="inlineStr"/>
    </row>
    <row r="3344" ht="15" customHeight="1">
      <c r="A3344" t="inlineStr">
        <is>
          <t>A 9918-2025</t>
        </is>
      </c>
      <c r="B3344" s="1" t="n">
        <v>45717.44746527778</v>
      </c>
      <c r="C3344" s="1" t="n">
        <v>45911</v>
      </c>
      <c r="D3344" t="inlineStr">
        <is>
          <t>GÄVLEBORGS LÄN</t>
        </is>
      </c>
      <c r="E3344" t="inlineStr">
        <is>
          <t>HUDIKSVALL</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13193-2025</t>
        </is>
      </c>
      <c r="B3345" s="1" t="n">
        <v>45735.41233796296</v>
      </c>
      <c r="C3345" s="1" t="n">
        <v>45911</v>
      </c>
      <c r="D3345" t="inlineStr">
        <is>
          <t>GÄVLEBORGS LÄN</t>
        </is>
      </c>
      <c r="E3345" t="inlineStr">
        <is>
          <t>GÄVLE</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64364-2023</t>
        </is>
      </c>
      <c r="B3346" s="1" t="n">
        <v>45280.52896990741</v>
      </c>
      <c r="C3346" s="1" t="n">
        <v>45911</v>
      </c>
      <c r="D3346" t="inlineStr">
        <is>
          <t>GÄVLEBORGS LÄN</t>
        </is>
      </c>
      <c r="E3346" t="inlineStr">
        <is>
          <t>OCKELBO</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64367-2023</t>
        </is>
      </c>
      <c r="B3347" s="1" t="n">
        <v>45280.53886574074</v>
      </c>
      <c r="C3347" s="1" t="n">
        <v>45911</v>
      </c>
      <c r="D3347" t="inlineStr">
        <is>
          <t>GÄVLEBORGS LÄN</t>
        </is>
      </c>
      <c r="E3347" t="inlineStr">
        <is>
          <t>OCKELBO</t>
        </is>
      </c>
      <c r="G3347" t="n">
        <v>0.4</v>
      </c>
      <c r="H3347" t="n">
        <v>0</v>
      </c>
      <c r="I3347" t="n">
        <v>0</v>
      </c>
      <c r="J3347" t="n">
        <v>0</v>
      </c>
      <c r="K3347" t="n">
        <v>0</v>
      </c>
      <c r="L3347" t="n">
        <v>0</v>
      </c>
      <c r="M3347" t="n">
        <v>0</v>
      </c>
      <c r="N3347" t="n">
        <v>0</v>
      </c>
      <c r="O3347" t="n">
        <v>0</v>
      </c>
      <c r="P3347" t="n">
        <v>0</v>
      </c>
      <c r="Q3347" t="n">
        <v>0</v>
      </c>
      <c r="R3347" s="2" t="inlineStr"/>
    </row>
    <row r="3348" ht="15" customHeight="1">
      <c r="A3348" t="inlineStr">
        <is>
          <t>A 13297-2021</t>
        </is>
      </c>
      <c r="B3348" s="1" t="n">
        <v>44272.85908564815</v>
      </c>
      <c r="C3348" s="1" t="n">
        <v>45911</v>
      </c>
      <c r="D3348" t="inlineStr">
        <is>
          <t>GÄVLEBORGS LÄN</t>
        </is>
      </c>
      <c r="E3348" t="inlineStr">
        <is>
          <t>GÄVLE</t>
        </is>
      </c>
      <c r="F3348" t="inlineStr">
        <is>
          <t>Bergvik skog öst AB</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3334-2022</t>
        </is>
      </c>
      <c r="B3349" s="1" t="n">
        <v>44585.3431712963</v>
      </c>
      <c r="C3349" s="1" t="n">
        <v>45911</v>
      </c>
      <c r="D3349" t="inlineStr">
        <is>
          <t>GÄVLEBORGS LÄN</t>
        </is>
      </c>
      <c r="E3349" t="inlineStr">
        <is>
          <t>GÄVLE</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59253-2023</t>
        </is>
      </c>
      <c r="B3350" s="1" t="n">
        <v>45253</v>
      </c>
      <c r="C3350" s="1" t="n">
        <v>45911</v>
      </c>
      <c r="D3350" t="inlineStr">
        <is>
          <t>GÄVLEBORGS LÄN</t>
        </is>
      </c>
      <c r="E3350" t="inlineStr">
        <is>
          <t>OVANÅKER</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37697-2022</t>
        </is>
      </c>
      <c r="B3351" s="1" t="n">
        <v>44810.51233796297</v>
      </c>
      <c r="C3351" s="1" t="n">
        <v>45911</v>
      </c>
      <c r="D3351" t="inlineStr">
        <is>
          <t>GÄVLEBORGS LÄN</t>
        </is>
      </c>
      <c r="E3351" t="inlineStr">
        <is>
          <t>SANDVIKEN</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14051-2025</t>
        </is>
      </c>
      <c r="B3352" s="1" t="n">
        <v>45740.38570601852</v>
      </c>
      <c r="C3352" s="1" t="n">
        <v>45911</v>
      </c>
      <c r="D3352" t="inlineStr">
        <is>
          <t>GÄVLEBORGS LÄN</t>
        </is>
      </c>
      <c r="E3352" t="inlineStr">
        <is>
          <t>NORDANSTIG</t>
        </is>
      </c>
      <c r="G3352" t="n">
        <v>4.1</v>
      </c>
      <c r="H3352" t="n">
        <v>0</v>
      </c>
      <c r="I3352" t="n">
        <v>0</v>
      </c>
      <c r="J3352" t="n">
        <v>0</v>
      </c>
      <c r="K3352" t="n">
        <v>0</v>
      </c>
      <c r="L3352" t="n">
        <v>0</v>
      </c>
      <c r="M3352" t="n">
        <v>0</v>
      </c>
      <c r="N3352" t="n">
        <v>0</v>
      </c>
      <c r="O3352" t="n">
        <v>0</v>
      </c>
      <c r="P3352" t="n">
        <v>0</v>
      </c>
      <c r="Q3352" t="n">
        <v>0</v>
      </c>
      <c r="R3352" s="2" t="inlineStr"/>
    </row>
    <row r="3353" ht="15" customHeight="1">
      <c r="A3353" t="inlineStr">
        <is>
          <t>A 40345-2021</t>
        </is>
      </c>
      <c r="B3353" s="1" t="n">
        <v>44419</v>
      </c>
      <c r="C3353" s="1" t="n">
        <v>45911</v>
      </c>
      <c r="D3353" t="inlineStr">
        <is>
          <t>GÄVLEBORGS LÄN</t>
        </is>
      </c>
      <c r="E3353" t="inlineStr">
        <is>
          <t>LJUSDAL</t>
        </is>
      </c>
      <c r="F3353" t="inlineStr">
        <is>
          <t>Bergvik skog väst AB</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42869-2024</t>
        </is>
      </c>
      <c r="B3354" s="1" t="n">
        <v>45566.66402777778</v>
      </c>
      <c r="C3354" s="1" t="n">
        <v>45911</v>
      </c>
      <c r="D3354" t="inlineStr">
        <is>
          <t>GÄVLEBORGS LÄN</t>
        </is>
      </c>
      <c r="E3354" t="inlineStr">
        <is>
          <t>SANDVIKEN</t>
        </is>
      </c>
      <c r="F3354" t="inlineStr">
        <is>
          <t>Sveaskog</t>
        </is>
      </c>
      <c r="G3354" t="n">
        <v>6.9</v>
      </c>
      <c r="H3354" t="n">
        <v>0</v>
      </c>
      <c r="I3354" t="n">
        <v>0</v>
      </c>
      <c r="J3354" t="n">
        <v>0</v>
      </c>
      <c r="K3354" t="n">
        <v>0</v>
      </c>
      <c r="L3354" t="n">
        <v>0</v>
      </c>
      <c r="M3354" t="n">
        <v>0</v>
      </c>
      <c r="N3354" t="n">
        <v>0</v>
      </c>
      <c r="O3354" t="n">
        <v>0</v>
      </c>
      <c r="P3354" t="n">
        <v>0</v>
      </c>
      <c r="Q3354" t="n">
        <v>0</v>
      </c>
      <c r="R3354" s="2" t="inlineStr"/>
    </row>
    <row r="3355" ht="15" customHeight="1">
      <c r="A3355" t="inlineStr">
        <is>
          <t>A 42902-2024</t>
        </is>
      </c>
      <c r="B3355" s="1" t="n">
        <v>45566.87280092593</v>
      </c>
      <c r="C3355" s="1" t="n">
        <v>45911</v>
      </c>
      <c r="D3355" t="inlineStr">
        <is>
          <t>GÄVLEBORGS LÄN</t>
        </is>
      </c>
      <c r="E3355" t="inlineStr">
        <is>
          <t>SÖDERHAMN</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42942-2024</t>
        </is>
      </c>
      <c r="B3356" s="1" t="n">
        <v>45567.35226851852</v>
      </c>
      <c r="C3356" s="1" t="n">
        <v>45911</v>
      </c>
      <c r="D3356" t="inlineStr">
        <is>
          <t>GÄVLEBORGS LÄN</t>
        </is>
      </c>
      <c r="E3356" t="inlineStr">
        <is>
          <t>HUDIKSVALL</t>
        </is>
      </c>
      <c r="F3356" t="inlineStr">
        <is>
          <t>Holmen skog AB</t>
        </is>
      </c>
      <c r="G3356" t="n">
        <v>5.4</v>
      </c>
      <c r="H3356" t="n">
        <v>0</v>
      </c>
      <c r="I3356" t="n">
        <v>0</v>
      </c>
      <c r="J3356" t="n">
        <v>0</v>
      </c>
      <c r="K3356" t="n">
        <v>0</v>
      </c>
      <c r="L3356" t="n">
        <v>0</v>
      </c>
      <c r="M3356" t="n">
        <v>0</v>
      </c>
      <c r="N3356" t="n">
        <v>0</v>
      </c>
      <c r="O3356" t="n">
        <v>0</v>
      </c>
      <c r="P3356" t="n">
        <v>0</v>
      </c>
      <c r="Q3356" t="n">
        <v>0</v>
      </c>
      <c r="R3356" s="2" t="inlineStr"/>
    </row>
    <row r="3357" ht="15" customHeight="1">
      <c r="A3357" t="inlineStr">
        <is>
          <t>A 11349-2024</t>
        </is>
      </c>
      <c r="B3357" s="1" t="n">
        <v>45372.34134259259</v>
      </c>
      <c r="C3357" s="1" t="n">
        <v>45911</v>
      </c>
      <c r="D3357" t="inlineStr">
        <is>
          <t>GÄVLEBORGS LÄN</t>
        </is>
      </c>
      <c r="E3357" t="inlineStr">
        <is>
          <t>HUDIKSVALL</t>
        </is>
      </c>
      <c r="F3357" t="inlineStr">
        <is>
          <t>Holmen skog AB</t>
        </is>
      </c>
      <c r="G3357" t="n">
        <v>4.3</v>
      </c>
      <c r="H3357" t="n">
        <v>0</v>
      </c>
      <c r="I3357" t="n">
        <v>0</v>
      </c>
      <c r="J3357" t="n">
        <v>0</v>
      </c>
      <c r="K3357" t="n">
        <v>0</v>
      </c>
      <c r="L3357" t="n">
        <v>0</v>
      </c>
      <c r="M3357" t="n">
        <v>0</v>
      </c>
      <c r="N3357" t="n">
        <v>0</v>
      </c>
      <c r="O3357" t="n">
        <v>0</v>
      </c>
      <c r="P3357" t="n">
        <v>0</v>
      </c>
      <c r="Q3357" t="n">
        <v>0</v>
      </c>
      <c r="R3357" s="2" t="inlineStr"/>
    </row>
    <row r="3358" ht="15" customHeight="1">
      <c r="A3358" t="inlineStr">
        <is>
          <t>A 26557-2025</t>
        </is>
      </c>
      <c r="B3358" s="1" t="n">
        <v>45807.62958333334</v>
      </c>
      <c r="C3358" s="1" t="n">
        <v>45911</v>
      </c>
      <c r="D3358" t="inlineStr">
        <is>
          <t>GÄVLEBORGS LÄN</t>
        </is>
      </c>
      <c r="E3358" t="inlineStr">
        <is>
          <t>LJUSDAL</t>
        </is>
      </c>
      <c r="G3358" t="n">
        <v>4.4</v>
      </c>
      <c r="H3358" t="n">
        <v>0</v>
      </c>
      <c r="I3358" t="n">
        <v>0</v>
      </c>
      <c r="J3358" t="n">
        <v>0</v>
      </c>
      <c r="K3358" t="n">
        <v>0</v>
      </c>
      <c r="L3358" t="n">
        <v>0</v>
      </c>
      <c r="M3358" t="n">
        <v>0</v>
      </c>
      <c r="N3358" t="n">
        <v>0</v>
      </c>
      <c r="O3358" t="n">
        <v>0</v>
      </c>
      <c r="P3358" t="n">
        <v>0</v>
      </c>
      <c r="Q3358" t="n">
        <v>0</v>
      </c>
      <c r="R3358" s="2" t="inlineStr"/>
    </row>
    <row r="3359" ht="15" customHeight="1">
      <c r="A3359" t="inlineStr">
        <is>
          <t>A 26579-2025</t>
        </is>
      </c>
      <c r="B3359" s="1" t="n">
        <v>45807</v>
      </c>
      <c r="C3359" s="1" t="n">
        <v>45911</v>
      </c>
      <c r="D3359" t="inlineStr">
        <is>
          <t>GÄVLEBORGS LÄN</t>
        </is>
      </c>
      <c r="E3359" t="inlineStr">
        <is>
          <t>LJUSDAL</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26636-2025</t>
        </is>
      </c>
      <c r="B3360" s="1" t="n">
        <v>45810.3549537037</v>
      </c>
      <c r="C3360" s="1" t="n">
        <v>45911</v>
      </c>
      <c r="D3360" t="inlineStr">
        <is>
          <t>GÄVLEBORGS LÄN</t>
        </is>
      </c>
      <c r="E3360" t="inlineStr">
        <is>
          <t>NORDANSTIG</t>
        </is>
      </c>
      <c r="F3360" t="inlineStr">
        <is>
          <t>Holmen skog AB</t>
        </is>
      </c>
      <c r="G3360" t="n">
        <v>42.8</v>
      </c>
      <c r="H3360" t="n">
        <v>0</v>
      </c>
      <c r="I3360" t="n">
        <v>0</v>
      </c>
      <c r="J3360" t="n">
        <v>0</v>
      </c>
      <c r="K3360" t="n">
        <v>0</v>
      </c>
      <c r="L3360" t="n">
        <v>0</v>
      </c>
      <c r="M3360" t="n">
        <v>0</v>
      </c>
      <c r="N3360" t="n">
        <v>0</v>
      </c>
      <c r="O3360" t="n">
        <v>0</v>
      </c>
      <c r="P3360" t="n">
        <v>0</v>
      </c>
      <c r="Q3360" t="n">
        <v>0</v>
      </c>
      <c r="R3360" s="2" t="inlineStr"/>
    </row>
    <row r="3361" ht="15" customHeight="1">
      <c r="A3361" t="inlineStr">
        <is>
          <t>A 49706-2023</t>
        </is>
      </c>
      <c r="B3361" s="1" t="n">
        <v>45212.40984953703</v>
      </c>
      <c r="C3361" s="1" t="n">
        <v>45911</v>
      </c>
      <c r="D3361" t="inlineStr">
        <is>
          <t>GÄVLEBORGS LÄN</t>
        </is>
      </c>
      <c r="E3361" t="inlineStr">
        <is>
          <t>SANDVIKEN</t>
        </is>
      </c>
      <c r="F3361" t="inlineStr">
        <is>
          <t>Sveaskog</t>
        </is>
      </c>
      <c r="G3361" t="n">
        <v>0.2</v>
      </c>
      <c r="H3361" t="n">
        <v>0</v>
      </c>
      <c r="I3361" t="n">
        <v>0</v>
      </c>
      <c r="J3361" t="n">
        <v>0</v>
      </c>
      <c r="K3361" t="n">
        <v>0</v>
      </c>
      <c r="L3361" t="n">
        <v>0</v>
      </c>
      <c r="M3361" t="n">
        <v>0</v>
      </c>
      <c r="N3361" t="n">
        <v>0</v>
      </c>
      <c r="O3361" t="n">
        <v>0</v>
      </c>
      <c r="P3361" t="n">
        <v>0</v>
      </c>
      <c r="Q3361" t="n">
        <v>0</v>
      </c>
      <c r="R3361" s="2" t="inlineStr"/>
    </row>
    <row r="3362" ht="15" customHeight="1">
      <c r="A3362" t="inlineStr">
        <is>
          <t>A 15912-2024</t>
        </is>
      </c>
      <c r="B3362" s="1" t="n">
        <v>45405.4396875</v>
      </c>
      <c r="C3362" s="1" t="n">
        <v>45911</v>
      </c>
      <c r="D3362" t="inlineStr">
        <is>
          <t>GÄVLEBORGS LÄN</t>
        </is>
      </c>
      <c r="E3362" t="inlineStr">
        <is>
          <t>OVANÅKER</t>
        </is>
      </c>
      <c r="G3362" t="n">
        <v>4.1</v>
      </c>
      <c r="H3362" t="n">
        <v>0</v>
      </c>
      <c r="I3362" t="n">
        <v>0</v>
      </c>
      <c r="J3362" t="n">
        <v>0</v>
      </c>
      <c r="K3362" t="n">
        <v>0</v>
      </c>
      <c r="L3362" t="n">
        <v>0</v>
      </c>
      <c r="M3362" t="n">
        <v>0</v>
      </c>
      <c r="N3362" t="n">
        <v>0</v>
      </c>
      <c r="O3362" t="n">
        <v>0</v>
      </c>
      <c r="P3362" t="n">
        <v>0</v>
      </c>
      <c r="Q3362" t="n">
        <v>0</v>
      </c>
      <c r="R3362" s="2" t="inlineStr"/>
    </row>
    <row r="3363" ht="15" customHeight="1">
      <c r="A3363" t="inlineStr">
        <is>
          <t>A 7731-2024</t>
        </is>
      </c>
      <c r="B3363" s="1" t="n">
        <v>45349</v>
      </c>
      <c r="C3363" s="1" t="n">
        <v>45911</v>
      </c>
      <c r="D3363" t="inlineStr">
        <is>
          <t>GÄVLEBORGS LÄN</t>
        </is>
      </c>
      <c r="E3363" t="inlineStr">
        <is>
          <t>LJUSDAL</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25029-2025</t>
        </is>
      </c>
      <c r="B3364" s="1" t="n">
        <v>45799.65251157407</v>
      </c>
      <c r="C3364" s="1" t="n">
        <v>45911</v>
      </c>
      <c r="D3364" t="inlineStr">
        <is>
          <t>GÄVLEBORGS LÄN</t>
        </is>
      </c>
      <c r="E3364" t="inlineStr">
        <is>
          <t>SÖDERHAMN</t>
        </is>
      </c>
      <c r="F3364" t="inlineStr">
        <is>
          <t>Bergvik skog väst AB</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13603-2025</t>
        </is>
      </c>
      <c r="B3365" s="1" t="n">
        <v>45736</v>
      </c>
      <c r="C3365" s="1" t="n">
        <v>45911</v>
      </c>
      <c r="D3365" t="inlineStr">
        <is>
          <t>GÄVLEBORGS LÄN</t>
        </is>
      </c>
      <c r="E3365" t="inlineStr">
        <is>
          <t>HUDIKSVALL</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49935-2024</t>
        </is>
      </c>
      <c r="B3366" s="1" t="n">
        <v>45597.58377314815</v>
      </c>
      <c r="C3366" s="1" t="n">
        <v>45911</v>
      </c>
      <c r="D3366" t="inlineStr">
        <is>
          <t>GÄVLEBORGS LÄN</t>
        </is>
      </c>
      <c r="E3366" t="inlineStr">
        <is>
          <t>SÖDERHAMN</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49942-2024</t>
        </is>
      </c>
      <c r="B3367" s="1" t="n">
        <v>45597.5980324074</v>
      </c>
      <c r="C3367" s="1" t="n">
        <v>45911</v>
      </c>
      <c r="D3367" t="inlineStr">
        <is>
          <t>GÄVLEBORGS LÄN</t>
        </is>
      </c>
      <c r="E3367" t="inlineStr">
        <is>
          <t>SÖDERHAMN</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49957-2024</t>
        </is>
      </c>
      <c r="B3368" s="1" t="n">
        <v>45597.61802083333</v>
      </c>
      <c r="C3368" s="1" t="n">
        <v>45911</v>
      </c>
      <c r="D3368" t="inlineStr">
        <is>
          <t>GÄVLEBORGS LÄN</t>
        </is>
      </c>
      <c r="E3368" t="inlineStr">
        <is>
          <t>LJUSDAL</t>
        </is>
      </c>
      <c r="G3368" t="n">
        <v>4.6</v>
      </c>
      <c r="H3368" t="n">
        <v>0</v>
      </c>
      <c r="I3368" t="n">
        <v>0</v>
      </c>
      <c r="J3368" t="n">
        <v>0</v>
      </c>
      <c r="K3368" t="n">
        <v>0</v>
      </c>
      <c r="L3368" t="n">
        <v>0</v>
      </c>
      <c r="M3368" t="n">
        <v>0</v>
      </c>
      <c r="N3368" t="n">
        <v>0</v>
      </c>
      <c r="O3368" t="n">
        <v>0</v>
      </c>
      <c r="P3368" t="n">
        <v>0</v>
      </c>
      <c r="Q3368" t="n">
        <v>0</v>
      </c>
      <c r="R3368" s="2" t="inlineStr"/>
    </row>
    <row r="3369" ht="15" customHeight="1">
      <c r="A3369" t="inlineStr">
        <is>
          <t>A 52892-2023</t>
        </is>
      </c>
      <c r="B3369" s="1" t="n">
        <v>45226</v>
      </c>
      <c r="C3369" s="1" t="n">
        <v>45911</v>
      </c>
      <c r="D3369" t="inlineStr">
        <is>
          <t>GÄVLEBORGS LÄN</t>
        </is>
      </c>
      <c r="E3369" t="inlineStr">
        <is>
          <t>HUDIKSVALL</t>
        </is>
      </c>
      <c r="F3369" t="inlineStr">
        <is>
          <t>Holmen skog AB</t>
        </is>
      </c>
      <c r="G3369" t="n">
        <v>12.4</v>
      </c>
      <c r="H3369" t="n">
        <v>0</v>
      </c>
      <c r="I3369" t="n">
        <v>0</v>
      </c>
      <c r="J3369" t="n">
        <v>0</v>
      </c>
      <c r="K3369" t="n">
        <v>0</v>
      </c>
      <c r="L3369" t="n">
        <v>0</v>
      </c>
      <c r="M3369" t="n">
        <v>0</v>
      </c>
      <c r="N3369" t="n">
        <v>0</v>
      </c>
      <c r="O3369" t="n">
        <v>0</v>
      </c>
      <c r="P3369" t="n">
        <v>0</v>
      </c>
      <c r="Q3369" t="n">
        <v>0</v>
      </c>
      <c r="R3369" s="2" t="inlineStr"/>
    </row>
    <row r="3370" ht="15" customHeight="1">
      <c r="A3370" t="inlineStr">
        <is>
          <t>A 18466-2025</t>
        </is>
      </c>
      <c r="B3370" s="1" t="n">
        <v>45762.70567129629</v>
      </c>
      <c r="C3370" s="1" t="n">
        <v>45911</v>
      </c>
      <c r="D3370" t="inlineStr">
        <is>
          <t>GÄVLEBORGS LÄN</t>
        </is>
      </c>
      <c r="E3370" t="inlineStr">
        <is>
          <t>SÖDERHAMN</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26682-2025</t>
        </is>
      </c>
      <c r="B3371" s="1" t="n">
        <v>45810</v>
      </c>
      <c r="C3371" s="1" t="n">
        <v>45911</v>
      </c>
      <c r="D3371" t="inlineStr">
        <is>
          <t>GÄVLEBORGS LÄN</t>
        </is>
      </c>
      <c r="E3371" t="inlineStr">
        <is>
          <t>BOLLNÄS</t>
        </is>
      </c>
      <c r="F3371" t="inlineStr">
        <is>
          <t>Bergvik skog väst AB</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26894-2025</t>
        </is>
      </c>
      <c r="B3372" s="1" t="n">
        <v>45811.33554398148</v>
      </c>
      <c r="C3372" s="1" t="n">
        <v>45911</v>
      </c>
      <c r="D3372" t="inlineStr">
        <is>
          <t>GÄVLEBORGS LÄN</t>
        </is>
      </c>
      <c r="E3372" t="inlineStr">
        <is>
          <t>HUDIKSVALL</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20780-2021</t>
        </is>
      </c>
      <c r="B3373" s="1" t="n">
        <v>44316.61788194445</v>
      </c>
      <c r="C3373" s="1" t="n">
        <v>45911</v>
      </c>
      <c r="D3373" t="inlineStr">
        <is>
          <t>GÄVLEBORGS LÄN</t>
        </is>
      </c>
      <c r="E3373" t="inlineStr">
        <is>
          <t>SANDVIKEN</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26933-2025</t>
        </is>
      </c>
      <c r="B3374" s="1" t="n">
        <v>45811.40111111111</v>
      </c>
      <c r="C3374" s="1" t="n">
        <v>45911</v>
      </c>
      <c r="D3374" t="inlineStr">
        <is>
          <t>GÄVLEBORGS LÄN</t>
        </is>
      </c>
      <c r="E3374" t="inlineStr">
        <is>
          <t>GÄVLE</t>
        </is>
      </c>
      <c r="G3374" t="n">
        <v>3.3</v>
      </c>
      <c r="H3374" t="n">
        <v>0</v>
      </c>
      <c r="I3374" t="n">
        <v>0</v>
      </c>
      <c r="J3374" t="n">
        <v>0</v>
      </c>
      <c r="K3374" t="n">
        <v>0</v>
      </c>
      <c r="L3374" t="n">
        <v>0</v>
      </c>
      <c r="M3374" t="n">
        <v>0</v>
      </c>
      <c r="N3374" t="n">
        <v>0</v>
      </c>
      <c r="O3374" t="n">
        <v>0</v>
      </c>
      <c r="P3374" t="n">
        <v>0</v>
      </c>
      <c r="Q3374" t="n">
        <v>0</v>
      </c>
      <c r="R3374" s="2" t="inlineStr"/>
    </row>
    <row r="3375" ht="15" customHeight="1">
      <c r="A3375" t="inlineStr">
        <is>
          <t>A 26999-2025</t>
        </is>
      </c>
      <c r="B3375" s="1" t="n">
        <v>45811.54422453704</v>
      </c>
      <c r="C3375" s="1" t="n">
        <v>45911</v>
      </c>
      <c r="D3375" t="inlineStr">
        <is>
          <t>GÄVLEBORGS LÄN</t>
        </is>
      </c>
      <c r="E3375" t="inlineStr">
        <is>
          <t>LJUSDAL</t>
        </is>
      </c>
      <c r="F3375" t="inlineStr">
        <is>
          <t>Bergvik skog väst AB</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12129-2022</t>
        </is>
      </c>
      <c r="B3376" s="1" t="n">
        <v>44636.60628472222</v>
      </c>
      <c r="C3376" s="1" t="n">
        <v>45911</v>
      </c>
      <c r="D3376" t="inlineStr">
        <is>
          <t>GÄVLEBORGS LÄN</t>
        </is>
      </c>
      <c r="E3376" t="inlineStr">
        <is>
          <t>OVANÅKER</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853-2024</t>
        </is>
      </c>
      <c r="B3377" s="1" t="n">
        <v>45300</v>
      </c>
      <c r="C3377" s="1" t="n">
        <v>45911</v>
      </c>
      <c r="D3377" t="inlineStr">
        <is>
          <t>GÄVLEBORGS LÄN</t>
        </is>
      </c>
      <c r="E3377" t="inlineStr">
        <is>
          <t>NORDANSTIG</t>
        </is>
      </c>
      <c r="G3377" t="n">
        <v>8.1</v>
      </c>
      <c r="H3377" t="n">
        <v>0</v>
      </c>
      <c r="I3377" t="n">
        <v>0</v>
      </c>
      <c r="J3377" t="n">
        <v>0</v>
      </c>
      <c r="K3377" t="n">
        <v>0</v>
      </c>
      <c r="L3377" t="n">
        <v>0</v>
      </c>
      <c r="M3377" t="n">
        <v>0</v>
      </c>
      <c r="N3377" t="n">
        <v>0</v>
      </c>
      <c r="O3377" t="n">
        <v>0</v>
      </c>
      <c r="P3377" t="n">
        <v>0</v>
      </c>
      <c r="Q3377" t="n">
        <v>0</v>
      </c>
      <c r="R3377" s="2" t="inlineStr"/>
    </row>
    <row r="3378" ht="15" customHeight="1">
      <c r="A3378" t="inlineStr">
        <is>
          <t>A 43299-2023</t>
        </is>
      </c>
      <c r="B3378" s="1" t="n">
        <v>45183.58574074074</v>
      </c>
      <c r="C3378" s="1" t="n">
        <v>45911</v>
      </c>
      <c r="D3378" t="inlineStr">
        <is>
          <t>GÄVLEBORGS LÄN</t>
        </is>
      </c>
      <c r="E3378" t="inlineStr">
        <is>
          <t>OVANÅKER</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884-2024</t>
        </is>
      </c>
      <c r="B3379" s="1" t="n">
        <v>45301.39141203704</v>
      </c>
      <c r="C3379" s="1" t="n">
        <v>45911</v>
      </c>
      <c r="D3379" t="inlineStr">
        <is>
          <t>GÄVLEBORGS LÄN</t>
        </is>
      </c>
      <c r="E3379" t="inlineStr">
        <is>
          <t>NORDANSTIG</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60779-2022</t>
        </is>
      </c>
      <c r="B3380" s="1" t="n">
        <v>44914.38584490741</v>
      </c>
      <c r="C3380" s="1" t="n">
        <v>45911</v>
      </c>
      <c r="D3380" t="inlineStr">
        <is>
          <t>GÄVLEBORGS LÄN</t>
        </is>
      </c>
      <c r="E3380" t="inlineStr">
        <is>
          <t>OVANÅKER</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59823-2024</t>
        </is>
      </c>
      <c r="B3381" s="1" t="n">
        <v>45639.63806712963</v>
      </c>
      <c r="C3381" s="1" t="n">
        <v>45911</v>
      </c>
      <c r="D3381" t="inlineStr">
        <is>
          <t>GÄVLEBORGS LÄN</t>
        </is>
      </c>
      <c r="E3381" t="inlineStr">
        <is>
          <t>HUDIKSVALL</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20778-2023</t>
        </is>
      </c>
      <c r="B3382" s="1" t="n">
        <v>45058.5878125</v>
      </c>
      <c r="C3382" s="1" t="n">
        <v>45911</v>
      </c>
      <c r="D3382" t="inlineStr">
        <is>
          <t>GÄVLEBORGS LÄN</t>
        </is>
      </c>
      <c r="E3382" t="inlineStr">
        <is>
          <t>BOLLNÄS</t>
        </is>
      </c>
      <c r="F3382" t="inlineStr">
        <is>
          <t>Sveaskog</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59851-2024</t>
        </is>
      </c>
      <c r="B3383" s="1" t="n">
        <v>45639</v>
      </c>
      <c r="C3383" s="1" t="n">
        <v>45911</v>
      </c>
      <c r="D3383" t="inlineStr">
        <is>
          <t>GÄVLEBORGS LÄN</t>
        </is>
      </c>
      <c r="E3383" t="inlineStr">
        <is>
          <t>NORDANSTIG</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27361-2025</t>
        </is>
      </c>
      <c r="B3384" s="1" t="n">
        <v>45812.64255787037</v>
      </c>
      <c r="C3384" s="1" t="n">
        <v>45911</v>
      </c>
      <c r="D3384" t="inlineStr">
        <is>
          <t>GÄVLEBORGS LÄN</t>
        </is>
      </c>
      <c r="E3384" t="inlineStr">
        <is>
          <t>BOLLNÄS</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60132-2024</t>
        </is>
      </c>
      <c r="B3385" s="1" t="n">
        <v>45642.59554398148</v>
      </c>
      <c r="C3385" s="1" t="n">
        <v>45911</v>
      </c>
      <c r="D3385" t="inlineStr">
        <is>
          <t>GÄVLEBORGS LÄN</t>
        </is>
      </c>
      <c r="E3385" t="inlineStr">
        <is>
          <t>OCKELBO</t>
        </is>
      </c>
      <c r="F3385" t="inlineStr">
        <is>
          <t>Bergvik skog öst AB</t>
        </is>
      </c>
      <c r="G3385" t="n">
        <v>5.7</v>
      </c>
      <c r="H3385" t="n">
        <v>0</v>
      </c>
      <c r="I3385" t="n">
        <v>0</v>
      </c>
      <c r="J3385" t="n">
        <v>0</v>
      </c>
      <c r="K3385" t="n">
        <v>0</v>
      </c>
      <c r="L3385" t="n">
        <v>0</v>
      </c>
      <c r="M3385" t="n">
        <v>0</v>
      </c>
      <c r="N3385" t="n">
        <v>0</v>
      </c>
      <c r="O3385" t="n">
        <v>0</v>
      </c>
      <c r="P3385" t="n">
        <v>0</v>
      </c>
      <c r="Q3385" t="n">
        <v>0</v>
      </c>
      <c r="R3385" s="2" t="inlineStr"/>
    </row>
    <row r="3386" ht="15" customHeight="1">
      <c r="A3386" t="inlineStr">
        <is>
          <t>A 60915-2024</t>
        </is>
      </c>
      <c r="B3386" s="1" t="n">
        <v>45645.33822916666</v>
      </c>
      <c r="C3386" s="1" t="n">
        <v>45911</v>
      </c>
      <c r="D3386" t="inlineStr">
        <is>
          <t>GÄVLEBORGS LÄN</t>
        </is>
      </c>
      <c r="E3386" t="inlineStr">
        <is>
          <t>OCKELBO</t>
        </is>
      </c>
      <c r="F3386" t="inlineStr">
        <is>
          <t>Kyrkan</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23296-2024</t>
        </is>
      </c>
      <c r="B3387" s="1" t="n">
        <v>45453.43356481481</v>
      </c>
      <c r="C3387" s="1" t="n">
        <v>45911</v>
      </c>
      <c r="D3387" t="inlineStr">
        <is>
          <t>GÄVLEBORGS LÄN</t>
        </is>
      </c>
      <c r="E3387" t="inlineStr">
        <is>
          <t>HUDIKSVALL</t>
        </is>
      </c>
      <c r="G3387" t="n">
        <v>3.7</v>
      </c>
      <c r="H3387" t="n">
        <v>0</v>
      </c>
      <c r="I3387" t="n">
        <v>0</v>
      </c>
      <c r="J3387" t="n">
        <v>0</v>
      </c>
      <c r="K3387" t="n">
        <v>0</v>
      </c>
      <c r="L3387" t="n">
        <v>0</v>
      </c>
      <c r="M3387" t="n">
        <v>0</v>
      </c>
      <c r="N3387" t="n">
        <v>0</v>
      </c>
      <c r="O3387" t="n">
        <v>0</v>
      </c>
      <c r="P3387" t="n">
        <v>0</v>
      </c>
      <c r="Q3387" t="n">
        <v>0</v>
      </c>
      <c r="R3387" s="2" t="inlineStr"/>
    </row>
    <row r="3388" ht="15" customHeight="1">
      <c r="A3388" t="inlineStr">
        <is>
          <t>A 2546-2023</t>
        </is>
      </c>
      <c r="B3388" s="1" t="n">
        <v>44943</v>
      </c>
      <c r="C3388" s="1" t="n">
        <v>45911</v>
      </c>
      <c r="D3388" t="inlineStr">
        <is>
          <t>GÄVLEBORGS LÄN</t>
        </is>
      </c>
      <c r="E3388" t="inlineStr">
        <is>
          <t>OVANÅKER</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27305-2025</t>
        </is>
      </c>
      <c r="B3389" s="1" t="n">
        <v>45812.57285879629</v>
      </c>
      <c r="C3389" s="1" t="n">
        <v>45911</v>
      </c>
      <c r="D3389" t="inlineStr">
        <is>
          <t>GÄVLEBORGS LÄN</t>
        </is>
      </c>
      <c r="E3389" t="inlineStr">
        <is>
          <t>LJUSDAL</t>
        </is>
      </c>
      <c r="F3389" t="inlineStr">
        <is>
          <t>Allmännings- och besparingsskogar</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54443-2024</t>
        </is>
      </c>
      <c r="B3390" s="1" t="n">
        <v>45617.51553240741</v>
      </c>
      <c r="C3390" s="1" t="n">
        <v>45911</v>
      </c>
      <c r="D3390" t="inlineStr">
        <is>
          <t>GÄVLEBORGS LÄN</t>
        </is>
      </c>
      <c r="E3390" t="inlineStr">
        <is>
          <t>SANDVIKEN</t>
        </is>
      </c>
      <c r="F3390" t="inlineStr">
        <is>
          <t>Bergvik skog öst AB</t>
        </is>
      </c>
      <c r="G3390" t="n">
        <v>4.2</v>
      </c>
      <c r="H3390" t="n">
        <v>0</v>
      </c>
      <c r="I3390" t="n">
        <v>0</v>
      </c>
      <c r="J3390" t="n">
        <v>0</v>
      </c>
      <c r="K3390" t="n">
        <v>0</v>
      </c>
      <c r="L3390" t="n">
        <v>0</v>
      </c>
      <c r="M3390" t="n">
        <v>0</v>
      </c>
      <c r="N3390" t="n">
        <v>0</v>
      </c>
      <c r="O3390" t="n">
        <v>0</v>
      </c>
      <c r="P3390" t="n">
        <v>0</v>
      </c>
      <c r="Q3390" t="n">
        <v>0</v>
      </c>
      <c r="R3390" s="2" t="inlineStr"/>
    </row>
    <row r="3391" ht="15" customHeight="1">
      <c r="A3391" t="inlineStr">
        <is>
          <t>A 26625-2023</t>
        </is>
      </c>
      <c r="B3391" s="1" t="n">
        <v>45092.71197916667</v>
      </c>
      <c r="C3391" s="1" t="n">
        <v>45911</v>
      </c>
      <c r="D3391" t="inlineStr">
        <is>
          <t>GÄVLEBORGS LÄN</t>
        </is>
      </c>
      <c r="E3391" t="inlineStr">
        <is>
          <t>LJUSDAL</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51492-2023</t>
        </is>
      </c>
      <c r="B3392" s="1" t="n">
        <v>45222.33164351852</v>
      </c>
      <c r="C3392" s="1" t="n">
        <v>45911</v>
      </c>
      <c r="D3392" t="inlineStr">
        <is>
          <t>GÄVLEBORGS LÄN</t>
        </is>
      </c>
      <c r="E3392" t="inlineStr">
        <is>
          <t>SÖDERHAMN</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27178-2025</t>
        </is>
      </c>
      <c r="B3393" s="1" t="n">
        <v>45812.35587962963</v>
      </c>
      <c r="C3393" s="1" t="n">
        <v>45911</v>
      </c>
      <c r="D3393" t="inlineStr">
        <is>
          <t>GÄVLEBORGS LÄN</t>
        </is>
      </c>
      <c r="E3393" t="inlineStr">
        <is>
          <t>OVANÅKER</t>
        </is>
      </c>
      <c r="G3393" t="n">
        <v>13.1</v>
      </c>
      <c r="H3393" t="n">
        <v>0</v>
      </c>
      <c r="I3393" t="n">
        <v>0</v>
      </c>
      <c r="J3393" t="n">
        <v>0</v>
      </c>
      <c r="K3393" t="n">
        <v>0</v>
      </c>
      <c r="L3393" t="n">
        <v>0</v>
      </c>
      <c r="M3393" t="n">
        <v>0</v>
      </c>
      <c r="N3393" t="n">
        <v>0</v>
      </c>
      <c r="O3393" t="n">
        <v>0</v>
      </c>
      <c r="P3393" t="n">
        <v>0</v>
      </c>
      <c r="Q3393" t="n">
        <v>0</v>
      </c>
      <c r="R3393" s="2" t="inlineStr"/>
    </row>
    <row r="3394" ht="15" customHeight="1">
      <c r="A3394" t="inlineStr">
        <is>
          <t>A 27186-2025</t>
        </is>
      </c>
      <c r="B3394" s="1" t="n">
        <v>45812.36540509259</v>
      </c>
      <c r="C3394" s="1" t="n">
        <v>45911</v>
      </c>
      <c r="D3394" t="inlineStr">
        <is>
          <t>GÄVLEBORGS LÄN</t>
        </is>
      </c>
      <c r="E3394" t="inlineStr">
        <is>
          <t>LJUSDAL</t>
        </is>
      </c>
      <c r="F3394" t="inlineStr">
        <is>
          <t>Holmen skog AB</t>
        </is>
      </c>
      <c r="G3394" t="n">
        <v>3.5</v>
      </c>
      <c r="H3394" t="n">
        <v>0</v>
      </c>
      <c r="I3394" t="n">
        <v>0</v>
      </c>
      <c r="J3394" t="n">
        <v>0</v>
      </c>
      <c r="K3394" t="n">
        <v>0</v>
      </c>
      <c r="L3394" t="n">
        <v>0</v>
      </c>
      <c r="M3394" t="n">
        <v>0</v>
      </c>
      <c r="N3394" t="n">
        <v>0</v>
      </c>
      <c r="O3394" t="n">
        <v>0</v>
      </c>
      <c r="P3394" t="n">
        <v>0</v>
      </c>
      <c r="Q3394" t="n">
        <v>0</v>
      </c>
      <c r="R3394" s="2" t="inlineStr"/>
    </row>
    <row r="3395" ht="15" customHeight="1">
      <c r="A3395" t="inlineStr">
        <is>
          <t>A 13498-2024</t>
        </is>
      </c>
      <c r="B3395" s="1" t="n">
        <v>45387.63298611111</v>
      </c>
      <c r="C3395" s="1" t="n">
        <v>45911</v>
      </c>
      <c r="D3395" t="inlineStr">
        <is>
          <t>GÄVLEBORGS LÄN</t>
        </is>
      </c>
      <c r="E3395" t="inlineStr">
        <is>
          <t>LJUSDAL</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13123-2023</t>
        </is>
      </c>
      <c r="B3396" s="1" t="n">
        <v>45002.49291666667</v>
      </c>
      <c r="C3396" s="1" t="n">
        <v>45911</v>
      </c>
      <c r="D3396" t="inlineStr">
        <is>
          <t>GÄVLEBORGS LÄN</t>
        </is>
      </c>
      <c r="E3396" t="inlineStr">
        <is>
          <t>OVANÅKER</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27243-2025</t>
        </is>
      </c>
      <c r="B3397" s="1" t="n">
        <v>45812.46144675926</v>
      </c>
      <c r="C3397" s="1" t="n">
        <v>45911</v>
      </c>
      <c r="D3397" t="inlineStr">
        <is>
          <t>GÄVLEBORGS LÄN</t>
        </is>
      </c>
      <c r="E3397" t="inlineStr">
        <is>
          <t>OCKELBO</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26813-2025</t>
        </is>
      </c>
      <c r="B3398" s="1" t="n">
        <v>45810.62530092592</v>
      </c>
      <c r="C3398" s="1" t="n">
        <v>45911</v>
      </c>
      <c r="D3398" t="inlineStr">
        <is>
          <t>GÄVLEBORGS LÄN</t>
        </is>
      </c>
      <c r="E3398" t="inlineStr">
        <is>
          <t>HUDIKSVALL</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31935-2024</t>
        </is>
      </c>
      <c r="B3399" s="1" t="n">
        <v>45510.41490740741</v>
      </c>
      <c r="C3399" s="1" t="n">
        <v>45911</v>
      </c>
      <c r="D3399" t="inlineStr">
        <is>
          <t>GÄVLEBORGS LÄN</t>
        </is>
      </c>
      <c r="E3399" t="inlineStr">
        <is>
          <t>SÖDERHAMN</t>
        </is>
      </c>
      <c r="F3399" t="inlineStr">
        <is>
          <t>Bergvik skog väst AB</t>
        </is>
      </c>
      <c r="G3399" t="n">
        <v>6</v>
      </c>
      <c r="H3399" t="n">
        <v>0</v>
      </c>
      <c r="I3399" t="n">
        <v>0</v>
      </c>
      <c r="J3399" t="n">
        <v>0</v>
      </c>
      <c r="K3399" t="n">
        <v>0</v>
      </c>
      <c r="L3399" t="n">
        <v>0</v>
      </c>
      <c r="M3399" t="n">
        <v>0</v>
      </c>
      <c r="N3399" t="n">
        <v>0</v>
      </c>
      <c r="O3399" t="n">
        <v>0</v>
      </c>
      <c r="P3399" t="n">
        <v>0</v>
      </c>
      <c r="Q3399" t="n">
        <v>0</v>
      </c>
      <c r="R3399" s="2" t="inlineStr"/>
    </row>
    <row r="3400" ht="15" customHeight="1">
      <c r="A3400" t="inlineStr">
        <is>
          <t>A 2946-2025</t>
        </is>
      </c>
      <c r="B3400" s="1" t="n">
        <v>45678.42084490741</v>
      </c>
      <c r="C3400" s="1" t="n">
        <v>45911</v>
      </c>
      <c r="D3400" t="inlineStr">
        <is>
          <t>GÄVLEBORGS LÄN</t>
        </is>
      </c>
      <c r="E3400" t="inlineStr">
        <is>
          <t>NORDANSTIG</t>
        </is>
      </c>
      <c r="F3400" t="inlineStr">
        <is>
          <t>Holmen skog AB</t>
        </is>
      </c>
      <c r="G3400" t="n">
        <v>9.6</v>
      </c>
      <c r="H3400" t="n">
        <v>0</v>
      </c>
      <c r="I3400" t="n">
        <v>0</v>
      </c>
      <c r="J3400" t="n">
        <v>0</v>
      </c>
      <c r="K3400" t="n">
        <v>0</v>
      </c>
      <c r="L3400" t="n">
        <v>0</v>
      </c>
      <c r="M3400" t="n">
        <v>0</v>
      </c>
      <c r="N3400" t="n">
        <v>0</v>
      </c>
      <c r="O3400" t="n">
        <v>0</v>
      </c>
      <c r="P3400" t="n">
        <v>0</v>
      </c>
      <c r="Q3400" t="n">
        <v>0</v>
      </c>
      <c r="R3400" s="2" t="inlineStr"/>
    </row>
    <row r="3401" ht="15" customHeight="1">
      <c r="A3401" t="inlineStr">
        <is>
          <t>A 5143-2025</t>
        </is>
      </c>
      <c r="B3401" s="1" t="n">
        <v>45691.58659722222</v>
      </c>
      <c r="C3401" s="1" t="n">
        <v>45911</v>
      </c>
      <c r="D3401" t="inlineStr">
        <is>
          <t>GÄVLEBORGS LÄN</t>
        </is>
      </c>
      <c r="E3401" t="inlineStr">
        <is>
          <t>NORDANSTIG</t>
        </is>
      </c>
      <c r="G3401" t="n">
        <v>4.4</v>
      </c>
      <c r="H3401" t="n">
        <v>0</v>
      </c>
      <c r="I3401" t="n">
        <v>0</v>
      </c>
      <c r="J3401" t="n">
        <v>0</v>
      </c>
      <c r="K3401" t="n">
        <v>0</v>
      </c>
      <c r="L3401" t="n">
        <v>0</v>
      </c>
      <c r="M3401" t="n">
        <v>0</v>
      </c>
      <c r="N3401" t="n">
        <v>0</v>
      </c>
      <c r="O3401" t="n">
        <v>0</v>
      </c>
      <c r="P3401" t="n">
        <v>0</v>
      </c>
      <c r="Q3401" t="n">
        <v>0</v>
      </c>
      <c r="R3401" s="2" t="inlineStr"/>
    </row>
    <row r="3402" ht="15" customHeight="1">
      <c r="A3402" t="inlineStr">
        <is>
          <t>A 1332-2025</t>
        </is>
      </c>
      <c r="B3402" s="1" t="n">
        <v>45667.57828703704</v>
      </c>
      <c r="C3402" s="1" t="n">
        <v>45911</v>
      </c>
      <c r="D3402" t="inlineStr">
        <is>
          <t>GÄVLEBORGS LÄN</t>
        </is>
      </c>
      <c r="E3402" t="inlineStr">
        <is>
          <t>LJUSDAL</t>
        </is>
      </c>
      <c r="F3402" t="inlineStr">
        <is>
          <t>Holmen skog AB</t>
        </is>
      </c>
      <c r="G3402" t="n">
        <v>4.4</v>
      </c>
      <c r="H3402" t="n">
        <v>0</v>
      </c>
      <c r="I3402" t="n">
        <v>0</v>
      </c>
      <c r="J3402" t="n">
        <v>0</v>
      </c>
      <c r="K3402" t="n">
        <v>0</v>
      </c>
      <c r="L3402" t="n">
        <v>0</v>
      </c>
      <c r="M3402" t="n">
        <v>0</v>
      </c>
      <c r="N3402" t="n">
        <v>0</v>
      </c>
      <c r="O3402" t="n">
        <v>0</v>
      </c>
      <c r="P3402" t="n">
        <v>0</v>
      </c>
      <c r="Q3402" t="n">
        <v>0</v>
      </c>
      <c r="R3402" s="2" t="inlineStr"/>
    </row>
    <row r="3403" ht="15" customHeight="1">
      <c r="A3403" t="inlineStr">
        <is>
          <t>A 21709-2024</t>
        </is>
      </c>
      <c r="B3403" s="1" t="n">
        <v>45442.47200231482</v>
      </c>
      <c r="C3403" s="1" t="n">
        <v>45911</v>
      </c>
      <c r="D3403" t="inlineStr">
        <is>
          <t>GÄVLEBORGS LÄN</t>
        </is>
      </c>
      <c r="E3403" t="inlineStr">
        <is>
          <t>LJUSDAL</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27224-2025</t>
        </is>
      </c>
      <c r="B3404" s="1" t="n">
        <v>45812.42760416667</v>
      </c>
      <c r="C3404" s="1" t="n">
        <v>45911</v>
      </c>
      <c r="D3404" t="inlineStr">
        <is>
          <t>GÄVLEBORGS LÄN</t>
        </is>
      </c>
      <c r="E3404" t="inlineStr">
        <is>
          <t>NORDANSTIG</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34558-2024</t>
        </is>
      </c>
      <c r="B3405" s="1" t="n">
        <v>45525.97503472222</v>
      </c>
      <c r="C3405" s="1" t="n">
        <v>45911</v>
      </c>
      <c r="D3405" t="inlineStr">
        <is>
          <t>GÄVLEBORGS LÄN</t>
        </is>
      </c>
      <c r="E3405" t="inlineStr">
        <is>
          <t>BOLLNÄS</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34617-2024</t>
        </is>
      </c>
      <c r="B3406" s="1" t="n">
        <v>45526</v>
      </c>
      <c r="C3406" s="1" t="n">
        <v>45911</v>
      </c>
      <c r="D3406" t="inlineStr">
        <is>
          <t>GÄVLEBORGS LÄN</t>
        </is>
      </c>
      <c r="E3406" t="inlineStr">
        <is>
          <t>LJUSDAL</t>
        </is>
      </c>
      <c r="F3406" t="inlineStr">
        <is>
          <t>Sveaskog</t>
        </is>
      </c>
      <c r="G3406" t="n">
        <v>4.6</v>
      </c>
      <c r="H3406" t="n">
        <v>0</v>
      </c>
      <c r="I3406" t="n">
        <v>0</v>
      </c>
      <c r="J3406" t="n">
        <v>0</v>
      </c>
      <c r="K3406" t="n">
        <v>0</v>
      </c>
      <c r="L3406" t="n">
        <v>0</v>
      </c>
      <c r="M3406" t="n">
        <v>0</v>
      </c>
      <c r="N3406" t="n">
        <v>0</v>
      </c>
      <c r="O3406" t="n">
        <v>0</v>
      </c>
      <c r="P3406" t="n">
        <v>0</v>
      </c>
      <c r="Q3406" t="n">
        <v>0</v>
      </c>
      <c r="R3406" s="2" t="inlineStr"/>
    </row>
    <row r="3407" ht="15" customHeight="1">
      <c r="A3407" t="inlineStr">
        <is>
          <t>A 56858-2024</t>
        </is>
      </c>
      <c r="B3407" s="1" t="n">
        <v>45628.54741898148</v>
      </c>
      <c r="C3407" s="1" t="n">
        <v>45911</v>
      </c>
      <c r="D3407" t="inlineStr">
        <is>
          <t>GÄVLEBORGS LÄN</t>
        </is>
      </c>
      <c r="E3407" t="inlineStr">
        <is>
          <t>HUDIKSVALL</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27155-2025</t>
        </is>
      </c>
      <c r="B3408" s="1" t="n">
        <v>45812.33081018519</v>
      </c>
      <c r="C3408" s="1" t="n">
        <v>45911</v>
      </c>
      <c r="D3408" t="inlineStr">
        <is>
          <t>GÄVLEBORGS LÄN</t>
        </is>
      </c>
      <c r="E3408" t="inlineStr">
        <is>
          <t>OVANÅKER</t>
        </is>
      </c>
      <c r="G3408" t="n">
        <v>6.3</v>
      </c>
      <c r="H3408" t="n">
        <v>0</v>
      </c>
      <c r="I3408" t="n">
        <v>0</v>
      </c>
      <c r="J3408" t="n">
        <v>0</v>
      </c>
      <c r="K3408" t="n">
        <v>0</v>
      </c>
      <c r="L3408" t="n">
        <v>0</v>
      </c>
      <c r="M3408" t="n">
        <v>0</v>
      </c>
      <c r="N3408" t="n">
        <v>0</v>
      </c>
      <c r="O3408" t="n">
        <v>0</v>
      </c>
      <c r="P3408" t="n">
        <v>0</v>
      </c>
      <c r="Q3408" t="n">
        <v>0</v>
      </c>
      <c r="R3408" s="2" t="inlineStr"/>
    </row>
    <row r="3409" ht="15" customHeight="1">
      <c r="A3409" t="inlineStr">
        <is>
          <t>A 27215-2024</t>
        </is>
      </c>
      <c r="B3409" s="1" t="n">
        <v>45471.62099537037</v>
      </c>
      <c r="C3409" s="1" t="n">
        <v>45911</v>
      </c>
      <c r="D3409" t="inlineStr">
        <is>
          <t>GÄVLEBORGS LÄN</t>
        </is>
      </c>
      <c r="E3409" t="inlineStr">
        <is>
          <t>OVANÅKER</t>
        </is>
      </c>
      <c r="G3409" t="n">
        <v>4.5</v>
      </c>
      <c r="H3409" t="n">
        <v>0</v>
      </c>
      <c r="I3409" t="n">
        <v>0</v>
      </c>
      <c r="J3409" t="n">
        <v>0</v>
      </c>
      <c r="K3409" t="n">
        <v>0</v>
      </c>
      <c r="L3409" t="n">
        <v>0</v>
      </c>
      <c r="M3409" t="n">
        <v>0</v>
      </c>
      <c r="N3409" t="n">
        <v>0</v>
      </c>
      <c r="O3409" t="n">
        <v>0</v>
      </c>
      <c r="P3409" t="n">
        <v>0</v>
      </c>
      <c r="Q3409" t="n">
        <v>0</v>
      </c>
      <c r="R3409" s="2" t="inlineStr"/>
    </row>
    <row r="3410" ht="15" customHeight="1">
      <c r="A3410" t="inlineStr">
        <is>
          <t>A 37233-2023</t>
        </is>
      </c>
      <c r="B3410" s="1" t="n">
        <v>45155</v>
      </c>
      <c r="C3410" s="1" t="n">
        <v>45911</v>
      </c>
      <c r="D3410" t="inlineStr">
        <is>
          <t>GÄVLEBORGS LÄN</t>
        </is>
      </c>
      <c r="E3410" t="inlineStr">
        <is>
          <t>BOLLNÄS</t>
        </is>
      </c>
      <c r="G3410" t="n">
        <v>3.7</v>
      </c>
      <c r="H3410" t="n">
        <v>0</v>
      </c>
      <c r="I3410" t="n">
        <v>0</v>
      </c>
      <c r="J3410" t="n">
        <v>0</v>
      </c>
      <c r="K3410" t="n">
        <v>0</v>
      </c>
      <c r="L3410" t="n">
        <v>0</v>
      </c>
      <c r="M3410" t="n">
        <v>0</v>
      </c>
      <c r="N3410" t="n">
        <v>0</v>
      </c>
      <c r="O3410" t="n">
        <v>0</v>
      </c>
      <c r="P3410" t="n">
        <v>0</v>
      </c>
      <c r="Q3410" t="n">
        <v>0</v>
      </c>
      <c r="R3410" s="2" t="inlineStr"/>
    </row>
    <row r="3411" ht="15" customHeight="1">
      <c r="A3411" t="inlineStr">
        <is>
          <t>A 3692-2022</t>
        </is>
      </c>
      <c r="B3411" s="1" t="n">
        <v>44586</v>
      </c>
      <c r="C3411" s="1" t="n">
        <v>45911</v>
      </c>
      <c r="D3411" t="inlineStr">
        <is>
          <t>GÄVLEBORGS LÄN</t>
        </is>
      </c>
      <c r="E3411" t="inlineStr">
        <is>
          <t>NORDANSTIG</t>
        </is>
      </c>
      <c r="F3411" t="inlineStr">
        <is>
          <t>Holmen skog AB</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54225-2023</t>
        </is>
      </c>
      <c r="B3412" s="1" t="n">
        <v>45232.59086805556</v>
      </c>
      <c r="C3412" s="1" t="n">
        <v>45911</v>
      </c>
      <c r="D3412" t="inlineStr">
        <is>
          <t>GÄVLEBORGS LÄN</t>
        </is>
      </c>
      <c r="E3412" t="inlineStr">
        <is>
          <t>HUDIKSVALL</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27253-2025</t>
        </is>
      </c>
      <c r="B3413" s="1" t="n">
        <v>45812.47171296296</v>
      </c>
      <c r="C3413" s="1" t="n">
        <v>45911</v>
      </c>
      <c r="D3413" t="inlineStr">
        <is>
          <t>GÄVLEBORGS LÄN</t>
        </is>
      </c>
      <c r="E3413" t="inlineStr">
        <is>
          <t>HUDIKSVALL</t>
        </is>
      </c>
      <c r="F3413" t="inlineStr">
        <is>
          <t>Holmen skog AB</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26753-2025</t>
        </is>
      </c>
      <c r="B3414" s="1" t="n">
        <v>45810.55490740741</v>
      </c>
      <c r="C3414" s="1" t="n">
        <v>45911</v>
      </c>
      <c r="D3414" t="inlineStr">
        <is>
          <t>GÄVLEBORGS LÄN</t>
        </is>
      </c>
      <c r="E3414" t="inlineStr">
        <is>
          <t>HOFORS</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13246-2025</t>
        </is>
      </c>
      <c r="B3415" s="1" t="n">
        <v>45735.4815162037</v>
      </c>
      <c r="C3415" s="1" t="n">
        <v>45911</v>
      </c>
      <c r="D3415" t="inlineStr">
        <is>
          <t>GÄVLEBORGS LÄN</t>
        </is>
      </c>
      <c r="E3415" t="inlineStr">
        <is>
          <t>LJUSDAL</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43539-2023</t>
        </is>
      </c>
      <c r="B3416" s="1" t="n">
        <v>45184.54789351852</v>
      </c>
      <c r="C3416" s="1" t="n">
        <v>45911</v>
      </c>
      <c r="D3416" t="inlineStr">
        <is>
          <t>GÄVLEBORGS LÄN</t>
        </is>
      </c>
      <c r="E3416" t="inlineStr">
        <is>
          <t>NORDANSTIG</t>
        </is>
      </c>
      <c r="G3416" t="n">
        <v>3.9</v>
      </c>
      <c r="H3416" t="n">
        <v>0</v>
      </c>
      <c r="I3416" t="n">
        <v>0</v>
      </c>
      <c r="J3416" t="n">
        <v>0</v>
      </c>
      <c r="K3416" t="n">
        <v>0</v>
      </c>
      <c r="L3416" t="n">
        <v>0</v>
      </c>
      <c r="M3416" t="n">
        <v>0</v>
      </c>
      <c r="N3416" t="n">
        <v>0</v>
      </c>
      <c r="O3416" t="n">
        <v>0</v>
      </c>
      <c r="P3416" t="n">
        <v>0</v>
      </c>
      <c r="Q3416" t="n">
        <v>0</v>
      </c>
      <c r="R3416" s="2" t="inlineStr"/>
    </row>
    <row r="3417" ht="15" customHeight="1">
      <c r="A3417" t="inlineStr">
        <is>
          <t>A 3899-2022</t>
        </is>
      </c>
      <c r="B3417" s="1" t="n">
        <v>44587</v>
      </c>
      <c r="C3417" s="1" t="n">
        <v>45911</v>
      </c>
      <c r="D3417" t="inlineStr">
        <is>
          <t>GÄVLEBORGS LÄN</t>
        </is>
      </c>
      <c r="E3417" t="inlineStr">
        <is>
          <t>SANDVIKEN</t>
        </is>
      </c>
      <c r="F3417" t="inlineStr">
        <is>
          <t>Kyrkan</t>
        </is>
      </c>
      <c r="G3417" t="n">
        <v>3.2</v>
      </c>
      <c r="H3417" t="n">
        <v>0</v>
      </c>
      <c r="I3417" t="n">
        <v>0</v>
      </c>
      <c r="J3417" t="n">
        <v>0</v>
      </c>
      <c r="K3417" t="n">
        <v>0</v>
      </c>
      <c r="L3417" t="n">
        <v>0</v>
      </c>
      <c r="M3417" t="n">
        <v>0</v>
      </c>
      <c r="N3417" t="n">
        <v>0</v>
      </c>
      <c r="O3417" t="n">
        <v>0</v>
      </c>
      <c r="P3417" t="n">
        <v>0</v>
      </c>
      <c r="Q3417" t="n">
        <v>0</v>
      </c>
      <c r="R3417" s="2" t="inlineStr"/>
    </row>
    <row r="3418" ht="15" customHeight="1">
      <c r="A3418" t="inlineStr">
        <is>
          <t>A 56024-2024</t>
        </is>
      </c>
      <c r="B3418" s="1" t="n">
        <v>45624.28030092592</v>
      </c>
      <c r="C3418" s="1" t="n">
        <v>45911</v>
      </c>
      <c r="D3418" t="inlineStr">
        <is>
          <t>GÄVLEBORGS LÄN</t>
        </is>
      </c>
      <c r="E3418" t="inlineStr">
        <is>
          <t>BOLLNÄS</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16393-2025</t>
        </is>
      </c>
      <c r="B3419" s="1" t="n">
        <v>45751.43475694444</v>
      </c>
      <c r="C3419" s="1" t="n">
        <v>45911</v>
      </c>
      <c r="D3419" t="inlineStr">
        <is>
          <t>GÄVLEBORGS LÄN</t>
        </is>
      </c>
      <c r="E3419" t="inlineStr">
        <is>
          <t>OVANÅKER</t>
        </is>
      </c>
      <c r="F3419" t="inlineStr">
        <is>
          <t>Bergvik skog öst AB</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27285-2025</t>
        </is>
      </c>
      <c r="B3420" s="1" t="n">
        <v>45812.55133101852</v>
      </c>
      <c r="C3420" s="1" t="n">
        <v>45911</v>
      </c>
      <c r="D3420" t="inlineStr">
        <is>
          <t>GÄVLEBORGS LÄN</t>
        </is>
      </c>
      <c r="E3420" t="inlineStr">
        <is>
          <t>SÖDERHAMN</t>
        </is>
      </c>
      <c r="F3420" t="inlineStr">
        <is>
          <t>Bergvik skog väst AB</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13745-2023</t>
        </is>
      </c>
      <c r="B3421" s="1" t="n">
        <v>45007</v>
      </c>
      <c r="C3421" s="1" t="n">
        <v>45911</v>
      </c>
      <c r="D3421" t="inlineStr">
        <is>
          <t>GÄVLEBORGS LÄN</t>
        </is>
      </c>
      <c r="E3421" t="inlineStr">
        <is>
          <t>HOFORS</t>
        </is>
      </c>
      <c r="F3421" t="inlineStr">
        <is>
          <t>Övriga statliga verk och myndigheter</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27200-2025</t>
        </is>
      </c>
      <c r="B3422" s="1" t="n">
        <v>45812.3918287037</v>
      </c>
      <c r="C3422" s="1" t="n">
        <v>45911</v>
      </c>
      <c r="D3422" t="inlineStr">
        <is>
          <t>GÄVLEBORGS LÄN</t>
        </is>
      </c>
      <c r="E3422" t="inlineStr">
        <is>
          <t>LJUSDAL</t>
        </is>
      </c>
      <c r="G3422" t="n">
        <v>7.7</v>
      </c>
      <c r="H3422" t="n">
        <v>0</v>
      </c>
      <c r="I3422" t="n">
        <v>0</v>
      </c>
      <c r="J3422" t="n">
        <v>0</v>
      </c>
      <c r="K3422" t="n">
        <v>0</v>
      </c>
      <c r="L3422" t="n">
        <v>0</v>
      </c>
      <c r="M3422" t="n">
        <v>0</v>
      </c>
      <c r="N3422" t="n">
        <v>0</v>
      </c>
      <c r="O3422" t="n">
        <v>0</v>
      </c>
      <c r="P3422" t="n">
        <v>0</v>
      </c>
      <c r="Q3422" t="n">
        <v>0</v>
      </c>
      <c r="R3422" s="2" t="inlineStr"/>
    </row>
    <row r="3423" ht="15" customHeight="1">
      <c r="A3423" t="inlineStr">
        <is>
          <t>A 27241-2025</t>
        </is>
      </c>
      <c r="B3423" s="1" t="n">
        <v>45812.45516203704</v>
      </c>
      <c r="C3423" s="1" t="n">
        <v>45911</v>
      </c>
      <c r="D3423" t="inlineStr">
        <is>
          <t>GÄVLEBORGS LÄN</t>
        </is>
      </c>
      <c r="E3423" t="inlineStr">
        <is>
          <t>LJUSDAL</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4402-2025</t>
        </is>
      </c>
      <c r="B3424" s="1" t="n">
        <v>45686</v>
      </c>
      <c r="C3424" s="1" t="n">
        <v>45911</v>
      </c>
      <c r="D3424" t="inlineStr">
        <is>
          <t>GÄVLEBORGS LÄN</t>
        </is>
      </c>
      <c r="E3424" t="inlineStr">
        <is>
          <t>GÄVLE</t>
        </is>
      </c>
      <c r="F3424" t="inlineStr">
        <is>
          <t>Bergvik skog öst AB</t>
        </is>
      </c>
      <c r="G3424" t="n">
        <v>4.8</v>
      </c>
      <c r="H3424" t="n">
        <v>0</v>
      </c>
      <c r="I3424" t="n">
        <v>0</v>
      </c>
      <c r="J3424" t="n">
        <v>0</v>
      </c>
      <c r="K3424" t="n">
        <v>0</v>
      </c>
      <c r="L3424" t="n">
        <v>0</v>
      </c>
      <c r="M3424" t="n">
        <v>0</v>
      </c>
      <c r="N3424" t="n">
        <v>0</v>
      </c>
      <c r="O3424" t="n">
        <v>0</v>
      </c>
      <c r="P3424" t="n">
        <v>0</v>
      </c>
      <c r="Q3424" t="n">
        <v>0</v>
      </c>
      <c r="R3424" s="2" t="inlineStr"/>
    </row>
    <row r="3425" ht="15" customHeight="1">
      <c r="A3425" t="inlineStr">
        <is>
          <t>A 4405-2025</t>
        </is>
      </c>
      <c r="B3425" s="1" t="n">
        <v>45686</v>
      </c>
      <c r="C3425" s="1" t="n">
        <v>45911</v>
      </c>
      <c r="D3425" t="inlineStr">
        <is>
          <t>GÄVLEBORGS LÄN</t>
        </is>
      </c>
      <c r="E3425" t="inlineStr">
        <is>
          <t>GÄVLE</t>
        </is>
      </c>
      <c r="F3425" t="inlineStr">
        <is>
          <t>Bergvik skog öst AB</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4409-2025</t>
        </is>
      </c>
      <c r="B3426" s="1" t="n">
        <v>45686.44449074074</v>
      </c>
      <c r="C3426" s="1" t="n">
        <v>45911</v>
      </c>
      <c r="D3426" t="inlineStr">
        <is>
          <t>GÄVLEBORGS LÄN</t>
        </is>
      </c>
      <c r="E3426" t="inlineStr">
        <is>
          <t>NORDANSTIG</t>
        </is>
      </c>
      <c r="F3426" t="inlineStr">
        <is>
          <t>Holmen skog AB</t>
        </is>
      </c>
      <c r="G3426" t="n">
        <v>5.4</v>
      </c>
      <c r="H3426" t="n">
        <v>0</v>
      </c>
      <c r="I3426" t="n">
        <v>0</v>
      </c>
      <c r="J3426" t="n">
        <v>0</v>
      </c>
      <c r="K3426" t="n">
        <v>0</v>
      </c>
      <c r="L3426" t="n">
        <v>0</v>
      </c>
      <c r="M3426" t="n">
        <v>0</v>
      </c>
      <c r="N3426" t="n">
        <v>0</v>
      </c>
      <c r="O3426" t="n">
        <v>0</v>
      </c>
      <c r="P3426" t="n">
        <v>0</v>
      </c>
      <c r="Q3426" t="n">
        <v>0</v>
      </c>
      <c r="R3426" s="2" t="inlineStr"/>
    </row>
    <row r="3427" ht="15" customHeight="1">
      <c r="A3427" t="inlineStr">
        <is>
          <t>A 33120-2024</t>
        </is>
      </c>
      <c r="B3427" s="1" t="n">
        <v>45517</v>
      </c>
      <c r="C3427" s="1" t="n">
        <v>45911</v>
      </c>
      <c r="D3427" t="inlineStr">
        <is>
          <t>GÄVLEBORGS LÄN</t>
        </is>
      </c>
      <c r="E3427" t="inlineStr">
        <is>
          <t>LJUSDAL</t>
        </is>
      </c>
      <c r="F3427" t="inlineStr">
        <is>
          <t>SCA</t>
        </is>
      </c>
      <c r="G3427" t="n">
        <v>0.4</v>
      </c>
      <c r="H3427" t="n">
        <v>0</v>
      </c>
      <c r="I3427" t="n">
        <v>0</v>
      </c>
      <c r="J3427" t="n">
        <v>0</v>
      </c>
      <c r="K3427" t="n">
        <v>0</v>
      </c>
      <c r="L3427" t="n">
        <v>0</v>
      </c>
      <c r="M3427" t="n">
        <v>0</v>
      </c>
      <c r="N3427" t="n">
        <v>0</v>
      </c>
      <c r="O3427" t="n">
        <v>0</v>
      </c>
      <c r="P3427" t="n">
        <v>0</v>
      </c>
      <c r="Q3427" t="n">
        <v>0</v>
      </c>
      <c r="R3427" s="2" t="inlineStr"/>
    </row>
    <row r="3428" ht="15" customHeight="1">
      <c r="A3428" t="inlineStr">
        <is>
          <t>A 33131-2024</t>
        </is>
      </c>
      <c r="B3428" s="1" t="n">
        <v>45518.30189814815</v>
      </c>
      <c r="C3428" s="1" t="n">
        <v>45911</v>
      </c>
      <c r="D3428" t="inlineStr">
        <is>
          <t>GÄVLEBORGS LÄN</t>
        </is>
      </c>
      <c r="E3428" t="inlineStr">
        <is>
          <t>LJUSDAL</t>
        </is>
      </c>
      <c r="G3428" t="n">
        <v>3.5</v>
      </c>
      <c r="H3428" t="n">
        <v>0</v>
      </c>
      <c r="I3428" t="n">
        <v>0</v>
      </c>
      <c r="J3428" t="n">
        <v>0</v>
      </c>
      <c r="K3428" t="n">
        <v>0</v>
      </c>
      <c r="L3428" t="n">
        <v>0</v>
      </c>
      <c r="M3428" t="n">
        <v>0</v>
      </c>
      <c r="N3428" t="n">
        <v>0</v>
      </c>
      <c r="O3428" t="n">
        <v>0</v>
      </c>
      <c r="P3428" t="n">
        <v>0</v>
      </c>
      <c r="Q3428" t="n">
        <v>0</v>
      </c>
      <c r="R3428" s="2" t="inlineStr"/>
    </row>
    <row r="3429" ht="15" customHeight="1">
      <c r="A3429" t="inlineStr">
        <is>
          <t>A 10843-2022</t>
        </is>
      </c>
      <c r="B3429" s="1" t="n">
        <v>44627</v>
      </c>
      <c r="C3429" s="1" t="n">
        <v>45911</v>
      </c>
      <c r="D3429" t="inlineStr">
        <is>
          <t>GÄVLEBORGS LÄN</t>
        </is>
      </c>
      <c r="E3429" t="inlineStr">
        <is>
          <t>HUDIKSVALL</t>
        </is>
      </c>
      <c r="G3429" t="n">
        <v>15.4</v>
      </c>
      <c r="H3429" t="n">
        <v>0</v>
      </c>
      <c r="I3429" t="n">
        <v>0</v>
      </c>
      <c r="J3429" t="n">
        <v>0</v>
      </c>
      <c r="K3429" t="n">
        <v>0</v>
      </c>
      <c r="L3429" t="n">
        <v>0</v>
      </c>
      <c r="M3429" t="n">
        <v>0</v>
      </c>
      <c r="N3429" t="n">
        <v>0</v>
      </c>
      <c r="O3429" t="n">
        <v>0</v>
      </c>
      <c r="P3429" t="n">
        <v>0</v>
      </c>
      <c r="Q3429" t="n">
        <v>0</v>
      </c>
      <c r="R3429" s="2" t="inlineStr"/>
    </row>
    <row r="3430" ht="15" customHeight="1">
      <c r="A3430" t="inlineStr">
        <is>
          <t>A 4559-2025</t>
        </is>
      </c>
      <c r="B3430" s="1" t="n">
        <v>45687.45087962963</v>
      </c>
      <c r="C3430" s="1" t="n">
        <v>45911</v>
      </c>
      <c r="D3430" t="inlineStr">
        <is>
          <t>GÄVLEBORGS LÄN</t>
        </is>
      </c>
      <c r="E3430" t="inlineStr">
        <is>
          <t>NORDANSTIG</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55606-2020</t>
        </is>
      </c>
      <c r="B3431" s="1" t="n">
        <v>44131</v>
      </c>
      <c r="C3431" s="1" t="n">
        <v>45911</v>
      </c>
      <c r="D3431" t="inlineStr">
        <is>
          <t>GÄVLEBORGS LÄN</t>
        </is>
      </c>
      <c r="E3431" t="inlineStr">
        <is>
          <t>OVANÅKER</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6963-2024</t>
        </is>
      </c>
      <c r="B3432" s="1" t="n">
        <v>45343.4562037037</v>
      </c>
      <c r="C3432" s="1" t="n">
        <v>45911</v>
      </c>
      <c r="D3432" t="inlineStr">
        <is>
          <t>GÄVLEBORGS LÄN</t>
        </is>
      </c>
      <c r="E3432" t="inlineStr">
        <is>
          <t>HOFORS</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27345-2025</t>
        </is>
      </c>
      <c r="B3433" s="1" t="n">
        <v>45812.62276620371</v>
      </c>
      <c r="C3433" s="1" t="n">
        <v>45911</v>
      </c>
      <c r="D3433" t="inlineStr">
        <is>
          <t>GÄVLEBORGS LÄN</t>
        </is>
      </c>
      <c r="E3433" t="inlineStr">
        <is>
          <t>BOLLNÄS</t>
        </is>
      </c>
      <c r="G3433" t="n">
        <v>9.199999999999999</v>
      </c>
      <c r="H3433" t="n">
        <v>0</v>
      </c>
      <c r="I3433" t="n">
        <v>0</v>
      </c>
      <c r="J3433" t="n">
        <v>0</v>
      </c>
      <c r="K3433" t="n">
        <v>0</v>
      </c>
      <c r="L3433" t="n">
        <v>0</v>
      </c>
      <c r="M3433" t="n">
        <v>0</v>
      </c>
      <c r="N3433" t="n">
        <v>0</v>
      </c>
      <c r="O3433" t="n">
        <v>0</v>
      </c>
      <c r="P3433" t="n">
        <v>0</v>
      </c>
      <c r="Q3433" t="n">
        <v>0</v>
      </c>
      <c r="R3433" s="2" t="inlineStr"/>
    </row>
    <row r="3434" ht="15" customHeight="1">
      <c r="A3434" t="inlineStr">
        <is>
          <t>A 7693-2024</t>
        </is>
      </c>
      <c r="B3434" s="1" t="n">
        <v>45349.29034722222</v>
      </c>
      <c r="C3434" s="1" t="n">
        <v>45911</v>
      </c>
      <c r="D3434" t="inlineStr">
        <is>
          <t>GÄVLEBORGS LÄN</t>
        </is>
      </c>
      <c r="E3434" t="inlineStr">
        <is>
          <t>OVANÅKER</t>
        </is>
      </c>
      <c r="G3434" t="n">
        <v>4.5</v>
      </c>
      <c r="H3434" t="n">
        <v>0</v>
      </c>
      <c r="I3434" t="n">
        <v>0</v>
      </c>
      <c r="J3434" t="n">
        <v>0</v>
      </c>
      <c r="K3434" t="n">
        <v>0</v>
      </c>
      <c r="L3434" t="n">
        <v>0</v>
      </c>
      <c r="M3434" t="n">
        <v>0</v>
      </c>
      <c r="N3434" t="n">
        <v>0</v>
      </c>
      <c r="O3434" t="n">
        <v>0</v>
      </c>
      <c r="P3434" t="n">
        <v>0</v>
      </c>
      <c r="Q3434" t="n">
        <v>0</v>
      </c>
      <c r="R3434" s="2" t="inlineStr"/>
    </row>
    <row r="3435" ht="15" customHeight="1">
      <c r="A3435" t="inlineStr">
        <is>
          <t>A 59773-2024</t>
        </is>
      </c>
      <c r="B3435" s="1" t="n">
        <v>45639</v>
      </c>
      <c r="C3435" s="1" t="n">
        <v>45911</v>
      </c>
      <c r="D3435" t="inlineStr">
        <is>
          <t>GÄVLEBORGS LÄN</t>
        </is>
      </c>
      <c r="E3435" t="inlineStr">
        <is>
          <t>SÖDERHAMN</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27409-2025</t>
        </is>
      </c>
      <c r="B3436" s="1" t="n">
        <v>45812.74663194444</v>
      </c>
      <c r="C3436" s="1" t="n">
        <v>45911</v>
      </c>
      <c r="D3436" t="inlineStr">
        <is>
          <t>GÄVLEBORGS LÄN</t>
        </is>
      </c>
      <c r="E3436" t="inlineStr">
        <is>
          <t>LJUSDAL</t>
        </is>
      </c>
      <c r="F3436" t="inlineStr">
        <is>
          <t>Sveaskog</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27159-2025</t>
        </is>
      </c>
      <c r="B3437" s="1" t="n">
        <v>45812</v>
      </c>
      <c r="C3437" s="1" t="n">
        <v>45911</v>
      </c>
      <c r="D3437" t="inlineStr">
        <is>
          <t>GÄVLEBORGS LÄN</t>
        </is>
      </c>
      <c r="E3437" t="inlineStr">
        <is>
          <t>HUDIKSVALL</t>
        </is>
      </c>
      <c r="F3437" t="inlineStr">
        <is>
          <t>Holmen skog AB</t>
        </is>
      </c>
      <c r="G3437" t="n">
        <v>29.4</v>
      </c>
      <c r="H3437" t="n">
        <v>0</v>
      </c>
      <c r="I3437" t="n">
        <v>0</v>
      </c>
      <c r="J3437" t="n">
        <v>0</v>
      </c>
      <c r="K3437" t="n">
        <v>0</v>
      </c>
      <c r="L3437" t="n">
        <v>0</v>
      </c>
      <c r="M3437" t="n">
        <v>0</v>
      </c>
      <c r="N3437" t="n">
        <v>0</v>
      </c>
      <c r="O3437" t="n">
        <v>0</v>
      </c>
      <c r="P3437" t="n">
        <v>0</v>
      </c>
      <c r="Q3437" t="n">
        <v>0</v>
      </c>
      <c r="R3437" s="2" t="inlineStr"/>
    </row>
    <row r="3438" ht="15" customHeight="1">
      <c r="A3438" t="inlineStr">
        <is>
          <t>A 56376-2024</t>
        </is>
      </c>
      <c r="B3438" s="1" t="n">
        <v>45625.33287037037</v>
      </c>
      <c r="C3438" s="1" t="n">
        <v>45911</v>
      </c>
      <c r="D3438" t="inlineStr">
        <is>
          <t>GÄVLEBORGS LÄN</t>
        </is>
      </c>
      <c r="E3438" t="inlineStr">
        <is>
          <t>OCKELBO</t>
        </is>
      </c>
      <c r="F3438" t="inlineStr">
        <is>
          <t>Bergvik skog väst AB</t>
        </is>
      </c>
      <c r="G3438" t="n">
        <v>3</v>
      </c>
      <c r="H3438" t="n">
        <v>0</v>
      </c>
      <c r="I3438" t="n">
        <v>0</v>
      </c>
      <c r="J3438" t="n">
        <v>0</v>
      </c>
      <c r="K3438" t="n">
        <v>0</v>
      </c>
      <c r="L3438" t="n">
        <v>0</v>
      </c>
      <c r="M3438" t="n">
        <v>0</v>
      </c>
      <c r="N3438" t="n">
        <v>0</v>
      </c>
      <c r="O3438" t="n">
        <v>0</v>
      </c>
      <c r="P3438" t="n">
        <v>0</v>
      </c>
      <c r="Q3438" t="n">
        <v>0</v>
      </c>
      <c r="R3438" s="2" t="inlineStr"/>
    </row>
    <row r="3439" ht="15" customHeight="1">
      <c r="A3439" t="inlineStr">
        <is>
          <t>A 5977-2025</t>
        </is>
      </c>
      <c r="B3439" s="1" t="n">
        <v>45695.54295138889</v>
      </c>
      <c r="C3439" s="1" t="n">
        <v>45911</v>
      </c>
      <c r="D3439" t="inlineStr">
        <is>
          <t>GÄVLEBORGS LÄN</t>
        </is>
      </c>
      <c r="E3439" t="inlineStr">
        <is>
          <t>HUDIKSVALL</t>
        </is>
      </c>
      <c r="G3439" t="n">
        <v>4.9</v>
      </c>
      <c r="H3439" t="n">
        <v>0</v>
      </c>
      <c r="I3439" t="n">
        <v>0</v>
      </c>
      <c r="J3439" t="n">
        <v>0</v>
      </c>
      <c r="K3439" t="n">
        <v>0</v>
      </c>
      <c r="L3439" t="n">
        <v>0</v>
      </c>
      <c r="M3439" t="n">
        <v>0</v>
      </c>
      <c r="N3439" t="n">
        <v>0</v>
      </c>
      <c r="O3439" t="n">
        <v>0</v>
      </c>
      <c r="P3439" t="n">
        <v>0</v>
      </c>
      <c r="Q3439" t="n">
        <v>0</v>
      </c>
      <c r="R3439" s="2" t="inlineStr"/>
    </row>
    <row r="3440" ht="15" customHeight="1">
      <c r="A3440" t="inlineStr">
        <is>
          <t>A 5983-2025</t>
        </is>
      </c>
      <c r="B3440" s="1" t="n">
        <v>45695</v>
      </c>
      <c r="C3440" s="1" t="n">
        <v>45911</v>
      </c>
      <c r="D3440" t="inlineStr">
        <is>
          <t>GÄVLEBORGS LÄN</t>
        </is>
      </c>
      <c r="E3440" t="inlineStr">
        <is>
          <t>HUDIKSVALL</t>
        </is>
      </c>
      <c r="G3440" t="n">
        <v>3.9</v>
      </c>
      <c r="H3440" t="n">
        <v>0</v>
      </c>
      <c r="I3440" t="n">
        <v>0</v>
      </c>
      <c r="J3440" t="n">
        <v>0</v>
      </c>
      <c r="K3440" t="n">
        <v>0</v>
      </c>
      <c r="L3440" t="n">
        <v>0</v>
      </c>
      <c r="M3440" t="n">
        <v>0</v>
      </c>
      <c r="N3440" t="n">
        <v>0</v>
      </c>
      <c r="O3440" t="n">
        <v>0</v>
      </c>
      <c r="P3440" t="n">
        <v>0</v>
      </c>
      <c r="Q3440" t="n">
        <v>0</v>
      </c>
      <c r="R3440" s="2" t="inlineStr"/>
    </row>
    <row r="3441" ht="15" customHeight="1">
      <c r="A3441" t="inlineStr">
        <is>
          <t>A 50286-2023</t>
        </is>
      </c>
      <c r="B3441" s="1" t="n">
        <v>45216</v>
      </c>
      <c r="C3441" s="1" t="n">
        <v>45911</v>
      </c>
      <c r="D3441" t="inlineStr">
        <is>
          <t>GÄVLEBORGS LÄN</t>
        </is>
      </c>
      <c r="E3441" t="inlineStr">
        <is>
          <t>NORDANSTIG</t>
        </is>
      </c>
      <c r="F3441" t="inlineStr">
        <is>
          <t>Holmen skog AB</t>
        </is>
      </c>
      <c r="G3441" t="n">
        <v>10.3</v>
      </c>
      <c r="H3441" t="n">
        <v>0</v>
      </c>
      <c r="I3441" t="n">
        <v>0</v>
      </c>
      <c r="J3441" t="n">
        <v>0</v>
      </c>
      <c r="K3441" t="n">
        <v>0</v>
      </c>
      <c r="L3441" t="n">
        <v>0</v>
      </c>
      <c r="M3441" t="n">
        <v>0</v>
      </c>
      <c r="N3441" t="n">
        <v>0</v>
      </c>
      <c r="O3441" t="n">
        <v>0</v>
      </c>
      <c r="P3441" t="n">
        <v>0</v>
      </c>
      <c r="Q3441" t="n">
        <v>0</v>
      </c>
      <c r="R3441" s="2" t="inlineStr"/>
    </row>
    <row r="3442" ht="15" customHeight="1">
      <c r="A3442" t="inlineStr">
        <is>
          <t>A 39850-2023</t>
        </is>
      </c>
      <c r="B3442" s="1" t="n">
        <v>45168.3706712963</v>
      </c>
      <c r="C3442" s="1" t="n">
        <v>45911</v>
      </c>
      <c r="D3442" t="inlineStr">
        <is>
          <t>GÄVLEBORGS LÄN</t>
        </is>
      </c>
      <c r="E3442" t="inlineStr">
        <is>
          <t>OVANÅKER</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27176-2025</t>
        </is>
      </c>
      <c r="B3443" s="1" t="n">
        <v>45812.35118055555</v>
      </c>
      <c r="C3443" s="1" t="n">
        <v>45911</v>
      </c>
      <c r="D3443" t="inlineStr">
        <is>
          <t>GÄVLEBORGS LÄN</t>
        </is>
      </c>
      <c r="E3443" t="inlineStr">
        <is>
          <t>HUDIKSVALL</t>
        </is>
      </c>
      <c r="F3443" t="inlineStr">
        <is>
          <t>Holmen skog AB</t>
        </is>
      </c>
      <c r="G3443" t="n">
        <v>6.9</v>
      </c>
      <c r="H3443" t="n">
        <v>0</v>
      </c>
      <c r="I3443" t="n">
        <v>0</v>
      </c>
      <c r="J3443" t="n">
        <v>0</v>
      </c>
      <c r="K3443" t="n">
        <v>0</v>
      </c>
      <c r="L3443" t="n">
        <v>0</v>
      </c>
      <c r="M3443" t="n">
        <v>0</v>
      </c>
      <c r="N3443" t="n">
        <v>0</v>
      </c>
      <c r="O3443" t="n">
        <v>0</v>
      </c>
      <c r="P3443" t="n">
        <v>0</v>
      </c>
      <c r="Q3443" t="n">
        <v>0</v>
      </c>
      <c r="R3443" s="2" t="inlineStr"/>
    </row>
    <row r="3444" ht="15" customHeight="1">
      <c r="A3444" t="inlineStr">
        <is>
          <t>A 25991-2023</t>
        </is>
      </c>
      <c r="B3444" s="1" t="n">
        <v>45090.92539351852</v>
      </c>
      <c r="C3444" s="1" t="n">
        <v>45911</v>
      </c>
      <c r="D3444" t="inlineStr">
        <is>
          <t>GÄVLEBORGS LÄN</t>
        </is>
      </c>
      <c r="E3444" t="inlineStr">
        <is>
          <t>LJUSDAL</t>
        </is>
      </c>
      <c r="G3444" t="n">
        <v>9.5</v>
      </c>
      <c r="H3444" t="n">
        <v>0</v>
      </c>
      <c r="I3444" t="n">
        <v>0</v>
      </c>
      <c r="J3444" t="n">
        <v>0</v>
      </c>
      <c r="K3444" t="n">
        <v>0</v>
      </c>
      <c r="L3444" t="n">
        <v>0</v>
      </c>
      <c r="M3444" t="n">
        <v>0</v>
      </c>
      <c r="N3444" t="n">
        <v>0</v>
      </c>
      <c r="O3444" t="n">
        <v>0</v>
      </c>
      <c r="P3444" t="n">
        <v>0</v>
      </c>
      <c r="Q3444" t="n">
        <v>0</v>
      </c>
      <c r="R3444" s="2" t="inlineStr"/>
    </row>
    <row r="3445" ht="15" customHeight="1">
      <c r="A3445" t="inlineStr">
        <is>
          <t>A 27193-2025</t>
        </is>
      </c>
      <c r="B3445" s="1" t="n">
        <v>45812.37642361111</v>
      </c>
      <c r="C3445" s="1" t="n">
        <v>45911</v>
      </c>
      <c r="D3445" t="inlineStr">
        <is>
          <t>GÄVLEBORGS LÄN</t>
        </is>
      </c>
      <c r="E3445" t="inlineStr">
        <is>
          <t>OCKELBO</t>
        </is>
      </c>
      <c r="G3445" t="n">
        <v>5.6</v>
      </c>
      <c r="H3445" t="n">
        <v>0</v>
      </c>
      <c r="I3445" t="n">
        <v>0</v>
      </c>
      <c r="J3445" t="n">
        <v>0</v>
      </c>
      <c r="K3445" t="n">
        <v>0</v>
      </c>
      <c r="L3445" t="n">
        <v>0</v>
      </c>
      <c r="M3445" t="n">
        <v>0</v>
      </c>
      <c r="N3445" t="n">
        <v>0</v>
      </c>
      <c r="O3445" t="n">
        <v>0</v>
      </c>
      <c r="P3445" t="n">
        <v>0</v>
      </c>
      <c r="Q3445" t="n">
        <v>0</v>
      </c>
      <c r="R3445" s="2" t="inlineStr"/>
    </row>
    <row r="3446" ht="15" customHeight="1">
      <c r="A3446" t="inlineStr">
        <is>
          <t>A 27206-2025</t>
        </is>
      </c>
      <c r="B3446" s="1" t="n">
        <v>45812.40342592593</v>
      </c>
      <c r="C3446" s="1" t="n">
        <v>45911</v>
      </c>
      <c r="D3446" t="inlineStr">
        <is>
          <t>GÄVLEBORGS LÄN</t>
        </is>
      </c>
      <c r="E3446" t="inlineStr">
        <is>
          <t>HUDIKSVALL</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56263-2024</t>
        </is>
      </c>
      <c r="B3447" s="1" t="n">
        <v>45624.65340277777</v>
      </c>
      <c r="C3447" s="1" t="n">
        <v>45911</v>
      </c>
      <c r="D3447" t="inlineStr">
        <is>
          <t>GÄVLEBORGS LÄN</t>
        </is>
      </c>
      <c r="E3447" t="inlineStr">
        <is>
          <t>NORDANSTIG</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24056-2024</t>
        </is>
      </c>
      <c r="B3448" s="1" t="n">
        <v>45456.52451388889</v>
      </c>
      <c r="C3448" s="1" t="n">
        <v>45911</v>
      </c>
      <c r="D3448" t="inlineStr">
        <is>
          <t>GÄVLEBORGS LÄN</t>
        </is>
      </c>
      <c r="E3448" t="inlineStr">
        <is>
          <t>OVANÅKER</t>
        </is>
      </c>
      <c r="F3448" t="inlineStr">
        <is>
          <t>Bergvik skog väst AB</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51740-2023</t>
        </is>
      </c>
      <c r="B3449" s="1" t="n">
        <v>45222.66674768519</v>
      </c>
      <c r="C3449" s="1" t="n">
        <v>45911</v>
      </c>
      <c r="D3449" t="inlineStr">
        <is>
          <t>GÄVLEBORGS LÄN</t>
        </is>
      </c>
      <c r="E3449" t="inlineStr">
        <is>
          <t>NORDANSTIG</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24074-2024</t>
        </is>
      </c>
      <c r="B3450" s="1" t="n">
        <v>45456</v>
      </c>
      <c r="C3450" s="1" t="n">
        <v>45911</v>
      </c>
      <c r="D3450" t="inlineStr">
        <is>
          <t>GÄVLEBORGS LÄN</t>
        </is>
      </c>
      <c r="E3450" t="inlineStr">
        <is>
          <t>OVANÅKER</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27217-2025</t>
        </is>
      </c>
      <c r="B3451" s="1" t="n">
        <v>45812.42059027778</v>
      </c>
      <c r="C3451" s="1" t="n">
        <v>45911</v>
      </c>
      <c r="D3451" t="inlineStr">
        <is>
          <t>GÄVLEBORGS LÄN</t>
        </is>
      </c>
      <c r="E3451" t="inlineStr">
        <is>
          <t>BOLLNÄS</t>
        </is>
      </c>
      <c r="G3451" t="n">
        <v>3.6</v>
      </c>
      <c r="H3451" t="n">
        <v>0</v>
      </c>
      <c r="I3451" t="n">
        <v>0</v>
      </c>
      <c r="J3451" t="n">
        <v>0</v>
      </c>
      <c r="K3451" t="n">
        <v>0</v>
      </c>
      <c r="L3451" t="n">
        <v>0</v>
      </c>
      <c r="M3451" t="n">
        <v>0</v>
      </c>
      <c r="N3451" t="n">
        <v>0</v>
      </c>
      <c r="O3451" t="n">
        <v>0</v>
      </c>
      <c r="P3451" t="n">
        <v>0</v>
      </c>
      <c r="Q3451" t="n">
        <v>0</v>
      </c>
      <c r="R3451" s="2" t="inlineStr"/>
    </row>
    <row r="3452" ht="15" customHeight="1">
      <c r="A3452" t="inlineStr">
        <is>
          <t>A 53691-2022</t>
        </is>
      </c>
      <c r="B3452" s="1" t="n">
        <v>44880.33012731482</v>
      </c>
      <c r="C3452" s="1" t="n">
        <v>45911</v>
      </c>
      <c r="D3452" t="inlineStr">
        <is>
          <t>GÄVLEBORGS LÄN</t>
        </is>
      </c>
      <c r="E3452" t="inlineStr">
        <is>
          <t>OVANÅKER</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18311-2025</t>
        </is>
      </c>
      <c r="B3453" s="1" t="n">
        <v>45762</v>
      </c>
      <c r="C3453" s="1" t="n">
        <v>45911</v>
      </c>
      <c r="D3453" t="inlineStr">
        <is>
          <t>GÄVLEBORGS LÄN</t>
        </is>
      </c>
      <c r="E3453" t="inlineStr">
        <is>
          <t>BOLLNÄS</t>
        </is>
      </c>
      <c r="F3453" t="inlineStr">
        <is>
          <t>Bergvik skog väst AB</t>
        </is>
      </c>
      <c r="G3453" t="n">
        <v>0.3</v>
      </c>
      <c r="H3453" t="n">
        <v>0</v>
      </c>
      <c r="I3453" t="n">
        <v>0</v>
      </c>
      <c r="J3453" t="n">
        <v>0</v>
      </c>
      <c r="K3453" t="n">
        <v>0</v>
      </c>
      <c r="L3453" t="n">
        <v>0</v>
      </c>
      <c r="M3453" t="n">
        <v>0</v>
      </c>
      <c r="N3453" t="n">
        <v>0</v>
      </c>
      <c r="O3453" t="n">
        <v>0</v>
      </c>
      <c r="P3453" t="n">
        <v>0</v>
      </c>
      <c r="Q3453" t="n">
        <v>0</v>
      </c>
      <c r="R3453" s="2" t="inlineStr"/>
    </row>
    <row r="3454" ht="15" customHeight="1">
      <c r="A3454" t="inlineStr">
        <is>
          <t>A 52206-2024</t>
        </is>
      </c>
      <c r="B3454" s="1" t="n">
        <v>45608.58549768518</v>
      </c>
      <c r="C3454" s="1" t="n">
        <v>45911</v>
      </c>
      <c r="D3454" t="inlineStr">
        <is>
          <t>GÄVLEBORGS LÄN</t>
        </is>
      </c>
      <c r="E3454" t="inlineStr">
        <is>
          <t>OCKELBO</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27024-2025</t>
        </is>
      </c>
      <c r="B3455" s="1" t="n">
        <v>45811.57541666667</v>
      </c>
      <c r="C3455" s="1" t="n">
        <v>45911</v>
      </c>
      <c r="D3455" t="inlineStr">
        <is>
          <t>GÄVLEBORGS LÄN</t>
        </is>
      </c>
      <c r="E3455" t="inlineStr">
        <is>
          <t>SÖDERHAMN</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27369-2025</t>
        </is>
      </c>
      <c r="B3456" s="1" t="n">
        <v>45812.64680555555</v>
      </c>
      <c r="C3456" s="1" t="n">
        <v>45911</v>
      </c>
      <c r="D3456" t="inlineStr">
        <is>
          <t>GÄVLEBORGS LÄN</t>
        </is>
      </c>
      <c r="E3456" t="inlineStr">
        <is>
          <t>BOLLNÄS</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15973-2022</t>
        </is>
      </c>
      <c r="B3457" s="1" t="n">
        <v>44664.94773148148</v>
      </c>
      <c r="C3457" s="1" t="n">
        <v>45911</v>
      </c>
      <c r="D3457" t="inlineStr">
        <is>
          <t>GÄVLEBORGS LÄN</t>
        </is>
      </c>
      <c r="E3457" t="inlineStr">
        <is>
          <t>NORDANSTIG</t>
        </is>
      </c>
      <c r="F3457" t="inlineStr">
        <is>
          <t>SCA</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30286-2024</t>
        </is>
      </c>
      <c r="B3458" s="1" t="n">
        <v>45490</v>
      </c>
      <c r="C3458" s="1" t="n">
        <v>45911</v>
      </c>
      <c r="D3458" t="inlineStr">
        <is>
          <t>GÄVLEBORGS LÄN</t>
        </is>
      </c>
      <c r="E3458" t="inlineStr">
        <is>
          <t>LJUSDAL</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27027-2025</t>
        </is>
      </c>
      <c r="B3459" s="1" t="n">
        <v>45811.58193287037</v>
      </c>
      <c r="C3459" s="1" t="n">
        <v>45911</v>
      </c>
      <c r="D3459" t="inlineStr">
        <is>
          <t>GÄVLEBORGS LÄN</t>
        </is>
      </c>
      <c r="E3459" t="inlineStr">
        <is>
          <t>LJUSDAL</t>
        </is>
      </c>
      <c r="F3459" t="inlineStr">
        <is>
          <t>Holmen skog AB</t>
        </is>
      </c>
      <c r="G3459" t="n">
        <v>27.2</v>
      </c>
      <c r="H3459" t="n">
        <v>0</v>
      </c>
      <c r="I3459" t="n">
        <v>0</v>
      </c>
      <c r="J3459" t="n">
        <v>0</v>
      </c>
      <c r="K3459" t="n">
        <v>0</v>
      </c>
      <c r="L3459" t="n">
        <v>0</v>
      </c>
      <c r="M3459" t="n">
        <v>0</v>
      </c>
      <c r="N3459" t="n">
        <v>0</v>
      </c>
      <c r="O3459" t="n">
        <v>0</v>
      </c>
      <c r="P3459" t="n">
        <v>0</v>
      </c>
      <c r="Q3459" t="n">
        <v>0</v>
      </c>
      <c r="R3459" s="2" t="inlineStr"/>
    </row>
    <row r="3460" ht="15" customHeight="1">
      <c r="A3460" t="inlineStr">
        <is>
          <t>A 31645-2024</t>
        </is>
      </c>
      <c r="B3460" s="1" t="n">
        <v>45506.60777777778</v>
      </c>
      <c r="C3460" s="1" t="n">
        <v>45911</v>
      </c>
      <c r="D3460" t="inlineStr">
        <is>
          <t>GÄVLEBORGS LÄN</t>
        </is>
      </c>
      <c r="E3460" t="inlineStr">
        <is>
          <t>HOFORS</t>
        </is>
      </c>
      <c r="F3460" t="inlineStr">
        <is>
          <t>Sveaskog</t>
        </is>
      </c>
      <c r="G3460" t="n">
        <v>11.1</v>
      </c>
      <c r="H3460" t="n">
        <v>0</v>
      </c>
      <c r="I3460" t="n">
        <v>0</v>
      </c>
      <c r="J3460" t="n">
        <v>0</v>
      </c>
      <c r="K3460" t="n">
        <v>0</v>
      </c>
      <c r="L3460" t="n">
        <v>0</v>
      </c>
      <c r="M3460" t="n">
        <v>0</v>
      </c>
      <c r="N3460" t="n">
        <v>0</v>
      </c>
      <c r="O3460" t="n">
        <v>0</v>
      </c>
      <c r="P3460" t="n">
        <v>0</v>
      </c>
      <c r="Q3460" t="n">
        <v>0</v>
      </c>
      <c r="R3460" s="2" t="inlineStr"/>
    </row>
    <row r="3461" ht="15" customHeight="1">
      <c r="A3461" t="inlineStr">
        <is>
          <t>A 27078-2025</t>
        </is>
      </c>
      <c r="B3461" s="1" t="n">
        <v>45811.65109953703</v>
      </c>
      <c r="C3461" s="1" t="n">
        <v>45911</v>
      </c>
      <c r="D3461" t="inlineStr">
        <is>
          <t>GÄVLEBORGS LÄN</t>
        </is>
      </c>
      <c r="E3461" t="inlineStr">
        <is>
          <t>HUDIKSVALL</t>
        </is>
      </c>
      <c r="G3461" t="n">
        <v>5.9</v>
      </c>
      <c r="H3461" t="n">
        <v>0</v>
      </c>
      <c r="I3461" t="n">
        <v>0</v>
      </c>
      <c r="J3461" t="n">
        <v>0</v>
      </c>
      <c r="K3461" t="n">
        <v>0</v>
      </c>
      <c r="L3461" t="n">
        <v>0</v>
      </c>
      <c r="M3461" t="n">
        <v>0</v>
      </c>
      <c r="N3461" t="n">
        <v>0</v>
      </c>
      <c r="O3461" t="n">
        <v>0</v>
      </c>
      <c r="P3461" t="n">
        <v>0</v>
      </c>
      <c r="Q3461" t="n">
        <v>0</v>
      </c>
      <c r="R3461" s="2" t="inlineStr"/>
    </row>
    <row r="3462" ht="15" customHeight="1">
      <c r="A3462" t="inlineStr">
        <is>
          <t>A 27299-2025</t>
        </is>
      </c>
      <c r="B3462" s="1" t="n">
        <v>45812.57129629629</v>
      </c>
      <c r="C3462" s="1" t="n">
        <v>45911</v>
      </c>
      <c r="D3462" t="inlineStr">
        <is>
          <t>GÄVLEBORGS LÄN</t>
        </is>
      </c>
      <c r="E3462" t="inlineStr">
        <is>
          <t>HUDIKSVALL</t>
        </is>
      </c>
      <c r="F3462" t="inlineStr">
        <is>
          <t>Holmen skog AB</t>
        </is>
      </c>
      <c r="G3462" t="n">
        <v>6</v>
      </c>
      <c r="H3462" t="n">
        <v>0</v>
      </c>
      <c r="I3462" t="n">
        <v>0</v>
      </c>
      <c r="J3462" t="n">
        <v>0</v>
      </c>
      <c r="K3462" t="n">
        <v>0</v>
      </c>
      <c r="L3462" t="n">
        <v>0</v>
      </c>
      <c r="M3462" t="n">
        <v>0</v>
      </c>
      <c r="N3462" t="n">
        <v>0</v>
      </c>
      <c r="O3462" t="n">
        <v>0</v>
      </c>
      <c r="P3462" t="n">
        <v>0</v>
      </c>
      <c r="Q3462" t="n">
        <v>0</v>
      </c>
      <c r="R3462" s="2" t="inlineStr"/>
    </row>
    <row r="3463" ht="15" customHeight="1">
      <c r="A3463" t="inlineStr">
        <is>
          <t>A 50575-2023</t>
        </is>
      </c>
      <c r="B3463" s="1" t="n">
        <v>45217.38545138889</v>
      </c>
      <c r="C3463" s="1" t="n">
        <v>45911</v>
      </c>
      <c r="D3463" t="inlineStr">
        <is>
          <t>GÄVLEBORGS LÄN</t>
        </is>
      </c>
      <c r="E3463" t="inlineStr">
        <is>
          <t>GÄVLE</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27373-2025</t>
        </is>
      </c>
      <c r="B3464" s="1" t="n">
        <v>45812.65377314815</v>
      </c>
      <c r="C3464" s="1" t="n">
        <v>45911</v>
      </c>
      <c r="D3464" t="inlineStr">
        <is>
          <t>GÄVLEBORGS LÄN</t>
        </is>
      </c>
      <c r="E3464" t="inlineStr">
        <is>
          <t>LJUSDAL</t>
        </is>
      </c>
      <c r="G3464" t="n">
        <v>8.9</v>
      </c>
      <c r="H3464" t="n">
        <v>0</v>
      </c>
      <c r="I3464" t="n">
        <v>0</v>
      </c>
      <c r="J3464" t="n">
        <v>0</v>
      </c>
      <c r="K3464" t="n">
        <v>0</v>
      </c>
      <c r="L3464" t="n">
        <v>0</v>
      </c>
      <c r="M3464" t="n">
        <v>0</v>
      </c>
      <c r="N3464" t="n">
        <v>0</v>
      </c>
      <c r="O3464" t="n">
        <v>0</v>
      </c>
      <c r="P3464" t="n">
        <v>0</v>
      </c>
      <c r="Q3464" t="n">
        <v>0</v>
      </c>
      <c r="R3464" s="2" t="inlineStr"/>
    </row>
    <row r="3465" ht="15" customHeight="1">
      <c r="A3465" t="inlineStr">
        <is>
          <t>A 27408-2025</t>
        </is>
      </c>
      <c r="B3465" s="1" t="n">
        <v>45812.74564814815</v>
      </c>
      <c r="C3465" s="1" t="n">
        <v>45911</v>
      </c>
      <c r="D3465" t="inlineStr">
        <is>
          <t>GÄVLEBORGS LÄN</t>
        </is>
      </c>
      <c r="E3465" t="inlineStr">
        <is>
          <t>LJUSDAL</t>
        </is>
      </c>
      <c r="F3465" t="inlineStr">
        <is>
          <t>Sveaskog</t>
        </is>
      </c>
      <c r="G3465" t="n">
        <v>0.3</v>
      </c>
      <c r="H3465" t="n">
        <v>0</v>
      </c>
      <c r="I3465" t="n">
        <v>0</v>
      </c>
      <c r="J3465" t="n">
        <v>0</v>
      </c>
      <c r="K3465" t="n">
        <v>0</v>
      </c>
      <c r="L3465" t="n">
        <v>0</v>
      </c>
      <c r="M3465" t="n">
        <v>0</v>
      </c>
      <c r="N3465" t="n">
        <v>0</v>
      </c>
      <c r="O3465" t="n">
        <v>0</v>
      </c>
      <c r="P3465" t="n">
        <v>0</v>
      </c>
      <c r="Q3465" t="n">
        <v>0</v>
      </c>
      <c r="R3465" s="2" t="inlineStr"/>
    </row>
    <row r="3466" ht="15" customHeight="1">
      <c r="A3466" t="inlineStr">
        <is>
          <t>A 27410-2025</t>
        </is>
      </c>
      <c r="B3466" s="1" t="n">
        <v>45812.74857638889</v>
      </c>
      <c r="C3466" s="1" t="n">
        <v>45911</v>
      </c>
      <c r="D3466" t="inlineStr">
        <is>
          <t>GÄVLEBORGS LÄN</t>
        </is>
      </c>
      <c r="E3466" t="inlineStr">
        <is>
          <t>LJUSDAL</t>
        </is>
      </c>
      <c r="F3466" t="inlineStr">
        <is>
          <t>Sveaskog</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37345-2024</t>
        </is>
      </c>
      <c r="B3467" s="1" t="n">
        <v>45540.53148148148</v>
      </c>
      <c r="C3467" s="1" t="n">
        <v>45911</v>
      </c>
      <c r="D3467" t="inlineStr">
        <is>
          <t>GÄVLEBORGS LÄN</t>
        </is>
      </c>
      <c r="E3467" t="inlineStr">
        <is>
          <t>BOLLNÄS</t>
        </is>
      </c>
      <c r="F3467" t="inlineStr">
        <is>
          <t>Bergvik skog väst AB</t>
        </is>
      </c>
      <c r="G3467" t="n">
        <v>3.3</v>
      </c>
      <c r="H3467" t="n">
        <v>0</v>
      </c>
      <c r="I3467" t="n">
        <v>0</v>
      </c>
      <c r="J3467" t="n">
        <v>0</v>
      </c>
      <c r="K3467" t="n">
        <v>0</v>
      </c>
      <c r="L3467" t="n">
        <v>0</v>
      </c>
      <c r="M3467" t="n">
        <v>0</v>
      </c>
      <c r="N3467" t="n">
        <v>0</v>
      </c>
      <c r="O3467" t="n">
        <v>0</v>
      </c>
      <c r="P3467" t="n">
        <v>0</v>
      </c>
      <c r="Q3467" t="n">
        <v>0</v>
      </c>
      <c r="R3467" s="2" t="inlineStr"/>
    </row>
    <row r="3468" ht="15" customHeight="1">
      <c r="A3468" t="inlineStr">
        <is>
          <t>A 33052-2024</t>
        </is>
      </c>
      <c r="B3468" s="1" t="n">
        <v>45517.63001157407</v>
      </c>
      <c r="C3468" s="1" t="n">
        <v>45911</v>
      </c>
      <c r="D3468" t="inlineStr">
        <is>
          <t>GÄVLEBORGS LÄN</t>
        </is>
      </c>
      <c r="E3468" t="inlineStr">
        <is>
          <t>LJUSDAL</t>
        </is>
      </c>
      <c r="F3468" t="inlineStr">
        <is>
          <t>Allmännings- och besparingsskogar</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11429-2025</t>
        </is>
      </c>
      <c r="B3469" s="1" t="n">
        <v>45726.60840277778</v>
      </c>
      <c r="C3469" s="1" t="n">
        <v>45911</v>
      </c>
      <c r="D3469" t="inlineStr">
        <is>
          <t>GÄVLEBORGS LÄN</t>
        </is>
      </c>
      <c r="E3469" t="inlineStr">
        <is>
          <t>GÄVLE</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13844-2025</t>
        </is>
      </c>
      <c r="B3470" s="1" t="n">
        <v>45737.55976851852</v>
      </c>
      <c r="C3470" s="1" t="n">
        <v>45911</v>
      </c>
      <c r="D3470" t="inlineStr">
        <is>
          <t>GÄVLEBORGS LÄN</t>
        </is>
      </c>
      <c r="E3470" t="inlineStr">
        <is>
          <t>LJUSDAL</t>
        </is>
      </c>
      <c r="G3470" t="n">
        <v>3.5</v>
      </c>
      <c r="H3470" t="n">
        <v>0</v>
      </c>
      <c r="I3470" t="n">
        <v>0</v>
      </c>
      <c r="J3470" t="n">
        <v>0</v>
      </c>
      <c r="K3470" t="n">
        <v>0</v>
      </c>
      <c r="L3470" t="n">
        <v>0</v>
      </c>
      <c r="M3470" t="n">
        <v>0</v>
      </c>
      <c r="N3470" t="n">
        <v>0</v>
      </c>
      <c r="O3470" t="n">
        <v>0</v>
      </c>
      <c r="P3470" t="n">
        <v>0</v>
      </c>
      <c r="Q3470" t="n">
        <v>0</v>
      </c>
      <c r="R3470" s="2" t="inlineStr"/>
    </row>
    <row r="3471" ht="15" customHeight="1">
      <c r="A3471" t="inlineStr">
        <is>
          <t>A 1256-2025</t>
        </is>
      </c>
      <c r="B3471" s="1" t="n">
        <v>45667</v>
      </c>
      <c r="C3471" s="1" t="n">
        <v>45911</v>
      </c>
      <c r="D3471" t="inlineStr">
        <is>
          <t>GÄVLEBORGS LÄN</t>
        </is>
      </c>
      <c r="E3471" t="inlineStr">
        <is>
          <t>OVANÅKER</t>
        </is>
      </c>
      <c r="F3471" t="inlineStr">
        <is>
          <t>Bergvik skog väst AB</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44208-2024</t>
        </is>
      </c>
      <c r="B3472" s="1" t="n">
        <v>45573.35883101852</v>
      </c>
      <c r="C3472" s="1" t="n">
        <v>45911</v>
      </c>
      <c r="D3472" t="inlineStr">
        <is>
          <t>GÄVLEBORGS LÄN</t>
        </is>
      </c>
      <c r="E3472" t="inlineStr">
        <is>
          <t>OVANÅKER</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40196-2024</t>
        </is>
      </c>
      <c r="B3473" s="1" t="n">
        <v>45554.57899305555</v>
      </c>
      <c r="C3473" s="1" t="n">
        <v>45911</v>
      </c>
      <c r="D3473" t="inlineStr">
        <is>
          <t>GÄVLEBORGS LÄN</t>
        </is>
      </c>
      <c r="E3473" t="inlineStr">
        <is>
          <t>OCKELBO</t>
        </is>
      </c>
      <c r="F3473" t="inlineStr">
        <is>
          <t>Bergvik skog väst AB</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51553-2024</t>
        </is>
      </c>
      <c r="B3474" s="1" t="n">
        <v>45604.60453703703</v>
      </c>
      <c r="C3474" s="1" t="n">
        <v>45911</v>
      </c>
      <c r="D3474" t="inlineStr">
        <is>
          <t>GÄVLEBORGS LÄN</t>
        </is>
      </c>
      <c r="E3474" t="inlineStr">
        <is>
          <t>SÖDERHAMN</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4475-2025</t>
        </is>
      </c>
      <c r="B3475" s="1" t="n">
        <v>45686.62489583333</v>
      </c>
      <c r="C3475" s="1" t="n">
        <v>45911</v>
      </c>
      <c r="D3475" t="inlineStr">
        <is>
          <t>GÄVLEBORGS LÄN</t>
        </is>
      </c>
      <c r="E3475" t="inlineStr">
        <is>
          <t>OVANÅKER</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34250-2024</t>
        </is>
      </c>
      <c r="B3476" s="1" t="n">
        <v>45524.58820601852</v>
      </c>
      <c r="C3476" s="1" t="n">
        <v>45911</v>
      </c>
      <c r="D3476" t="inlineStr">
        <is>
          <t>GÄVLEBORGS LÄN</t>
        </is>
      </c>
      <c r="E3476" t="inlineStr">
        <is>
          <t>BOLLNÄS</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14606-2025</t>
        </is>
      </c>
      <c r="B3477" s="1" t="n">
        <v>45742.37480324074</v>
      </c>
      <c r="C3477" s="1" t="n">
        <v>45911</v>
      </c>
      <c r="D3477" t="inlineStr">
        <is>
          <t>GÄVLEBORGS LÄN</t>
        </is>
      </c>
      <c r="E3477" t="inlineStr">
        <is>
          <t>GÄVLE</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450-2025</t>
        </is>
      </c>
      <c r="B3478" s="1" t="n">
        <v>45664.39973379629</v>
      </c>
      <c r="C3478" s="1" t="n">
        <v>45911</v>
      </c>
      <c r="D3478" t="inlineStr">
        <is>
          <t>GÄVLEBORGS LÄN</t>
        </is>
      </c>
      <c r="E3478" t="inlineStr">
        <is>
          <t>HUDIKSVALL</t>
        </is>
      </c>
      <c r="G3478" t="n">
        <v>3.4</v>
      </c>
      <c r="H3478" t="n">
        <v>0</v>
      </c>
      <c r="I3478" t="n">
        <v>0</v>
      </c>
      <c r="J3478" t="n">
        <v>0</v>
      </c>
      <c r="K3478" t="n">
        <v>0</v>
      </c>
      <c r="L3478" t="n">
        <v>0</v>
      </c>
      <c r="M3478" t="n">
        <v>0</v>
      </c>
      <c r="N3478" t="n">
        <v>0</v>
      </c>
      <c r="O3478" t="n">
        <v>0</v>
      </c>
      <c r="P3478" t="n">
        <v>0</v>
      </c>
      <c r="Q3478" t="n">
        <v>0</v>
      </c>
      <c r="R3478" s="2" t="inlineStr"/>
    </row>
    <row r="3479" ht="15" customHeight="1">
      <c r="A3479" t="inlineStr">
        <is>
          <t>A 51438-2023</t>
        </is>
      </c>
      <c r="B3479" s="1" t="n">
        <v>45219</v>
      </c>
      <c r="C3479" s="1" t="n">
        <v>45911</v>
      </c>
      <c r="D3479" t="inlineStr">
        <is>
          <t>GÄVLEBORGS LÄN</t>
        </is>
      </c>
      <c r="E3479" t="inlineStr">
        <is>
          <t>NORDANSTIG</t>
        </is>
      </c>
      <c r="F3479" t="inlineStr">
        <is>
          <t>SCA</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43169-2023</t>
        </is>
      </c>
      <c r="B3480" s="1" t="n">
        <v>45183.3571875</v>
      </c>
      <c r="C3480" s="1" t="n">
        <v>45911</v>
      </c>
      <c r="D3480" t="inlineStr">
        <is>
          <t>GÄVLEBORGS LÄN</t>
        </is>
      </c>
      <c r="E3480" t="inlineStr">
        <is>
          <t>OVANÅKER</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13683-2024</t>
        </is>
      </c>
      <c r="B3481" s="1" t="n">
        <v>45390.55900462963</v>
      </c>
      <c r="C3481" s="1" t="n">
        <v>45911</v>
      </c>
      <c r="D3481" t="inlineStr">
        <is>
          <t>GÄVLEBORGS LÄN</t>
        </is>
      </c>
      <c r="E3481" t="inlineStr">
        <is>
          <t>OVANÅKER</t>
        </is>
      </c>
      <c r="G3481" t="n">
        <v>3.7</v>
      </c>
      <c r="H3481" t="n">
        <v>0</v>
      </c>
      <c r="I3481" t="n">
        <v>0</v>
      </c>
      <c r="J3481" t="n">
        <v>0</v>
      </c>
      <c r="K3481" t="n">
        <v>0</v>
      </c>
      <c r="L3481" t="n">
        <v>0</v>
      </c>
      <c r="M3481" t="n">
        <v>0</v>
      </c>
      <c r="N3481" t="n">
        <v>0</v>
      </c>
      <c r="O3481" t="n">
        <v>0</v>
      </c>
      <c r="P3481" t="n">
        <v>0</v>
      </c>
      <c r="Q3481" t="n">
        <v>0</v>
      </c>
      <c r="R3481" s="2" t="inlineStr"/>
    </row>
    <row r="3482" ht="15" customHeight="1">
      <c r="A3482" t="inlineStr">
        <is>
          <t>A 27143-2025</t>
        </is>
      </c>
      <c r="B3482" s="1" t="n">
        <v>45812.28103009259</v>
      </c>
      <c r="C3482" s="1" t="n">
        <v>45911</v>
      </c>
      <c r="D3482" t="inlineStr">
        <is>
          <t>GÄVLEBORGS LÄN</t>
        </is>
      </c>
      <c r="E3482" t="inlineStr">
        <is>
          <t>BOLLNÄS</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38793-2024</t>
        </is>
      </c>
      <c r="B3483" s="1" t="n">
        <v>45547.48995370371</v>
      </c>
      <c r="C3483" s="1" t="n">
        <v>45911</v>
      </c>
      <c r="D3483" t="inlineStr">
        <is>
          <t>GÄVLEBORGS LÄN</t>
        </is>
      </c>
      <c r="E3483" t="inlineStr">
        <is>
          <t>GÄVLE</t>
        </is>
      </c>
      <c r="G3483" t="n">
        <v>4.4</v>
      </c>
      <c r="H3483" t="n">
        <v>0</v>
      </c>
      <c r="I3483" t="n">
        <v>0</v>
      </c>
      <c r="J3483" t="n">
        <v>0</v>
      </c>
      <c r="K3483" t="n">
        <v>0</v>
      </c>
      <c r="L3483" t="n">
        <v>0</v>
      </c>
      <c r="M3483" t="n">
        <v>0</v>
      </c>
      <c r="N3483" t="n">
        <v>0</v>
      </c>
      <c r="O3483" t="n">
        <v>0</v>
      </c>
      <c r="P3483" t="n">
        <v>0</v>
      </c>
      <c r="Q3483" t="n">
        <v>0</v>
      </c>
      <c r="R3483" s="2" t="inlineStr"/>
    </row>
    <row r="3484" ht="15" customHeight="1">
      <c r="A3484" t="inlineStr">
        <is>
          <t>A 38799-2024</t>
        </is>
      </c>
      <c r="B3484" s="1" t="n">
        <v>45547</v>
      </c>
      <c r="C3484" s="1" t="n">
        <v>45911</v>
      </c>
      <c r="D3484" t="inlineStr">
        <is>
          <t>GÄVLEBORGS LÄN</t>
        </is>
      </c>
      <c r="E3484" t="inlineStr">
        <is>
          <t>OCKELBO</t>
        </is>
      </c>
      <c r="F3484" t="inlineStr">
        <is>
          <t>Kyrkan</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8276-2025</t>
        </is>
      </c>
      <c r="B3485" s="1" t="n">
        <v>45708.54879629629</v>
      </c>
      <c r="C3485" s="1" t="n">
        <v>45911</v>
      </c>
      <c r="D3485" t="inlineStr">
        <is>
          <t>GÄVLEBORGS LÄN</t>
        </is>
      </c>
      <c r="E3485" t="inlineStr">
        <is>
          <t>SÖDERHAMN</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38814-2024</t>
        </is>
      </c>
      <c r="B3486" s="1" t="n">
        <v>45547.54760416667</v>
      </c>
      <c r="C3486" s="1" t="n">
        <v>45911</v>
      </c>
      <c r="D3486" t="inlineStr">
        <is>
          <t>GÄVLEBORGS LÄN</t>
        </is>
      </c>
      <c r="E3486" t="inlineStr">
        <is>
          <t>LJUSDAL</t>
        </is>
      </c>
      <c r="G3486" t="n">
        <v>5.8</v>
      </c>
      <c r="H3486" t="n">
        <v>0</v>
      </c>
      <c r="I3486" t="n">
        <v>0</v>
      </c>
      <c r="J3486" t="n">
        <v>0</v>
      </c>
      <c r="K3486" t="n">
        <v>0</v>
      </c>
      <c r="L3486" t="n">
        <v>0</v>
      </c>
      <c r="M3486" t="n">
        <v>0</v>
      </c>
      <c r="N3486" t="n">
        <v>0</v>
      </c>
      <c r="O3486" t="n">
        <v>0</v>
      </c>
      <c r="P3486" t="n">
        <v>0</v>
      </c>
      <c r="Q3486" t="n">
        <v>0</v>
      </c>
      <c r="R3486" s="2" t="inlineStr"/>
    </row>
    <row r="3487" ht="15" customHeight="1">
      <c r="A3487" t="inlineStr">
        <is>
          <t>A 27289-2025</t>
        </is>
      </c>
      <c r="B3487" s="1" t="n">
        <v>45812.55351851852</v>
      </c>
      <c r="C3487" s="1" t="n">
        <v>45911</v>
      </c>
      <c r="D3487" t="inlineStr">
        <is>
          <t>GÄVLEBORGS LÄN</t>
        </is>
      </c>
      <c r="E3487" t="inlineStr">
        <is>
          <t>HUDIKSVALL</t>
        </is>
      </c>
      <c r="F3487" t="inlineStr">
        <is>
          <t>Holmen skog AB</t>
        </is>
      </c>
      <c r="G3487" t="n">
        <v>4.4</v>
      </c>
      <c r="H3487" t="n">
        <v>0</v>
      </c>
      <c r="I3487" t="n">
        <v>0</v>
      </c>
      <c r="J3487" t="n">
        <v>0</v>
      </c>
      <c r="K3487" t="n">
        <v>0</v>
      </c>
      <c r="L3487" t="n">
        <v>0</v>
      </c>
      <c r="M3487" t="n">
        <v>0</v>
      </c>
      <c r="N3487" t="n">
        <v>0</v>
      </c>
      <c r="O3487" t="n">
        <v>0</v>
      </c>
      <c r="P3487" t="n">
        <v>0</v>
      </c>
      <c r="Q3487" t="n">
        <v>0</v>
      </c>
      <c r="R3487" s="2" t="inlineStr"/>
    </row>
    <row r="3488" ht="15" customHeight="1">
      <c r="A3488" t="inlineStr">
        <is>
          <t>A 38673-2024</t>
        </is>
      </c>
      <c r="B3488" s="1" t="n">
        <v>45547.33135416666</v>
      </c>
      <c r="C3488" s="1" t="n">
        <v>45911</v>
      </c>
      <c r="D3488" t="inlineStr">
        <is>
          <t>GÄVLEBORGS LÄN</t>
        </is>
      </c>
      <c r="E3488" t="inlineStr">
        <is>
          <t>GÄVLE</t>
        </is>
      </c>
      <c r="F3488" t="inlineStr">
        <is>
          <t>Bergvik skog öst AB</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38837-2024</t>
        </is>
      </c>
      <c r="B3489" s="1" t="n">
        <v>45547</v>
      </c>
      <c r="C3489" s="1" t="n">
        <v>45911</v>
      </c>
      <c r="D3489" t="inlineStr">
        <is>
          <t>GÄVLEBORGS LÄN</t>
        </is>
      </c>
      <c r="E3489" t="inlineStr">
        <is>
          <t>BOLLNÄS</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38687-2024</t>
        </is>
      </c>
      <c r="B3490" s="1" t="n">
        <v>45547</v>
      </c>
      <c r="C3490" s="1" t="n">
        <v>45911</v>
      </c>
      <c r="D3490" t="inlineStr">
        <is>
          <t>GÄVLEBORGS LÄN</t>
        </is>
      </c>
      <c r="E3490" t="inlineStr">
        <is>
          <t>HUDIKSVALL</t>
        </is>
      </c>
      <c r="G3490" t="n">
        <v>8.9</v>
      </c>
      <c r="H3490" t="n">
        <v>0</v>
      </c>
      <c r="I3490" t="n">
        <v>0</v>
      </c>
      <c r="J3490" t="n">
        <v>0</v>
      </c>
      <c r="K3490" t="n">
        <v>0</v>
      </c>
      <c r="L3490" t="n">
        <v>0</v>
      </c>
      <c r="M3490" t="n">
        <v>0</v>
      </c>
      <c r="N3490" t="n">
        <v>0</v>
      </c>
      <c r="O3490" t="n">
        <v>0</v>
      </c>
      <c r="P3490" t="n">
        <v>0</v>
      </c>
      <c r="Q3490" t="n">
        <v>0</v>
      </c>
      <c r="R3490" s="2" t="inlineStr"/>
    </row>
    <row r="3491" ht="15" customHeight="1">
      <c r="A3491" t="inlineStr">
        <is>
          <t>A 38703-2024</t>
        </is>
      </c>
      <c r="B3491" s="1" t="n">
        <v>45547</v>
      </c>
      <c r="C3491" s="1" t="n">
        <v>45911</v>
      </c>
      <c r="D3491" t="inlineStr">
        <is>
          <t>GÄVLEBORGS LÄN</t>
        </is>
      </c>
      <c r="E3491" t="inlineStr">
        <is>
          <t>HUDIKSVALL</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27203-2025</t>
        </is>
      </c>
      <c r="B3492" s="1" t="n">
        <v>45812.39972222222</v>
      </c>
      <c r="C3492" s="1" t="n">
        <v>45911</v>
      </c>
      <c r="D3492" t="inlineStr">
        <is>
          <t>GÄVLEBORGS LÄN</t>
        </is>
      </c>
      <c r="E3492" t="inlineStr">
        <is>
          <t>NORDANSTIG</t>
        </is>
      </c>
      <c r="F3492" t="inlineStr">
        <is>
          <t>Holmen skog AB</t>
        </is>
      </c>
      <c r="G3492" t="n">
        <v>4</v>
      </c>
      <c r="H3492" t="n">
        <v>0</v>
      </c>
      <c r="I3492" t="n">
        <v>0</v>
      </c>
      <c r="J3492" t="n">
        <v>0</v>
      </c>
      <c r="K3492" t="n">
        <v>0</v>
      </c>
      <c r="L3492" t="n">
        <v>0</v>
      </c>
      <c r="M3492" t="n">
        <v>0</v>
      </c>
      <c r="N3492" t="n">
        <v>0</v>
      </c>
      <c r="O3492" t="n">
        <v>0</v>
      </c>
      <c r="P3492" t="n">
        <v>0</v>
      </c>
      <c r="Q3492" t="n">
        <v>0</v>
      </c>
      <c r="R3492" s="2" t="inlineStr"/>
    </row>
    <row r="3493" ht="15" customHeight="1">
      <c r="A3493" t="inlineStr">
        <is>
          <t>A 48298-2023</t>
        </is>
      </c>
      <c r="B3493" s="1" t="n">
        <v>45205</v>
      </c>
      <c r="C3493" s="1" t="n">
        <v>45911</v>
      </c>
      <c r="D3493" t="inlineStr">
        <is>
          <t>GÄVLEBORGS LÄN</t>
        </is>
      </c>
      <c r="E3493" t="inlineStr">
        <is>
          <t>OVANÅKER</t>
        </is>
      </c>
      <c r="G3493" t="n">
        <v>0.3</v>
      </c>
      <c r="H3493" t="n">
        <v>0</v>
      </c>
      <c r="I3493" t="n">
        <v>0</v>
      </c>
      <c r="J3493" t="n">
        <v>0</v>
      </c>
      <c r="K3493" t="n">
        <v>0</v>
      </c>
      <c r="L3493" t="n">
        <v>0</v>
      </c>
      <c r="M3493" t="n">
        <v>0</v>
      </c>
      <c r="N3493" t="n">
        <v>0</v>
      </c>
      <c r="O3493" t="n">
        <v>0</v>
      </c>
      <c r="P3493" t="n">
        <v>0</v>
      </c>
      <c r="Q3493" t="n">
        <v>0</v>
      </c>
      <c r="R3493" s="2" t="inlineStr"/>
    </row>
    <row r="3494" ht="15" customHeight="1">
      <c r="A3494" t="inlineStr">
        <is>
          <t>A 48300-2023</t>
        </is>
      </c>
      <c r="B3494" s="1" t="n">
        <v>45205.57335648148</v>
      </c>
      <c r="C3494" s="1" t="n">
        <v>45911</v>
      </c>
      <c r="D3494" t="inlineStr">
        <is>
          <t>GÄVLEBORGS LÄN</t>
        </is>
      </c>
      <c r="E3494" t="inlineStr">
        <is>
          <t>SANDVIKEN</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9563-2025</t>
        </is>
      </c>
      <c r="B3495" s="1" t="n">
        <v>45715.613125</v>
      </c>
      <c r="C3495" s="1" t="n">
        <v>45911</v>
      </c>
      <c r="D3495" t="inlineStr">
        <is>
          <t>GÄVLEBORGS LÄN</t>
        </is>
      </c>
      <c r="E3495" t="inlineStr">
        <is>
          <t>HUDIKSVALL</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30558-2024</t>
        </is>
      </c>
      <c r="B3496" s="1" t="n">
        <v>45492.92803240741</v>
      </c>
      <c r="C3496" s="1" t="n">
        <v>45911</v>
      </c>
      <c r="D3496" t="inlineStr">
        <is>
          <t>GÄVLEBORGS LÄN</t>
        </is>
      </c>
      <c r="E3496" t="inlineStr">
        <is>
          <t>SÖDERHAMN</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30559-2024</t>
        </is>
      </c>
      <c r="B3497" s="1" t="n">
        <v>45492</v>
      </c>
      <c r="C3497" s="1" t="n">
        <v>45911</v>
      </c>
      <c r="D3497" t="inlineStr">
        <is>
          <t>GÄVLEBORGS LÄN</t>
        </is>
      </c>
      <c r="E3497" t="inlineStr">
        <is>
          <t>SÖDERHAMN</t>
        </is>
      </c>
      <c r="G3497" t="n">
        <v>3.3</v>
      </c>
      <c r="H3497" t="n">
        <v>0</v>
      </c>
      <c r="I3497" t="n">
        <v>0</v>
      </c>
      <c r="J3497" t="n">
        <v>0</v>
      </c>
      <c r="K3497" t="n">
        <v>0</v>
      </c>
      <c r="L3497" t="n">
        <v>0</v>
      </c>
      <c r="M3497" t="n">
        <v>0</v>
      </c>
      <c r="N3497" t="n">
        <v>0</v>
      </c>
      <c r="O3497" t="n">
        <v>0</v>
      </c>
      <c r="P3497" t="n">
        <v>0</v>
      </c>
      <c r="Q3497" t="n">
        <v>0</v>
      </c>
      <c r="R3497" s="2" t="inlineStr"/>
    </row>
    <row r="3498" ht="15" customHeight="1">
      <c r="A3498" t="inlineStr">
        <is>
          <t>A 30562-2024</t>
        </is>
      </c>
      <c r="B3498" s="1" t="n">
        <v>45492.92842592593</v>
      </c>
      <c r="C3498" s="1" t="n">
        <v>45911</v>
      </c>
      <c r="D3498" t="inlineStr">
        <is>
          <t>GÄVLEBORGS LÄN</t>
        </is>
      </c>
      <c r="E3498" t="inlineStr">
        <is>
          <t>LJUSDAL</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43191-2024</t>
        </is>
      </c>
      <c r="B3499" s="1" t="n">
        <v>45567.67518518519</v>
      </c>
      <c r="C3499" s="1" t="n">
        <v>45911</v>
      </c>
      <c r="D3499" t="inlineStr">
        <is>
          <t>GÄVLEBORGS LÄN</t>
        </is>
      </c>
      <c r="E3499" t="inlineStr">
        <is>
          <t>SÖDERHAMN</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41535-2024</t>
        </is>
      </c>
      <c r="B3500" s="1" t="n">
        <v>45560.49378472222</v>
      </c>
      <c r="C3500" s="1" t="n">
        <v>45911</v>
      </c>
      <c r="D3500" t="inlineStr">
        <is>
          <t>GÄVLEBORGS LÄN</t>
        </is>
      </c>
      <c r="E3500" t="inlineStr">
        <is>
          <t>HUDIKSVALL</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41545-2024</t>
        </is>
      </c>
      <c r="B3501" s="1" t="n">
        <v>45560.51070601852</v>
      </c>
      <c r="C3501" s="1" t="n">
        <v>45911</v>
      </c>
      <c r="D3501" t="inlineStr">
        <is>
          <t>GÄVLEBORGS LÄN</t>
        </is>
      </c>
      <c r="E3501" t="inlineStr">
        <is>
          <t>OVANÅKER</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60839-2023</t>
        </is>
      </c>
      <c r="B3502" s="1" t="n">
        <v>45260.92565972222</v>
      </c>
      <c r="C3502" s="1" t="n">
        <v>45911</v>
      </c>
      <c r="D3502" t="inlineStr">
        <is>
          <t>GÄVLEBORGS LÄN</t>
        </is>
      </c>
      <c r="E3502" t="inlineStr">
        <is>
          <t>NORDANSTIG</t>
        </is>
      </c>
      <c r="G3502" t="n">
        <v>3.7</v>
      </c>
      <c r="H3502" t="n">
        <v>0</v>
      </c>
      <c r="I3502" t="n">
        <v>0</v>
      </c>
      <c r="J3502" t="n">
        <v>0</v>
      </c>
      <c r="K3502" t="n">
        <v>0</v>
      </c>
      <c r="L3502" t="n">
        <v>0</v>
      </c>
      <c r="M3502" t="n">
        <v>0</v>
      </c>
      <c r="N3502" t="n">
        <v>0</v>
      </c>
      <c r="O3502" t="n">
        <v>0</v>
      </c>
      <c r="P3502" t="n">
        <v>0</v>
      </c>
      <c r="Q3502" t="n">
        <v>0</v>
      </c>
      <c r="R3502" s="2" t="inlineStr"/>
    </row>
    <row r="3503" ht="15" customHeight="1">
      <c r="A3503" t="inlineStr">
        <is>
          <t>A 27376-2025</t>
        </is>
      </c>
      <c r="B3503" s="1" t="n">
        <v>45812.65765046296</v>
      </c>
      <c r="C3503" s="1" t="n">
        <v>45911</v>
      </c>
      <c r="D3503" t="inlineStr">
        <is>
          <t>GÄVLEBORGS LÄN</t>
        </is>
      </c>
      <c r="E3503" t="inlineStr">
        <is>
          <t>LJUSDAL</t>
        </is>
      </c>
      <c r="G3503" t="n">
        <v>6.1</v>
      </c>
      <c r="H3503" t="n">
        <v>0</v>
      </c>
      <c r="I3503" t="n">
        <v>0</v>
      </c>
      <c r="J3503" t="n">
        <v>0</v>
      </c>
      <c r="K3503" t="n">
        <v>0</v>
      </c>
      <c r="L3503" t="n">
        <v>0</v>
      </c>
      <c r="M3503" t="n">
        <v>0</v>
      </c>
      <c r="N3503" t="n">
        <v>0</v>
      </c>
      <c r="O3503" t="n">
        <v>0</v>
      </c>
      <c r="P3503" t="n">
        <v>0</v>
      </c>
      <c r="Q3503" t="n">
        <v>0</v>
      </c>
      <c r="R3503" s="2" t="inlineStr"/>
    </row>
    <row r="3504" ht="15" customHeight="1">
      <c r="A3504" t="inlineStr">
        <is>
          <t>A 27086-2025</t>
        </is>
      </c>
      <c r="B3504" s="1" t="n">
        <v>45811.66273148148</v>
      </c>
      <c r="C3504" s="1" t="n">
        <v>45911</v>
      </c>
      <c r="D3504" t="inlineStr">
        <is>
          <t>GÄVLEBORGS LÄN</t>
        </is>
      </c>
      <c r="E3504" t="inlineStr">
        <is>
          <t>LJUSDAL</t>
        </is>
      </c>
      <c r="F3504" t="inlineStr">
        <is>
          <t>Holmen skog AB</t>
        </is>
      </c>
      <c r="G3504" t="n">
        <v>8.9</v>
      </c>
      <c r="H3504" t="n">
        <v>0</v>
      </c>
      <c r="I3504" t="n">
        <v>0</v>
      </c>
      <c r="J3504" t="n">
        <v>0</v>
      </c>
      <c r="K3504" t="n">
        <v>0</v>
      </c>
      <c r="L3504" t="n">
        <v>0</v>
      </c>
      <c r="M3504" t="n">
        <v>0</v>
      </c>
      <c r="N3504" t="n">
        <v>0</v>
      </c>
      <c r="O3504" t="n">
        <v>0</v>
      </c>
      <c r="P3504" t="n">
        <v>0</v>
      </c>
      <c r="Q3504" t="n">
        <v>0</v>
      </c>
      <c r="R3504" s="2" t="inlineStr"/>
    </row>
    <row r="3505" ht="15" customHeight="1">
      <c r="A3505" t="inlineStr">
        <is>
          <t>A 22892-2023</t>
        </is>
      </c>
      <c r="B3505" s="1" t="n">
        <v>45072.5287962963</v>
      </c>
      <c r="C3505" s="1" t="n">
        <v>45911</v>
      </c>
      <c r="D3505" t="inlineStr">
        <is>
          <t>GÄVLEBORGS LÄN</t>
        </is>
      </c>
      <c r="E3505" t="inlineStr">
        <is>
          <t>HUDIKSVALL</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27199-2025</t>
        </is>
      </c>
      <c r="B3506" s="1" t="n">
        <v>45812.38626157407</v>
      </c>
      <c r="C3506" s="1" t="n">
        <v>45911</v>
      </c>
      <c r="D3506" t="inlineStr">
        <is>
          <t>GÄVLEBORGS LÄN</t>
        </is>
      </c>
      <c r="E3506" t="inlineStr">
        <is>
          <t>OCKELBO</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30359-2024</t>
        </is>
      </c>
      <c r="B3507" s="1" t="n">
        <v>45491.34340277778</v>
      </c>
      <c r="C3507" s="1" t="n">
        <v>45911</v>
      </c>
      <c r="D3507" t="inlineStr">
        <is>
          <t>GÄVLEBORGS LÄN</t>
        </is>
      </c>
      <c r="E3507" t="inlineStr">
        <is>
          <t>SÖDERHAMN</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38220-2024</t>
        </is>
      </c>
      <c r="B3508" s="1" t="n">
        <v>45545.53237268519</v>
      </c>
      <c r="C3508" s="1" t="n">
        <v>45911</v>
      </c>
      <c r="D3508" t="inlineStr">
        <is>
          <t>GÄVLEBORGS LÄN</t>
        </is>
      </c>
      <c r="E3508" t="inlineStr">
        <is>
          <t>HUDIKSVALL</t>
        </is>
      </c>
      <c r="F3508" t="inlineStr">
        <is>
          <t>Holmen skog AB</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38241-2024</t>
        </is>
      </c>
      <c r="B3509" s="1" t="n">
        <v>45545.57097222222</v>
      </c>
      <c r="C3509" s="1" t="n">
        <v>45911</v>
      </c>
      <c r="D3509" t="inlineStr">
        <is>
          <t>GÄVLEBORGS LÄN</t>
        </is>
      </c>
      <c r="E3509" t="inlineStr">
        <is>
          <t>NORDANSTIG</t>
        </is>
      </c>
      <c r="F3509" t="inlineStr">
        <is>
          <t>Holmen skog AB</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18828-2024</t>
        </is>
      </c>
      <c r="B3510" s="1" t="n">
        <v>45426</v>
      </c>
      <c r="C3510" s="1" t="n">
        <v>45911</v>
      </c>
      <c r="D3510" t="inlineStr">
        <is>
          <t>GÄVLEBORGS LÄN</t>
        </is>
      </c>
      <c r="E3510" t="inlineStr">
        <is>
          <t>HUDIKSVALL</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24329-2024</t>
        </is>
      </c>
      <c r="B3511" s="1" t="n">
        <v>45457.53825231481</v>
      </c>
      <c r="C3511" s="1" t="n">
        <v>45911</v>
      </c>
      <c r="D3511" t="inlineStr">
        <is>
          <t>GÄVLEBORGS LÄN</t>
        </is>
      </c>
      <c r="E3511" t="inlineStr">
        <is>
          <t>HUDIKSVALL</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61418-2024</t>
        </is>
      </c>
      <c r="B3512" s="1" t="n">
        <v>45646.44805555556</v>
      </c>
      <c r="C3512" s="1" t="n">
        <v>45911</v>
      </c>
      <c r="D3512" t="inlineStr">
        <is>
          <t>GÄVLEBORGS LÄN</t>
        </is>
      </c>
      <c r="E3512" t="inlineStr">
        <is>
          <t>NORDANSTIG</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21682-2024</t>
        </is>
      </c>
      <c r="B3513" s="1" t="n">
        <v>45442.43586805555</v>
      </c>
      <c r="C3513" s="1" t="n">
        <v>45911</v>
      </c>
      <c r="D3513" t="inlineStr">
        <is>
          <t>GÄVLEBORGS LÄN</t>
        </is>
      </c>
      <c r="E3513" t="inlineStr">
        <is>
          <t>BOLLNÄS</t>
        </is>
      </c>
      <c r="F3513" t="inlineStr">
        <is>
          <t>Bergvik skog väst AB</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18347-2025</t>
        </is>
      </c>
      <c r="B3514" s="1" t="n">
        <v>45762.52913194444</v>
      </c>
      <c r="C3514" s="1" t="n">
        <v>45911</v>
      </c>
      <c r="D3514" t="inlineStr">
        <is>
          <t>GÄVLEBORGS LÄN</t>
        </is>
      </c>
      <c r="E3514" t="inlineStr">
        <is>
          <t>HOFORS</t>
        </is>
      </c>
      <c r="G3514" t="n">
        <v>3.8</v>
      </c>
      <c r="H3514" t="n">
        <v>0</v>
      </c>
      <c r="I3514" t="n">
        <v>0</v>
      </c>
      <c r="J3514" t="n">
        <v>0</v>
      </c>
      <c r="K3514" t="n">
        <v>0</v>
      </c>
      <c r="L3514" t="n">
        <v>0</v>
      </c>
      <c r="M3514" t="n">
        <v>0</v>
      </c>
      <c r="N3514" t="n">
        <v>0</v>
      </c>
      <c r="O3514" t="n">
        <v>0</v>
      </c>
      <c r="P3514" t="n">
        <v>0</v>
      </c>
      <c r="Q3514" t="n">
        <v>0</v>
      </c>
      <c r="R3514" s="2" t="inlineStr"/>
    </row>
    <row r="3515" ht="15" customHeight="1">
      <c r="A3515" t="inlineStr">
        <is>
          <t>A 27521-2025</t>
        </is>
      </c>
      <c r="B3515" s="1" t="n">
        <v>45813.44327546296</v>
      </c>
      <c r="C3515" s="1" t="n">
        <v>45911</v>
      </c>
      <c r="D3515" t="inlineStr">
        <is>
          <t>GÄVLEBORGS LÄN</t>
        </is>
      </c>
      <c r="E3515" t="inlineStr">
        <is>
          <t>OVANÅKER</t>
        </is>
      </c>
      <c r="F3515" t="inlineStr">
        <is>
          <t>Bergvik skog väst AB</t>
        </is>
      </c>
      <c r="G3515" t="n">
        <v>11.2</v>
      </c>
      <c r="H3515" t="n">
        <v>0</v>
      </c>
      <c r="I3515" t="n">
        <v>0</v>
      </c>
      <c r="J3515" t="n">
        <v>0</v>
      </c>
      <c r="K3515" t="n">
        <v>0</v>
      </c>
      <c r="L3515" t="n">
        <v>0</v>
      </c>
      <c r="M3515" t="n">
        <v>0</v>
      </c>
      <c r="N3515" t="n">
        <v>0</v>
      </c>
      <c r="O3515" t="n">
        <v>0</v>
      </c>
      <c r="P3515" t="n">
        <v>0</v>
      </c>
      <c r="Q3515" t="n">
        <v>0</v>
      </c>
      <c r="R3515" s="2" t="inlineStr"/>
    </row>
    <row r="3516" ht="15" customHeight="1">
      <c r="A3516" t="inlineStr">
        <is>
          <t>A 48597-2023</t>
        </is>
      </c>
      <c r="B3516" s="1" t="n">
        <v>45208</v>
      </c>
      <c r="C3516" s="1" t="n">
        <v>45911</v>
      </c>
      <c r="D3516" t="inlineStr">
        <is>
          <t>GÄVLEBORGS LÄN</t>
        </is>
      </c>
      <c r="E3516" t="inlineStr">
        <is>
          <t>SANDVIKEN</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55494-2024</t>
        </is>
      </c>
      <c r="B3517" s="1" t="n">
        <v>45622</v>
      </c>
      <c r="C3517" s="1" t="n">
        <v>45911</v>
      </c>
      <c r="D3517" t="inlineStr">
        <is>
          <t>GÄVLEBORGS LÄN</t>
        </is>
      </c>
      <c r="E3517" t="inlineStr">
        <is>
          <t>NORDANSTIG</t>
        </is>
      </c>
      <c r="F3517" t="inlineStr">
        <is>
          <t>Holmen skog AB</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27611-2025</t>
        </is>
      </c>
      <c r="B3518" s="1" t="n">
        <v>45813.53916666667</v>
      </c>
      <c r="C3518" s="1" t="n">
        <v>45911</v>
      </c>
      <c r="D3518" t="inlineStr">
        <is>
          <t>GÄVLEBORGS LÄN</t>
        </is>
      </c>
      <c r="E3518" t="inlineStr">
        <is>
          <t>GÄVLE</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55531-2024</t>
        </is>
      </c>
      <c r="B3519" s="1" t="n">
        <v>45622.48667824074</v>
      </c>
      <c r="C3519" s="1" t="n">
        <v>45911</v>
      </c>
      <c r="D3519" t="inlineStr">
        <is>
          <t>GÄVLEBORGS LÄN</t>
        </is>
      </c>
      <c r="E3519" t="inlineStr">
        <is>
          <t>NORDANSTIG</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19741-2025</t>
        </is>
      </c>
      <c r="B3520" s="1" t="n">
        <v>45771.37157407407</v>
      </c>
      <c r="C3520" s="1" t="n">
        <v>45911</v>
      </c>
      <c r="D3520" t="inlineStr">
        <is>
          <t>GÄVLEBORGS LÄN</t>
        </is>
      </c>
      <c r="E3520" t="inlineStr">
        <is>
          <t>BOLLNÄS</t>
        </is>
      </c>
      <c r="G3520" t="n">
        <v>27.5</v>
      </c>
      <c r="H3520" t="n">
        <v>0</v>
      </c>
      <c r="I3520" t="n">
        <v>0</v>
      </c>
      <c r="J3520" t="n">
        <v>0</v>
      </c>
      <c r="K3520" t="n">
        <v>0</v>
      </c>
      <c r="L3520" t="n">
        <v>0</v>
      </c>
      <c r="M3520" t="n">
        <v>0</v>
      </c>
      <c r="N3520" t="n">
        <v>0</v>
      </c>
      <c r="O3520" t="n">
        <v>0</v>
      </c>
      <c r="P3520" t="n">
        <v>0</v>
      </c>
      <c r="Q3520" t="n">
        <v>0</v>
      </c>
      <c r="R3520" s="2" t="inlineStr"/>
    </row>
    <row r="3521" ht="15" customHeight="1">
      <c r="A3521" t="inlineStr">
        <is>
          <t>A 10184-2022</t>
        </is>
      </c>
      <c r="B3521" s="1" t="n">
        <v>44622</v>
      </c>
      <c r="C3521" s="1" t="n">
        <v>45911</v>
      </c>
      <c r="D3521" t="inlineStr">
        <is>
          <t>GÄVLEBORGS LÄN</t>
        </is>
      </c>
      <c r="E3521" t="inlineStr">
        <is>
          <t>HOFORS</t>
        </is>
      </c>
      <c r="G3521" t="n">
        <v>3</v>
      </c>
      <c r="H3521" t="n">
        <v>0</v>
      </c>
      <c r="I3521" t="n">
        <v>0</v>
      </c>
      <c r="J3521" t="n">
        <v>0</v>
      </c>
      <c r="K3521" t="n">
        <v>0</v>
      </c>
      <c r="L3521" t="n">
        <v>0</v>
      </c>
      <c r="M3521" t="n">
        <v>0</v>
      </c>
      <c r="N3521" t="n">
        <v>0</v>
      </c>
      <c r="O3521" t="n">
        <v>0</v>
      </c>
      <c r="P3521" t="n">
        <v>0</v>
      </c>
      <c r="Q3521" t="n">
        <v>0</v>
      </c>
      <c r="R3521" s="2" t="inlineStr"/>
    </row>
    <row r="3522" ht="15" customHeight="1">
      <c r="A3522" t="inlineStr">
        <is>
          <t>A 19567-2024</t>
        </is>
      </c>
      <c r="B3522" s="1" t="n">
        <v>45429.92321759259</v>
      </c>
      <c r="C3522" s="1" t="n">
        <v>45911</v>
      </c>
      <c r="D3522" t="inlineStr">
        <is>
          <t>GÄVLEBORGS LÄN</t>
        </is>
      </c>
      <c r="E3522" t="inlineStr">
        <is>
          <t>NORDANSTIG</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9905-2024</t>
        </is>
      </c>
      <c r="B3523" s="1" t="n">
        <v>45363</v>
      </c>
      <c r="C3523" s="1" t="n">
        <v>45911</v>
      </c>
      <c r="D3523" t="inlineStr">
        <is>
          <t>GÄVLEBORGS LÄN</t>
        </is>
      </c>
      <c r="E3523" t="inlineStr">
        <is>
          <t>HUDIKSVALL</t>
        </is>
      </c>
      <c r="F3523" t="inlineStr">
        <is>
          <t>Holmen skog AB</t>
        </is>
      </c>
      <c r="G3523" t="n">
        <v>16.5</v>
      </c>
      <c r="H3523" t="n">
        <v>0</v>
      </c>
      <c r="I3523" t="n">
        <v>0</v>
      </c>
      <c r="J3523" t="n">
        <v>0</v>
      </c>
      <c r="K3523" t="n">
        <v>0</v>
      </c>
      <c r="L3523" t="n">
        <v>0</v>
      </c>
      <c r="M3523" t="n">
        <v>0</v>
      </c>
      <c r="N3523" t="n">
        <v>0</v>
      </c>
      <c r="O3523" t="n">
        <v>0</v>
      </c>
      <c r="P3523" t="n">
        <v>0</v>
      </c>
      <c r="Q3523" t="n">
        <v>0</v>
      </c>
      <c r="R3523" s="2" t="inlineStr"/>
    </row>
    <row r="3524" ht="15" customHeight="1">
      <c r="A3524" t="inlineStr">
        <is>
          <t>A 59235-2020</t>
        </is>
      </c>
      <c r="B3524" s="1" t="n">
        <v>44147</v>
      </c>
      <c r="C3524" s="1" t="n">
        <v>45911</v>
      </c>
      <c r="D3524" t="inlineStr">
        <is>
          <t>GÄVLEBORGS LÄN</t>
        </is>
      </c>
      <c r="E3524" t="inlineStr">
        <is>
          <t>SÖDERHAMN</t>
        </is>
      </c>
      <c r="G3524" t="n">
        <v>5.8</v>
      </c>
      <c r="H3524" t="n">
        <v>0</v>
      </c>
      <c r="I3524" t="n">
        <v>0</v>
      </c>
      <c r="J3524" t="n">
        <v>0</v>
      </c>
      <c r="K3524" t="n">
        <v>0</v>
      </c>
      <c r="L3524" t="n">
        <v>0</v>
      </c>
      <c r="M3524" t="n">
        <v>0</v>
      </c>
      <c r="N3524" t="n">
        <v>0</v>
      </c>
      <c r="O3524" t="n">
        <v>0</v>
      </c>
      <c r="P3524" t="n">
        <v>0</v>
      </c>
      <c r="Q3524" t="n">
        <v>0</v>
      </c>
      <c r="R3524" s="2" t="inlineStr"/>
    </row>
    <row r="3525" ht="15" customHeight="1">
      <c r="A3525" t="inlineStr">
        <is>
          <t>A 12880-2023</t>
        </is>
      </c>
      <c r="B3525" s="1" t="n">
        <v>45001</v>
      </c>
      <c r="C3525" s="1" t="n">
        <v>45911</v>
      </c>
      <c r="D3525" t="inlineStr">
        <is>
          <t>GÄVLEBORGS LÄN</t>
        </is>
      </c>
      <c r="E3525" t="inlineStr">
        <is>
          <t>HUDIKSVALL</t>
        </is>
      </c>
      <c r="G3525" t="n">
        <v>11.4</v>
      </c>
      <c r="H3525" t="n">
        <v>0</v>
      </c>
      <c r="I3525" t="n">
        <v>0</v>
      </c>
      <c r="J3525" t="n">
        <v>0</v>
      </c>
      <c r="K3525" t="n">
        <v>0</v>
      </c>
      <c r="L3525" t="n">
        <v>0</v>
      </c>
      <c r="M3525" t="n">
        <v>0</v>
      </c>
      <c r="N3525" t="n">
        <v>0</v>
      </c>
      <c r="O3525" t="n">
        <v>0</v>
      </c>
      <c r="P3525" t="n">
        <v>0</v>
      </c>
      <c r="Q3525" t="n">
        <v>0</v>
      </c>
      <c r="R3525" s="2" t="inlineStr"/>
    </row>
    <row r="3526" ht="15" customHeight="1">
      <c r="A3526" t="inlineStr">
        <is>
          <t>A 55106-2024</t>
        </is>
      </c>
      <c r="B3526" s="1" t="n">
        <v>45621</v>
      </c>
      <c r="C3526" s="1" t="n">
        <v>45911</v>
      </c>
      <c r="D3526" t="inlineStr">
        <is>
          <t>GÄVLEBORGS LÄN</t>
        </is>
      </c>
      <c r="E3526" t="inlineStr">
        <is>
          <t>SANDVIKEN</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27599-2025</t>
        </is>
      </c>
      <c r="B3527" s="1" t="n">
        <v>45813.52609953703</v>
      </c>
      <c r="C3527" s="1" t="n">
        <v>45911</v>
      </c>
      <c r="D3527" t="inlineStr">
        <is>
          <t>GÄVLEBORGS LÄN</t>
        </is>
      </c>
      <c r="E3527" t="inlineStr">
        <is>
          <t>LJUSDAL</t>
        </is>
      </c>
      <c r="G3527" t="n">
        <v>4</v>
      </c>
      <c r="H3527" t="n">
        <v>0</v>
      </c>
      <c r="I3527" t="n">
        <v>0</v>
      </c>
      <c r="J3527" t="n">
        <v>0</v>
      </c>
      <c r="K3527" t="n">
        <v>0</v>
      </c>
      <c r="L3527" t="n">
        <v>0</v>
      </c>
      <c r="M3527" t="n">
        <v>0</v>
      </c>
      <c r="N3527" t="n">
        <v>0</v>
      </c>
      <c r="O3527" t="n">
        <v>0</v>
      </c>
      <c r="P3527" t="n">
        <v>0</v>
      </c>
      <c r="Q3527" t="n">
        <v>0</v>
      </c>
      <c r="R3527" s="2" t="inlineStr"/>
    </row>
    <row r="3528" ht="15" customHeight="1">
      <c r="A3528" t="inlineStr">
        <is>
          <t>A 30292-2024</t>
        </is>
      </c>
      <c r="B3528" s="1" t="n">
        <v>45490</v>
      </c>
      <c r="C3528" s="1" t="n">
        <v>45911</v>
      </c>
      <c r="D3528" t="inlineStr">
        <is>
          <t>GÄVLEBORGS LÄN</t>
        </is>
      </c>
      <c r="E3528" t="inlineStr">
        <is>
          <t>LJUSDAL</t>
        </is>
      </c>
      <c r="G3528" t="n">
        <v>3.6</v>
      </c>
      <c r="H3528" t="n">
        <v>0</v>
      </c>
      <c r="I3528" t="n">
        <v>0</v>
      </c>
      <c r="J3528" t="n">
        <v>0</v>
      </c>
      <c r="K3528" t="n">
        <v>0</v>
      </c>
      <c r="L3528" t="n">
        <v>0</v>
      </c>
      <c r="M3528" t="n">
        <v>0</v>
      </c>
      <c r="N3528" t="n">
        <v>0</v>
      </c>
      <c r="O3528" t="n">
        <v>0</v>
      </c>
      <c r="P3528" t="n">
        <v>0</v>
      </c>
      <c r="Q3528" t="n">
        <v>0</v>
      </c>
      <c r="R3528" s="2" t="inlineStr"/>
    </row>
    <row r="3529" ht="15" customHeight="1">
      <c r="A3529" t="inlineStr">
        <is>
          <t>A 5296-2022</t>
        </is>
      </c>
      <c r="B3529" s="1" t="n">
        <v>44594</v>
      </c>
      <c r="C3529" s="1" t="n">
        <v>45911</v>
      </c>
      <c r="D3529" t="inlineStr">
        <is>
          <t>GÄVLEBORGS LÄN</t>
        </is>
      </c>
      <c r="E3529" t="inlineStr">
        <is>
          <t>BOLLNÄS</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27618-2025</t>
        </is>
      </c>
      <c r="B3530" s="1" t="n">
        <v>45813.54710648148</v>
      </c>
      <c r="C3530" s="1" t="n">
        <v>45911</v>
      </c>
      <c r="D3530" t="inlineStr">
        <is>
          <t>GÄVLEBORGS LÄN</t>
        </is>
      </c>
      <c r="E3530" t="inlineStr">
        <is>
          <t>HUDIKSVALL</t>
        </is>
      </c>
      <c r="F3530" t="inlineStr">
        <is>
          <t>Holmen skog AB</t>
        </is>
      </c>
      <c r="G3530" t="n">
        <v>5.5</v>
      </c>
      <c r="H3530" t="n">
        <v>0</v>
      </c>
      <c r="I3530" t="n">
        <v>0</v>
      </c>
      <c r="J3530" t="n">
        <v>0</v>
      </c>
      <c r="K3530" t="n">
        <v>0</v>
      </c>
      <c r="L3530" t="n">
        <v>0</v>
      </c>
      <c r="M3530" t="n">
        <v>0</v>
      </c>
      <c r="N3530" t="n">
        <v>0</v>
      </c>
      <c r="O3530" t="n">
        <v>0</v>
      </c>
      <c r="P3530" t="n">
        <v>0</v>
      </c>
      <c r="Q3530" t="n">
        <v>0</v>
      </c>
      <c r="R3530" s="2" t="inlineStr"/>
    </row>
    <row r="3531" ht="15" customHeight="1">
      <c r="A3531" t="inlineStr">
        <is>
          <t>A 27628-2025</t>
        </is>
      </c>
      <c r="B3531" s="1" t="n">
        <v>45813.5585300926</v>
      </c>
      <c r="C3531" s="1" t="n">
        <v>45911</v>
      </c>
      <c r="D3531" t="inlineStr">
        <is>
          <t>GÄVLEBORGS LÄN</t>
        </is>
      </c>
      <c r="E3531" t="inlineStr">
        <is>
          <t>OVANÅKER</t>
        </is>
      </c>
      <c r="F3531" t="inlineStr">
        <is>
          <t>Bergvik skog väst AB</t>
        </is>
      </c>
      <c r="G3531" t="n">
        <v>5.8</v>
      </c>
      <c r="H3531" t="n">
        <v>0</v>
      </c>
      <c r="I3531" t="n">
        <v>0</v>
      </c>
      <c r="J3531" t="n">
        <v>0</v>
      </c>
      <c r="K3531" t="n">
        <v>0</v>
      </c>
      <c r="L3531" t="n">
        <v>0</v>
      </c>
      <c r="M3531" t="n">
        <v>0</v>
      </c>
      <c r="N3531" t="n">
        <v>0</v>
      </c>
      <c r="O3531" t="n">
        <v>0</v>
      </c>
      <c r="P3531" t="n">
        <v>0</v>
      </c>
      <c r="Q3531" t="n">
        <v>0</v>
      </c>
      <c r="R3531" s="2" t="inlineStr"/>
    </row>
    <row r="3532" ht="15" customHeight="1">
      <c r="A3532" t="inlineStr">
        <is>
          <t>A 27633-2025</t>
        </is>
      </c>
      <c r="B3532" s="1" t="n">
        <v>45813.56456018519</v>
      </c>
      <c r="C3532" s="1" t="n">
        <v>45911</v>
      </c>
      <c r="D3532" t="inlineStr">
        <is>
          <t>GÄVLEBORGS LÄN</t>
        </is>
      </c>
      <c r="E3532" t="inlineStr">
        <is>
          <t>GÄVLE</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4301-2023</t>
        </is>
      </c>
      <c r="B3533" s="1" t="n">
        <v>44953</v>
      </c>
      <c r="C3533" s="1" t="n">
        <v>45911</v>
      </c>
      <c r="D3533" t="inlineStr">
        <is>
          <t>GÄVLEBORGS LÄN</t>
        </is>
      </c>
      <c r="E3533" t="inlineStr">
        <is>
          <t>HUDIKSVALL</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71442-2021</t>
        </is>
      </c>
      <c r="B3534" s="1" t="n">
        <v>44540.45574074074</v>
      </c>
      <c r="C3534" s="1" t="n">
        <v>45911</v>
      </c>
      <c r="D3534" t="inlineStr">
        <is>
          <t>GÄVLEBORGS LÄN</t>
        </is>
      </c>
      <c r="E3534" t="inlineStr">
        <is>
          <t>NORDANSTIG</t>
        </is>
      </c>
      <c r="F3534" t="inlineStr">
        <is>
          <t>Holmen skog AB</t>
        </is>
      </c>
      <c r="G3534" t="n">
        <v>4</v>
      </c>
      <c r="H3534" t="n">
        <v>0</v>
      </c>
      <c r="I3534" t="n">
        <v>0</v>
      </c>
      <c r="J3534" t="n">
        <v>0</v>
      </c>
      <c r="K3534" t="n">
        <v>0</v>
      </c>
      <c r="L3534" t="n">
        <v>0</v>
      </c>
      <c r="M3534" t="n">
        <v>0</v>
      </c>
      <c r="N3534" t="n">
        <v>0</v>
      </c>
      <c r="O3534" t="n">
        <v>0</v>
      </c>
      <c r="P3534" t="n">
        <v>0</v>
      </c>
      <c r="Q3534" t="n">
        <v>0</v>
      </c>
      <c r="R3534" s="2" t="inlineStr"/>
    </row>
    <row r="3535" ht="15" customHeight="1">
      <c r="A3535" t="inlineStr">
        <is>
          <t>A 27666-2025</t>
        </is>
      </c>
      <c r="B3535" s="1" t="n">
        <v>45813.61989583333</v>
      </c>
      <c r="C3535" s="1" t="n">
        <v>45911</v>
      </c>
      <c r="D3535" t="inlineStr">
        <is>
          <t>GÄVLEBORGS LÄN</t>
        </is>
      </c>
      <c r="E3535" t="inlineStr">
        <is>
          <t>GÄVLE</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27631-2025</t>
        </is>
      </c>
      <c r="B3536" s="1" t="n">
        <v>45813.56162037037</v>
      </c>
      <c r="C3536" s="1" t="n">
        <v>45911</v>
      </c>
      <c r="D3536" t="inlineStr">
        <is>
          <t>GÄVLEBORGS LÄN</t>
        </is>
      </c>
      <c r="E3536" t="inlineStr">
        <is>
          <t>OVANÅKER</t>
        </is>
      </c>
      <c r="F3536" t="inlineStr">
        <is>
          <t>Bergvik skog väst AB</t>
        </is>
      </c>
      <c r="G3536" t="n">
        <v>5</v>
      </c>
      <c r="H3536" t="n">
        <v>0</v>
      </c>
      <c r="I3536" t="n">
        <v>0</v>
      </c>
      <c r="J3536" t="n">
        <v>0</v>
      </c>
      <c r="K3536" t="n">
        <v>0</v>
      </c>
      <c r="L3536" t="n">
        <v>0</v>
      </c>
      <c r="M3536" t="n">
        <v>0</v>
      </c>
      <c r="N3536" t="n">
        <v>0</v>
      </c>
      <c r="O3536" t="n">
        <v>0</v>
      </c>
      <c r="P3536" t="n">
        <v>0</v>
      </c>
      <c r="Q3536" t="n">
        <v>0</v>
      </c>
      <c r="R3536" s="2" t="inlineStr"/>
    </row>
    <row r="3537" ht="15" customHeight="1">
      <c r="A3537" t="inlineStr">
        <is>
          <t>A 49413-2023</t>
        </is>
      </c>
      <c r="B3537" s="1" t="n">
        <v>45211</v>
      </c>
      <c r="C3537" s="1" t="n">
        <v>45911</v>
      </c>
      <c r="D3537" t="inlineStr">
        <is>
          <t>GÄVLEBORGS LÄN</t>
        </is>
      </c>
      <c r="E3537" t="inlineStr">
        <is>
          <t>BOLLNÄS</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8496-2024</t>
        </is>
      </c>
      <c r="B3538" s="1" t="n">
        <v>45355.44675925926</v>
      </c>
      <c r="C3538" s="1" t="n">
        <v>45911</v>
      </c>
      <c r="D3538" t="inlineStr">
        <is>
          <t>GÄVLEBORGS LÄN</t>
        </is>
      </c>
      <c r="E3538" t="inlineStr">
        <is>
          <t>HUDIKSVALL</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49512-2023</t>
        </is>
      </c>
      <c r="B3539" s="1" t="n">
        <v>45211.58351851852</v>
      </c>
      <c r="C3539" s="1" t="n">
        <v>45911</v>
      </c>
      <c r="D3539" t="inlineStr">
        <is>
          <t>GÄVLEBORGS LÄN</t>
        </is>
      </c>
      <c r="E3539" t="inlineStr">
        <is>
          <t>SANDVIKEN</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27443-2025</t>
        </is>
      </c>
      <c r="B3540" s="1" t="n">
        <v>45813.3215625</v>
      </c>
      <c r="C3540" s="1" t="n">
        <v>45911</v>
      </c>
      <c r="D3540" t="inlineStr">
        <is>
          <t>GÄVLEBORGS LÄN</t>
        </is>
      </c>
      <c r="E3540" t="inlineStr">
        <is>
          <t>LJUSDAL</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2373-2025</t>
        </is>
      </c>
      <c r="B3541" s="1" t="n">
        <v>45673.85991898148</v>
      </c>
      <c r="C3541" s="1" t="n">
        <v>45911</v>
      </c>
      <c r="D3541" t="inlineStr">
        <is>
          <t>GÄVLEBORGS LÄN</t>
        </is>
      </c>
      <c r="E3541" t="inlineStr">
        <is>
          <t>GÄVLE</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2374-2025</t>
        </is>
      </c>
      <c r="B3542" s="1" t="n">
        <v>45673.87116898148</v>
      </c>
      <c r="C3542" s="1" t="n">
        <v>45911</v>
      </c>
      <c r="D3542" t="inlineStr">
        <is>
          <t>GÄVLEBORGS LÄN</t>
        </is>
      </c>
      <c r="E3542" t="inlineStr">
        <is>
          <t>GÄVLE</t>
        </is>
      </c>
      <c r="G3542" t="n">
        <v>3.6</v>
      </c>
      <c r="H3542" t="n">
        <v>0</v>
      </c>
      <c r="I3542" t="n">
        <v>0</v>
      </c>
      <c r="J3542" t="n">
        <v>0</v>
      </c>
      <c r="K3542" t="n">
        <v>0</v>
      </c>
      <c r="L3542" t="n">
        <v>0</v>
      </c>
      <c r="M3542" t="n">
        <v>0</v>
      </c>
      <c r="N3542" t="n">
        <v>0</v>
      </c>
      <c r="O3542" t="n">
        <v>0</v>
      </c>
      <c r="P3542" t="n">
        <v>0</v>
      </c>
      <c r="Q3542" t="n">
        <v>0</v>
      </c>
      <c r="R3542" s="2" t="inlineStr"/>
    </row>
    <row r="3543" ht="15" customHeight="1">
      <c r="A3543" t="inlineStr">
        <is>
          <t>A 206-2025</t>
        </is>
      </c>
      <c r="B3543" s="1" t="n">
        <v>45660.3234837963</v>
      </c>
      <c r="C3543" s="1" t="n">
        <v>45911</v>
      </c>
      <c r="D3543" t="inlineStr">
        <is>
          <t>GÄVLEBORGS LÄN</t>
        </is>
      </c>
      <c r="E3543" t="inlineStr">
        <is>
          <t>LJUSDAL</t>
        </is>
      </c>
      <c r="G3543" t="n">
        <v>5.8</v>
      </c>
      <c r="H3543" t="n">
        <v>0</v>
      </c>
      <c r="I3543" t="n">
        <v>0</v>
      </c>
      <c r="J3543" t="n">
        <v>0</v>
      </c>
      <c r="K3543" t="n">
        <v>0</v>
      </c>
      <c r="L3543" t="n">
        <v>0</v>
      </c>
      <c r="M3543" t="n">
        <v>0</v>
      </c>
      <c r="N3543" t="n">
        <v>0</v>
      </c>
      <c r="O3543" t="n">
        <v>0</v>
      </c>
      <c r="P3543" t="n">
        <v>0</v>
      </c>
      <c r="Q3543" t="n">
        <v>0</v>
      </c>
      <c r="R3543" s="2" t="inlineStr"/>
    </row>
    <row r="3544" ht="15" customHeight="1">
      <c r="A3544" t="inlineStr">
        <is>
          <t>A 209-2025</t>
        </is>
      </c>
      <c r="B3544" s="1" t="n">
        <v>45660.33010416666</v>
      </c>
      <c r="C3544" s="1" t="n">
        <v>45911</v>
      </c>
      <c r="D3544" t="inlineStr">
        <is>
          <t>GÄVLEBORGS LÄN</t>
        </is>
      </c>
      <c r="E3544" t="inlineStr">
        <is>
          <t>LJUSDAL</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579-2025</t>
        </is>
      </c>
      <c r="B3545" s="1" t="n">
        <v>45664.56732638889</v>
      </c>
      <c r="C3545" s="1" t="n">
        <v>45911</v>
      </c>
      <c r="D3545" t="inlineStr">
        <is>
          <t>GÄVLEBORGS LÄN</t>
        </is>
      </c>
      <c r="E3545" t="inlineStr">
        <is>
          <t>BOLLNÄS</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16327-2023</t>
        </is>
      </c>
      <c r="B3546" s="1" t="n">
        <v>45028</v>
      </c>
      <c r="C3546" s="1" t="n">
        <v>45911</v>
      </c>
      <c r="D3546" t="inlineStr">
        <is>
          <t>GÄVLEBORGS LÄN</t>
        </is>
      </c>
      <c r="E3546" t="inlineStr">
        <is>
          <t>HUDIKSVALL</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268-2025</t>
        </is>
      </c>
      <c r="B3547" s="1" t="n">
        <v>45660</v>
      </c>
      <c r="C3547" s="1" t="n">
        <v>45911</v>
      </c>
      <c r="D3547" t="inlineStr">
        <is>
          <t>GÄVLEBORGS LÄN</t>
        </is>
      </c>
      <c r="E3547" t="inlineStr">
        <is>
          <t>LJUSDAL</t>
        </is>
      </c>
      <c r="G3547" t="n">
        <v>4</v>
      </c>
      <c r="H3547" t="n">
        <v>0</v>
      </c>
      <c r="I3547" t="n">
        <v>0</v>
      </c>
      <c r="J3547" t="n">
        <v>0</v>
      </c>
      <c r="K3547" t="n">
        <v>0</v>
      </c>
      <c r="L3547" t="n">
        <v>0</v>
      </c>
      <c r="M3547" t="n">
        <v>0</v>
      </c>
      <c r="N3547" t="n">
        <v>0</v>
      </c>
      <c r="O3547" t="n">
        <v>0</v>
      </c>
      <c r="P3547" t="n">
        <v>0</v>
      </c>
      <c r="Q3547" t="n">
        <v>0</v>
      </c>
      <c r="R3547" s="2" t="inlineStr"/>
    </row>
    <row r="3548" ht="15" customHeight="1">
      <c r="A3548" t="inlineStr">
        <is>
          <t>A 617-2025</t>
        </is>
      </c>
      <c r="B3548" s="1" t="n">
        <v>45664.60994212963</v>
      </c>
      <c r="C3548" s="1" t="n">
        <v>45911</v>
      </c>
      <c r="D3548" t="inlineStr">
        <is>
          <t>GÄVLEBORGS LÄN</t>
        </is>
      </c>
      <c r="E3548" t="inlineStr">
        <is>
          <t>BOLLNÄS</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1037-2025</t>
        </is>
      </c>
      <c r="B3549" s="1" t="n">
        <v>45666.53684027777</v>
      </c>
      <c r="C3549" s="1" t="n">
        <v>45911</v>
      </c>
      <c r="D3549" t="inlineStr">
        <is>
          <t>GÄVLEBORGS LÄN</t>
        </is>
      </c>
      <c r="E3549" t="inlineStr">
        <is>
          <t>SANDVIKEN</t>
        </is>
      </c>
      <c r="G3549" t="n">
        <v>6</v>
      </c>
      <c r="H3549" t="n">
        <v>0</v>
      </c>
      <c r="I3549" t="n">
        <v>0</v>
      </c>
      <c r="J3549" t="n">
        <v>0</v>
      </c>
      <c r="K3549" t="n">
        <v>0</v>
      </c>
      <c r="L3549" t="n">
        <v>0</v>
      </c>
      <c r="M3549" t="n">
        <v>0</v>
      </c>
      <c r="N3549" t="n">
        <v>0</v>
      </c>
      <c r="O3549" t="n">
        <v>0</v>
      </c>
      <c r="P3549" t="n">
        <v>0</v>
      </c>
      <c r="Q3549" t="n">
        <v>0</v>
      </c>
      <c r="R3549" s="2" t="inlineStr"/>
    </row>
    <row r="3550" ht="15" customHeight="1">
      <c r="A3550" t="inlineStr">
        <is>
          <t>A 2667-2025</t>
        </is>
      </c>
      <c r="B3550" s="1" t="n">
        <v>45677.27587962963</v>
      </c>
      <c r="C3550" s="1" t="n">
        <v>45911</v>
      </c>
      <c r="D3550" t="inlineStr">
        <is>
          <t>GÄVLEBORGS LÄN</t>
        </is>
      </c>
      <c r="E3550" t="inlineStr">
        <is>
          <t>BOLLNÄS</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27438-2025</t>
        </is>
      </c>
      <c r="B3551" s="1" t="n">
        <v>45813.3143287037</v>
      </c>
      <c r="C3551" s="1" t="n">
        <v>45911</v>
      </c>
      <c r="D3551" t="inlineStr">
        <is>
          <t>GÄVLEBORGS LÄN</t>
        </is>
      </c>
      <c r="E3551" t="inlineStr">
        <is>
          <t>HOFORS</t>
        </is>
      </c>
      <c r="F3551" t="inlineStr">
        <is>
          <t>Sveaskog</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25268-2024</t>
        </is>
      </c>
      <c r="B3552" s="1" t="n">
        <v>45462.62112268519</v>
      </c>
      <c r="C3552" s="1" t="n">
        <v>45911</v>
      </c>
      <c r="D3552" t="inlineStr">
        <is>
          <t>GÄVLEBORGS LÄN</t>
        </is>
      </c>
      <c r="E3552" t="inlineStr">
        <is>
          <t>HUDIKSVALL</t>
        </is>
      </c>
      <c r="F3552" t="inlineStr">
        <is>
          <t>Holmen skog AB</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25273-2024</t>
        </is>
      </c>
      <c r="B3553" s="1" t="n">
        <v>45462</v>
      </c>
      <c r="C3553" s="1" t="n">
        <v>45911</v>
      </c>
      <c r="D3553" t="inlineStr">
        <is>
          <t>GÄVLEBORGS LÄN</t>
        </is>
      </c>
      <c r="E3553" t="inlineStr">
        <is>
          <t>NORDANSTIG</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27440-2025</t>
        </is>
      </c>
      <c r="B3554" s="1" t="n">
        <v>45813.3159375</v>
      </c>
      <c r="C3554" s="1" t="n">
        <v>45911</v>
      </c>
      <c r="D3554" t="inlineStr">
        <is>
          <t>GÄVLEBORGS LÄN</t>
        </is>
      </c>
      <c r="E3554" t="inlineStr">
        <is>
          <t>LJUSDAL</t>
        </is>
      </c>
      <c r="G3554" t="n">
        <v>3.3</v>
      </c>
      <c r="H3554" t="n">
        <v>0</v>
      </c>
      <c r="I3554" t="n">
        <v>0</v>
      </c>
      <c r="J3554" t="n">
        <v>0</v>
      </c>
      <c r="K3554" t="n">
        <v>0</v>
      </c>
      <c r="L3554" t="n">
        <v>0</v>
      </c>
      <c r="M3554" t="n">
        <v>0</v>
      </c>
      <c r="N3554" t="n">
        <v>0</v>
      </c>
      <c r="O3554" t="n">
        <v>0</v>
      </c>
      <c r="P3554" t="n">
        <v>0</v>
      </c>
      <c r="Q3554" t="n">
        <v>0</v>
      </c>
      <c r="R3554" s="2" t="inlineStr"/>
    </row>
    <row r="3555" ht="15" customHeight="1">
      <c r="A3555" t="inlineStr">
        <is>
          <t>A 41230-2024</t>
        </is>
      </c>
      <c r="B3555" s="1" t="n">
        <v>45559.56349537037</v>
      </c>
      <c r="C3555" s="1" t="n">
        <v>45911</v>
      </c>
      <c r="D3555" t="inlineStr">
        <is>
          <t>GÄVLEBORGS LÄN</t>
        </is>
      </c>
      <c r="E3555" t="inlineStr">
        <is>
          <t>HUDIKSVALL</t>
        </is>
      </c>
      <c r="F3555" t="inlineStr">
        <is>
          <t>Holmen skog AB</t>
        </is>
      </c>
      <c r="G3555" t="n">
        <v>5.9</v>
      </c>
      <c r="H3555" t="n">
        <v>0</v>
      </c>
      <c r="I3555" t="n">
        <v>0</v>
      </c>
      <c r="J3555" t="n">
        <v>0</v>
      </c>
      <c r="K3555" t="n">
        <v>0</v>
      </c>
      <c r="L3555" t="n">
        <v>0</v>
      </c>
      <c r="M3555" t="n">
        <v>0</v>
      </c>
      <c r="N3555" t="n">
        <v>0</v>
      </c>
      <c r="O3555" t="n">
        <v>0</v>
      </c>
      <c r="P3555" t="n">
        <v>0</v>
      </c>
      <c r="Q3555" t="n">
        <v>0</v>
      </c>
      <c r="R3555" s="2" t="inlineStr"/>
    </row>
    <row r="3556" ht="15" customHeight="1">
      <c r="A3556" t="inlineStr">
        <is>
          <t>A 721-2025</t>
        </is>
      </c>
      <c r="B3556" s="1" t="n">
        <v>45665</v>
      </c>
      <c r="C3556" s="1" t="n">
        <v>45911</v>
      </c>
      <c r="D3556" t="inlineStr">
        <is>
          <t>GÄVLEBORGS LÄN</t>
        </is>
      </c>
      <c r="E3556" t="inlineStr">
        <is>
          <t>SÖDERHAMN</t>
        </is>
      </c>
      <c r="F3556" t="inlineStr">
        <is>
          <t>Bergvik skog väst AB</t>
        </is>
      </c>
      <c r="G3556" t="n">
        <v>15.2</v>
      </c>
      <c r="H3556" t="n">
        <v>0</v>
      </c>
      <c r="I3556" t="n">
        <v>0</v>
      </c>
      <c r="J3556" t="n">
        <v>0</v>
      </c>
      <c r="K3556" t="n">
        <v>0</v>
      </c>
      <c r="L3556" t="n">
        <v>0</v>
      </c>
      <c r="M3556" t="n">
        <v>0</v>
      </c>
      <c r="N3556" t="n">
        <v>0</v>
      </c>
      <c r="O3556" t="n">
        <v>0</v>
      </c>
      <c r="P3556" t="n">
        <v>0</v>
      </c>
      <c r="Q3556" t="n">
        <v>0</v>
      </c>
      <c r="R3556" s="2" t="inlineStr"/>
    </row>
    <row r="3557" ht="15" customHeight="1">
      <c r="A3557" t="inlineStr">
        <is>
          <t>A 27668-2025</t>
        </is>
      </c>
      <c r="B3557" s="1" t="n">
        <v>45813.6222337963</v>
      </c>
      <c r="C3557" s="1" t="n">
        <v>45911</v>
      </c>
      <c r="D3557" t="inlineStr">
        <is>
          <t>GÄVLEBORGS LÄN</t>
        </is>
      </c>
      <c r="E3557" t="inlineStr">
        <is>
          <t>OVANÅKER</t>
        </is>
      </c>
      <c r="G3557" t="n">
        <v>3.8</v>
      </c>
      <c r="H3557" t="n">
        <v>0</v>
      </c>
      <c r="I3557" t="n">
        <v>0</v>
      </c>
      <c r="J3557" t="n">
        <v>0</v>
      </c>
      <c r="K3557" t="n">
        <v>0</v>
      </c>
      <c r="L3557" t="n">
        <v>0</v>
      </c>
      <c r="M3557" t="n">
        <v>0</v>
      </c>
      <c r="N3557" t="n">
        <v>0</v>
      </c>
      <c r="O3557" t="n">
        <v>0</v>
      </c>
      <c r="P3557" t="n">
        <v>0</v>
      </c>
      <c r="Q3557" t="n">
        <v>0</v>
      </c>
      <c r="R3557" s="2" t="inlineStr"/>
    </row>
    <row r="3558" ht="15" customHeight="1">
      <c r="A3558" t="inlineStr">
        <is>
          <t>A 2528-2025</t>
        </is>
      </c>
      <c r="B3558" s="1" t="n">
        <v>45674.61342592593</v>
      </c>
      <c r="C3558" s="1" t="n">
        <v>45911</v>
      </c>
      <c r="D3558" t="inlineStr">
        <is>
          <t>GÄVLEBORGS LÄN</t>
        </is>
      </c>
      <c r="E3558" t="inlineStr">
        <is>
          <t>HUDIKSVALL</t>
        </is>
      </c>
      <c r="G3558" t="n">
        <v>3.5</v>
      </c>
      <c r="H3558" t="n">
        <v>0</v>
      </c>
      <c r="I3558" t="n">
        <v>0</v>
      </c>
      <c r="J3558" t="n">
        <v>0</v>
      </c>
      <c r="K3558" t="n">
        <v>0</v>
      </c>
      <c r="L3558" t="n">
        <v>0</v>
      </c>
      <c r="M3558" t="n">
        <v>0</v>
      </c>
      <c r="N3558" t="n">
        <v>0</v>
      </c>
      <c r="O3558" t="n">
        <v>0</v>
      </c>
      <c r="P3558" t="n">
        <v>0</v>
      </c>
      <c r="Q3558" t="n">
        <v>0</v>
      </c>
      <c r="R3558" s="2" t="inlineStr"/>
    </row>
    <row r="3559" ht="15" customHeight="1">
      <c r="A3559" t="inlineStr">
        <is>
          <t>A 56127-2023</t>
        </is>
      </c>
      <c r="B3559" s="1" t="n">
        <v>45240.58010416666</v>
      </c>
      <c r="C3559" s="1" t="n">
        <v>45911</v>
      </c>
      <c r="D3559" t="inlineStr">
        <is>
          <t>GÄVLEBORGS LÄN</t>
        </is>
      </c>
      <c r="E3559" t="inlineStr">
        <is>
          <t>OVANÅKER</t>
        </is>
      </c>
      <c r="G3559" t="n">
        <v>0.4</v>
      </c>
      <c r="H3559" t="n">
        <v>0</v>
      </c>
      <c r="I3559" t="n">
        <v>0</v>
      </c>
      <c r="J3559" t="n">
        <v>0</v>
      </c>
      <c r="K3559" t="n">
        <v>0</v>
      </c>
      <c r="L3559" t="n">
        <v>0</v>
      </c>
      <c r="M3559" t="n">
        <v>0</v>
      </c>
      <c r="N3559" t="n">
        <v>0</v>
      </c>
      <c r="O3559" t="n">
        <v>0</v>
      </c>
      <c r="P3559" t="n">
        <v>0</v>
      </c>
      <c r="Q3559" t="n">
        <v>0</v>
      </c>
      <c r="R3559" s="2" t="inlineStr"/>
    </row>
    <row r="3560" ht="15" customHeight="1">
      <c r="A3560" t="inlineStr">
        <is>
          <t>A 2748-2025</t>
        </is>
      </c>
      <c r="B3560" s="1" t="n">
        <v>45677.46497685185</v>
      </c>
      <c r="C3560" s="1" t="n">
        <v>45911</v>
      </c>
      <c r="D3560" t="inlineStr">
        <is>
          <t>GÄVLEBORGS LÄN</t>
        </is>
      </c>
      <c r="E3560" t="inlineStr">
        <is>
          <t>HUDIKSVALL</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6101-2023</t>
        </is>
      </c>
      <c r="B3561" s="1" t="n">
        <v>44964.58362268518</v>
      </c>
      <c r="C3561" s="1" t="n">
        <v>45911</v>
      </c>
      <c r="D3561" t="inlineStr">
        <is>
          <t>GÄVLEBORGS LÄN</t>
        </is>
      </c>
      <c r="E3561" t="inlineStr">
        <is>
          <t>SANDVIKEN</t>
        </is>
      </c>
      <c r="G3561" t="n">
        <v>3.1</v>
      </c>
      <c r="H3561" t="n">
        <v>0</v>
      </c>
      <c r="I3561" t="n">
        <v>0</v>
      </c>
      <c r="J3561" t="n">
        <v>0</v>
      </c>
      <c r="K3561" t="n">
        <v>0</v>
      </c>
      <c r="L3561" t="n">
        <v>0</v>
      </c>
      <c r="M3561" t="n">
        <v>0</v>
      </c>
      <c r="N3561" t="n">
        <v>0</v>
      </c>
      <c r="O3561" t="n">
        <v>0</v>
      </c>
      <c r="P3561" t="n">
        <v>0</v>
      </c>
      <c r="Q3561" t="n">
        <v>0</v>
      </c>
      <c r="R3561" s="2" t="inlineStr"/>
    </row>
    <row r="3562" ht="15" customHeight="1">
      <c r="A3562" t="inlineStr">
        <is>
          <t>A 27623-2025</t>
        </is>
      </c>
      <c r="B3562" s="1" t="n">
        <v>45813.55280092593</v>
      </c>
      <c r="C3562" s="1" t="n">
        <v>45911</v>
      </c>
      <c r="D3562" t="inlineStr">
        <is>
          <t>GÄVLEBORGS LÄN</t>
        </is>
      </c>
      <c r="E3562" t="inlineStr">
        <is>
          <t>OVANÅKER</t>
        </is>
      </c>
      <c r="F3562" t="inlineStr">
        <is>
          <t>Bergvik skog väst AB</t>
        </is>
      </c>
      <c r="G3562" t="n">
        <v>34.7</v>
      </c>
      <c r="H3562" t="n">
        <v>0</v>
      </c>
      <c r="I3562" t="n">
        <v>0</v>
      </c>
      <c r="J3562" t="n">
        <v>0</v>
      </c>
      <c r="K3562" t="n">
        <v>0</v>
      </c>
      <c r="L3562" t="n">
        <v>0</v>
      </c>
      <c r="M3562" t="n">
        <v>0</v>
      </c>
      <c r="N3562" t="n">
        <v>0</v>
      </c>
      <c r="O3562" t="n">
        <v>0</v>
      </c>
      <c r="P3562" t="n">
        <v>0</v>
      </c>
      <c r="Q3562" t="n">
        <v>0</v>
      </c>
      <c r="R3562" s="2" t="inlineStr"/>
    </row>
    <row r="3563" ht="15" customHeight="1">
      <c r="A3563" t="inlineStr">
        <is>
          <t>A 27514-2025</t>
        </is>
      </c>
      <c r="B3563" s="1" t="n">
        <v>45813.42991898148</v>
      </c>
      <c r="C3563" s="1" t="n">
        <v>45911</v>
      </c>
      <c r="D3563" t="inlineStr">
        <is>
          <t>GÄVLEBORGS LÄN</t>
        </is>
      </c>
      <c r="E3563" t="inlineStr">
        <is>
          <t>HUDIKSVALL</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27536-2025</t>
        </is>
      </c>
      <c r="B3564" s="1" t="n">
        <v>45813.45946759259</v>
      </c>
      <c r="C3564" s="1" t="n">
        <v>45911</v>
      </c>
      <c r="D3564" t="inlineStr">
        <is>
          <t>GÄVLEBORGS LÄN</t>
        </is>
      </c>
      <c r="E3564" t="inlineStr">
        <is>
          <t>OVANÅKER</t>
        </is>
      </c>
      <c r="F3564" t="inlineStr">
        <is>
          <t>Bergvik skog väst AB</t>
        </is>
      </c>
      <c r="G3564" t="n">
        <v>4.8</v>
      </c>
      <c r="H3564" t="n">
        <v>0</v>
      </c>
      <c r="I3564" t="n">
        <v>0</v>
      </c>
      <c r="J3564" t="n">
        <v>0</v>
      </c>
      <c r="K3564" t="n">
        <v>0</v>
      </c>
      <c r="L3564" t="n">
        <v>0</v>
      </c>
      <c r="M3564" t="n">
        <v>0</v>
      </c>
      <c r="N3564" t="n">
        <v>0</v>
      </c>
      <c r="O3564" t="n">
        <v>0</v>
      </c>
      <c r="P3564" t="n">
        <v>0</v>
      </c>
      <c r="Q3564" t="n">
        <v>0</v>
      </c>
      <c r="R3564" s="2" t="inlineStr"/>
    </row>
    <row r="3565" ht="15" customHeight="1">
      <c r="A3565" t="inlineStr">
        <is>
          <t>A 2620-2025</t>
        </is>
      </c>
      <c r="B3565" s="1" t="n">
        <v>45675.58435185185</v>
      </c>
      <c r="C3565" s="1" t="n">
        <v>45911</v>
      </c>
      <c r="D3565" t="inlineStr">
        <is>
          <t>GÄVLEBORGS LÄN</t>
        </is>
      </c>
      <c r="E3565" t="inlineStr">
        <is>
          <t>BOLLNÄS</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2663-2025</t>
        </is>
      </c>
      <c r="B3566" s="1" t="n">
        <v>45676.87730324074</v>
      </c>
      <c r="C3566" s="1" t="n">
        <v>45911</v>
      </c>
      <c r="D3566" t="inlineStr">
        <is>
          <t>GÄVLEBORGS LÄN</t>
        </is>
      </c>
      <c r="E3566" t="inlineStr">
        <is>
          <t>HUDIKSVALL</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7369-2023</t>
        </is>
      </c>
      <c r="B3567" s="1" t="n">
        <v>44966</v>
      </c>
      <c r="C3567" s="1" t="n">
        <v>45911</v>
      </c>
      <c r="D3567" t="inlineStr">
        <is>
          <t>GÄVLEBORGS LÄN</t>
        </is>
      </c>
      <c r="E3567" t="inlineStr">
        <is>
          <t>HUDIKSVALL</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36343-2023</t>
        </is>
      </c>
      <c r="B3568" s="1" t="n">
        <v>45152.45767361111</v>
      </c>
      <c r="C3568" s="1" t="n">
        <v>45911</v>
      </c>
      <c r="D3568" t="inlineStr">
        <is>
          <t>GÄVLEBORGS LÄN</t>
        </is>
      </c>
      <c r="E3568" t="inlineStr">
        <is>
          <t>OCKELBO</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3891-2025</t>
        </is>
      </c>
      <c r="B3569" s="1" t="n">
        <v>45684.3690625</v>
      </c>
      <c r="C3569" s="1" t="n">
        <v>45911</v>
      </c>
      <c r="D3569" t="inlineStr">
        <is>
          <t>GÄVLEBORGS LÄN</t>
        </is>
      </c>
      <c r="E3569" t="inlineStr">
        <is>
          <t>HOFORS</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5413-2023</t>
        </is>
      </c>
      <c r="B3570" s="1" t="n">
        <v>44959.72408564815</v>
      </c>
      <c r="C3570" s="1" t="n">
        <v>45911</v>
      </c>
      <c r="D3570" t="inlineStr">
        <is>
          <t>GÄVLEBORGS LÄN</t>
        </is>
      </c>
      <c r="E3570" t="inlineStr">
        <is>
          <t>GÄVLE</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32007-2024</t>
        </is>
      </c>
      <c r="B3571" s="1" t="n">
        <v>45510.60719907407</v>
      </c>
      <c r="C3571" s="1" t="n">
        <v>45911</v>
      </c>
      <c r="D3571" t="inlineStr">
        <is>
          <t>GÄVLEBORGS LÄN</t>
        </is>
      </c>
      <c r="E3571" t="inlineStr">
        <is>
          <t>HUDIKSVALL</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15372-2024</t>
        </is>
      </c>
      <c r="B3572" s="1" t="n">
        <v>45400.92311342592</v>
      </c>
      <c r="C3572" s="1" t="n">
        <v>45911</v>
      </c>
      <c r="D3572" t="inlineStr">
        <is>
          <t>GÄVLEBORGS LÄN</t>
        </is>
      </c>
      <c r="E3572" t="inlineStr">
        <is>
          <t>LJUSDAL</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3115-2025</t>
        </is>
      </c>
      <c r="B3573" s="1" t="n">
        <v>45678.70383101852</v>
      </c>
      <c r="C3573" s="1" t="n">
        <v>45911</v>
      </c>
      <c r="D3573" t="inlineStr">
        <is>
          <t>GÄVLEBORGS LÄN</t>
        </is>
      </c>
      <c r="E3573" t="inlineStr">
        <is>
          <t>OVANÅKER</t>
        </is>
      </c>
      <c r="G3573" t="n">
        <v>6.2</v>
      </c>
      <c r="H3573" t="n">
        <v>0</v>
      </c>
      <c r="I3573" t="n">
        <v>0</v>
      </c>
      <c r="J3573" t="n">
        <v>0</v>
      </c>
      <c r="K3573" t="n">
        <v>0</v>
      </c>
      <c r="L3573" t="n">
        <v>0</v>
      </c>
      <c r="M3573" t="n">
        <v>0</v>
      </c>
      <c r="N3573" t="n">
        <v>0</v>
      </c>
      <c r="O3573" t="n">
        <v>0</v>
      </c>
      <c r="P3573" t="n">
        <v>0</v>
      </c>
      <c r="Q3573" t="n">
        <v>0</v>
      </c>
      <c r="R3573" s="2" t="inlineStr"/>
    </row>
    <row r="3574" ht="15" customHeight="1">
      <c r="A3574" t="inlineStr">
        <is>
          <t>A 33422-2024</t>
        </is>
      </c>
      <c r="B3574" s="1" t="n">
        <v>45519.50747685185</v>
      </c>
      <c r="C3574" s="1" t="n">
        <v>45911</v>
      </c>
      <c r="D3574" t="inlineStr">
        <is>
          <t>GÄVLEBORGS LÄN</t>
        </is>
      </c>
      <c r="E3574" t="inlineStr">
        <is>
          <t>BOLLNÄS</t>
        </is>
      </c>
      <c r="F3574" t="inlineStr">
        <is>
          <t>Bergvik skog väst AB</t>
        </is>
      </c>
      <c r="G3574" t="n">
        <v>4.4</v>
      </c>
      <c r="H3574" t="n">
        <v>0</v>
      </c>
      <c r="I3574" t="n">
        <v>0</v>
      </c>
      <c r="J3574" t="n">
        <v>0</v>
      </c>
      <c r="K3574" t="n">
        <v>0</v>
      </c>
      <c r="L3574" t="n">
        <v>0</v>
      </c>
      <c r="M3574" t="n">
        <v>0</v>
      </c>
      <c r="N3574" t="n">
        <v>0</v>
      </c>
      <c r="O3574" t="n">
        <v>0</v>
      </c>
      <c r="P3574" t="n">
        <v>0</v>
      </c>
      <c r="Q3574" t="n">
        <v>0</v>
      </c>
      <c r="R3574" s="2" t="inlineStr"/>
    </row>
    <row r="3575" ht="15" customHeight="1">
      <c r="A3575" t="inlineStr">
        <is>
          <t>A 30695-2024</t>
        </is>
      </c>
      <c r="B3575" s="1" t="n">
        <v>45496.33076388889</v>
      </c>
      <c r="C3575" s="1" t="n">
        <v>45911</v>
      </c>
      <c r="D3575" t="inlineStr">
        <is>
          <t>GÄVLEBORGS LÄN</t>
        </is>
      </c>
      <c r="E3575" t="inlineStr">
        <is>
          <t>OVANÅKER</t>
        </is>
      </c>
      <c r="F3575" t="inlineStr">
        <is>
          <t>Bergvik skog väst AB</t>
        </is>
      </c>
      <c r="G3575" t="n">
        <v>8.1</v>
      </c>
      <c r="H3575" t="n">
        <v>0</v>
      </c>
      <c r="I3575" t="n">
        <v>0</v>
      </c>
      <c r="J3575" t="n">
        <v>0</v>
      </c>
      <c r="K3575" t="n">
        <v>0</v>
      </c>
      <c r="L3575" t="n">
        <v>0</v>
      </c>
      <c r="M3575" t="n">
        <v>0</v>
      </c>
      <c r="N3575" t="n">
        <v>0</v>
      </c>
      <c r="O3575" t="n">
        <v>0</v>
      </c>
      <c r="P3575" t="n">
        <v>0</v>
      </c>
      <c r="Q3575" t="n">
        <v>0</v>
      </c>
      <c r="R3575" s="2" t="inlineStr"/>
    </row>
    <row r="3576" ht="15" customHeight="1">
      <c r="A3576" t="inlineStr">
        <is>
          <t>A 6167-2025</t>
        </is>
      </c>
      <c r="B3576" s="1" t="n">
        <v>45698.42238425926</v>
      </c>
      <c r="C3576" s="1" t="n">
        <v>45911</v>
      </c>
      <c r="D3576" t="inlineStr">
        <is>
          <t>GÄVLEBORGS LÄN</t>
        </is>
      </c>
      <c r="E3576" t="inlineStr">
        <is>
          <t>SANDVIKEN</t>
        </is>
      </c>
      <c r="G3576" t="n">
        <v>2.8</v>
      </c>
      <c r="H3576" t="n">
        <v>0</v>
      </c>
      <c r="I3576" t="n">
        <v>0</v>
      </c>
      <c r="J3576" t="n">
        <v>0</v>
      </c>
      <c r="K3576" t="n">
        <v>0</v>
      </c>
      <c r="L3576" t="n">
        <v>0</v>
      </c>
      <c r="M3576" t="n">
        <v>0</v>
      </c>
      <c r="N3576" t="n">
        <v>0</v>
      </c>
      <c r="O3576" t="n">
        <v>0</v>
      </c>
      <c r="P3576" t="n">
        <v>0</v>
      </c>
      <c r="Q3576" t="n">
        <v>0</v>
      </c>
      <c r="R3576" s="2" t="inlineStr"/>
    </row>
    <row r="3577" ht="15" customHeight="1">
      <c r="A3577" t="inlineStr">
        <is>
          <t>A 27447-2025</t>
        </is>
      </c>
      <c r="B3577" s="1" t="n">
        <v>45813.32945601852</v>
      </c>
      <c r="C3577" s="1" t="n">
        <v>45911</v>
      </c>
      <c r="D3577" t="inlineStr">
        <is>
          <t>GÄVLEBORGS LÄN</t>
        </is>
      </c>
      <c r="E3577" t="inlineStr">
        <is>
          <t>NORDANSTIG</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48799-2023</t>
        </is>
      </c>
      <c r="B3578" s="1" t="n">
        <v>45209.25542824074</v>
      </c>
      <c r="C3578" s="1" t="n">
        <v>45911</v>
      </c>
      <c r="D3578" t="inlineStr">
        <is>
          <t>GÄVLEBORGS LÄN</t>
        </is>
      </c>
      <c r="E3578" t="inlineStr">
        <is>
          <t>SANDVIKEN</t>
        </is>
      </c>
      <c r="F3578" t="inlineStr">
        <is>
          <t>Bergvik skog öst AB</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19696-2024</t>
        </is>
      </c>
      <c r="B3579" s="1" t="n">
        <v>45432.53761574074</v>
      </c>
      <c r="C3579" s="1" t="n">
        <v>45911</v>
      </c>
      <c r="D3579" t="inlineStr">
        <is>
          <t>GÄVLEBORGS LÄN</t>
        </is>
      </c>
      <c r="E3579" t="inlineStr">
        <is>
          <t>SÖDERHAMN</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19762-2024</t>
        </is>
      </c>
      <c r="B3580" s="1" t="n">
        <v>45432.6987037037</v>
      </c>
      <c r="C3580" s="1" t="n">
        <v>45911</v>
      </c>
      <c r="D3580" t="inlineStr">
        <is>
          <t>GÄVLEBORGS LÄN</t>
        </is>
      </c>
      <c r="E3580" t="inlineStr">
        <is>
          <t>OCKELBO</t>
        </is>
      </c>
      <c r="G3580" t="n">
        <v>3.5</v>
      </c>
      <c r="H3580" t="n">
        <v>0</v>
      </c>
      <c r="I3580" t="n">
        <v>0</v>
      </c>
      <c r="J3580" t="n">
        <v>0</v>
      </c>
      <c r="K3580" t="n">
        <v>0</v>
      </c>
      <c r="L3580" t="n">
        <v>0</v>
      </c>
      <c r="M3580" t="n">
        <v>0</v>
      </c>
      <c r="N3580" t="n">
        <v>0</v>
      </c>
      <c r="O3580" t="n">
        <v>0</v>
      </c>
      <c r="P3580" t="n">
        <v>0</v>
      </c>
      <c r="Q3580" t="n">
        <v>0</v>
      </c>
      <c r="R3580" s="2" t="inlineStr"/>
    </row>
    <row r="3581" ht="15" customHeight="1">
      <c r="A3581" t="inlineStr">
        <is>
          <t>A 27432-2025</t>
        </is>
      </c>
      <c r="B3581" s="1" t="n">
        <v>45813</v>
      </c>
      <c r="C3581" s="1" t="n">
        <v>45911</v>
      </c>
      <c r="D3581" t="inlineStr">
        <is>
          <t>GÄVLEBORGS LÄN</t>
        </is>
      </c>
      <c r="E3581" t="inlineStr">
        <is>
          <t>HOFORS</t>
        </is>
      </c>
      <c r="F3581" t="inlineStr">
        <is>
          <t>Sveaskog</t>
        </is>
      </c>
      <c r="G3581" t="n">
        <v>3.6</v>
      </c>
      <c r="H3581" t="n">
        <v>0</v>
      </c>
      <c r="I3581" t="n">
        <v>0</v>
      </c>
      <c r="J3581" t="n">
        <v>0</v>
      </c>
      <c r="K3581" t="n">
        <v>0</v>
      </c>
      <c r="L3581" t="n">
        <v>0</v>
      </c>
      <c r="M3581" t="n">
        <v>0</v>
      </c>
      <c r="N3581" t="n">
        <v>0</v>
      </c>
      <c r="O3581" t="n">
        <v>0</v>
      </c>
      <c r="P3581" t="n">
        <v>0</v>
      </c>
      <c r="Q3581" t="n">
        <v>0</v>
      </c>
      <c r="R3581" s="2" t="inlineStr"/>
    </row>
    <row r="3582" ht="15" customHeight="1">
      <c r="A3582" t="inlineStr">
        <is>
          <t>A 27441-2025</t>
        </is>
      </c>
      <c r="B3582" s="1" t="n">
        <v>45813.31630787037</v>
      </c>
      <c r="C3582" s="1" t="n">
        <v>45911</v>
      </c>
      <c r="D3582" t="inlineStr">
        <is>
          <t>GÄVLEBORGS LÄN</t>
        </is>
      </c>
      <c r="E3582" t="inlineStr">
        <is>
          <t>HOFORS</t>
        </is>
      </c>
      <c r="F3582" t="inlineStr">
        <is>
          <t>Sveaskog</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34757-2023</t>
        </is>
      </c>
      <c r="B3583" s="1" t="n">
        <v>45141.4600462963</v>
      </c>
      <c r="C3583" s="1" t="n">
        <v>45911</v>
      </c>
      <c r="D3583" t="inlineStr">
        <is>
          <t>GÄVLEBORGS LÄN</t>
        </is>
      </c>
      <c r="E3583" t="inlineStr">
        <is>
          <t>HUDIKSVALL</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21211-2025</t>
        </is>
      </c>
      <c r="B3584" s="1" t="n">
        <v>45779</v>
      </c>
      <c r="C3584" s="1" t="n">
        <v>45911</v>
      </c>
      <c r="D3584" t="inlineStr">
        <is>
          <t>GÄVLEBORGS LÄN</t>
        </is>
      </c>
      <c r="E3584" t="inlineStr">
        <is>
          <t>BOLLNÄS</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27431-2025</t>
        </is>
      </c>
      <c r="B3585" s="1" t="n">
        <v>45813</v>
      </c>
      <c r="C3585" s="1" t="n">
        <v>45911</v>
      </c>
      <c r="D3585" t="inlineStr">
        <is>
          <t>GÄVLEBORGS LÄN</t>
        </is>
      </c>
      <c r="E3585" t="inlineStr">
        <is>
          <t>HOFORS</t>
        </is>
      </c>
      <c r="F3585" t="inlineStr">
        <is>
          <t>Sveaskog</t>
        </is>
      </c>
      <c r="G3585" t="n">
        <v>3.4</v>
      </c>
      <c r="H3585" t="n">
        <v>0</v>
      </c>
      <c r="I3585" t="n">
        <v>0</v>
      </c>
      <c r="J3585" t="n">
        <v>0</v>
      </c>
      <c r="K3585" t="n">
        <v>0</v>
      </c>
      <c r="L3585" t="n">
        <v>0</v>
      </c>
      <c r="M3585" t="n">
        <v>0</v>
      </c>
      <c r="N3585" t="n">
        <v>0</v>
      </c>
      <c r="O3585" t="n">
        <v>0</v>
      </c>
      <c r="P3585" t="n">
        <v>0</v>
      </c>
      <c r="Q3585" t="n">
        <v>0</v>
      </c>
      <c r="R3585" s="2" t="inlineStr"/>
    </row>
    <row r="3586" ht="15" customHeight="1">
      <c r="A3586" t="inlineStr">
        <is>
          <t>A 27436-2025</t>
        </is>
      </c>
      <c r="B3586" s="1" t="n">
        <v>45813</v>
      </c>
      <c r="C3586" s="1" t="n">
        <v>45911</v>
      </c>
      <c r="D3586" t="inlineStr">
        <is>
          <t>GÄVLEBORGS LÄN</t>
        </is>
      </c>
      <c r="E3586" t="inlineStr">
        <is>
          <t>HOFORS</t>
        </is>
      </c>
      <c r="F3586" t="inlineStr">
        <is>
          <t>Sveaskog</t>
        </is>
      </c>
      <c r="G3586" t="n">
        <v>5.5</v>
      </c>
      <c r="H3586" t="n">
        <v>0</v>
      </c>
      <c r="I3586" t="n">
        <v>0</v>
      </c>
      <c r="J3586" t="n">
        <v>0</v>
      </c>
      <c r="K3586" t="n">
        <v>0</v>
      </c>
      <c r="L3586" t="n">
        <v>0</v>
      </c>
      <c r="M3586" t="n">
        <v>0</v>
      </c>
      <c r="N3586" t="n">
        <v>0</v>
      </c>
      <c r="O3586" t="n">
        <v>0</v>
      </c>
      <c r="P3586" t="n">
        <v>0</v>
      </c>
      <c r="Q3586" t="n">
        <v>0</v>
      </c>
      <c r="R3586" s="2" t="inlineStr"/>
    </row>
    <row r="3587" ht="15" customHeight="1">
      <c r="A3587" t="inlineStr">
        <is>
          <t>A 45802-2023</t>
        </is>
      </c>
      <c r="B3587" s="1" t="n">
        <v>45195</v>
      </c>
      <c r="C3587" s="1" t="n">
        <v>45911</v>
      </c>
      <c r="D3587" t="inlineStr">
        <is>
          <t>GÄVLEBORGS LÄN</t>
        </is>
      </c>
      <c r="E3587" t="inlineStr">
        <is>
          <t>HUDIKSVALL</t>
        </is>
      </c>
      <c r="F3587" t="inlineStr">
        <is>
          <t>Holmen skog AB</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27932-2025</t>
        </is>
      </c>
      <c r="B3588" s="1" t="n">
        <v>45817.49524305556</v>
      </c>
      <c r="C3588" s="1" t="n">
        <v>45911</v>
      </c>
      <c r="D3588" t="inlineStr">
        <is>
          <t>GÄVLEBORGS LÄN</t>
        </is>
      </c>
      <c r="E3588" t="inlineStr">
        <is>
          <t>LJUSDAL</t>
        </is>
      </c>
      <c r="F3588" t="inlineStr">
        <is>
          <t>Holmen skog AB</t>
        </is>
      </c>
      <c r="G3588" t="n">
        <v>18.2</v>
      </c>
      <c r="H3588" t="n">
        <v>0</v>
      </c>
      <c r="I3588" t="n">
        <v>0</v>
      </c>
      <c r="J3588" t="n">
        <v>0</v>
      </c>
      <c r="K3588" t="n">
        <v>0</v>
      </c>
      <c r="L3588" t="n">
        <v>0</v>
      </c>
      <c r="M3588" t="n">
        <v>0</v>
      </c>
      <c r="N3588" t="n">
        <v>0</v>
      </c>
      <c r="O3588" t="n">
        <v>0</v>
      </c>
      <c r="P3588" t="n">
        <v>0</v>
      </c>
      <c r="Q3588" t="n">
        <v>0</v>
      </c>
      <c r="R3588" s="2" t="inlineStr"/>
    </row>
    <row r="3589" ht="15" customHeight="1">
      <c r="A3589" t="inlineStr">
        <is>
          <t>A 19601-2024</t>
        </is>
      </c>
      <c r="B3589" s="1" t="n">
        <v>45431.84266203704</v>
      </c>
      <c r="C3589" s="1" t="n">
        <v>45911</v>
      </c>
      <c r="D3589" t="inlineStr">
        <is>
          <t>GÄVLEBORGS LÄN</t>
        </is>
      </c>
      <c r="E3589" t="inlineStr">
        <is>
          <t>HUDIKSVALL</t>
        </is>
      </c>
      <c r="F3589" t="inlineStr">
        <is>
          <t>Holmen skog AB</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27964-2025</t>
        </is>
      </c>
      <c r="B3590" s="1" t="n">
        <v>45817.55414351852</v>
      </c>
      <c r="C3590" s="1" t="n">
        <v>45911</v>
      </c>
      <c r="D3590" t="inlineStr">
        <is>
          <t>GÄVLEBORGS LÄN</t>
        </is>
      </c>
      <c r="E3590" t="inlineStr">
        <is>
          <t>OVANÅKER</t>
        </is>
      </c>
      <c r="F3590" t="inlineStr">
        <is>
          <t>Bergvik skog väst AB</t>
        </is>
      </c>
      <c r="G3590" t="n">
        <v>14.8</v>
      </c>
      <c r="H3590" t="n">
        <v>0</v>
      </c>
      <c r="I3590" t="n">
        <v>0</v>
      </c>
      <c r="J3590" t="n">
        <v>0</v>
      </c>
      <c r="K3590" t="n">
        <v>0</v>
      </c>
      <c r="L3590" t="n">
        <v>0</v>
      </c>
      <c r="M3590" t="n">
        <v>0</v>
      </c>
      <c r="N3590" t="n">
        <v>0</v>
      </c>
      <c r="O3590" t="n">
        <v>0</v>
      </c>
      <c r="P3590" t="n">
        <v>0</v>
      </c>
      <c r="Q3590" t="n">
        <v>0</v>
      </c>
      <c r="R3590" s="2" t="inlineStr"/>
    </row>
    <row r="3591" ht="15" customHeight="1">
      <c r="A3591" t="inlineStr">
        <is>
          <t>A 10587-2022</t>
        </is>
      </c>
      <c r="B3591" s="1" t="n">
        <v>44624</v>
      </c>
      <c r="C3591" s="1" t="n">
        <v>45911</v>
      </c>
      <c r="D3591" t="inlineStr">
        <is>
          <t>GÄVLEBORGS LÄN</t>
        </is>
      </c>
      <c r="E3591" t="inlineStr">
        <is>
          <t>HOFORS</t>
        </is>
      </c>
      <c r="G3591" t="n">
        <v>5</v>
      </c>
      <c r="H3591" t="n">
        <v>0</v>
      </c>
      <c r="I3591" t="n">
        <v>0</v>
      </c>
      <c r="J3591" t="n">
        <v>0</v>
      </c>
      <c r="K3591" t="n">
        <v>0</v>
      </c>
      <c r="L3591" t="n">
        <v>0</v>
      </c>
      <c r="M3591" t="n">
        <v>0</v>
      </c>
      <c r="N3591" t="n">
        <v>0</v>
      </c>
      <c r="O3591" t="n">
        <v>0</v>
      </c>
      <c r="P3591" t="n">
        <v>0</v>
      </c>
      <c r="Q3591" t="n">
        <v>0</v>
      </c>
      <c r="R3591" s="2" t="inlineStr"/>
    </row>
    <row r="3592" ht="15" customHeight="1">
      <c r="A3592" t="inlineStr">
        <is>
          <t>A 27997-2025</t>
        </is>
      </c>
      <c r="B3592" s="1" t="n">
        <v>45817.59430555555</v>
      </c>
      <c r="C3592" s="1" t="n">
        <v>45911</v>
      </c>
      <c r="D3592" t="inlineStr">
        <is>
          <t>GÄVLEBORGS LÄN</t>
        </is>
      </c>
      <c r="E3592" t="inlineStr">
        <is>
          <t>OCKELBO</t>
        </is>
      </c>
      <c r="F3592" t="inlineStr">
        <is>
          <t>Bergvik skog väst AB</t>
        </is>
      </c>
      <c r="G3592" t="n">
        <v>5.4</v>
      </c>
      <c r="H3592" t="n">
        <v>0</v>
      </c>
      <c r="I3592" t="n">
        <v>0</v>
      </c>
      <c r="J3592" t="n">
        <v>0</v>
      </c>
      <c r="K3592" t="n">
        <v>0</v>
      </c>
      <c r="L3592" t="n">
        <v>0</v>
      </c>
      <c r="M3592" t="n">
        <v>0</v>
      </c>
      <c r="N3592" t="n">
        <v>0</v>
      </c>
      <c r="O3592" t="n">
        <v>0</v>
      </c>
      <c r="P3592" t="n">
        <v>0</v>
      </c>
      <c r="Q3592" t="n">
        <v>0</v>
      </c>
      <c r="R3592" s="2" t="inlineStr"/>
    </row>
    <row r="3593" ht="15" customHeight="1">
      <c r="A3593" t="inlineStr">
        <is>
          <t>A 19617-2024</t>
        </is>
      </c>
      <c r="B3593" s="1" t="n">
        <v>45432.32243055556</v>
      </c>
      <c r="C3593" s="1" t="n">
        <v>45911</v>
      </c>
      <c r="D3593" t="inlineStr">
        <is>
          <t>GÄVLEBORGS LÄN</t>
        </is>
      </c>
      <c r="E3593" t="inlineStr">
        <is>
          <t>SÖDERHAMN</t>
        </is>
      </c>
      <c r="G3593" t="n">
        <v>3.3</v>
      </c>
      <c r="H3593" t="n">
        <v>0</v>
      </c>
      <c r="I3593" t="n">
        <v>0</v>
      </c>
      <c r="J3593" t="n">
        <v>0</v>
      </c>
      <c r="K3593" t="n">
        <v>0</v>
      </c>
      <c r="L3593" t="n">
        <v>0</v>
      </c>
      <c r="M3593" t="n">
        <v>0</v>
      </c>
      <c r="N3593" t="n">
        <v>0</v>
      </c>
      <c r="O3593" t="n">
        <v>0</v>
      </c>
      <c r="P3593" t="n">
        <v>0</v>
      </c>
      <c r="Q3593" t="n">
        <v>0</v>
      </c>
      <c r="R3593" s="2" t="inlineStr"/>
    </row>
    <row r="3594" ht="15" customHeight="1">
      <c r="A3594" t="inlineStr">
        <is>
          <t>A 15622-2025</t>
        </is>
      </c>
      <c r="B3594" s="1" t="n">
        <v>45748.35768518518</v>
      </c>
      <c r="C3594" s="1" t="n">
        <v>45911</v>
      </c>
      <c r="D3594" t="inlineStr">
        <is>
          <t>GÄVLEBORGS LÄN</t>
        </is>
      </c>
      <c r="E3594" t="inlineStr">
        <is>
          <t>NORDANSTIG</t>
        </is>
      </c>
      <c r="F3594" t="inlineStr">
        <is>
          <t>Holmen skog AB</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15630-2025</t>
        </is>
      </c>
      <c r="B3595" s="1" t="n">
        <v>45748.36497685185</v>
      </c>
      <c r="C3595" s="1" t="n">
        <v>45911</v>
      </c>
      <c r="D3595" t="inlineStr">
        <is>
          <t>GÄVLEBORGS LÄN</t>
        </is>
      </c>
      <c r="E3595" t="inlineStr">
        <is>
          <t>SÖDERHAMN</t>
        </is>
      </c>
      <c r="F3595" t="inlineStr">
        <is>
          <t>Kommuner</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16197-2025</t>
        </is>
      </c>
      <c r="B3596" s="1" t="n">
        <v>45750.60393518519</v>
      </c>
      <c r="C3596" s="1" t="n">
        <v>45911</v>
      </c>
      <c r="D3596" t="inlineStr">
        <is>
          <t>GÄVLEBORGS LÄN</t>
        </is>
      </c>
      <c r="E3596" t="inlineStr">
        <is>
          <t>SÖDERHAMN</t>
        </is>
      </c>
      <c r="F3596" t="inlineStr">
        <is>
          <t>Kommuner</t>
        </is>
      </c>
      <c r="G3596" t="n">
        <v>5</v>
      </c>
      <c r="H3596" t="n">
        <v>0</v>
      </c>
      <c r="I3596" t="n">
        <v>0</v>
      </c>
      <c r="J3596" t="n">
        <v>0</v>
      </c>
      <c r="K3596" t="n">
        <v>0</v>
      </c>
      <c r="L3596" t="n">
        <v>0</v>
      </c>
      <c r="M3596" t="n">
        <v>0</v>
      </c>
      <c r="N3596" t="n">
        <v>0</v>
      </c>
      <c r="O3596" t="n">
        <v>0</v>
      </c>
      <c r="P3596" t="n">
        <v>0</v>
      </c>
      <c r="Q3596" t="n">
        <v>0</v>
      </c>
      <c r="R3596" s="2" t="inlineStr"/>
    </row>
    <row r="3597" ht="15" customHeight="1">
      <c r="A3597" t="inlineStr">
        <is>
          <t>A 45534-2024</t>
        </is>
      </c>
      <c r="B3597" s="1" t="n">
        <v>45579.30975694444</v>
      </c>
      <c r="C3597" s="1" t="n">
        <v>45911</v>
      </c>
      <c r="D3597" t="inlineStr">
        <is>
          <t>GÄVLEBORGS LÄN</t>
        </is>
      </c>
      <c r="E3597" t="inlineStr">
        <is>
          <t>OVANÅKER</t>
        </is>
      </c>
      <c r="G3597" t="n">
        <v>0.4</v>
      </c>
      <c r="H3597" t="n">
        <v>0</v>
      </c>
      <c r="I3597" t="n">
        <v>0</v>
      </c>
      <c r="J3597" t="n">
        <v>0</v>
      </c>
      <c r="K3597" t="n">
        <v>0</v>
      </c>
      <c r="L3597" t="n">
        <v>0</v>
      </c>
      <c r="M3597" t="n">
        <v>0</v>
      </c>
      <c r="N3597" t="n">
        <v>0</v>
      </c>
      <c r="O3597" t="n">
        <v>0</v>
      </c>
      <c r="P3597" t="n">
        <v>0</v>
      </c>
      <c r="Q3597" t="n">
        <v>0</v>
      </c>
      <c r="R3597" s="2" t="inlineStr"/>
    </row>
    <row r="3598" ht="15" customHeight="1">
      <c r="A3598" t="inlineStr">
        <is>
          <t>A 45546-2024</t>
        </is>
      </c>
      <c r="B3598" s="1" t="n">
        <v>45579.3425462963</v>
      </c>
      <c r="C3598" s="1" t="n">
        <v>45911</v>
      </c>
      <c r="D3598" t="inlineStr">
        <is>
          <t>GÄVLEBORGS LÄN</t>
        </is>
      </c>
      <c r="E3598" t="inlineStr">
        <is>
          <t>OVANÅKER</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45550-2024</t>
        </is>
      </c>
      <c r="B3599" s="1" t="n">
        <v>45579</v>
      </c>
      <c r="C3599" s="1" t="n">
        <v>45911</v>
      </c>
      <c r="D3599" t="inlineStr">
        <is>
          <t>GÄVLEBORGS LÄN</t>
        </is>
      </c>
      <c r="E3599" t="inlineStr">
        <is>
          <t>NORDANSTIG</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67558-2020</t>
        </is>
      </c>
      <c r="B3600" s="1" t="n">
        <v>44181</v>
      </c>
      <c r="C3600" s="1" t="n">
        <v>45911</v>
      </c>
      <c r="D3600" t="inlineStr">
        <is>
          <t>GÄVLEBORGS LÄN</t>
        </is>
      </c>
      <c r="E3600" t="inlineStr">
        <is>
          <t>HUDIKSVALL</t>
        </is>
      </c>
      <c r="G3600" t="n">
        <v>0.1</v>
      </c>
      <c r="H3600" t="n">
        <v>0</v>
      </c>
      <c r="I3600" t="n">
        <v>0</v>
      </c>
      <c r="J3600" t="n">
        <v>0</v>
      </c>
      <c r="K3600" t="n">
        <v>0</v>
      </c>
      <c r="L3600" t="n">
        <v>0</v>
      </c>
      <c r="M3600" t="n">
        <v>0</v>
      </c>
      <c r="N3600" t="n">
        <v>0</v>
      </c>
      <c r="O3600" t="n">
        <v>0</v>
      </c>
      <c r="P3600" t="n">
        <v>0</v>
      </c>
      <c r="Q3600" t="n">
        <v>0</v>
      </c>
      <c r="R3600" s="2" t="inlineStr"/>
    </row>
    <row r="3601" ht="15" customHeight="1">
      <c r="A3601" t="inlineStr">
        <is>
          <t>A 19555-2022</t>
        </is>
      </c>
      <c r="B3601" s="1" t="n">
        <v>44693</v>
      </c>
      <c r="C3601" s="1" t="n">
        <v>45911</v>
      </c>
      <c r="D3601" t="inlineStr">
        <is>
          <t>GÄVLEBORGS LÄN</t>
        </is>
      </c>
      <c r="E3601" t="inlineStr">
        <is>
          <t>GÄVLE</t>
        </is>
      </c>
      <c r="F3601" t="inlineStr">
        <is>
          <t>Bergvik skog väst AB</t>
        </is>
      </c>
      <c r="G3601" t="n">
        <v>4</v>
      </c>
      <c r="H3601" t="n">
        <v>0</v>
      </c>
      <c r="I3601" t="n">
        <v>0</v>
      </c>
      <c r="J3601" t="n">
        <v>0</v>
      </c>
      <c r="K3601" t="n">
        <v>0</v>
      </c>
      <c r="L3601" t="n">
        <v>0</v>
      </c>
      <c r="M3601" t="n">
        <v>0</v>
      </c>
      <c r="N3601" t="n">
        <v>0</v>
      </c>
      <c r="O3601" t="n">
        <v>0</v>
      </c>
      <c r="P3601" t="n">
        <v>0</v>
      </c>
      <c r="Q3601" t="n">
        <v>0</v>
      </c>
      <c r="R3601" s="2" t="inlineStr"/>
    </row>
    <row r="3602" ht="15" customHeight="1">
      <c r="A3602" t="inlineStr">
        <is>
          <t>A 52423-2023</t>
        </is>
      </c>
      <c r="B3602" s="1" t="n">
        <v>45225.32539351852</v>
      </c>
      <c r="C3602" s="1" t="n">
        <v>45911</v>
      </c>
      <c r="D3602" t="inlineStr">
        <is>
          <t>GÄVLEBORGS LÄN</t>
        </is>
      </c>
      <c r="E3602" t="inlineStr">
        <is>
          <t>OVANÅKER</t>
        </is>
      </c>
      <c r="G3602" t="n">
        <v>3.4</v>
      </c>
      <c r="H3602" t="n">
        <v>0</v>
      </c>
      <c r="I3602" t="n">
        <v>0</v>
      </c>
      <c r="J3602" t="n">
        <v>0</v>
      </c>
      <c r="K3602" t="n">
        <v>0</v>
      </c>
      <c r="L3602" t="n">
        <v>0</v>
      </c>
      <c r="M3602" t="n">
        <v>0</v>
      </c>
      <c r="N3602" t="n">
        <v>0</v>
      </c>
      <c r="O3602" t="n">
        <v>0</v>
      </c>
      <c r="P3602" t="n">
        <v>0</v>
      </c>
      <c r="Q3602" t="n">
        <v>0</v>
      </c>
      <c r="R3602" s="2" t="inlineStr"/>
    </row>
    <row r="3603" ht="15" customHeight="1">
      <c r="A3603" t="inlineStr">
        <is>
          <t>A 52438-2023</t>
        </is>
      </c>
      <c r="B3603" s="1" t="n">
        <v>45225.35223379629</v>
      </c>
      <c r="C3603" s="1" t="n">
        <v>45911</v>
      </c>
      <c r="D3603" t="inlineStr">
        <is>
          <t>GÄVLEBORGS LÄN</t>
        </is>
      </c>
      <c r="E3603" t="inlineStr">
        <is>
          <t>HUDIKSVALL</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51876-2023</t>
        </is>
      </c>
      <c r="B3604" s="1" t="n">
        <v>45223.38060185185</v>
      </c>
      <c r="C3604" s="1" t="n">
        <v>45911</v>
      </c>
      <c r="D3604" t="inlineStr">
        <is>
          <t>GÄVLEBORGS LÄN</t>
        </is>
      </c>
      <c r="E3604" t="inlineStr">
        <is>
          <t>GÄVLE</t>
        </is>
      </c>
      <c r="G3604" t="n">
        <v>3.7</v>
      </c>
      <c r="H3604" t="n">
        <v>0</v>
      </c>
      <c r="I3604" t="n">
        <v>0</v>
      </c>
      <c r="J3604" t="n">
        <v>0</v>
      </c>
      <c r="K3604" t="n">
        <v>0</v>
      </c>
      <c r="L3604" t="n">
        <v>0</v>
      </c>
      <c r="M3604" t="n">
        <v>0</v>
      </c>
      <c r="N3604" t="n">
        <v>0</v>
      </c>
      <c r="O3604" t="n">
        <v>0</v>
      </c>
      <c r="P3604" t="n">
        <v>0</v>
      </c>
      <c r="Q3604" t="n">
        <v>0</v>
      </c>
      <c r="R3604" s="2" t="inlineStr"/>
    </row>
    <row r="3605" ht="15" customHeight="1">
      <c r="A3605" t="inlineStr">
        <is>
          <t>A 8119-2024</t>
        </is>
      </c>
      <c r="B3605" s="1" t="n">
        <v>45351</v>
      </c>
      <c r="C3605" s="1" t="n">
        <v>45911</v>
      </c>
      <c r="D3605" t="inlineStr">
        <is>
          <t>GÄVLEBORGS LÄN</t>
        </is>
      </c>
      <c r="E3605" t="inlineStr">
        <is>
          <t>BOLLNÄS</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14098-2025</t>
        </is>
      </c>
      <c r="B3606" s="1" t="n">
        <v>45740.4488425926</v>
      </c>
      <c r="C3606" s="1" t="n">
        <v>45911</v>
      </c>
      <c r="D3606" t="inlineStr">
        <is>
          <t>GÄVLEBORGS LÄN</t>
        </is>
      </c>
      <c r="E3606" t="inlineStr">
        <is>
          <t>HUDIKSVALL</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5366-2025</t>
        </is>
      </c>
      <c r="B3607" s="1" t="n">
        <v>45692.58184027778</v>
      </c>
      <c r="C3607" s="1" t="n">
        <v>45911</v>
      </c>
      <c r="D3607" t="inlineStr">
        <is>
          <t>GÄVLEBORGS LÄN</t>
        </is>
      </c>
      <c r="E3607" t="inlineStr">
        <is>
          <t>BOLLNÄS</t>
        </is>
      </c>
      <c r="G3607" t="n">
        <v>3.7</v>
      </c>
      <c r="H3607" t="n">
        <v>0</v>
      </c>
      <c r="I3607" t="n">
        <v>0</v>
      </c>
      <c r="J3607" t="n">
        <v>0</v>
      </c>
      <c r="K3607" t="n">
        <v>0</v>
      </c>
      <c r="L3607" t="n">
        <v>0</v>
      </c>
      <c r="M3607" t="n">
        <v>0</v>
      </c>
      <c r="N3607" t="n">
        <v>0</v>
      </c>
      <c r="O3607" t="n">
        <v>0</v>
      </c>
      <c r="P3607" t="n">
        <v>0</v>
      </c>
      <c r="Q3607" t="n">
        <v>0</v>
      </c>
      <c r="R3607" s="2" t="inlineStr"/>
    </row>
    <row r="3608" ht="15" customHeight="1">
      <c r="A3608" t="inlineStr">
        <is>
          <t>A 5368-2025</t>
        </is>
      </c>
      <c r="B3608" s="1" t="n">
        <v>45692.58333333334</v>
      </c>
      <c r="C3608" s="1" t="n">
        <v>45911</v>
      </c>
      <c r="D3608" t="inlineStr">
        <is>
          <t>GÄVLEBORGS LÄN</t>
        </is>
      </c>
      <c r="E3608" t="inlineStr">
        <is>
          <t>BOLLNÄS</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14143-2025</t>
        </is>
      </c>
      <c r="B3609" s="1" t="n">
        <v>45740.48563657407</v>
      </c>
      <c r="C3609" s="1" t="n">
        <v>45911</v>
      </c>
      <c r="D3609" t="inlineStr">
        <is>
          <t>GÄVLEBORGS LÄN</t>
        </is>
      </c>
      <c r="E3609" t="inlineStr">
        <is>
          <t>SANDVIKEN</t>
        </is>
      </c>
      <c r="F3609" t="inlineStr">
        <is>
          <t>Bergvik skog öst AB</t>
        </is>
      </c>
      <c r="G3609" t="n">
        <v>4.4</v>
      </c>
      <c r="H3609" t="n">
        <v>0</v>
      </c>
      <c r="I3609" t="n">
        <v>0</v>
      </c>
      <c r="J3609" t="n">
        <v>0</v>
      </c>
      <c r="K3609" t="n">
        <v>0</v>
      </c>
      <c r="L3609" t="n">
        <v>0</v>
      </c>
      <c r="M3609" t="n">
        <v>0</v>
      </c>
      <c r="N3609" t="n">
        <v>0</v>
      </c>
      <c r="O3609" t="n">
        <v>0</v>
      </c>
      <c r="P3609" t="n">
        <v>0</v>
      </c>
      <c r="Q3609" t="n">
        <v>0</v>
      </c>
      <c r="R3609" s="2" t="inlineStr"/>
    </row>
    <row r="3610" ht="15" customHeight="1">
      <c r="A3610" t="inlineStr">
        <is>
          <t>A 14150-2025</t>
        </is>
      </c>
      <c r="B3610" s="1" t="n">
        <v>45740.49162037037</v>
      </c>
      <c r="C3610" s="1" t="n">
        <v>45911</v>
      </c>
      <c r="D3610" t="inlineStr">
        <is>
          <t>GÄVLEBORGS LÄN</t>
        </is>
      </c>
      <c r="E3610" t="inlineStr">
        <is>
          <t>GÄVLE</t>
        </is>
      </c>
      <c r="F3610" t="inlineStr">
        <is>
          <t>Bergvik skog öst AB</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23251-2022</t>
        </is>
      </c>
      <c r="B3611" s="1" t="n">
        <v>44720.37357638889</v>
      </c>
      <c r="C3611" s="1" t="n">
        <v>45911</v>
      </c>
      <c r="D3611" t="inlineStr">
        <is>
          <t>GÄVLEBORGS LÄN</t>
        </is>
      </c>
      <c r="E3611" t="inlineStr">
        <is>
          <t>OVANÅKER</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14156-2025</t>
        </is>
      </c>
      <c r="B3612" s="1" t="n">
        <v>45740.49421296296</v>
      </c>
      <c r="C3612" s="1" t="n">
        <v>45911</v>
      </c>
      <c r="D3612" t="inlineStr">
        <is>
          <t>GÄVLEBORGS LÄN</t>
        </is>
      </c>
      <c r="E3612" t="inlineStr">
        <is>
          <t>GÄVLE</t>
        </is>
      </c>
      <c r="F3612" t="inlineStr">
        <is>
          <t>Bergvik skog öst AB</t>
        </is>
      </c>
      <c r="G3612" t="n">
        <v>4.2</v>
      </c>
      <c r="H3612" t="n">
        <v>0</v>
      </c>
      <c r="I3612" t="n">
        <v>0</v>
      </c>
      <c r="J3612" t="n">
        <v>0</v>
      </c>
      <c r="K3612" t="n">
        <v>0</v>
      </c>
      <c r="L3612" t="n">
        <v>0</v>
      </c>
      <c r="M3612" t="n">
        <v>0</v>
      </c>
      <c r="N3612" t="n">
        <v>0</v>
      </c>
      <c r="O3612" t="n">
        <v>0</v>
      </c>
      <c r="P3612" t="n">
        <v>0</v>
      </c>
      <c r="Q3612" t="n">
        <v>0</v>
      </c>
      <c r="R3612" s="2" t="inlineStr"/>
    </row>
    <row r="3613" ht="15" customHeight="1">
      <c r="A3613" t="inlineStr">
        <is>
          <t>A 21582-2024</t>
        </is>
      </c>
      <c r="B3613" s="1" t="n">
        <v>45441.70758101852</v>
      </c>
      <c r="C3613" s="1" t="n">
        <v>45911</v>
      </c>
      <c r="D3613" t="inlineStr">
        <is>
          <t>GÄVLEBORGS LÄN</t>
        </is>
      </c>
      <c r="E3613" t="inlineStr">
        <is>
          <t>OCKELBO</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43121-2023</t>
        </is>
      </c>
      <c r="B3614" s="1" t="n">
        <v>45182.94826388889</v>
      </c>
      <c r="C3614" s="1" t="n">
        <v>45911</v>
      </c>
      <c r="D3614" t="inlineStr">
        <is>
          <t>GÄVLEBORGS LÄN</t>
        </is>
      </c>
      <c r="E3614" t="inlineStr">
        <is>
          <t>LJUSDAL</t>
        </is>
      </c>
      <c r="F3614" t="inlineStr">
        <is>
          <t>SCA</t>
        </is>
      </c>
      <c r="G3614" t="n">
        <v>7.6</v>
      </c>
      <c r="H3614" t="n">
        <v>0</v>
      </c>
      <c r="I3614" t="n">
        <v>0</v>
      </c>
      <c r="J3614" t="n">
        <v>0</v>
      </c>
      <c r="K3614" t="n">
        <v>0</v>
      </c>
      <c r="L3614" t="n">
        <v>0</v>
      </c>
      <c r="M3614" t="n">
        <v>0</v>
      </c>
      <c r="N3614" t="n">
        <v>0</v>
      </c>
      <c r="O3614" t="n">
        <v>0</v>
      </c>
      <c r="P3614" t="n">
        <v>0</v>
      </c>
      <c r="Q3614" t="n">
        <v>0</v>
      </c>
      <c r="R3614" s="2" t="inlineStr"/>
    </row>
    <row r="3615" ht="15" customHeight="1">
      <c r="A3615" t="inlineStr">
        <is>
          <t>A 20512-2022</t>
        </is>
      </c>
      <c r="B3615" s="1" t="n">
        <v>44699</v>
      </c>
      <c r="C3615" s="1" t="n">
        <v>45911</v>
      </c>
      <c r="D3615" t="inlineStr">
        <is>
          <t>GÄVLEBORGS LÄN</t>
        </is>
      </c>
      <c r="E3615" t="inlineStr">
        <is>
          <t>NORDANSTIG</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17482-2022</t>
        </is>
      </c>
      <c r="B3616" s="1" t="n">
        <v>44679.44565972222</v>
      </c>
      <c r="C3616" s="1" t="n">
        <v>45911</v>
      </c>
      <c r="D3616" t="inlineStr">
        <is>
          <t>GÄVLEBORGS LÄN</t>
        </is>
      </c>
      <c r="E3616" t="inlineStr">
        <is>
          <t>NORDANSTIG</t>
        </is>
      </c>
      <c r="F3616" t="inlineStr">
        <is>
          <t>Holmen skog AB</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53969-2023</t>
        </is>
      </c>
      <c r="B3617" s="1" t="n">
        <v>45231.63473379629</v>
      </c>
      <c r="C3617" s="1" t="n">
        <v>45911</v>
      </c>
      <c r="D3617" t="inlineStr">
        <is>
          <t>GÄVLEBORGS LÄN</t>
        </is>
      </c>
      <c r="E3617" t="inlineStr">
        <is>
          <t>NORDANSTIG</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5487-2025</t>
        </is>
      </c>
      <c r="B3618" s="1" t="n">
        <v>45693.36196759259</v>
      </c>
      <c r="C3618" s="1" t="n">
        <v>45911</v>
      </c>
      <c r="D3618" t="inlineStr">
        <is>
          <t>GÄVLEBORGS LÄN</t>
        </is>
      </c>
      <c r="E3618" t="inlineStr">
        <is>
          <t>GÄVLE</t>
        </is>
      </c>
      <c r="F3618" t="inlineStr">
        <is>
          <t>Kyrkan</t>
        </is>
      </c>
      <c r="G3618" t="n">
        <v>4.7</v>
      </c>
      <c r="H3618" t="n">
        <v>0</v>
      </c>
      <c r="I3618" t="n">
        <v>0</v>
      </c>
      <c r="J3618" t="n">
        <v>0</v>
      </c>
      <c r="K3618" t="n">
        <v>0</v>
      </c>
      <c r="L3618" t="n">
        <v>0</v>
      </c>
      <c r="M3618" t="n">
        <v>0</v>
      </c>
      <c r="N3618" t="n">
        <v>0</v>
      </c>
      <c r="O3618" t="n">
        <v>0</v>
      </c>
      <c r="P3618" t="n">
        <v>0</v>
      </c>
      <c r="Q3618" t="n">
        <v>0</v>
      </c>
      <c r="R3618" s="2" t="inlineStr"/>
    </row>
    <row r="3619" ht="15" customHeight="1">
      <c r="A3619" t="inlineStr">
        <is>
          <t>A 1835-2025</t>
        </is>
      </c>
      <c r="B3619" s="1" t="n">
        <v>45671.55625</v>
      </c>
      <c r="C3619" s="1" t="n">
        <v>45911</v>
      </c>
      <c r="D3619" t="inlineStr">
        <is>
          <t>GÄVLEBORGS LÄN</t>
        </is>
      </c>
      <c r="E3619" t="inlineStr">
        <is>
          <t>OVANÅKER</t>
        </is>
      </c>
      <c r="F3619" t="inlineStr">
        <is>
          <t>Bergvik skog väst AB</t>
        </is>
      </c>
      <c r="G3619" t="n">
        <v>4.4</v>
      </c>
      <c r="H3619" t="n">
        <v>0</v>
      </c>
      <c r="I3619" t="n">
        <v>0</v>
      </c>
      <c r="J3619" t="n">
        <v>0</v>
      </c>
      <c r="K3619" t="n">
        <v>0</v>
      </c>
      <c r="L3619" t="n">
        <v>0</v>
      </c>
      <c r="M3619" t="n">
        <v>0</v>
      </c>
      <c r="N3619" t="n">
        <v>0</v>
      </c>
      <c r="O3619" t="n">
        <v>0</v>
      </c>
      <c r="P3619" t="n">
        <v>0</v>
      </c>
      <c r="Q3619" t="n">
        <v>0</v>
      </c>
      <c r="R3619" s="2" t="inlineStr"/>
    </row>
    <row r="3620" ht="15" customHeight="1">
      <c r="A3620" t="inlineStr">
        <is>
          <t>A 15486-2024</t>
        </is>
      </c>
      <c r="B3620" s="1" t="n">
        <v>45401.50849537037</v>
      </c>
      <c r="C3620" s="1" t="n">
        <v>45911</v>
      </c>
      <c r="D3620" t="inlineStr">
        <is>
          <t>GÄVLEBORGS LÄN</t>
        </is>
      </c>
      <c r="E3620" t="inlineStr">
        <is>
          <t>HUDIKSVALL</t>
        </is>
      </c>
      <c r="G3620" t="n">
        <v>2.8</v>
      </c>
      <c r="H3620" t="n">
        <v>0</v>
      </c>
      <c r="I3620" t="n">
        <v>0</v>
      </c>
      <c r="J3620" t="n">
        <v>0</v>
      </c>
      <c r="K3620" t="n">
        <v>0</v>
      </c>
      <c r="L3620" t="n">
        <v>0</v>
      </c>
      <c r="M3620" t="n">
        <v>0</v>
      </c>
      <c r="N3620" t="n">
        <v>0</v>
      </c>
      <c r="O3620" t="n">
        <v>0</v>
      </c>
      <c r="P3620" t="n">
        <v>0</v>
      </c>
      <c r="Q3620" t="n">
        <v>0</v>
      </c>
      <c r="R3620" s="2" t="inlineStr"/>
    </row>
    <row r="3621" ht="15" customHeight="1">
      <c r="A3621" t="inlineStr">
        <is>
          <t>A 28063-2023</t>
        </is>
      </c>
      <c r="B3621" s="1" t="n">
        <v>45099.36172453704</v>
      </c>
      <c r="C3621" s="1" t="n">
        <v>45911</v>
      </c>
      <c r="D3621" t="inlineStr">
        <is>
          <t>GÄVLEBORGS LÄN</t>
        </is>
      </c>
      <c r="E3621" t="inlineStr">
        <is>
          <t>SANDVIKEN</t>
        </is>
      </c>
      <c r="G3621" t="n">
        <v>8.1</v>
      </c>
      <c r="H3621" t="n">
        <v>0</v>
      </c>
      <c r="I3621" t="n">
        <v>0</v>
      </c>
      <c r="J3621" t="n">
        <v>0</v>
      </c>
      <c r="K3621" t="n">
        <v>0</v>
      </c>
      <c r="L3621" t="n">
        <v>0</v>
      </c>
      <c r="M3621" t="n">
        <v>0</v>
      </c>
      <c r="N3621" t="n">
        <v>0</v>
      </c>
      <c r="O3621" t="n">
        <v>0</v>
      </c>
      <c r="P3621" t="n">
        <v>0</v>
      </c>
      <c r="Q3621" t="n">
        <v>0</v>
      </c>
      <c r="R3621" s="2" t="inlineStr"/>
    </row>
    <row r="3622" ht="15" customHeight="1">
      <c r="A3622" t="inlineStr">
        <is>
          <t>A 16640-2025</t>
        </is>
      </c>
      <c r="B3622" s="1" t="n">
        <v>45754.36946759259</v>
      </c>
      <c r="C3622" s="1" t="n">
        <v>45911</v>
      </c>
      <c r="D3622" t="inlineStr">
        <is>
          <t>GÄVLEBORGS LÄN</t>
        </is>
      </c>
      <c r="E3622" t="inlineStr">
        <is>
          <t>NORDANSTIG</t>
        </is>
      </c>
      <c r="F3622" t="inlineStr">
        <is>
          <t>Holmen skog AB</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27791-2025</t>
        </is>
      </c>
      <c r="B3623" s="1" t="n">
        <v>45816</v>
      </c>
      <c r="C3623" s="1" t="n">
        <v>45911</v>
      </c>
      <c r="D3623" t="inlineStr">
        <is>
          <t>GÄVLEBORGS LÄN</t>
        </is>
      </c>
      <c r="E3623" t="inlineStr">
        <is>
          <t>HUDIKSVALL</t>
        </is>
      </c>
      <c r="G3623" t="n">
        <v>3.5</v>
      </c>
      <c r="H3623" t="n">
        <v>0</v>
      </c>
      <c r="I3623" t="n">
        <v>0</v>
      </c>
      <c r="J3623" t="n">
        <v>0</v>
      </c>
      <c r="K3623" t="n">
        <v>0</v>
      </c>
      <c r="L3623" t="n">
        <v>0</v>
      </c>
      <c r="M3623" t="n">
        <v>0</v>
      </c>
      <c r="N3623" t="n">
        <v>0</v>
      </c>
      <c r="O3623" t="n">
        <v>0</v>
      </c>
      <c r="P3623" t="n">
        <v>0</v>
      </c>
      <c r="Q3623" t="n">
        <v>0</v>
      </c>
      <c r="R3623" s="2" t="inlineStr"/>
    </row>
    <row r="3624" ht="15" customHeight="1">
      <c r="A3624" t="inlineStr">
        <is>
          <t>A 1873-2025</t>
        </is>
      </c>
      <c r="B3624" s="1" t="n">
        <v>45671.61848379629</v>
      </c>
      <c r="C3624" s="1" t="n">
        <v>45911</v>
      </c>
      <c r="D3624" t="inlineStr">
        <is>
          <t>GÄVLEBORGS LÄN</t>
        </is>
      </c>
      <c r="E3624" t="inlineStr">
        <is>
          <t>NORDANSTIG</t>
        </is>
      </c>
      <c r="F3624" t="inlineStr">
        <is>
          <t>Holmen skog AB</t>
        </is>
      </c>
      <c r="G3624" t="n">
        <v>9.199999999999999</v>
      </c>
      <c r="H3624" t="n">
        <v>0</v>
      </c>
      <c r="I3624" t="n">
        <v>0</v>
      </c>
      <c r="J3624" t="n">
        <v>0</v>
      </c>
      <c r="K3624" t="n">
        <v>0</v>
      </c>
      <c r="L3624" t="n">
        <v>0</v>
      </c>
      <c r="M3624" t="n">
        <v>0</v>
      </c>
      <c r="N3624" t="n">
        <v>0</v>
      </c>
      <c r="O3624" t="n">
        <v>0</v>
      </c>
      <c r="P3624" t="n">
        <v>0</v>
      </c>
      <c r="Q3624" t="n">
        <v>0</v>
      </c>
      <c r="R3624" s="2" t="inlineStr"/>
    </row>
    <row r="3625" ht="15" customHeight="1">
      <c r="A3625" t="inlineStr">
        <is>
          <t>A 27880-2025</t>
        </is>
      </c>
      <c r="B3625" s="1" t="n">
        <v>45817.44366898148</v>
      </c>
      <c r="C3625" s="1" t="n">
        <v>45911</v>
      </c>
      <c r="D3625" t="inlineStr">
        <is>
          <t>GÄVLEBORGS LÄN</t>
        </is>
      </c>
      <c r="E3625" t="inlineStr">
        <is>
          <t>OVANÅKER</t>
        </is>
      </c>
      <c r="F3625" t="inlineStr">
        <is>
          <t>Bergvik skog väst AB</t>
        </is>
      </c>
      <c r="G3625" t="n">
        <v>16.9</v>
      </c>
      <c r="H3625" t="n">
        <v>0</v>
      </c>
      <c r="I3625" t="n">
        <v>0</v>
      </c>
      <c r="J3625" t="n">
        <v>0</v>
      </c>
      <c r="K3625" t="n">
        <v>0</v>
      </c>
      <c r="L3625" t="n">
        <v>0</v>
      </c>
      <c r="M3625" t="n">
        <v>0</v>
      </c>
      <c r="N3625" t="n">
        <v>0</v>
      </c>
      <c r="O3625" t="n">
        <v>0</v>
      </c>
      <c r="P3625" t="n">
        <v>0</v>
      </c>
      <c r="Q3625" t="n">
        <v>0</v>
      </c>
      <c r="R3625" s="2" t="inlineStr"/>
    </row>
    <row r="3626" ht="15" customHeight="1">
      <c r="A3626" t="inlineStr">
        <is>
          <t>A 56036-2023</t>
        </is>
      </c>
      <c r="B3626" s="1" t="n">
        <v>45240.44027777778</v>
      </c>
      <c r="C3626" s="1" t="n">
        <v>45911</v>
      </c>
      <c r="D3626" t="inlineStr">
        <is>
          <t>GÄVLEBORGS LÄN</t>
        </is>
      </c>
      <c r="E3626" t="inlineStr">
        <is>
          <t>SANDVIKEN</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991-2025</t>
        </is>
      </c>
      <c r="B3627" s="1" t="n">
        <v>45666</v>
      </c>
      <c r="C3627" s="1" t="n">
        <v>45911</v>
      </c>
      <c r="D3627" t="inlineStr">
        <is>
          <t>GÄVLEBORGS LÄN</t>
        </is>
      </c>
      <c r="E3627" t="inlineStr">
        <is>
          <t>OVANÅKER</t>
        </is>
      </c>
      <c r="F3627" t="inlineStr">
        <is>
          <t>Bergvik skog väst AB</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795-2021</t>
        </is>
      </c>
      <c r="B3628" s="1" t="n">
        <v>44204</v>
      </c>
      <c r="C3628" s="1" t="n">
        <v>45911</v>
      </c>
      <c r="D3628" t="inlineStr">
        <is>
          <t>GÄVLEBORGS LÄN</t>
        </is>
      </c>
      <c r="E3628" t="inlineStr">
        <is>
          <t>GÄVLE</t>
        </is>
      </c>
      <c r="G3628" t="n">
        <v>3.8</v>
      </c>
      <c r="H3628" t="n">
        <v>0</v>
      </c>
      <c r="I3628" t="n">
        <v>0</v>
      </c>
      <c r="J3628" t="n">
        <v>0</v>
      </c>
      <c r="K3628" t="n">
        <v>0</v>
      </c>
      <c r="L3628" t="n">
        <v>0</v>
      </c>
      <c r="M3628" t="n">
        <v>0</v>
      </c>
      <c r="N3628" t="n">
        <v>0</v>
      </c>
      <c r="O3628" t="n">
        <v>0</v>
      </c>
      <c r="P3628" t="n">
        <v>0</v>
      </c>
      <c r="Q3628" t="n">
        <v>0</v>
      </c>
      <c r="R3628" s="2" t="inlineStr"/>
    </row>
    <row r="3629" ht="15" customHeight="1">
      <c r="A3629" t="inlineStr">
        <is>
          <t>A 28237-2025</t>
        </is>
      </c>
      <c r="B3629" s="1" t="n">
        <v>45818.50258101852</v>
      </c>
      <c r="C3629" s="1" t="n">
        <v>45911</v>
      </c>
      <c r="D3629" t="inlineStr">
        <is>
          <t>GÄVLEBORGS LÄN</t>
        </is>
      </c>
      <c r="E3629" t="inlineStr">
        <is>
          <t>NORDANSTIG</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28238-2025</t>
        </is>
      </c>
      <c r="B3630" s="1" t="n">
        <v>45818.50530092593</v>
      </c>
      <c r="C3630" s="1" t="n">
        <v>45911</v>
      </c>
      <c r="D3630" t="inlineStr">
        <is>
          <t>GÄVLEBORGS LÄN</t>
        </is>
      </c>
      <c r="E3630" t="inlineStr">
        <is>
          <t>NORDANSTIG</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28163-2025</t>
        </is>
      </c>
      <c r="B3631" s="1" t="n">
        <v>45818.37123842593</v>
      </c>
      <c r="C3631" s="1" t="n">
        <v>45911</v>
      </c>
      <c r="D3631" t="inlineStr">
        <is>
          <t>GÄVLEBORGS LÄN</t>
        </is>
      </c>
      <c r="E3631" t="inlineStr">
        <is>
          <t>HUDIKSVALL</t>
        </is>
      </c>
      <c r="G3631" t="n">
        <v>4.4</v>
      </c>
      <c r="H3631" t="n">
        <v>0</v>
      </c>
      <c r="I3631" t="n">
        <v>0</v>
      </c>
      <c r="J3631" t="n">
        <v>0</v>
      </c>
      <c r="K3631" t="n">
        <v>0</v>
      </c>
      <c r="L3631" t="n">
        <v>0</v>
      </c>
      <c r="M3631" t="n">
        <v>0</v>
      </c>
      <c r="N3631" t="n">
        <v>0</v>
      </c>
      <c r="O3631" t="n">
        <v>0</v>
      </c>
      <c r="P3631" t="n">
        <v>0</v>
      </c>
      <c r="Q3631" t="n">
        <v>0</v>
      </c>
      <c r="R3631" s="2" t="inlineStr"/>
    </row>
    <row r="3632" ht="15" customHeight="1">
      <c r="A3632" t="inlineStr">
        <is>
          <t>A 46217-2024</t>
        </is>
      </c>
      <c r="B3632" s="1" t="n">
        <v>45581.56543981482</v>
      </c>
      <c r="C3632" s="1" t="n">
        <v>45911</v>
      </c>
      <c r="D3632" t="inlineStr">
        <is>
          <t>GÄVLEBORGS LÄN</t>
        </is>
      </c>
      <c r="E3632" t="inlineStr">
        <is>
          <t>GÄVLE</t>
        </is>
      </c>
      <c r="F3632" t="inlineStr">
        <is>
          <t>Bergvik skog väst AB</t>
        </is>
      </c>
      <c r="G3632" t="n">
        <v>15.2</v>
      </c>
      <c r="H3632" t="n">
        <v>0</v>
      </c>
      <c r="I3632" t="n">
        <v>0</v>
      </c>
      <c r="J3632" t="n">
        <v>0</v>
      </c>
      <c r="K3632" t="n">
        <v>0</v>
      </c>
      <c r="L3632" t="n">
        <v>0</v>
      </c>
      <c r="M3632" t="n">
        <v>0</v>
      </c>
      <c r="N3632" t="n">
        <v>0</v>
      </c>
      <c r="O3632" t="n">
        <v>0</v>
      </c>
      <c r="P3632" t="n">
        <v>0</v>
      </c>
      <c r="Q3632" t="n">
        <v>0</v>
      </c>
      <c r="R3632" s="2" t="inlineStr"/>
    </row>
    <row r="3633" ht="15" customHeight="1">
      <c r="A3633" t="inlineStr">
        <is>
          <t>A 28339-2025</t>
        </is>
      </c>
      <c r="B3633" s="1" t="n">
        <v>45818.67405092593</v>
      </c>
      <c r="C3633" s="1" t="n">
        <v>45911</v>
      </c>
      <c r="D3633" t="inlineStr">
        <is>
          <t>GÄVLEBORGS LÄN</t>
        </is>
      </c>
      <c r="E3633" t="inlineStr">
        <is>
          <t>BOLLNÄS</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6016-2025</t>
        </is>
      </c>
      <c r="B3634" s="1" t="n">
        <v>45695</v>
      </c>
      <c r="C3634" s="1" t="n">
        <v>45911</v>
      </c>
      <c r="D3634" t="inlineStr">
        <is>
          <t>GÄVLEBORGS LÄN</t>
        </is>
      </c>
      <c r="E3634" t="inlineStr">
        <is>
          <t>LJUSDAL</t>
        </is>
      </c>
      <c r="G3634" t="n">
        <v>8</v>
      </c>
      <c r="H3634" t="n">
        <v>0</v>
      </c>
      <c r="I3634" t="n">
        <v>0</v>
      </c>
      <c r="J3634" t="n">
        <v>0</v>
      </c>
      <c r="K3634" t="n">
        <v>0</v>
      </c>
      <c r="L3634" t="n">
        <v>0</v>
      </c>
      <c r="M3634" t="n">
        <v>0</v>
      </c>
      <c r="N3634" t="n">
        <v>0</v>
      </c>
      <c r="O3634" t="n">
        <v>0</v>
      </c>
      <c r="P3634" t="n">
        <v>0</v>
      </c>
      <c r="Q3634" t="n">
        <v>0</v>
      </c>
      <c r="R3634" s="2" t="inlineStr"/>
    </row>
    <row r="3635" ht="15" customHeight="1">
      <c r="A3635" t="inlineStr">
        <is>
          <t>A 27903-2025</t>
        </is>
      </c>
      <c r="B3635" s="1" t="n">
        <v>45817.46649305556</v>
      </c>
      <c r="C3635" s="1" t="n">
        <v>45911</v>
      </c>
      <c r="D3635" t="inlineStr">
        <is>
          <t>GÄVLEBORGS LÄN</t>
        </is>
      </c>
      <c r="E3635" t="inlineStr">
        <is>
          <t>OVANÅKER</t>
        </is>
      </c>
      <c r="F3635" t="inlineStr">
        <is>
          <t>Bergvik skog väst AB</t>
        </is>
      </c>
      <c r="G3635" t="n">
        <v>13.1</v>
      </c>
      <c r="H3635" t="n">
        <v>0</v>
      </c>
      <c r="I3635" t="n">
        <v>0</v>
      </c>
      <c r="J3635" t="n">
        <v>0</v>
      </c>
      <c r="K3635" t="n">
        <v>0</v>
      </c>
      <c r="L3635" t="n">
        <v>0</v>
      </c>
      <c r="M3635" t="n">
        <v>0</v>
      </c>
      <c r="N3635" t="n">
        <v>0</v>
      </c>
      <c r="O3635" t="n">
        <v>0</v>
      </c>
      <c r="P3635" t="n">
        <v>0</v>
      </c>
      <c r="Q3635" t="n">
        <v>0</v>
      </c>
      <c r="R3635" s="2" t="inlineStr"/>
    </row>
    <row r="3636" ht="15" customHeight="1">
      <c r="A3636" t="inlineStr">
        <is>
          <t>A 27911-2025</t>
        </is>
      </c>
      <c r="B3636" s="1" t="n">
        <v>45817.4777662037</v>
      </c>
      <c r="C3636" s="1" t="n">
        <v>45911</v>
      </c>
      <c r="D3636" t="inlineStr">
        <is>
          <t>GÄVLEBORGS LÄN</t>
        </is>
      </c>
      <c r="E3636" t="inlineStr">
        <is>
          <t>OVANÅKER</t>
        </is>
      </c>
      <c r="F3636" t="inlineStr">
        <is>
          <t>Bergvik skog väst AB</t>
        </is>
      </c>
      <c r="G3636" t="n">
        <v>7.7</v>
      </c>
      <c r="H3636" t="n">
        <v>0</v>
      </c>
      <c r="I3636" t="n">
        <v>0</v>
      </c>
      <c r="J3636" t="n">
        <v>0</v>
      </c>
      <c r="K3636" t="n">
        <v>0</v>
      </c>
      <c r="L3636" t="n">
        <v>0</v>
      </c>
      <c r="M3636" t="n">
        <v>0</v>
      </c>
      <c r="N3636" t="n">
        <v>0</v>
      </c>
      <c r="O3636" t="n">
        <v>0</v>
      </c>
      <c r="P3636" t="n">
        <v>0</v>
      </c>
      <c r="Q3636" t="n">
        <v>0</v>
      </c>
      <c r="R3636" s="2" t="inlineStr"/>
    </row>
    <row r="3637" ht="15" customHeight="1">
      <c r="A3637" t="inlineStr">
        <is>
          <t>A 9474-2022</t>
        </is>
      </c>
      <c r="B3637" s="1" t="n">
        <v>44616.92188657408</v>
      </c>
      <c r="C3637" s="1" t="n">
        <v>45911</v>
      </c>
      <c r="D3637" t="inlineStr">
        <is>
          <t>GÄVLEBORGS LÄN</t>
        </is>
      </c>
      <c r="E3637" t="inlineStr">
        <is>
          <t>BOLLNÄS</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27970-2025</t>
        </is>
      </c>
      <c r="B3638" s="1" t="n">
        <v>45817.56043981481</v>
      </c>
      <c r="C3638" s="1" t="n">
        <v>45911</v>
      </c>
      <c r="D3638" t="inlineStr">
        <is>
          <t>GÄVLEBORGS LÄN</t>
        </is>
      </c>
      <c r="E3638" t="inlineStr">
        <is>
          <t>LJUSDAL</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27990-2025</t>
        </is>
      </c>
      <c r="B3639" s="1" t="n">
        <v>45817.58722222222</v>
      </c>
      <c r="C3639" s="1" t="n">
        <v>45911</v>
      </c>
      <c r="D3639" t="inlineStr">
        <is>
          <t>GÄVLEBORGS LÄN</t>
        </is>
      </c>
      <c r="E3639" t="inlineStr">
        <is>
          <t>OCKELBO</t>
        </is>
      </c>
      <c r="F3639" t="inlineStr">
        <is>
          <t>Bergvik skog väst AB</t>
        </is>
      </c>
      <c r="G3639" t="n">
        <v>7.8</v>
      </c>
      <c r="H3639" t="n">
        <v>0</v>
      </c>
      <c r="I3639" t="n">
        <v>0</v>
      </c>
      <c r="J3639" t="n">
        <v>0</v>
      </c>
      <c r="K3639" t="n">
        <v>0</v>
      </c>
      <c r="L3639" t="n">
        <v>0</v>
      </c>
      <c r="M3639" t="n">
        <v>0</v>
      </c>
      <c r="N3639" t="n">
        <v>0</v>
      </c>
      <c r="O3639" t="n">
        <v>0</v>
      </c>
      <c r="P3639" t="n">
        <v>0</v>
      </c>
      <c r="Q3639" t="n">
        <v>0</v>
      </c>
      <c r="R3639" s="2" t="inlineStr"/>
    </row>
    <row r="3640" ht="15" customHeight="1">
      <c r="A3640" t="inlineStr">
        <is>
          <t>A 3532-2023</t>
        </is>
      </c>
      <c r="B3640" s="1" t="n">
        <v>44950</v>
      </c>
      <c r="C3640" s="1" t="n">
        <v>45911</v>
      </c>
      <c r="D3640" t="inlineStr">
        <is>
          <t>GÄVLEBORGS LÄN</t>
        </is>
      </c>
      <c r="E3640" t="inlineStr">
        <is>
          <t>LJUSDAL</t>
        </is>
      </c>
      <c r="G3640" t="n">
        <v>4.6</v>
      </c>
      <c r="H3640" t="n">
        <v>0</v>
      </c>
      <c r="I3640" t="n">
        <v>0</v>
      </c>
      <c r="J3640" t="n">
        <v>0</v>
      </c>
      <c r="K3640" t="n">
        <v>0</v>
      </c>
      <c r="L3640" t="n">
        <v>0</v>
      </c>
      <c r="M3640" t="n">
        <v>0</v>
      </c>
      <c r="N3640" t="n">
        <v>0</v>
      </c>
      <c r="O3640" t="n">
        <v>0</v>
      </c>
      <c r="P3640" t="n">
        <v>0</v>
      </c>
      <c r="Q3640" t="n">
        <v>0</v>
      </c>
      <c r="R3640" s="2" t="inlineStr"/>
    </row>
    <row r="3641" ht="15" customHeight="1">
      <c r="A3641" t="inlineStr">
        <is>
          <t>A 3593-2023</t>
        </is>
      </c>
      <c r="B3641" s="1" t="n">
        <v>44950.56905092593</v>
      </c>
      <c r="C3641" s="1" t="n">
        <v>45911</v>
      </c>
      <c r="D3641" t="inlineStr">
        <is>
          <t>GÄVLEBORGS LÄN</t>
        </is>
      </c>
      <c r="E3641" t="inlineStr">
        <is>
          <t>OCKELBO</t>
        </is>
      </c>
      <c r="G3641" t="n">
        <v>4.1</v>
      </c>
      <c r="H3641" t="n">
        <v>0</v>
      </c>
      <c r="I3641" t="n">
        <v>0</v>
      </c>
      <c r="J3641" t="n">
        <v>0</v>
      </c>
      <c r="K3641" t="n">
        <v>0</v>
      </c>
      <c r="L3641" t="n">
        <v>0</v>
      </c>
      <c r="M3641" t="n">
        <v>0</v>
      </c>
      <c r="N3641" t="n">
        <v>0</v>
      </c>
      <c r="O3641" t="n">
        <v>0</v>
      </c>
      <c r="P3641" t="n">
        <v>0</v>
      </c>
      <c r="Q3641" t="n">
        <v>0</v>
      </c>
      <c r="R3641" s="2" t="inlineStr"/>
    </row>
    <row r="3642" ht="15" customHeight="1">
      <c r="A3642" t="inlineStr">
        <is>
          <t>A 27834-2025</t>
        </is>
      </c>
      <c r="B3642" s="1" t="n">
        <v>45817.36806712963</v>
      </c>
      <c r="C3642" s="1" t="n">
        <v>45911</v>
      </c>
      <c r="D3642" t="inlineStr">
        <is>
          <t>GÄVLEBORGS LÄN</t>
        </is>
      </c>
      <c r="E3642" t="inlineStr">
        <is>
          <t>OVANÅKER</t>
        </is>
      </c>
      <c r="F3642" t="inlineStr">
        <is>
          <t>Bergvik skog väst AB</t>
        </is>
      </c>
      <c r="G3642" t="n">
        <v>6.7</v>
      </c>
      <c r="H3642" t="n">
        <v>0</v>
      </c>
      <c r="I3642" t="n">
        <v>0</v>
      </c>
      <c r="J3642" t="n">
        <v>0</v>
      </c>
      <c r="K3642" t="n">
        <v>0</v>
      </c>
      <c r="L3642" t="n">
        <v>0</v>
      </c>
      <c r="M3642" t="n">
        <v>0</v>
      </c>
      <c r="N3642" t="n">
        <v>0</v>
      </c>
      <c r="O3642" t="n">
        <v>0</v>
      </c>
      <c r="P3642" t="n">
        <v>0</v>
      </c>
      <c r="Q3642" t="n">
        <v>0</v>
      </c>
      <c r="R3642" s="2" t="inlineStr"/>
    </row>
    <row r="3643" ht="15" customHeight="1">
      <c r="A3643" t="inlineStr">
        <is>
          <t>A 17271-2022</t>
        </is>
      </c>
      <c r="B3643" s="1" t="n">
        <v>44678</v>
      </c>
      <c r="C3643" s="1" t="n">
        <v>45911</v>
      </c>
      <c r="D3643" t="inlineStr">
        <is>
          <t>GÄVLEBORGS LÄN</t>
        </is>
      </c>
      <c r="E3643" t="inlineStr">
        <is>
          <t>NORDANSTIG</t>
        </is>
      </c>
      <c r="F3643" t="inlineStr">
        <is>
          <t>Holmen skog AB</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36025-2023</t>
        </is>
      </c>
      <c r="B3644" s="1" t="n">
        <v>45149.37282407407</v>
      </c>
      <c r="C3644" s="1" t="n">
        <v>45911</v>
      </c>
      <c r="D3644" t="inlineStr">
        <is>
          <t>GÄVLEBORGS LÄN</t>
        </is>
      </c>
      <c r="E3644" t="inlineStr">
        <is>
          <t>NORDANSTIG</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18162-2022</t>
        </is>
      </c>
      <c r="B3645" s="1" t="n">
        <v>44684</v>
      </c>
      <c r="C3645" s="1" t="n">
        <v>45911</v>
      </c>
      <c r="D3645" t="inlineStr">
        <is>
          <t>GÄVLEBORGS LÄN</t>
        </is>
      </c>
      <c r="E3645" t="inlineStr">
        <is>
          <t>GÄVLE</t>
        </is>
      </c>
      <c r="F3645" t="inlineStr">
        <is>
          <t>Bergvik skog väst AB</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27179-2023</t>
        </is>
      </c>
      <c r="B3646" s="1" t="n">
        <v>45096.52631944444</v>
      </c>
      <c r="C3646" s="1" t="n">
        <v>45911</v>
      </c>
      <c r="D3646" t="inlineStr">
        <is>
          <t>GÄVLEBORGS LÄN</t>
        </is>
      </c>
      <c r="E3646" t="inlineStr">
        <is>
          <t>BOLLNÄS</t>
        </is>
      </c>
      <c r="G3646" t="n">
        <v>3.7</v>
      </c>
      <c r="H3646" t="n">
        <v>0</v>
      </c>
      <c r="I3646" t="n">
        <v>0</v>
      </c>
      <c r="J3646" t="n">
        <v>0</v>
      </c>
      <c r="K3646" t="n">
        <v>0</v>
      </c>
      <c r="L3646" t="n">
        <v>0</v>
      </c>
      <c r="M3646" t="n">
        <v>0</v>
      </c>
      <c r="N3646" t="n">
        <v>0</v>
      </c>
      <c r="O3646" t="n">
        <v>0</v>
      </c>
      <c r="P3646" t="n">
        <v>0</v>
      </c>
      <c r="Q3646" t="n">
        <v>0</v>
      </c>
      <c r="R3646" s="2" t="inlineStr"/>
    </row>
    <row r="3647" ht="15" customHeight="1">
      <c r="A3647" t="inlineStr">
        <is>
          <t>A 27204-2023</t>
        </is>
      </c>
      <c r="B3647" s="1" t="n">
        <v>45096</v>
      </c>
      <c r="C3647" s="1" t="n">
        <v>45911</v>
      </c>
      <c r="D3647" t="inlineStr">
        <is>
          <t>GÄVLEBORGS LÄN</t>
        </is>
      </c>
      <c r="E3647" t="inlineStr">
        <is>
          <t>HUDIKSVALL</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12079-2025</t>
        </is>
      </c>
      <c r="B3648" s="1" t="n">
        <v>45728.88731481481</v>
      </c>
      <c r="C3648" s="1" t="n">
        <v>45911</v>
      </c>
      <c r="D3648" t="inlineStr">
        <is>
          <t>GÄVLEBORGS LÄN</t>
        </is>
      </c>
      <c r="E3648" t="inlineStr">
        <is>
          <t>GÄVLE</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12088-2025</t>
        </is>
      </c>
      <c r="B3649" s="1" t="n">
        <v>45729.28755787037</v>
      </c>
      <c r="C3649" s="1" t="n">
        <v>45911</v>
      </c>
      <c r="D3649" t="inlineStr">
        <is>
          <t>GÄVLEBORGS LÄN</t>
        </is>
      </c>
      <c r="E3649" t="inlineStr">
        <is>
          <t>BOLLNÄS</t>
        </is>
      </c>
      <c r="F3649" t="inlineStr">
        <is>
          <t>Bergvik skog väst AB</t>
        </is>
      </c>
      <c r="G3649" t="n">
        <v>7.9</v>
      </c>
      <c r="H3649" t="n">
        <v>0</v>
      </c>
      <c r="I3649" t="n">
        <v>0</v>
      </c>
      <c r="J3649" t="n">
        <v>0</v>
      </c>
      <c r="K3649" t="n">
        <v>0</v>
      </c>
      <c r="L3649" t="n">
        <v>0</v>
      </c>
      <c r="M3649" t="n">
        <v>0</v>
      </c>
      <c r="N3649" t="n">
        <v>0</v>
      </c>
      <c r="O3649" t="n">
        <v>0</v>
      </c>
      <c r="P3649" t="n">
        <v>0</v>
      </c>
      <c r="Q3649" t="n">
        <v>0</v>
      </c>
      <c r="R3649" s="2" t="inlineStr"/>
    </row>
    <row r="3650" ht="15" customHeight="1">
      <c r="A3650" t="inlineStr">
        <is>
          <t>A 59637-2024</t>
        </is>
      </c>
      <c r="B3650" s="1" t="n">
        <v>45639.27597222223</v>
      </c>
      <c r="C3650" s="1" t="n">
        <v>45911</v>
      </c>
      <c r="D3650" t="inlineStr">
        <is>
          <t>GÄVLEBORGS LÄN</t>
        </is>
      </c>
      <c r="E3650" t="inlineStr">
        <is>
          <t>BOLLNÄS</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19768-2025</t>
        </is>
      </c>
      <c r="B3651" s="1" t="n">
        <v>45771.40961805556</v>
      </c>
      <c r="C3651" s="1" t="n">
        <v>45911</v>
      </c>
      <c r="D3651" t="inlineStr">
        <is>
          <t>GÄVLEBORGS LÄN</t>
        </is>
      </c>
      <c r="E3651" t="inlineStr">
        <is>
          <t>HUDIKSVALL</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4556-2025</t>
        </is>
      </c>
      <c r="B3652" s="1" t="n">
        <v>45687.44737268519</v>
      </c>
      <c r="C3652" s="1" t="n">
        <v>45911</v>
      </c>
      <c r="D3652" t="inlineStr">
        <is>
          <t>GÄVLEBORGS LÄN</t>
        </is>
      </c>
      <c r="E3652" t="inlineStr">
        <is>
          <t>NORDANSTIG</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42720-2024</t>
        </is>
      </c>
      <c r="B3653" s="1" t="n">
        <v>45566.459375</v>
      </c>
      <c r="C3653" s="1" t="n">
        <v>45911</v>
      </c>
      <c r="D3653" t="inlineStr">
        <is>
          <t>GÄVLEBORGS LÄN</t>
        </is>
      </c>
      <c r="E3653" t="inlineStr">
        <is>
          <t>LJUSDAL</t>
        </is>
      </c>
      <c r="F3653" t="inlineStr">
        <is>
          <t>Kommuner</t>
        </is>
      </c>
      <c r="G3653" t="n">
        <v>5.9</v>
      </c>
      <c r="H3653" t="n">
        <v>0</v>
      </c>
      <c r="I3653" t="n">
        <v>0</v>
      </c>
      <c r="J3653" t="n">
        <v>0</v>
      </c>
      <c r="K3653" t="n">
        <v>0</v>
      </c>
      <c r="L3653" t="n">
        <v>0</v>
      </c>
      <c r="M3653" t="n">
        <v>0</v>
      </c>
      <c r="N3653" t="n">
        <v>0</v>
      </c>
      <c r="O3653" t="n">
        <v>0</v>
      </c>
      <c r="P3653" t="n">
        <v>0</v>
      </c>
      <c r="Q3653" t="n">
        <v>0</v>
      </c>
      <c r="R3653" s="2" t="inlineStr"/>
    </row>
    <row r="3654" ht="15" customHeight="1">
      <c r="A3654" t="inlineStr">
        <is>
          <t>A 28224-2025</t>
        </is>
      </c>
      <c r="B3654" s="1" t="n">
        <v>45818.4800925926</v>
      </c>
      <c r="C3654" s="1" t="n">
        <v>45911</v>
      </c>
      <c r="D3654" t="inlineStr">
        <is>
          <t>GÄVLEBORGS LÄN</t>
        </is>
      </c>
      <c r="E3654" t="inlineStr">
        <is>
          <t>HUDIKSVALL</t>
        </is>
      </c>
      <c r="G3654" t="n">
        <v>2.9</v>
      </c>
      <c r="H3654" t="n">
        <v>0</v>
      </c>
      <c r="I3654" t="n">
        <v>0</v>
      </c>
      <c r="J3654" t="n">
        <v>0</v>
      </c>
      <c r="K3654" t="n">
        <v>0</v>
      </c>
      <c r="L3654" t="n">
        <v>0</v>
      </c>
      <c r="M3654" t="n">
        <v>0</v>
      </c>
      <c r="N3654" t="n">
        <v>0</v>
      </c>
      <c r="O3654" t="n">
        <v>0</v>
      </c>
      <c r="P3654" t="n">
        <v>0</v>
      </c>
      <c r="Q3654" t="n">
        <v>0</v>
      </c>
      <c r="R3654" s="2" t="inlineStr"/>
    </row>
    <row r="3655" ht="15" customHeight="1">
      <c r="A3655" t="inlineStr">
        <is>
          <t>A 411-2025</t>
        </is>
      </c>
      <c r="B3655" s="1" t="n">
        <v>45663</v>
      </c>
      <c r="C3655" s="1" t="n">
        <v>45911</v>
      </c>
      <c r="D3655" t="inlineStr">
        <is>
          <t>GÄVLEBORGS LÄN</t>
        </is>
      </c>
      <c r="E3655" t="inlineStr">
        <is>
          <t>NORDANSTIG</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53440-2024</t>
        </is>
      </c>
      <c r="B3656" s="1" t="n">
        <v>45614.53799768518</v>
      </c>
      <c r="C3656" s="1" t="n">
        <v>45911</v>
      </c>
      <c r="D3656" t="inlineStr">
        <is>
          <t>GÄVLEBORGS LÄN</t>
        </is>
      </c>
      <c r="E3656" t="inlineStr">
        <is>
          <t>OVANÅKER</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1354-2021</t>
        </is>
      </c>
      <c r="B3657" s="1" t="n">
        <v>44208</v>
      </c>
      <c r="C3657" s="1" t="n">
        <v>45911</v>
      </c>
      <c r="D3657" t="inlineStr">
        <is>
          <t>GÄVLEBORGS LÄN</t>
        </is>
      </c>
      <c r="E3657" t="inlineStr">
        <is>
          <t>OCKELBO</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1373-2021</t>
        </is>
      </c>
      <c r="B3658" s="1" t="n">
        <v>44208</v>
      </c>
      <c r="C3658" s="1" t="n">
        <v>45911</v>
      </c>
      <c r="D3658" t="inlineStr">
        <is>
          <t>GÄVLEBORGS LÄN</t>
        </is>
      </c>
      <c r="E3658" t="inlineStr">
        <is>
          <t>NORDANSTIG</t>
        </is>
      </c>
      <c r="F3658" t="inlineStr">
        <is>
          <t>Holmen skog AB</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24618-2023</t>
        </is>
      </c>
      <c r="B3659" s="1" t="n">
        <v>45084.35936342592</v>
      </c>
      <c r="C3659" s="1" t="n">
        <v>45911</v>
      </c>
      <c r="D3659" t="inlineStr">
        <is>
          <t>GÄVLEBORGS LÄN</t>
        </is>
      </c>
      <c r="E3659" t="inlineStr">
        <is>
          <t>GÄVLE</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9440-2025</t>
        </is>
      </c>
      <c r="B3660" s="1" t="n">
        <v>45715.41775462963</v>
      </c>
      <c r="C3660" s="1" t="n">
        <v>45911</v>
      </c>
      <c r="D3660" t="inlineStr">
        <is>
          <t>GÄVLEBORGS LÄN</t>
        </is>
      </c>
      <c r="E3660" t="inlineStr">
        <is>
          <t>GÄVLE</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9447-2025</t>
        </is>
      </c>
      <c r="B3661" s="1" t="n">
        <v>45715.42207175926</v>
      </c>
      <c r="C3661" s="1" t="n">
        <v>45911</v>
      </c>
      <c r="D3661" t="inlineStr">
        <is>
          <t>GÄVLEBORGS LÄN</t>
        </is>
      </c>
      <c r="E3661" t="inlineStr">
        <is>
          <t>OCKELBO</t>
        </is>
      </c>
      <c r="F3661" t="inlineStr">
        <is>
          <t>Bergvik skog öst AB</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7410-2025</t>
        </is>
      </c>
      <c r="B3662" s="1" t="n">
        <v>45705.36710648148</v>
      </c>
      <c r="C3662" s="1" t="n">
        <v>45911</v>
      </c>
      <c r="D3662" t="inlineStr">
        <is>
          <t>GÄVLEBORGS LÄN</t>
        </is>
      </c>
      <c r="E3662" t="inlineStr">
        <is>
          <t>GÄVLE</t>
        </is>
      </c>
      <c r="G3662" t="n">
        <v>4.7</v>
      </c>
      <c r="H3662" t="n">
        <v>0</v>
      </c>
      <c r="I3662" t="n">
        <v>0</v>
      </c>
      <c r="J3662" t="n">
        <v>0</v>
      </c>
      <c r="K3662" t="n">
        <v>0</v>
      </c>
      <c r="L3662" t="n">
        <v>0</v>
      </c>
      <c r="M3662" t="n">
        <v>0</v>
      </c>
      <c r="N3662" t="n">
        <v>0</v>
      </c>
      <c r="O3662" t="n">
        <v>0</v>
      </c>
      <c r="P3662" t="n">
        <v>0</v>
      </c>
      <c r="Q3662" t="n">
        <v>0</v>
      </c>
      <c r="R3662" s="2" t="inlineStr"/>
    </row>
    <row r="3663" ht="15" customHeight="1">
      <c r="A3663" t="inlineStr">
        <is>
          <t>A 20017-2022</t>
        </is>
      </c>
      <c r="B3663" s="1" t="n">
        <v>44697</v>
      </c>
      <c r="C3663" s="1" t="n">
        <v>45911</v>
      </c>
      <c r="D3663" t="inlineStr">
        <is>
          <t>GÄVLEBORGS LÄN</t>
        </is>
      </c>
      <c r="E3663" t="inlineStr">
        <is>
          <t>HUDIKSVALL</t>
        </is>
      </c>
      <c r="G3663" t="n">
        <v>5.5</v>
      </c>
      <c r="H3663" t="n">
        <v>0</v>
      </c>
      <c r="I3663" t="n">
        <v>0</v>
      </c>
      <c r="J3663" t="n">
        <v>0</v>
      </c>
      <c r="K3663" t="n">
        <v>0</v>
      </c>
      <c r="L3663" t="n">
        <v>0</v>
      </c>
      <c r="M3663" t="n">
        <v>0</v>
      </c>
      <c r="N3663" t="n">
        <v>0</v>
      </c>
      <c r="O3663" t="n">
        <v>0</v>
      </c>
      <c r="P3663" t="n">
        <v>0</v>
      </c>
      <c r="Q3663" t="n">
        <v>0</v>
      </c>
      <c r="R3663" s="2" t="inlineStr"/>
    </row>
    <row r="3664" ht="15" customHeight="1">
      <c r="A3664" t="inlineStr">
        <is>
          <t>A 65865-2020</t>
        </is>
      </c>
      <c r="B3664" s="1" t="n">
        <v>44174.73086805556</v>
      </c>
      <c r="C3664" s="1" t="n">
        <v>45911</v>
      </c>
      <c r="D3664" t="inlineStr">
        <is>
          <t>GÄVLEBORGS LÄN</t>
        </is>
      </c>
      <c r="E3664" t="inlineStr">
        <is>
          <t>LJUSDAL</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41591-2024</t>
        </is>
      </c>
      <c r="B3665" s="1" t="n">
        <v>45560.57263888889</v>
      </c>
      <c r="C3665" s="1" t="n">
        <v>45911</v>
      </c>
      <c r="D3665" t="inlineStr">
        <is>
          <t>GÄVLEBORGS LÄN</t>
        </is>
      </c>
      <c r="E3665" t="inlineStr">
        <is>
          <t>BOLLNÄS</t>
        </is>
      </c>
      <c r="G3665" t="n">
        <v>21.8</v>
      </c>
      <c r="H3665" t="n">
        <v>0</v>
      </c>
      <c r="I3665" t="n">
        <v>0</v>
      </c>
      <c r="J3665" t="n">
        <v>0</v>
      </c>
      <c r="K3665" t="n">
        <v>0</v>
      </c>
      <c r="L3665" t="n">
        <v>0</v>
      </c>
      <c r="M3665" t="n">
        <v>0</v>
      </c>
      <c r="N3665" t="n">
        <v>0</v>
      </c>
      <c r="O3665" t="n">
        <v>0</v>
      </c>
      <c r="P3665" t="n">
        <v>0</v>
      </c>
      <c r="Q3665" t="n">
        <v>0</v>
      </c>
      <c r="R3665" s="2" t="inlineStr"/>
    </row>
    <row r="3666" ht="15" customHeight="1">
      <c r="A3666" t="inlineStr">
        <is>
          <t>A 35826-2023</t>
        </is>
      </c>
      <c r="B3666" s="1" t="n">
        <v>45148.46752314815</v>
      </c>
      <c r="C3666" s="1" t="n">
        <v>45911</v>
      </c>
      <c r="D3666" t="inlineStr">
        <is>
          <t>GÄVLEBORGS LÄN</t>
        </is>
      </c>
      <c r="E3666" t="inlineStr">
        <is>
          <t>LJUSDAL</t>
        </is>
      </c>
      <c r="F3666" t="inlineStr">
        <is>
          <t>Kommuner</t>
        </is>
      </c>
      <c r="G3666" t="n">
        <v>4.2</v>
      </c>
      <c r="H3666" t="n">
        <v>0</v>
      </c>
      <c r="I3666" t="n">
        <v>0</v>
      </c>
      <c r="J3666" t="n">
        <v>0</v>
      </c>
      <c r="K3666" t="n">
        <v>0</v>
      </c>
      <c r="L3666" t="n">
        <v>0</v>
      </c>
      <c r="M3666" t="n">
        <v>0</v>
      </c>
      <c r="N3666" t="n">
        <v>0</v>
      </c>
      <c r="O3666" t="n">
        <v>0</v>
      </c>
      <c r="P3666" t="n">
        <v>0</v>
      </c>
      <c r="Q3666" t="n">
        <v>0</v>
      </c>
      <c r="R3666" s="2" t="inlineStr"/>
    </row>
    <row r="3667" ht="15" customHeight="1">
      <c r="A3667" t="inlineStr">
        <is>
          <t>A 32293-2023</t>
        </is>
      </c>
      <c r="B3667" s="1" t="n">
        <v>45107</v>
      </c>
      <c r="C3667" s="1" t="n">
        <v>45911</v>
      </c>
      <c r="D3667" t="inlineStr">
        <is>
          <t>GÄVLEBORGS LÄN</t>
        </is>
      </c>
      <c r="E3667" t="inlineStr">
        <is>
          <t>LJUSDAL</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32294-2023</t>
        </is>
      </c>
      <c r="B3668" s="1" t="n">
        <v>45107</v>
      </c>
      <c r="C3668" s="1" t="n">
        <v>45911</v>
      </c>
      <c r="D3668" t="inlineStr">
        <is>
          <t>GÄVLEBORGS LÄN</t>
        </is>
      </c>
      <c r="E3668" t="inlineStr">
        <is>
          <t>LJUSDAL</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27976-2025</t>
        </is>
      </c>
      <c r="B3669" s="1" t="n">
        <v>45817.57092592592</v>
      </c>
      <c r="C3669" s="1" t="n">
        <v>45911</v>
      </c>
      <c r="D3669" t="inlineStr">
        <is>
          <t>GÄVLEBORGS LÄN</t>
        </is>
      </c>
      <c r="E3669" t="inlineStr">
        <is>
          <t>LJUSDAL</t>
        </is>
      </c>
      <c r="G3669" t="n">
        <v>3.9</v>
      </c>
      <c r="H3669" t="n">
        <v>0</v>
      </c>
      <c r="I3669" t="n">
        <v>0</v>
      </c>
      <c r="J3669" t="n">
        <v>0</v>
      </c>
      <c r="K3669" t="n">
        <v>0</v>
      </c>
      <c r="L3669" t="n">
        <v>0</v>
      </c>
      <c r="M3669" t="n">
        <v>0</v>
      </c>
      <c r="N3669" t="n">
        <v>0</v>
      </c>
      <c r="O3669" t="n">
        <v>0</v>
      </c>
      <c r="P3669" t="n">
        <v>0</v>
      </c>
      <c r="Q3669" t="n">
        <v>0</v>
      </c>
      <c r="R3669" s="2" t="inlineStr"/>
    </row>
    <row r="3670" ht="15" customHeight="1">
      <c r="A3670" t="inlineStr">
        <is>
          <t>A 32365-2023</t>
        </is>
      </c>
      <c r="B3670" s="1" t="n">
        <v>45120.56810185185</v>
      </c>
      <c r="C3670" s="1" t="n">
        <v>45911</v>
      </c>
      <c r="D3670" t="inlineStr">
        <is>
          <t>GÄVLEBORGS LÄN</t>
        </is>
      </c>
      <c r="E3670" t="inlineStr">
        <is>
          <t>LJUSDAL</t>
        </is>
      </c>
      <c r="F3670" t="inlineStr">
        <is>
          <t>Holmen skog AB</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68397-2020</t>
        </is>
      </c>
      <c r="B3671" s="1" t="n">
        <v>44186</v>
      </c>
      <c r="C3671" s="1" t="n">
        <v>45911</v>
      </c>
      <c r="D3671" t="inlineStr">
        <is>
          <t>GÄVLEBORGS LÄN</t>
        </is>
      </c>
      <c r="E3671" t="inlineStr">
        <is>
          <t>HOFORS</t>
        </is>
      </c>
      <c r="G3671" t="n">
        <v>4.1</v>
      </c>
      <c r="H3671" t="n">
        <v>0</v>
      </c>
      <c r="I3671" t="n">
        <v>0</v>
      </c>
      <c r="J3671" t="n">
        <v>0</v>
      </c>
      <c r="K3671" t="n">
        <v>0</v>
      </c>
      <c r="L3671" t="n">
        <v>0</v>
      </c>
      <c r="M3671" t="n">
        <v>0</v>
      </c>
      <c r="N3671" t="n">
        <v>0</v>
      </c>
      <c r="O3671" t="n">
        <v>0</v>
      </c>
      <c r="P3671" t="n">
        <v>0</v>
      </c>
      <c r="Q3671" t="n">
        <v>0</v>
      </c>
      <c r="R3671" s="2" t="inlineStr"/>
    </row>
    <row r="3672" ht="15" customHeight="1">
      <c r="A3672" t="inlineStr">
        <is>
          <t>A 43996-2024</t>
        </is>
      </c>
      <c r="B3672" s="1" t="n">
        <v>45572.53714120371</v>
      </c>
      <c r="C3672" s="1" t="n">
        <v>45911</v>
      </c>
      <c r="D3672" t="inlineStr">
        <is>
          <t>GÄVLEBORGS LÄN</t>
        </is>
      </c>
      <c r="E3672" t="inlineStr">
        <is>
          <t>BOLLNÄS</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25814-2023</t>
        </is>
      </c>
      <c r="B3673" s="1" t="n">
        <v>45090.53184027778</v>
      </c>
      <c r="C3673" s="1" t="n">
        <v>45911</v>
      </c>
      <c r="D3673" t="inlineStr">
        <is>
          <t>GÄVLEBORGS LÄN</t>
        </is>
      </c>
      <c r="E3673" t="inlineStr">
        <is>
          <t>GÄVLE</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4864-2023</t>
        </is>
      </c>
      <c r="B3674" s="1" t="n">
        <v>44957.92511574074</v>
      </c>
      <c r="C3674" s="1" t="n">
        <v>45911</v>
      </c>
      <c r="D3674" t="inlineStr">
        <is>
          <t>GÄVLEBORGS LÄN</t>
        </is>
      </c>
      <c r="E3674" t="inlineStr">
        <is>
          <t>LJUSDAL</t>
        </is>
      </c>
      <c r="G3674" t="n">
        <v>3.4</v>
      </c>
      <c r="H3674" t="n">
        <v>0</v>
      </c>
      <c r="I3674" t="n">
        <v>0</v>
      </c>
      <c r="J3674" t="n">
        <v>0</v>
      </c>
      <c r="K3674" t="n">
        <v>0</v>
      </c>
      <c r="L3674" t="n">
        <v>0</v>
      </c>
      <c r="M3674" t="n">
        <v>0</v>
      </c>
      <c r="N3674" t="n">
        <v>0</v>
      </c>
      <c r="O3674" t="n">
        <v>0</v>
      </c>
      <c r="P3674" t="n">
        <v>0</v>
      </c>
      <c r="Q3674" t="n">
        <v>0</v>
      </c>
      <c r="R3674" s="2" t="inlineStr"/>
    </row>
    <row r="3675" ht="15" customHeight="1">
      <c r="A3675" t="inlineStr">
        <is>
          <t>A 28375-2025</t>
        </is>
      </c>
      <c r="B3675" s="1" t="n">
        <v>45818</v>
      </c>
      <c r="C3675" s="1" t="n">
        <v>45911</v>
      </c>
      <c r="D3675" t="inlineStr">
        <is>
          <t>GÄVLEBORGS LÄN</t>
        </is>
      </c>
      <c r="E3675" t="inlineStr">
        <is>
          <t>GÄVLE</t>
        </is>
      </c>
      <c r="F3675" t="inlineStr">
        <is>
          <t>Bergvik skog väst AB</t>
        </is>
      </c>
      <c r="G3675" t="n">
        <v>11.6</v>
      </c>
      <c r="H3675" t="n">
        <v>0</v>
      </c>
      <c r="I3675" t="n">
        <v>0</v>
      </c>
      <c r="J3675" t="n">
        <v>0</v>
      </c>
      <c r="K3675" t="n">
        <v>0</v>
      </c>
      <c r="L3675" t="n">
        <v>0</v>
      </c>
      <c r="M3675" t="n">
        <v>0</v>
      </c>
      <c r="N3675" t="n">
        <v>0</v>
      </c>
      <c r="O3675" t="n">
        <v>0</v>
      </c>
      <c r="P3675" t="n">
        <v>0</v>
      </c>
      <c r="Q3675" t="n">
        <v>0</v>
      </c>
      <c r="R3675" s="2" t="inlineStr"/>
    </row>
    <row r="3676" ht="15" customHeight="1">
      <c r="A3676" t="inlineStr">
        <is>
          <t>A 10118-2024</t>
        </is>
      </c>
      <c r="B3676" s="1" t="n">
        <v>45364.56001157407</v>
      </c>
      <c r="C3676" s="1" t="n">
        <v>45911</v>
      </c>
      <c r="D3676" t="inlineStr">
        <is>
          <t>GÄVLEBORGS LÄN</t>
        </is>
      </c>
      <c r="E3676" t="inlineStr">
        <is>
          <t>BOLLNÄS</t>
        </is>
      </c>
      <c r="G3676" t="n">
        <v>0.3</v>
      </c>
      <c r="H3676" t="n">
        <v>0</v>
      </c>
      <c r="I3676" t="n">
        <v>0</v>
      </c>
      <c r="J3676" t="n">
        <v>0</v>
      </c>
      <c r="K3676" t="n">
        <v>0</v>
      </c>
      <c r="L3676" t="n">
        <v>0</v>
      </c>
      <c r="M3676" t="n">
        <v>0</v>
      </c>
      <c r="N3676" t="n">
        <v>0</v>
      </c>
      <c r="O3676" t="n">
        <v>0</v>
      </c>
      <c r="P3676" t="n">
        <v>0</v>
      </c>
      <c r="Q3676" t="n">
        <v>0</v>
      </c>
      <c r="R3676" s="2" t="inlineStr"/>
    </row>
    <row r="3677" ht="15" customHeight="1">
      <c r="A3677" t="inlineStr">
        <is>
          <t>A 10119-2024</t>
        </is>
      </c>
      <c r="B3677" s="1" t="n">
        <v>45364.56122685185</v>
      </c>
      <c r="C3677" s="1" t="n">
        <v>45911</v>
      </c>
      <c r="D3677" t="inlineStr">
        <is>
          <t>GÄVLEBORGS LÄN</t>
        </is>
      </c>
      <c r="E3677" t="inlineStr">
        <is>
          <t>BOLLNÄS</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3635-2023</t>
        </is>
      </c>
      <c r="B3678" s="1" t="n">
        <v>44950</v>
      </c>
      <c r="C3678" s="1" t="n">
        <v>45911</v>
      </c>
      <c r="D3678" t="inlineStr">
        <is>
          <t>GÄVLEBORGS LÄN</t>
        </is>
      </c>
      <c r="E3678" t="inlineStr">
        <is>
          <t>LJUSDAL</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29841-2023</t>
        </is>
      </c>
      <c r="B3679" s="1" t="n">
        <v>45099</v>
      </c>
      <c r="C3679" s="1" t="n">
        <v>45911</v>
      </c>
      <c r="D3679" t="inlineStr">
        <is>
          <t>GÄVLEBORGS LÄN</t>
        </is>
      </c>
      <c r="E3679" t="inlineStr">
        <is>
          <t>LJUSDAL</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17690-2025</t>
        </is>
      </c>
      <c r="B3680" s="1" t="n">
        <v>45758.40640046296</v>
      </c>
      <c r="C3680" s="1" t="n">
        <v>45911</v>
      </c>
      <c r="D3680" t="inlineStr">
        <is>
          <t>GÄVLEBORGS LÄN</t>
        </is>
      </c>
      <c r="E3680" t="inlineStr">
        <is>
          <t>OCKELBO</t>
        </is>
      </c>
      <c r="F3680" t="inlineStr">
        <is>
          <t>Bergvik skog väst AB</t>
        </is>
      </c>
      <c r="G3680" t="n">
        <v>8.699999999999999</v>
      </c>
      <c r="H3680" t="n">
        <v>0</v>
      </c>
      <c r="I3680" t="n">
        <v>0</v>
      </c>
      <c r="J3680" t="n">
        <v>0</v>
      </c>
      <c r="K3680" t="n">
        <v>0</v>
      </c>
      <c r="L3680" t="n">
        <v>0</v>
      </c>
      <c r="M3680" t="n">
        <v>0</v>
      </c>
      <c r="N3680" t="n">
        <v>0</v>
      </c>
      <c r="O3680" t="n">
        <v>0</v>
      </c>
      <c r="P3680" t="n">
        <v>0</v>
      </c>
      <c r="Q3680" t="n">
        <v>0</v>
      </c>
      <c r="R3680" s="2" t="inlineStr"/>
    </row>
    <row r="3681" ht="15" customHeight="1">
      <c r="A3681" t="inlineStr">
        <is>
          <t>A 59130-2024</t>
        </is>
      </c>
      <c r="B3681" s="1" t="n">
        <v>45637</v>
      </c>
      <c r="C3681" s="1" t="n">
        <v>45911</v>
      </c>
      <c r="D3681" t="inlineStr">
        <is>
          <t>GÄVLEBORGS LÄN</t>
        </is>
      </c>
      <c r="E3681" t="inlineStr">
        <is>
          <t>HOFORS</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32924-2023</t>
        </is>
      </c>
      <c r="B3682" s="1" t="n">
        <v>45125.36489583334</v>
      </c>
      <c r="C3682" s="1" t="n">
        <v>45911</v>
      </c>
      <c r="D3682" t="inlineStr">
        <is>
          <t>GÄVLEBORGS LÄN</t>
        </is>
      </c>
      <c r="E3682" t="inlineStr">
        <is>
          <t>LJUSDAL</t>
        </is>
      </c>
      <c r="F3682" t="inlineStr">
        <is>
          <t>Holmen skog AB</t>
        </is>
      </c>
      <c r="G3682" t="n">
        <v>6</v>
      </c>
      <c r="H3682" t="n">
        <v>0</v>
      </c>
      <c r="I3682" t="n">
        <v>0</v>
      </c>
      <c r="J3682" t="n">
        <v>0</v>
      </c>
      <c r="K3682" t="n">
        <v>0</v>
      </c>
      <c r="L3682" t="n">
        <v>0</v>
      </c>
      <c r="M3682" t="n">
        <v>0</v>
      </c>
      <c r="N3682" t="n">
        <v>0</v>
      </c>
      <c r="O3682" t="n">
        <v>0</v>
      </c>
      <c r="P3682" t="n">
        <v>0</v>
      </c>
      <c r="Q3682" t="n">
        <v>0</v>
      </c>
      <c r="R3682" s="2" t="inlineStr"/>
    </row>
    <row r="3683" ht="15" customHeight="1">
      <c r="A3683" t="inlineStr">
        <is>
          <t>A 28184-2025</t>
        </is>
      </c>
      <c r="B3683" s="1" t="n">
        <v>45818.40274305556</v>
      </c>
      <c r="C3683" s="1" t="n">
        <v>45911</v>
      </c>
      <c r="D3683" t="inlineStr">
        <is>
          <t>GÄVLEBORGS LÄN</t>
        </is>
      </c>
      <c r="E3683" t="inlineStr">
        <is>
          <t>HUDIKSVALL</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32943-2023</t>
        </is>
      </c>
      <c r="B3684" s="1" t="n">
        <v>45125</v>
      </c>
      <c r="C3684" s="1" t="n">
        <v>45911</v>
      </c>
      <c r="D3684" t="inlineStr">
        <is>
          <t>GÄVLEBORGS LÄN</t>
        </is>
      </c>
      <c r="E3684" t="inlineStr">
        <is>
          <t>LJUSDAL</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28338-2025</t>
        </is>
      </c>
      <c r="B3685" s="1" t="n">
        <v>45818.66855324074</v>
      </c>
      <c r="C3685" s="1" t="n">
        <v>45911</v>
      </c>
      <c r="D3685" t="inlineStr">
        <is>
          <t>GÄVLEBORGS LÄN</t>
        </is>
      </c>
      <c r="E3685" t="inlineStr">
        <is>
          <t>BOLLNÄS</t>
        </is>
      </c>
      <c r="G3685" t="n">
        <v>4.7</v>
      </c>
      <c r="H3685" t="n">
        <v>0</v>
      </c>
      <c r="I3685" t="n">
        <v>0</v>
      </c>
      <c r="J3685" t="n">
        <v>0</v>
      </c>
      <c r="K3685" t="n">
        <v>0</v>
      </c>
      <c r="L3685" t="n">
        <v>0</v>
      </c>
      <c r="M3685" t="n">
        <v>0</v>
      </c>
      <c r="N3685" t="n">
        <v>0</v>
      </c>
      <c r="O3685" t="n">
        <v>0</v>
      </c>
      <c r="P3685" t="n">
        <v>0</v>
      </c>
      <c r="Q3685" t="n">
        <v>0</v>
      </c>
      <c r="R3685" s="2" t="inlineStr"/>
    </row>
    <row r="3686" ht="15" customHeight="1">
      <c r="A3686" t="inlineStr">
        <is>
          <t>A 14222-2025</t>
        </is>
      </c>
      <c r="B3686" s="1" t="n">
        <v>45740.58918981482</v>
      </c>
      <c r="C3686" s="1" t="n">
        <v>45911</v>
      </c>
      <c r="D3686" t="inlineStr">
        <is>
          <t>GÄVLEBORGS LÄN</t>
        </is>
      </c>
      <c r="E3686" t="inlineStr">
        <is>
          <t>GÄVLE</t>
        </is>
      </c>
      <c r="F3686" t="inlineStr">
        <is>
          <t>Bergvik skog öst AB</t>
        </is>
      </c>
      <c r="G3686" t="n">
        <v>19.5</v>
      </c>
      <c r="H3686" t="n">
        <v>0</v>
      </c>
      <c r="I3686" t="n">
        <v>0</v>
      </c>
      <c r="J3686" t="n">
        <v>0</v>
      </c>
      <c r="K3686" t="n">
        <v>0</v>
      </c>
      <c r="L3686" t="n">
        <v>0</v>
      </c>
      <c r="M3686" t="n">
        <v>0</v>
      </c>
      <c r="N3686" t="n">
        <v>0</v>
      </c>
      <c r="O3686" t="n">
        <v>0</v>
      </c>
      <c r="P3686" t="n">
        <v>0</v>
      </c>
      <c r="Q3686" t="n">
        <v>0</v>
      </c>
      <c r="R3686" s="2" t="inlineStr"/>
    </row>
    <row r="3687" ht="15" customHeight="1">
      <c r="A3687" t="inlineStr">
        <is>
          <t>A 27916-2025</t>
        </is>
      </c>
      <c r="B3687" s="1" t="n">
        <v>45817.48046296297</v>
      </c>
      <c r="C3687" s="1" t="n">
        <v>45911</v>
      </c>
      <c r="D3687" t="inlineStr">
        <is>
          <t>GÄVLEBORGS LÄN</t>
        </is>
      </c>
      <c r="E3687" t="inlineStr">
        <is>
          <t>LJUSDAL</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27886-2025</t>
        </is>
      </c>
      <c r="B3688" s="1" t="n">
        <v>45817.45390046296</v>
      </c>
      <c r="C3688" s="1" t="n">
        <v>45911</v>
      </c>
      <c r="D3688" t="inlineStr">
        <is>
          <t>GÄVLEBORGS LÄN</t>
        </is>
      </c>
      <c r="E3688" t="inlineStr">
        <is>
          <t>HUDIKSVALL</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2901-2021</t>
        </is>
      </c>
      <c r="B3689" s="1" t="n">
        <v>44216</v>
      </c>
      <c r="C3689" s="1" t="n">
        <v>45911</v>
      </c>
      <c r="D3689" t="inlineStr">
        <is>
          <t>GÄVLEBORGS LÄN</t>
        </is>
      </c>
      <c r="E3689" t="inlineStr">
        <is>
          <t>GÄVLE</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18357-2024</t>
        </is>
      </c>
      <c r="B3690" s="1" t="n">
        <v>45422.71068287037</v>
      </c>
      <c r="C3690" s="1" t="n">
        <v>45911</v>
      </c>
      <c r="D3690" t="inlineStr">
        <is>
          <t>GÄVLEBORGS LÄN</t>
        </is>
      </c>
      <c r="E3690" t="inlineStr">
        <is>
          <t>LJUSDAL</t>
        </is>
      </c>
      <c r="G3690" t="n">
        <v>3.8</v>
      </c>
      <c r="H3690" t="n">
        <v>0</v>
      </c>
      <c r="I3690" t="n">
        <v>0</v>
      </c>
      <c r="J3690" t="n">
        <v>0</v>
      </c>
      <c r="K3690" t="n">
        <v>0</v>
      </c>
      <c r="L3690" t="n">
        <v>0</v>
      </c>
      <c r="M3690" t="n">
        <v>0</v>
      </c>
      <c r="N3690" t="n">
        <v>0</v>
      </c>
      <c r="O3690" t="n">
        <v>0</v>
      </c>
      <c r="P3690" t="n">
        <v>0</v>
      </c>
      <c r="Q3690" t="n">
        <v>0</v>
      </c>
      <c r="R3690" s="2" t="inlineStr"/>
    </row>
    <row r="3691" ht="15" customHeight="1">
      <c r="A3691" t="inlineStr">
        <is>
          <t>A 34651-2021</t>
        </is>
      </c>
      <c r="B3691" s="1" t="n">
        <v>44382</v>
      </c>
      <c r="C3691" s="1" t="n">
        <v>45911</v>
      </c>
      <c r="D3691" t="inlineStr">
        <is>
          <t>GÄVLEBORGS LÄN</t>
        </is>
      </c>
      <c r="E3691" t="inlineStr">
        <is>
          <t>LJUSDAL</t>
        </is>
      </c>
      <c r="F3691" t="inlineStr">
        <is>
          <t>SCA</t>
        </is>
      </c>
      <c r="G3691" t="n">
        <v>15.5</v>
      </c>
      <c r="H3691" t="n">
        <v>0</v>
      </c>
      <c r="I3691" t="n">
        <v>0</v>
      </c>
      <c r="J3691" t="n">
        <v>0</v>
      </c>
      <c r="K3691" t="n">
        <v>0</v>
      </c>
      <c r="L3691" t="n">
        <v>0</v>
      </c>
      <c r="M3691" t="n">
        <v>0</v>
      </c>
      <c r="N3691" t="n">
        <v>0</v>
      </c>
      <c r="O3691" t="n">
        <v>0</v>
      </c>
      <c r="P3691" t="n">
        <v>0</v>
      </c>
      <c r="Q3691" t="n">
        <v>0</v>
      </c>
      <c r="R3691" s="2" t="inlineStr"/>
    </row>
    <row r="3692" ht="15" customHeight="1">
      <c r="A3692" t="inlineStr">
        <is>
          <t>A 13085-2023</t>
        </is>
      </c>
      <c r="B3692" s="1" t="n">
        <v>45002.42137731481</v>
      </c>
      <c r="C3692" s="1" t="n">
        <v>45911</v>
      </c>
      <c r="D3692" t="inlineStr">
        <is>
          <t>GÄVLEBORGS LÄN</t>
        </is>
      </c>
      <c r="E3692" t="inlineStr">
        <is>
          <t>HUDIKSVALL</t>
        </is>
      </c>
      <c r="F3692" t="inlineStr">
        <is>
          <t>Holmen skog AB</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1066-2025</t>
        </is>
      </c>
      <c r="B3693" s="1" t="n">
        <v>45666.58805555556</v>
      </c>
      <c r="C3693" s="1" t="n">
        <v>45911</v>
      </c>
      <c r="D3693" t="inlineStr">
        <is>
          <t>GÄVLEBORGS LÄN</t>
        </is>
      </c>
      <c r="E3693" t="inlineStr">
        <is>
          <t>GÄVLE</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60778-2022</t>
        </is>
      </c>
      <c r="B3694" s="1" t="n">
        <v>44914.38366898148</v>
      </c>
      <c r="C3694" s="1" t="n">
        <v>45911</v>
      </c>
      <c r="D3694" t="inlineStr">
        <is>
          <t>GÄVLEBORGS LÄN</t>
        </is>
      </c>
      <c r="E3694" t="inlineStr">
        <is>
          <t>OVANÅKER</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19789-2025</t>
        </is>
      </c>
      <c r="B3695" s="1" t="n">
        <v>45771.44474537037</v>
      </c>
      <c r="C3695" s="1" t="n">
        <v>45911</v>
      </c>
      <c r="D3695" t="inlineStr">
        <is>
          <t>GÄVLEBORGS LÄN</t>
        </is>
      </c>
      <c r="E3695" t="inlineStr">
        <is>
          <t>SÖDERHAMN</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41608-2024</t>
        </is>
      </c>
      <c r="B3696" s="1" t="n">
        <v>45560</v>
      </c>
      <c r="C3696" s="1" t="n">
        <v>45911</v>
      </c>
      <c r="D3696" t="inlineStr">
        <is>
          <t>GÄVLEBORGS LÄN</t>
        </is>
      </c>
      <c r="E3696" t="inlineStr">
        <is>
          <t>NORDANSTIG</t>
        </is>
      </c>
      <c r="F3696" t="inlineStr">
        <is>
          <t>Holmen skog AB</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20477-2025</t>
        </is>
      </c>
      <c r="B3697" s="1" t="n">
        <v>45775.55076388889</v>
      </c>
      <c r="C3697" s="1" t="n">
        <v>45911</v>
      </c>
      <c r="D3697" t="inlineStr">
        <is>
          <t>GÄVLEBORGS LÄN</t>
        </is>
      </c>
      <c r="E3697" t="inlineStr">
        <is>
          <t>LJUSDAL</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56209-2023</t>
        </is>
      </c>
      <c r="B3698" s="1" t="n">
        <v>45240</v>
      </c>
      <c r="C3698" s="1" t="n">
        <v>45911</v>
      </c>
      <c r="D3698" t="inlineStr">
        <is>
          <t>GÄVLEBORGS LÄN</t>
        </is>
      </c>
      <c r="E3698" t="inlineStr">
        <is>
          <t>BOLLNÄS</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27858-2025</t>
        </is>
      </c>
      <c r="B3699" s="1" t="n">
        <v>45817.41371527778</v>
      </c>
      <c r="C3699" s="1" t="n">
        <v>45911</v>
      </c>
      <c r="D3699" t="inlineStr">
        <is>
          <t>GÄVLEBORGS LÄN</t>
        </is>
      </c>
      <c r="E3699" t="inlineStr">
        <is>
          <t>GÄVLE</t>
        </is>
      </c>
      <c r="F3699" t="inlineStr">
        <is>
          <t>Bergvik skog väst AB</t>
        </is>
      </c>
      <c r="G3699" t="n">
        <v>4.1</v>
      </c>
      <c r="H3699" t="n">
        <v>0</v>
      </c>
      <c r="I3699" t="n">
        <v>0</v>
      </c>
      <c r="J3699" t="n">
        <v>0</v>
      </c>
      <c r="K3699" t="n">
        <v>0</v>
      </c>
      <c r="L3699" t="n">
        <v>0</v>
      </c>
      <c r="M3699" t="n">
        <v>0</v>
      </c>
      <c r="N3699" t="n">
        <v>0</v>
      </c>
      <c r="O3699" t="n">
        <v>0</v>
      </c>
      <c r="P3699" t="n">
        <v>0</v>
      </c>
      <c r="Q3699" t="n">
        <v>0</v>
      </c>
      <c r="R3699" s="2" t="inlineStr"/>
    </row>
    <row r="3700" ht="15" customHeight="1">
      <c r="A3700" t="inlineStr">
        <is>
          <t>A 27881-2025</t>
        </is>
      </c>
      <c r="B3700" s="1" t="n">
        <v>45817</v>
      </c>
      <c r="C3700" s="1" t="n">
        <v>45911</v>
      </c>
      <c r="D3700" t="inlineStr">
        <is>
          <t>GÄVLEBORGS LÄN</t>
        </is>
      </c>
      <c r="E3700" t="inlineStr">
        <is>
          <t>HUDIKSVALL</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27909-2025</t>
        </is>
      </c>
      <c r="B3701" s="1" t="n">
        <v>45817.47628472222</v>
      </c>
      <c r="C3701" s="1" t="n">
        <v>45911</v>
      </c>
      <c r="D3701" t="inlineStr">
        <is>
          <t>GÄVLEBORGS LÄN</t>
        </is>
      </c>
      <c r="E3701" t="inlineStr">
        <is>
          <t>HUDIKSVALL</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35498-2024</t>
        </is>
      </c>
      <c r="B3702" s="1" t="n">
        <v>45531.51796296296</v>
      </c>
      <c r="C3702" s="1" t="n">
        <v>45911</v>
      </c>
      <c r="D3702" t="inlineStr">
        <is>
          <t>GÄVLEBORGS LÄN</t>
        </is>
      </c>
      <c r="E3702" t="inlineStr">
        <is>
          <t>HOFORS</t>
        </is>
      </c>
      <c r="F3702" t="inlineStr">
        <is>
          <t>Sveaskog</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16515-2023</t>
        </is>
      </c>
      <c r="B3703" s="1" t="n">
        <v>45029.65342592593</v>
      </c>
      <c r="C3703" s="1" t="n">
        <v>45911</v>
      </c>
      <c r="D3703" t="inlineStr">
        <is>
          <t>GÄVLEBORGS LÄN</t>
        </is>
      </c>
      <c r="E3703" t="inlineStr">
        <is>
          <t>NORDANSTIG</t>
        </is>
      </c>
      <c r="F3703" t="inlineStr">
        <is>
          <t>Holmen skog AB</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16624-2023</t>
        </is>
      </c>
      <c r="B3704" s="1" t="n">
        <v>45030.43475694444</v>
      </c>
      <c r="C3704" s="1" t="n">
        <v>45911</v>
      </c>
      <c r="D3704" t="inlineStr">
        <is>
          <t>GÄVLEBORGS LÄN</t>
        </is>
      </c>
      <c r="E3704" t="inlineStr">
        <is>
          <t>GÄVLE</t>
        </is>
      </c>
      <c r="F3704" t="inlineStr">
        <is>
          <t>Bergvik skog väst AB</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28295-2025</t>
        </is>
      </c>
      <c r="B3705" s="1" t="n">
        <v>45818.59716435185</v>
      </c>
      <c r="C3705" s="1" t="n">
        <v>45911</v>
      </c>
      <c r="D3705" t="inlineStr">
        <is>
          <t>GÄVLEBORGS LÄN</t>
        </is>
      </c>
      <c r="E3705" t="inlineStr">
        <is>
          <t>SANDVIKEN</t>
        </is>
      </c>
      <c r="G3705" t="n">
        <v>4.6</v>
      </c>
      <c r="H3705" t="n">
        <v>0</v>
      </c>
      <c r="I3705" t="n">
        <v>0</v>
      </c>
      <c r="J3705" t="n">
        <v>0</v>
      </c>
      <c r="K3705" t="n">
        <v>0</v>
      </c>
      <c r="L3705" t="n">
        <v>0</v>
      </c>
      <c r="M3705" t="n">
        <v>0</v>
      </c>
      <c r="N3705" t="n">
        <v>0</v>
      </c>
      <c r="O3705" t="n">
        <v>0</v>
      </c>
      <c r="P3705" t="n">
        <v>0</v>
      </c>
      <c r="Q3705" t="n">
        <v>0</v>
      </c>
      <c r="R3705" s="2" t="inlineStr"/>
    </row>
    <row r="3706" ht="15" customHeight="1">
      <c r="A3706" t="inlineStr">
        <is>
          <t>A 27959-2025</t>
        </is>
      </c>
      <c r="B3706" s="1" t="n">
        <v>45816</v>
      </c>
      <c r="C3706" s="1" t="n">
        <v>45911</v>
      </c>
      <c r="D3706" t="inlineStr">
        <is>
          <t>GÄVLEBORGS LÄN</t>
        </is>
      </c>
      <c r="E3706" t="inlineStr">
        <is>
          <t>HOFORS</t>
        </is>
      </c>
      <c r="F3706" t="inlineStr">
        <is>
          <t>Bergvik skog väst AB</t>
        </is>
      </c>
      <c r="G3706" t="n">
        <v>45.6</v>
      </c>
      <c r="H3706" t="n">
        <v>0</v>
      </c>
      <c r="I3706" t="n">
        <v>0</v>
      </c>
      <c r="J3706" t="n">
        <v>0</v>
      </c>
      <c r="K3706" t="n">
        <v>0</v>
      </c>
      <c r="L3706" t="n">
        <v>0</v>
      </c>
      <c r="M3706" t="n">
        <v>0</v>
      </c>
      <c r="N3706" t="n">
        <v>0</v>
      </c>
      <c r="O3706" t="n">
        <v>0</v>
      </c>
      <c r="P3706" t="n">
        <v>0</v>
      </c>
      <c r="Q3706" t="n">
        <v>0</v>
      </c>
      <c r="R3706" s="2" t="inlineStr"/>
    </row>
    <row r="3707" ht="15" customHeight="1">
      <c r="A3707" t="inlineStr">
        <is>
          <t>A 15312-2023</t>
        </is>
      </c>
      <c r="B3707" s="1" t="n">
        <v>45019.47398148148</v>
      </c>
      <c r="C3707" s="1" t="n">
        <v>45911</v>
      </c>
      <c r="D3707" t="inlineStr">
        <is>
          <t>GÄVLEBORGS LÄN</t>
        </is>
      </c>
      <c r="E3707" t="inlineStr">
        <is>
          <t>GÄVLE</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27993-2025</t>
        </is>
      </c>
      <c r="B3708" s="1" t="n">
        <v>45817.59138888889</v>
      </c>
      <c r="C3708" s="1" t="n">
        <v>45911</v>
      </c>
      <c r="D3708" t="inlineStr">
        <is>
          <t>GÄVLEBORGS LÄN</t>
        </is>
      </c>
      <c r="E3708" t="inlineStr">
        <is>
          <t>HUDIKSVALL</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28005-2025</t>
        </is>
      </c>
      <c r="B3709" s="1" t="n">
        <v>45817.59769675926</v>
      </c>
      <c r="C3709" s="1" t="n">
        <v>45911</v>
      </c>
      <c r="D3709" t="inlineStr">
        <is>
          <t>GÄVLEBORGS LÄN</t>
        </is>
      </c>
      <c r="E3709" t="inlineStr">
        <is>
          <t>GÄVLE</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28006-2025</t>
        </is>
      </c>
      <c r="B3710" s="1" t="n">
        <v>45817.59944444444</v>
      </c>
      <c r="C3710" s="1" t="n">
        <v>45911</v>
      </c>
      <c r="D3710" t="inlineStr">
        <is>
          <t>GÄVLEBORGS LÄN</t>
        </is>
      </c>
      <c r="E3710" t="inlineStr">
        <is>
          <t>OCKELBO</t>
        </is>
      </c>
      <c r="F3710" t="inlineStr">
        <is>
          <t>Bergvik skog väst AB</t>
        </is>
      </c>
      <c r="G3710" t="n">
        <v>8.1</v>
      </c>
      <c r="H3710" t="n">
        <v>0</v>
      </c>
      <c r="I3710" t="n">
        <v>0</v>
      </c>
      <c r="J3710" t="n">
        <v>0</v>
      </c>
      <c r="K3710" t="n">
        <v>0</v>
      </c>
      <c r="L3710" t="n">
        <v>0</v>
      </c>
      <c r="M3710" t="n">
        <v>0</v>
      </c>
      <c r="N3710" t="n">
        <v>0</v>
      </c>
      <c r="O3710" t="n">
        <v>0</v>
      </c>
      <c r="P3710" t="n">
        <v>0</v>
      </c>
      <c r="Q3710" t="n">
        <v>0</v>
      </c>
      <c r="R3710" s="2" t="inlineStr"/>
    </row>
    <row r="3711" ht="15" customHeight="1">
      <c r="A3711" t="inlineStr">
        <is>
          <t>A 15312-2022</t>
        </is>
      </c>
      <c r="B3711" s="1" t="n">
        <v>44659.47033564815</v>
      </c>
      <c r="C3711" s="1" t="n">
        <v>45911</v>
      </c>
      <c r="D3711" t="inlineStr">
        <is>
          <t>GÄVLEBORGS LÄN</t>
        </is>
      </c>
      <c r="E3711" t="inlineStr">
        <is>
          <t>NORDANSTIG</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27894-2025</t>
        </is>
      </c>
      <c r="B3712" s="1" t="n">
        <v>45817.4644212963</v>
      </c>
      <c r="C3712" s="1" t="n">
        <v>45911</v>
      </c>
      <c r="D3712" t="inlineStr">
        <is>
          <t>GÄVLEBORGS LÄN</t>
        </is>
      </c>
      <c r="E3712" t="inlineStr">
        <is>
          <t>NORDANSTIG</t>
        </is>
      </c>
      <c r="F3712" t="inlineStr">
        <is>
          <t>Holmen skog AB</t>
        </is>
      </c>
      <c r="G3712" t="n">
        <v>8.6</v>
      </c>
      <c r="H3712" t="n">
        <v>0</v>
      </c>
      <c r="I3712" t="n">
        <v>0</v>
      </c>
      <c r="J3712" t="n">
        <v>0</v>
      </c>
      <c r="K3712" t="n">
        <v>0</v>
      </c>
      <c r="L3712" t="n">
        <v>0</v>
      </c>
      <c r="M3712" t="n">
        <v>0</v>
      </c>
      <c r="N3712" t="n">
        <v>0</v>
      </c>
      <c r="O3712" t="n">
        <v>0</v>
      </c>
      <c r="P3712" t="n">
        <v>0</v>
      </c>
      <c r="Q3712" t="n">
        <v>0</v>
      </c>
      <c r="R3712" s="2" t="inlineStr"/>
    </row>
    <row r="3713" ht="15" customHeight="1">
      <c r="A3713" t="inlineStr">
        <is>
          <t>A 27928-2025</t>
        </is>
      </c>
      <c r="B3713" s="1" t="n">
        <v>45817.49019675926</v>
      </c>
      <c r="C3713" s="1" t="n">
        <v>45911</v>
      </c>
      <c r="D3713" t="inlineStr">
        <is>
          <t>GÄVLEBORGS LÄN</t>
        </is>
      </c>
      <c r="E3713" t="inlineStr">
        <is>
          <t>LJUSDAL</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7136-2025</t>
        </is>
      </c>
      <c r="B3714" s="1" t="n">
        <v>45702.36628472222</v>
      </c>
      <c r="C3714" s="1" t="n">
        <v>45911</v>
      </c>
      <c r="D3714" t="inlineStr">
        <is>
          <t>GÄVLEBORGS LÄN</t>
        </is>
      </c>
      <c r="E3714" t="inlineStr">
        <is>
          <t>BOLLNÄS</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6730-2025</t>
        </is>
      </c>
      <c r="B3715" s="1" t="n">
        <v>45700.59322916667</v>
      </c>
      <c r="C3715" s="1" t="n">
        <v>45911</v>
      </c>
      <c r="D3715" t="inlineStr">
        <is>
          <t>GÄVLEBORGS LÄN</t>
        </is>
      </c>
      <c r="E3715" t="inlineStr">
        <is>
          <t>HUDIKSVALL</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31571-2024</t>
        </is>
      </c>
      <c r="B3716" s="1" t="n">
        <v>45506.3241087963</v>
      </c>
      <c r="C3716" s="1" t="n">
        <v>45911</v>
      </c>
      <c r="D3716" t="inlineStr">
        <is>
          <t>GÄVLEBORGS LÄN</t>
        </is>
      </c>
      <c r="E3716" t="inlineStr">
        <is>
          <t>NORDANSTIG</t>
        </is>
      </c>
      <c r="F3716" t="inlineStr">
        <is>
          <t>Holmen skog AB</t>
        </is>
      </c>
      <c r="G3716" t="n">
        <v>5.7</v>
      </c>
      <c r="H3716" t="n">
        <v>0</v>
      </c>
      <c r="I3716" t="n">
        <v>0</v>
      </c>
      <c r="J3716" t="n">
        <v>0</v>
      </c>
      <c r="K3716" t="n">
        <v>0</v>
      </c>
      <c r="L3716" t="n">
        <v>0</v>
      </c>
      <c r="M3716" t="n">
        <v>0</v>
      </c>
      <c r="N3716" t="n">
        <v>0</v>
      </c>
      <c r="O3716" t="n">
        <v>0</v>
      </c>
      <c r="P3716" t="n">
        <v>0</v>
      </c>
      <c r="Q3716" t="n">
        <v>0</v>
      </c>
      <c r="R3716" s="2" t="inlineStr"/>
    </row>
    <row r="3717" ht="15" customHeight="1">
      <c r="A3717" t="inlineStr">
        <is>
          <t>A 1716-2025</t>
        </is>
      </c>
      <c r="B3717" s="1" t="n">
        <v>45671.3278587963</v>
      </c>
      <c r="C3717" s="1" t="n">
        <v>45911</v>
      </c>
      <c r="D3717" t="inlineStr">
        <is>
          <t>GÄVLEBORGS LÄN</t>
        </is>
      </c>
      <c r="E3717" t="inlineStr">
        <is>
          <t>OCKELBO</t>
        </is>
      </c>
      <c r="F3717" t="inlineStr">
        <is>
          <t>Bergvik skog väst AB</t>
        </is>
      </c>
      <c r="G3717" t="n">
        <v>3.2</v>
      </c>
      <c r="H3717" t="n">
        <v>0</v>
      </c>
      <c r="I3717" t="n">
        <v>0</v>
      </c>
      <c r="J3717" t="n">
        <v>0</v>
      </c>
      <c r="K3717" t="n">
        <v>0</v>
      </c>
      <c r="L3717" t="n">
        <v>0</v>
      </c>
      <c r="M3717" t="n">
        <v>0</v>
      </c>
      <c r="N3717" t="n">
        <v>0</v>
      </c>
      <c r="O3717" t="n">
        <v>0</v>
      </c>
      <c r="P3717" t="n">
        <v>0</v>
      </c>
      <c r="Q3717" t="n">
        <v>0</v>
      </c>
      <c r="R3717" s="2" t="inlineStr"/>
    </row>
    <row r="3718" ht="15" customHeight="1">
      <c r="A3718" t="inlineStr">
        <is>
          <t>A 42537-2024</t>
        </is>
      </c>
      <c r="B3718" s="1" t="n">
        <v>45565.58545138889</v>
      </c>
      <c r="C3718" s="1" t="n">
        <v>45911</v>
      </c>
      <c r="D3718" t="inlineStr">
        <is>
          <t>GÄVLEBORGS LÄN</t>
        </is>
      </c>
      <c r="E3718" t="inlineStr">
        <is>
          <t>LJUSDAL</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54219-2023</t>
        </is>
      </c>
      <c r="B3719" s="1" t="n">
        <v>45232</v>
      </c>
      <c r="C3719" s="1" t="n">
        <v>45911</v>
      </c>
      <c r="D3719" t="inlineStr">
        <is>
          <t>GÄVLEBORGS LÄN</t>
        </is>
      </c>
      <c r="E3719" t="inlineStr">
        <is>
          <t>HUDIKSVALL</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45519-2022</t>
        </is>
      </c>
      <c r="B3720" s="1" t="n">
        <v>44845</v>
      </c>
      <c r="C3720" s="1" t="n">
        <v>45911</v>
      </c>
      <c r="D3720" t="inlineStr">
        <is>
          <t>GÄVLEBORGS LÄN</t>
        </is>
      </c>
      <c r="E3720" t="inlineStr">
        <is>
          <t>OCKELBO</t>
        </is>
      </c>
      <c r="F3720" t="inlineStr">
        <is>
          <t>Bergvik skog väst AB</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28241-2025</t>
        </is>
      </c>
      <c r="B3721" s="1" t="n">
        <v>45818.50731481481</v>
      </c>
      <c r="C3721" s="1" t="n">
        <v>45911</v>
      </c>
      <c r="D3721" t="inlineStr">
        <is>
          <t>GÄVLEBORGS LÄN</t>
        </is>
      </c>
      <c r="E3721" t="inlineStr">
        <is>
          <t>NORDANSTIG</t>
        </is>
      </c>
      <c r="G3721" t="n">
        <v>9.800000000000001</v>
      </c>
      <c r="H3721" t="n">
        <v>0</v>
      </c>
      <c r="I3721" t="n">
        <v>0</v>
      </c>
      <c r="J3721" t="n">
        <v>0</v>
      </c>
      <c r="K3721" t="n">
        <v>0</v>
      </c>
      <c r="L3721" t="n">
        <v>0</v>
      </c>
      <c r="M3721" t="n">
        <v>0</v>
      </c>
      <c r="N3721" t="n">
        <v>0</v>
      </c>
      <c r="O3721" t="n">
        <v>0</v>
      </c>
      <c r="P3721" t="n">
        <v>0</v>
      </c>
      <c r="Q3721" t="n">
        <v>0</v>
      </c>
      <c r="R3721" s="2" t="inlineStr"/>
    </row>
    <row r="3722" ht="15" customHeight="1">
      <c r="A3722" t="inlineStr">
        <is>
          <t>A 541-2021</t>
        </is>
      </c>
      <c r="B3722" s="1" t="n">
        <v>44203</v>
      </c>
      <c r="C3722" s="1" t="n">
        <v>45911</v>
      </c>
      <c r="D3722" t="inlineStr">
        <is>
          <t>GÄVLEBORGS LÄN</t>
        </is>
      </c>
      <c r="E3722" t="inlineStr">
        <is>
          <t>BOLLNÄS</t>
        </is>
      </c>
      <c r="F3722" t="inlineStr">
        <is>
          <t>Bergvik skog väst AB</t>
        </is>
      </c>
      <c r="G3722" t="n">
        <v>14.5</v>
      </c>
      <c r="H3722" t="n">
        <v>0</v>
      </c>
      <c r="I3722" t="n">
        <v>0</v>
      </c>
      <c r="J3722" t="n">
        <v>0</v>
      </c>
      <c r="K3722" t="n">
        <v>0</v>
      </c>
      <c r="L3722" t="n">
        <v>0</v>
      </c>
      <c r="M3722" t="n">
        <v>0</v>
      </c>
      <c r="N3722" t="n">
        <v>0</v>
      </c>
      <c r="O3722" t="n">
        <v>0</v>
      </c>
      <c r="P3722" t="n">
        <v>0</v>
      </c>
      <c r="Q3722" t="n">
        <v>0</v>
      </c>
      <c r="R3722" s="2" t="inlineStr"/>
    </row>
    <row r="3723" ht="15" customHeight="1">
      <c r="A3723" t="inlineStr">
        <is>
          <t>A 28245-2025</t>
        </is>
      </c>
      <c r="B3723" s="1" t="n">
        <v>45818.51226851852</v>
      </c>
      <c r="C3723" s="1" t="n">
        <v>45911</v>
      </c>
      <c r="D3723" t="inlineStr">
        <is>
          <t>GÄVLEBORGS LÄN</t>
        </is>
      </c>
      <c r="E3723" t="inlineStr">
        <is>
          <t>NORDANSTIG</t>
        </is>
      </c>
      <c r="G3723" t="n">
        <v>5.6</v>
      </c>
      <c r="H3723" t="n">
        <v>0</v>
      </c>
      <c r="I3723" t="n">
        <v>0</v>
      </c>
      <c r="J3723" t="n">
        <v>0</v>
      </c>
      <c r="K3723" t="n">
        <v>0</v>
      </c>
      <c r="L3723" t="n">
        <v>0</v>
      </c>
      <c r="M3723" t="n">
        <v>0</v>
      </c>
      <c r="N3723" t="n">
        <v>0</v>
      </c>
      <c r="O3723" t="n">
        <v>0</v>
      </c>
      <c r="P3723" t="n">
        <v>0</v>
      </c>
      <c r="Q3723" t="n">
        <v>0</v>
      </c>
      <c r="R3723" s="2" t="inlineStr"/>
    </row>
    <row r="3724" ht="15" customHeight="1">
      <c r="A3724" t="inlineStr">
        <is>
          <t>A 59128-2024</t>
        </is>
      </c>
      <c r="B3724" s="1" t="n">
        <v>45637</v>
      </c>
      <c r="C3724" s="1" t="n">
        <v>45911</v>
      </c>
      <c r="D3724" t="inlineStr">
        <is>
          <t>GÄVLEBORGS LÄN</t>
        </is>
      </c>
      <c r="E3724" t="inlineStr">
        <is>
          <t>NORDANSTIG</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28080-2025</t>
        </is>
      </c>
      <c r="B3725" s="1" t="n">
        <v>45817.70028935185</v>
      </c>
      <c r="C3725" s="1" t="n">
        <v>45911</v>
      </c>
      <c r="D3725" t="inlineStr">
        <is>
          <t>GÄVLEBORGS LÄN</t>
        </is>
      </c>
      <c r="E3725" t="inlineStr">
        <is>
          <t>OCKELBO</t>
        </is>
      </c>
      <c r="G3725" t="n">
        <v>4.9</v>
      </c>
      <c r="H3725" t="n">
        <v>0</v>
      </c>
      <c r="I3725" t="n">
        <v>0</v>
      </c>
      <c r="J3725" t="n">
        <v>0</v>
      </c>
      <c r="K3725" t="n">
        <v>0</v>
      </c>
      <c r="L3725" t="n">
        <v>0</v>
      </c>
      <c r="M3725" t="n">
        <v>0</v>
      </c>
      <c r="N3725" t="n">
        <v>0</v>
      </c>
      <c r="O3725" t="n">
        <v>0</v>
      </c>
      <c r="P3725" t="n">
        <v>0</v>
      </c>
      <c r="Q3725" t="n">
        <v>0</v>
      </c>
      <c r="R3725" s="2" t="inlineStr"/>
    </row>
    <row r="3726" ht="15" customHeight="1">
      <c r="A3726" t="inlineStr">
        <is>
          <t>A 19972-2024</t>
        </is>
      </c>
      <c r="B3726" s="1" t="n">
        <v>45433</v>
      </c>
      <c r="C3726" s="1" t="n">
        <v>45911</v>
      </c>
      <c r="D3726" t="inlineStr">
        <is>
          <t>GÄVLEBORGS LÄN</t>
        </is>
      </c>
      <c r="E3726" t="inlineStr">
        <is>
          <t>BOLLNÄS</t>
        </is>
      </c>
      <c r="G3726" t="n">
        <v>9.4</v>
      </c>
      <c r="H3726" t="n">
        <v>0</v>
      </c>
      <c r="I3726" t="n">
        <v>0</v>
      </c>
      <c r="J3726" t="n">
        <v>0</v>
      </c>
      <c r="K3726" t="n">
        <v>0</v>
      </c>
      <c r="L3726" t="n">
        <v>0</v>
      </c>
      <c r="M3726" t="n">
        <v>0</v>
      </c>
      <c r="N3726" t="n">
        <v>0</v>
      </c>
      <c r="O3726" t="n">
        <v>0</v>
      </c>
      <c r="P3726" t="n">
        <v>0</v>
      </c>
      <c r="Q3726" t="n">
        <v>0</v>
      </c>
      <c r="R3726" s="2" t="inlineStr"/>
    </row>
    <row r="3727" ht="15" customHeight="1">
      <c r="A3727" t="inlineStr">
        <is>
          <t>A 20043-2024</t>
        </is>
      </c>
      <c r="B3727" s="1" t="n">
        <v>45434</v>
      </c>
      <c r="C3727" s="1" t="n">
        <v>45911</v>
      </c>
      <c r="D3727" t="inlineStr">
        <is>
          <t>GÄVLEBORGS LÄN</t>
        </is>
      </c>
      <c r="E3727" t="inlineStr">
        <is>
          <t>LJUSDAL</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35737-2023</t>
        </is>
      </c>
      <c r="B3728" s="1" t="n">
        <v>45147</v>
      </c>
      <c r="C3728" s="1" t="n">
        <v>45911</v>
      </c>
      <c r="D3728" t="inlineStr">
        <is>
          <t>GÄVLEBORGS LÄN</t>
        </is>
      </c>
      <c r="E3728" t="inlineStr">
        <is>
          <t>HUDIKSVALL</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50413-2023</t>
        </is>
      </c>
      <c r="B3729" s="1" t="n">
        <v>45216.66340277778</v>
      </c>
      <c r="C3729" s="1" t="n">
        <v>45911</v>
      </c>
      <c r="D3729" t="inlineStr">
        <is>
          <t>GÄVLEBORGS LÄN</t>
        </is>
      </c>
      <c r="E3729" t="inlineStr">
        <is>
          <t>NORDANSTIG</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67015-2020</t>
        </is>
      </c>
      <c r="B3730" s="1" t="n">
        <v>44176</v>
      </c>
      <c r="C3730" s="1" t="n">
        <v>45911</v>
      </c>
      <c r="D3730" t="inlineStr">
        <is>
          <t>GÄVLEBORGS LÄN</t>
        </is>
      </c>
      <c r="E3730" t="inlineStr">
        <is>
          <t>OCKELBO</t>
        </is>
      </c>
      <c r="G3730" t="n">
        <v>21.8</v>
      </c>
      <c r="H3730" t="n">
        <v>0</v>
      </c>
      <c r="I3730" t="n">
        <v>0</v>
      </c>
      <c r="J3730" t="n">
        <v>0</v>
      </c>
      <c r="K3730" t="n">
        <v>0</v>
      </c>
      <c r="L3730" t="n">
        <v>0</v>
      </c>
      <c r="M3730" t="n">
        <v>0</v>
      </c>
      <c r="N3730" t="n">
        <v>0</v>
      </c>
      <c r="O3730" t="n">
        <v>0</v>
      </c>
      <c r="P3730" t="n">
        <v>0</v>
      </c>
      <c r="Q3730" t="n">
        <v>0</v>
      </c>
      <c r="R3730" s="2" t="inlineStr"/>
    </row>
    <row r="3731" ht="15" customHeight="1">
      <c r="A3731" t="inlineStr">
        <is>
          <t>A 16771-2025</t>
        </is>
      </c>
      <c r="B3731" s="1" t="n">
        <v>45754.57960648148</v>
      </c>
      <c r="C3731" s="1" t="n">
        <v>45911</v>
      </c>
      <c r="D3731" t="inlineStr">
        <is>
          <t>GÄVLEBORGS LÄN</t>
        </is>
      </c>
      <c r="E3731" t="inlineStr">
        <is>
          <t>OCKELBO</t>
        </is>
      </c>
      <c r="G3731" t="n">
        <v>3.6</v>
      </c>
      <c r="H3731" t="n">
        <v>0</v>
      </c>
      <c r="I3731" t="n">
        <v>0</v>
      </c>
      <c r="J3731" t="n">
        <v>0</v>
      </c>
      <c r="K3731" t="n">
        <v>0</v>
      </c>
      <c r="L3731" t="n">
        <v>0</v>
      </c>
      <c r="M3731" t="n">
        <v>0</v>
      </c>
      <c r="N3731" t="n">
        <v>0</v>
      </c>
      <c r="O3731" t="n">
        <v>0</v>
      </c>
      <c r="P3731" t="n">
        <v>0</v>
      </c>
      <c r="Q3731" t="n">
        <v>0</v>
      </c>
      <c r="R3731" s="2" t="inlineStr"/>
    </row>
    <row r="3732" ht="15" customHeight="1">
      <c r="A3732" t="inlineStr">
        <is>
          <t>A 6990-2025</t>
        </is>
      </c>
      <c r="B3732" s="1" t="n">
        <v>45701</v>
      </c>
      <c r="C3732" s="1" t="n">
        <v>45911</v>
      </c>
      <c r="D3732" t="inlineStr">
        <is>
          <t>GÄVLEBORGS LÄN</t>
        </is>
      </c>
      <c r="E3732" t="inlineStr">
        <is>
          <t>HUDIKSVALL</t>
        </is>
      </c>
      <c r="G3732" t="n">
        <v>7.2</v>
      </c>
      <c r="H3732" t="n">
        <v>0</v>
      </c>
      <c r="I3732" t="n">
        <v>0</v>
      </c>
      <c r="J3732" t="n">
        <v>0</v>
      </c>
      <c r="K3732" t="n">
        <v>0</v>
      </c>
      <c r="L3732" t="n">
        <v>0</v>
      </c>
      <c r="M3732" t="n">
        <v>0</v>
      </c>
      <c r="N3732" t="n">
        <v>0</v>
      </c>
      <c r="O3732" t="n">
        <v>0</v>
      </c>
      <c r="P3732" t="n">
        <v>0</v>
      </c>
      <c r="Q3732" t="n">
        <v>0</v>
      </c>
      <c r="R3732" s="2" t="inlineStr"/>
    </row>
    <row r="3733" ht="15" customHeight="1">
      <c r="A3733" t="inlineStr">
        <is>
          <t>A 27839-2025</t>
        </is>
      </c>
      <c r="B3733" s="1" t="n">
        <v>45817.37427083333</v>
      </c>
      <c r="C3733" s="1" t="n">
        <v>45911</v>
      </c>
      <c r="D3733" t="inlineStr">
        <is>
          <t>GÄVLEBORGS LÄN</t>
        </is>
      </c>
      <c r="E3733" t="inlineStr">
        <is>
          <t>LJUSDAL</t>
        </is>
      </c>
      <c r="F3733" t="inlineStr">
        <is>
          <t>Holmen skog AB</t>
        </is>
      </c>
      <c r="G3733" t="n">
        <v>20.9</v>
      </c>
      <c r="H3733" t="n">
        <v>0</v>
      </c>
      <c r="I3733" t="n">
        <v>0</v>
      </c>
      <c r="J3733" t="n">
        <v>0</v>
      </c>
      <c r="K3733" t="n">
        <v>0</v>
      </c>
      <c r="L3733" t="n">
        <v>0</v>
      </c>
      <c r="M3733" t="n">
        <v>0</v>
      </c>
      <c r="N3733" t="n">
        <v>0</v>
      </c>
      <c r="O3733" t="n">
        <v>0</v>
      </c>
      <c r="P3733" t="n">
        <v>0</v>
      </c>
      <c r="Q3733" t="n">
        <v>0</v>
      </c>
      <c r="R3733" s="2" t="inlineStr"/>
    </row>
    <row r="3734" ht="15" customHeight="1">
      <c r="A3734" t="inlineStr">
        <is>
          <t>A 27841-2025</t>
        </is>
      </c>
      <c r="B3734" s="1" t="n">
        <v>45817.37618055556</v>
      </c>
      <c r="C3734" s="1" t="n">
        <v>45911</v>
      </c>
      <c r="D3734" t="inlineStr">
        <is>
          <t>GÄVLEBORGS LÄN</t>
        </is>
      </c>
      <c r="E3734" t="inlineStr">
        <is>
          <t>NORDANSTIG</t>
        </is>
      </c>
      <c r="F3734" t="inlineStr">
        <is>
          <t>Holmen skog AB</t>
        </is>
      </c>
      <c r="G3734" t="n">
        <v>14.2</v>
      </c>
      <c r="H3734" t="n">
        <v>0</v>
      </c>
      <c r="I3734" t="n">
        <v>0</v>
      </c>
      <c r="J3734" t="n">
        <v>0</v>
      </c>
      <c r="K3734" t="n">
        <v>0</v>
      </c>
      <c r="L3734" t="n">
        <v>0</v>
      </c>
      <c r="M3734" t="n">
        <v>0</v>
      </c>
      <c r="N3734" t="n">
        <v>0</v>
      </c>
      <c r="O3734" t="n">
        <v>0</v>
      </c>
      <c r="P3734" t="n">
        <v>0</v>
      </c>
      <c r="Q3734" t="n">
        <v>0</v>
      </c>
      <c r="R3734" s="2" t="inlineStr"/>
    </row>
    <row r="3735" ht="15" customHeight="1">
      <c r="A3735" t="inlineStr">
        <is>
          <t>A 27905-2025</t>
        </is>
      </c>
      <c r="B3735" s="1" t="n">
        <v>45817.46819444445</v>
      </c>
      <c r="C3735" s="1" t="n">
        <v>45911</v>
      </c>
      <c r="D3735" t="inlineStr">
        <is>
          <t>GÄVLEBORGS LÄN</t>
        </is>
      </c>
      <c r="E3735" t="inlineStr">
        <is>
          <t>LJUSDAL</t>
        </is>
      </c>
      <c r="F3735" t="inlineStr">
        <is>
          <t>Holmen skog AB</t>
        </is>
      </c>
      <c r="G3735" t="n">
        <v>9.699999999999999</v>
      </c>
      <c r="H3735" t="n">
        <v>0</v>
      </c>
      <c r="I3735" t="n">
        <v>0</v>
      </c>
      <c r="J3735" t="n">
        <v>0</v>
      </c>
      <c r="K3735" t="n">
        <v>0</v>
      </c>
      <c r="L3735" t="n">
        <v>0</v>
      </c>
      <c r="M3735" t="n">
        <v>0</v>
      </c>
      <c r="N3735" t="n">
        <v>0</v>
      </c>
      <c r="O3735" t="n">
        <v>0</v>
      </c>
      <c r="P3735" t="n">
        <v>0</v>
      </c>
      <c r="Q3735" t="n">
        <v>0</v>
      </c>
      <c r="R3735" s="2" t="inlineStr"/>
    </row>
    <row r="3736" ht="15" customHeight="1">
      <c r="A3736" t="inlineStr">
        <is>
          <t>A 48848-2024</t>
        </is>
      </c>
      <c r="B3736" s="1" t="n">
        <v>45593.8021875</v>
      </c>
      <c r="C3736" s="1" t="n">
        <v>45911</v>
      </c>
      <c r="D3736" t="inlineStr">
        <is>
          <t>GÄVLEBORGS LÄN</t>
        </is>
      </c>
      <c r="E3736" t="inlineStr">
        <is>
          <t>LJUSDAL</t>
        </is>
      </c>
      <c r="F3736" t="inlineStr">
        <is>
          <t>Bergvik skog väst AB</t>
        </is>
      </c>
      <c r="G3736" t="n">
        <v>5.4</v>
      </c>
      <c r="H3736" t="n">
        <v>0</v>
      </c>
      <c r="I3736" t="n">
        <v>0</v>
      </c>
      <c r="J3736" t="n">
        <v>0</v>
      </c>
      <c r="K3736" t="n">
        <v>0</v>
      </c>
      <c r="L3736" t="n">
        <v>0</v>
      </c>
      <c r="M3736" t="n">
        <v>0</v>
      </c>
      <c r="N3736" t="n">
        <v>0</v>
      </c>
      <c r="O3736" t="n">
        <v>0</v>
      </c>
      <c r="P3736" t="n">
        <v>0</v>
      </c>
      <c r="Q3736" t="n">
        <v>0</v>
      </c>
      <c r="R3736" s="2" t="inlineStr"/>
    </row>
    <row r="3737" ht="15" customHeight="1">
      <c r="A3737" t="inlineStr">
        <is>
          <t>A 55291-2024</t>
        </is>
      </c>
      <c r="B3737" s="1" t="n">
        <v>45621.63578703703</v>
      </c>
      <c r="C3737" s="1" t="n">
        <v>45911</v>
      </c>
      <c r="D3737" t="inlineStr">
        <is>
          <t>GÄVLEBORGS LÄN</t>
        </is>
      </c>
      <c r="E3737" t="inlineStr">
        <is>
          <t>LJUSDAL</t>
        </is>
      </c>
      <c r="F3737" t="inlineStr">
        <is>
          <t>Sveaskog</t>
        </is>
      </c>
      <c r="G3737" t="n">
        <v>4.5</v>
      </c>
      <c r="H3737" t="n">
        <v>0</v>
      </c>
      <c r="I3737" t="n">
        <v>0</v>
      </c>
      <c r="J3737" t="n">
        <v>0</v>
      </c>
      <c r="K3737" t="n">
        <v>0</v>
      </c>
      <c r="L3737" t="n">
        <v>0</v>
      </c>
      <c r="M3737" t="n">
        <v>0</v>
      </c>
      <c r="N3737" t="n">
        <v>0</v>
      </c>
      <c r="O3737" t="n">
        <v>0</v>
      </c>
      <c r="P3737" t="n">
        <v>0</v>
      </c>
      <c r="Q3737" t="n">
        <v>0</v>
      </c>
      <c r="R3737" s="2" t="inlineStr"/>
    </row>
    <row r="3738" ht="15" customHeight="1">
      <c r="A3738" t="inlineStr">
        <is>
          <t>A 27817-2025</t>
        </is>
      </c>
      <c r="B3738" s="1" t="n">
        <v>45817.33469907408</v>
      </c>
      <c r="C3738" s="1" t="n">
        <v>45911</v>
      </c>
      <c r="D3738" t="inlineStr">
        <is>
          <t>GÄVLEBORGS LÄN</t>
        </is>
      </c>
      <c r="E3738" t="inlineStr">
        <is>
          <t>LJUSDAL</t>
        </is>
      </c>
      <c r="G3738" t="n">
        <v>8.9</v>
      </c>
      <c r="H3738" t="n">
        <v>0</v>
      </c>
      <c r="I3738" t="n">
        <v>0</v>
      </c>
      <c r="J3738" t="n">
        <v>0</v>
      </c>
      <c r="K3738" t="n">
        <v>0</v>
      </c>
      <c r="L3738" t="n">
        <v>0</v>
      </c>
      <c r="M3738" t="n">
        <v>0</v>
      </c>
      <c r="N3738" t="n">
        <v>0</v>
      </c>
      <c r="O3738" t="n">
        <v>0</v>
      </c>
      <c r="P3738" t="n">
        <v>0</v>
      </c>
      <c r="Q3738" t="n">
        <v>0</v>
      </c>
      <c r="R3738" s="2" t="inlineStr"/>
    </row>
    <row r="3739" ht="15" customHeight="1">
      <c r="A3739" t="inlineStr">
        <is>
          <t>A 6780-2025</t>
        </is>
      </c>
      <c r="B3739" s="1" t="n">
        <v>45700.64942129629</v>
      </c>
      <c r="C3739" s="1" t="n">
        <v>45911</v>
      </c>
      <c r="D3739" t="inlineStr">
        <is>
          <t>GÄVLEBORGS LÄN</t>
        </is>
      </c>
      <c r="E3739" t="inlineStr">
        <is>
          <t>GÄVLE</t>
        </is>
      </c>
      <c r="F3739" t="inlineStr">
        <is>
          <t>Bergvik skog öst AB</t>
        </is>
      </c>
      <c r="G3739" t="n">
        <v>2.8</v>
      </c>
      <c r="H3739" t="n">
        <v>0</v>
      </c>
      <c r="I3739" t="n">
        <v>0</v>
      </c>
      <c r="J3739" t="n">
        <v>0</v>
      </c>
      <c r="K3739" t="n">
        <v>0</v>
      </c>
      <c r="L3739" t="n">
        <v>0</v>
      </c>
      <c r="M3739" t="n">
        <v>0</v>
      </c>
      <c r="N3739" t="n">
        <v>0</v>
      </c>
      <c r="O3739" t="n">
        <v>0</v>
      </c>
      <c r="P3739" t="n">
        <v>0</v>
      </c>
      <c r="Q3739" t="n">
        <v>0</v>
      </c>
      <c r="R3739" s="2" t="inlineStr"/>
    </row>
    <row r="3740" ht="15" customHeight="1">
      <c r="A3740" t="inlineStr">
        <is>
          <t>A 9449-2025</t>
        </is>
      </c>
      <c r="B3740" s="1" t="n">
        <v>45715.42604166667</v>
      </c>
      <c r="C3740" s="1" t="n">
        <v>45911</v>
      </c>
      <c r="D3740" t="inlineStr">
        <is>
          <t>GÄVLEBORGS LÄN</t>
        </is>
      </c>
      <c r="E3740" t="inlineStr">
        <is>
          <t>GÄVLE</t>
        </is>
      </c>
      <c r="G3740" t="n">
        <v>2.8</v>
      </c>
      <c r="H3740" t="n">
        <v>0</v>
      </c>
      <c r="I3740" t="n">
        <v>0</v>
      </c>
      <c r="J3740" t="n">
        <v>0</v>
      </c>
      <c r="K3740" t="n">
        <v>0</v>
      </c>
      <c r="L3740" t="n">
        <v>0</v>
      </c>
      <c r="M3740" t="n">
        <v>0</v>
      </c>
      <c r="N3740" t="n">
        <v>0</v>
      </c>
      <c r="O3740" t="n">
        <v>0</v>
      </c>
      <c r="P3740" t="n">
        <v>0</v>
      </c>
      <c r="Q3740" t="n">
        <v>0</v>
      </c>
      <c r="R3740" s="2" t="inlineStr"/>
    </row>
    <row r="3741" ht="15" customHeight="1">
      <c r="A3741" t="inlineStr">
        <is>
          <t>A 28333-2025</t>
        </is>
      </c>
      <c r="B3741" s="1" t="n">
        <v>45818.66342592592</v>
      </c>
      <c r="C3741" s="1" t="n">
        <v>45911</v>
      </c>
      <c r="D3741" t="inlineStr">
        <is>
          <t>GÄVLEBORGS LÄN</t>
        </is>
      </c>
      <c r="E3741" t="inlineStr">
        <is>
          <t>BOLLNÄS</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11967-2025</t>
        </is>
      </c>
      <c r="B3742" s="1" t="n">
        <v>45728</v>
      </c>
      <c r="C3742" s="1" t="n">
        <v>45911</v>
      </c>
      <c r="D3742" t="inlineStr">
        <is>
          <t>GÄVLEBORGS LÄN</t>
        </is>
      </c>
      <c r="E3742" t="inlineStr">
        <is>
          <t>SANDVIKEN</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18529-2022</t>
        </is>
      </c>
      <c r="B3743" s="1" t="n">
        <v>44686.7058912037</v>
      </c>
      <c r="C3743" s="1" t="n">
        <v>45911</v>
      </c>
      <c r="D3743" t="inlineStr">
        <is>
          <t>GÄVLEBORGS LÄN</t>
        </is>
      </c>
      <c r="E3743" t="inlineStr">
        <is>
          <t>NORDANSTIG</t>
        </is>
      </c>
      <c r="F3743" t="inlineStr">
        <is>
          <t>Holmen skog AB</t>
        </is>
      </c>
      <c r="G3743" t="n">
        <v>3.2</v>
      </c>
      <c r="H3743" t="n">
        <v>0</v>
      </c>
      <c r="I3743" t="n">
        <v>0</v>
      </c>
      <c r="J3743" t="n">
        <v>0</v>
      </c>
      <c r="K3743" t="n">
        <v>0</v>
      </c>
      <c r="L3743" t="n">
        <v>0</v>
      </c>
      <c r="M3743" t="n">
        <v>0</v>
      </c>
      <c r="N3743" t="n">
        <v>0</v>
      </c>
      <c r="O3743" t="n">
        <v>0</v>
      </c>
      <c r="P3743" t="n">
        <v>0</v>
      </c>
      <c r="Q3743" t="n">
        <v>0</v>
      </c>
      <c r="R3743" s="2" t="inlineStr"/>
    </row>
    <row r="3744" ht="15" customHeight="1">
      <c r="A3744" t="inlineStr">
        <is>
          <t>A 28048-2025</t>
        </is>
      </c>
      <c r="B3744" s="1" t="n">
        <v>45817.65453703704</v>
      </c>
      <c r="C3744" s="1" t="n">
        <v>45911</v>
      </c>
      <c r="D3744" t="inlineStr">
        <is>
          <t>GÄVLEBORGS LÄN</t>
        </is>
      </c>
      <c r="E3744" t="inlineStr">
        <is>
          <t>OVANÅKER</t>
        </is>
      </c>
      <c r="F3744" t="inlineStr">
        <is>
          <t>Bergvik skog väst AB</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23014-2022</t>
        </is>
      </c>
      <c r="B3745" s="1" t="n">
        <v>44719.36284722222</v>
      </c>
      <c r="C3745" s="1" t="n">
        <v>45911</v>
      </c>
      <c r="D3745" t="inlineStr">
        <is>
          <t>GÄVLEBORGS LÄN</t>
        </is>
      </c>
      <c r="E3745" t="inlineStr">
        <is>
          <t>OVANÅKER</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4212-2025</t>
        </is>
      </c>
      <c r="B3746" s="1" t="n">
        <v>45685</v>
      </c>
      <c r="C3746" s="1" t="n">
        <v>45911</v>
      </c>
      <c r="D3746" t="inlineStr">
        <is>
          <t>GÄVLEBORGS LÄN</t>
        </is>
      </c>
      <c r="E3746" t="inlineStr">
        <is>
          <t>LJUSDAL</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7606-2022</t>
        </is>
      </c>
      <c r="B3747" s="1" t="n">
        <v>44607.65809027778</v>
      </c>
      <c r="C3747" s="1" t="n">
        <v>45911</v>
      </c>
      <c r="D3747" t="inlineStr">
        <is>
          <t>GÄVLEBORGS LÄN</t>
        </is>
      </c>
      <c r="E3747" t="inlineStr">
        <is>
          <t>LJUSDAL</t>
        </is>
      </c>
      <c r="F3747" t="inlineStr">
        <is>
          <t>Holmen skog AB</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58196-2024</t>
        </is>
      </c>
      <c r="B3748" s="1" t="n">
        <v>45632.48064814815</v>
      </c>
      <c r="C3748" s="1" t="n">
        <v>45911</v>
      </c>
      <c r="D3748" t="inlineStr">
        <is>
          <t>GÄVLEBORGS LÄN</t>
        </is>
      </c>
      <c r="E3748" t="inlineStr">
        <is>
          <t>GÄVLE</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28172-2025</t>
        </is>
      </c>
      <c r="B3749" s="1" t="n">
        <v>45818.38121527778</v>
      </c>
      <c r="C3749" s="1" t="n">
        <v>45911</v>
      </c>
      <c r="D3749" t="inlineStr">
        <is>
          <t>GÄVLEBORGS LÄN</t>
        </is>
      </c>
      <c r="E3749" t="inlineStr">
        <is>
          <t>GÄVLE</t>
        </is>
      </c>
      <c r="G3749" t="n">
        <v>9.5</v>
      </c>
      <c r="H3749" t="n">
        <v>0</v>
      </c>
      <c r="I3749" t="n">
        <v>0</v>
      </c>
      <c r="J3749" t="n">
        <v>0</v>
      </c>
      <c r="K3749" t="n">
        <v>0</v>
      </c>
      <c r="L3749" t="n">
        <v>0</v>
      </c>
      <c r="M3749" t="n">
        <v>0</v>
      </c>
      <c r="N3749" t="n">
        <v>0</v>
      </c>
      <c r="O3749" t="n">
        <v>0</v>
      </c>
      <c r="P3749" t="n">
        <v>0</v>
      </c>
      <c r="Q3749" t="n">
        <v>0</v>
      </c>
      <c r="R3749" s="2" t="inlineStr"/>
    </row>
    <row r="3750" ht="15" customHeight="1">
      <c r="A3750" t="inlineStr">
        <is>
          <t>A 54149-2023</t>
        </is>
      </c>
      <c r="B3750" s="1" t="n">
        <v>45232.4528125</v>
      </c>
      <c r="C3750" s="1" t="n">
        <v>45911</v>
      </c>
      <c r="D3750" t="inlineStr">
        <is>
          <t>GÄVLEBORGS LÄN</t>
        </is>
      </c>
      <c r="E3750" t="inlineStr">
        <is>
          <t>HOFORS</t>
        </is>
      </c>
      <c r="G3750" t="n">
        <v>4.6</v>
      </c>
      <c r="H3750" t="n">
        <v>0</v>
      </c>
      <c r="I3750" t="n">
        <v>0</v>
      </c>
      <c r="J3750" t="n">
        <v>0</v>
      </c>
      <c r="K3750" t="n">
        <v>0</v>
      </c>
      <c r="L3750" t="n">
        <v>0</v>
      </c>
      <c r="M3750" t="n">
        <v>0</v>
      </c>
      <c r="N3750" t="n">
        <v>0</v>
      </c>
      <c r="O3750" t="n">
        <v>0</v>
      </c>
      <c r="P3750" t="n">
        <v>0</v>
      </c>
      <c r="Q3750" t="n">
        <v>0</v>
      </c>
      <c r="R3750" s="2" t="inlineStr"/>
    </row>
    <row r="3751" ht="15" customHeight="1">
      <c r="A3751" t="inlineStr">
        <is>
          <t>A 19364-2022</t>
        </is>
      </c>
      <c r="B3751" s="1" t="n">
        <v>44692</v>
      </c>
      <c r="C3751" s="1" t="n">
        <v>45911</v>
      </c>
      <c r="D3751" t="inlineStr">
        <is>
          <t>GÄVLEBORGS LÄN</t>
        </is>
      </c>
      <c r="E3751" t="inlineStr">
        <is>
          <t>NORDANSTIG</t>
        </is>
      </c>
      <c r="F3751" t="inlineStr">
        <is>
          <t>Holmen skog AB</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27804-2025</t>
        </is>
      </c>
      <c r="B3752" s="1" t="n">
        <v>45817.29372685185</v>
      </c>
      <c r="C3752" s="1" t="n">
        <v>45911</v>
      </c>
      <c r="D3752" t="inlineStr">
        <is>
          <t>GÄVLEBORGS LÄN</t>
        </is>
      </c>
      <c r="E3752" t="inlineStr">
        <is>
          <t>NORDANSTIG</t>
        </is>
      </c>
      <c r="F3752" t="inlineStr">
        <is>
          <t>Holmen skog AB</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18168-2022</t>
        </is>
      </c>
      <c r="B3753" s="1" t="n">
        <v>44684</v>
      </c>
      <c r="C3753" s="1" t="n">
        <v>45911</v>
      </c>
      <c r="D3753" t="inlineStr">
        <is>
          <t>GÄVLEBORGS LÄN</t>
        </is>
      </c>
      <c r="E3753" t="inlineStr">
        <is>
          <t>GÄVLE</t>
        </is>
      </c>
      <c r="F3753" t="inlineStr">
        <is>
          <t>Bergvik skog väst AB</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61880-2024</t>
        </is>
      </c>
      <c r="B3754" s="1" t="n">
        <v>45652.44746527778</v>
      </c>
      <c r="C3754" s="1" t="n">
        <v>45911</v>
      </c>
      <c r="D3754" t="inlineStr">
        <is>
          <t>GÄVLEBORGS LÄN</t>
        </is>
      </c>
      <c r="E3754" t="inlineStr">
        <is>
          <t>GÄVLE</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26157-2022</t>
        </is>
      </c>
      <c r="B3755" s="1" t="n">
        <v>44735</v>
      </c>
      <c r="C3755" s="1" t="n">
        <v>45911</v>
      </c>
      <c r="D3755" t="inlineStr">
        <is>
          <t>GÄVLEBORGS LÄN</t>
        </is>
      </c>
      <c r="E3755" t="inlineStr">
        <is>
          <t>GÄVLE</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3031-2022</t>
        </is>
      </c>
      <c r="B3756" s="1" t="n">
        <v>44582.27614583333</v>
      </c>
      <c r="C3756" s="1" t="n">
        <v>45911</v>
      </c>
      <c r="D3756" t="inlineStr">
        <is>
          <t>GÄVLEBORGS LÄN</t>
        </is>
      </c>
      <c r="E3756" t="inlineStr">
        <is>
          <t>SÖDERHAMN</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51071-2023</t>
        </is>
      </c>
      <c r="B3757" s="1" t="n">
        <v>45218.67822916667</v>
      </c>
      <c r="C3757" s="1" t="n">
        <v>45911</v>
      </c>
      <c r="D3757" t="inlineStr">
        <is>
          <t>GÄVLEBORGS LÄN</t>
        </is>
      </c>
      <c r="E3757" t="inlineStr">
        <is>
          <t>GÄVLE</t>
        </is>
      </c>
      <c r="G3757" t="n">
        <v>3.1</v>
      </c>
      <c r="H3757" t="n">
        <v>0</v>
      </c>
      <c r="I3757" t="n">
        <v>0</v>
      </c>
      <c r="J3757" t="n">
        <v>0</v>
      </c>
      <c r="K3757" t="n">
        <v>0</v>
      </c>
      <c r="L3757" t="n">
        <v>0</v>
      </c>
      <c r="M3757" t="n">
        <v>0</v>
      </c>
      <c r="N3757" t="n">
        <v>0</v>
      </c>
      <c r="O3757" t="n">
        <v>0</v>
      </c>
      <c r="P3757" t="n">
        <v>0</v>
      </c>
      <c r="Q3757" t="n">
        <v>0</v>
      </c>
      <c r="R3757" s="2" t="inlineStr"/>
    </row>
    <row r="3758" ht="15" customHeight="1">
      <c r="A3758" t="inlineStr">
        <is>
          <t>A 17548-2025</t>
        </is>
      </c>
      <c r="B3758" s="1" t="n">
        <v>45757.61045138889</v>
      </c>
      <c r="C3758" s="1" t="n">
        <v>45911</v>
      </c>
      <c r="D3758" t="inlineStr">
        <is>
          <t>GÄVLEBORGS LÄN</t>
        </is>
      </c>
      <c r="E3758" t="inlineStr">
        <is>
          <t>OCKELBO</t>
        </is>
      </c>
      <c r="F3758" t="inlineStr">
        <is>
          <t>Bergvik skog väst AB</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46524-2021</t>
        </is>
      </c>
      <c r="B3759" s="1" t="n">
        <v>44445.45006944444</v>
      </c>
      <c r="C3759" s="1" t="n">
        <v>45911</v>
      </c>
      <c r="D3759" t="inlineStr">
        <is>
          <t>GÄVLEBORGS LÄN</t>
        </is>
      </c>
      <c r="E3759" t="inlineStr">
        <is>
          <t>LJUSDAL</t>
        </is>
      </c>
      <c r="F3759" t="inlineStr">
        <is>
          <t>Allmännings- och besparingsskogar</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44377-2024</t>
        </is>
      </c>
      <c r="B3760" s="1" t="n">
        <v>45573.66002314815</v>
      </c>
      <c r="C3760" s="1" t="n">
        <v>45911</v>
      </c>
      <c r="D3760" t="inlineStr">
        <is>
          <t>GÄVLEBORGS LÄN</t>
        </is>
      </c>
      <c r="E3760" t="inlineStr">
        <is>
          <t>NORDANSTIG</t>
        </is>
      </c>
      <c r="F3760" t="inlineStr">
        <is>
          <t>Holmen skog AB</t>
        </is>
      </c>
      <c r="G3760" t="n">
        <v>6.2</v>
      </c>
      <c r="H3760" t="n">
        <v>0</v>
      </c>
      <c r="I3760" t="n">
        <v>0</v>
      </c>
      <c r="J3760" t="n">
        <v>0</v>
      </c>
      <c r="K3760" t="n">
        <v>0</v>
      </c>
      <c r="L3760" t="n">
        <v>0</v>
      </c>
      <c r="M3760" t="n">
        <v>0</v>
      </c>
      <c r="N3760" t="n">
        <v>0</v>
      </c>
      <c r="O3760" t="n">
        <v>0</v>
      </c>
      <c r="P3760" t="n">
        <v>0</v>
      </c>
      <c r="Q3760" t="n">
        <v>0</v>
      </c>
      <c r="R3760" s="2" t="inlineStr"/>
    </row>
    <row r="3761" ht="15" customHeight="1">
      <c r="A3761" t="inlineStr">
        <is>
          <t>A 28236-2025</t>
        </is>
      </c>
      <c r="B3761" s="1" t="n">
        <v>45818.49982638889</v>
      </c>
      <c r="C3761" s="1" t="n">
        <v>45911</v>
      </c>
      <c r="D3761" t="inlineStr">
        <is>
          <t>GÄVLEBORGS LÄN</t>
        </is>
      </c>
      <c r="E3761" t="inlineStr">
        <is>
          <t>NORDANSTIG</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28244-2025</t>
        </is>
      </c>
      <c r="B3762" s="1" t="n">
        <v>45818.51094907407</v>
      </c>
      <c r="C3762" s="1" t="n">
        <v>45911</v>
      </c>
      <c r="D3762" t="inlineStr">
        <is>
          <t>GÄVLEBORGS LÄN</t>
        </is>
      </c>
      <c r="E3762" t="inlineStr">
        <is>
          <t>NORDANSTIG</t>
        </is>
      </c>
      <c r="G3762" t="n">
        <v>5.8</v>
      </c>
      <c r="H3762" t="n">
        <v>0</v>
      </c>
      <c r="I3762" t="n">
        <v>0</v>
      </c>
      <c r="J3762" t="n">
        <v>0</v>
      </c>
      <c r="K3762" t="n">
        <v>0</v>
      </c>
      <c r="L3762" t="n">
        <v>0</v>
      </c>
      <c r="M3762" t="n">
        <v>0</v>
      </c>
      <c r="N3762" t="n">
        <v>0</v>
      </c>
      <c r="O3762" t="n">
        <v>0</v>
      </c>
      <c r="P3762" t="n">
        <v>0</v>
      </c>
      <c r="Q3762" t="n">
        <v>0</v>
      </c>
      <c r="R3762" s="2" t="inlineStr"/>
    </row>
    <row r="3763" ht="15" customHeight="1">
      <c r="A3763" t="inlineStr">
        <is>
          <t>A 19095-2022</t>
        </is>
      </c>
      <c r="B3763" s="1" t="n">
        <v>44691</v>
      </c>
      <c r="C3763" s="1" t="n">
        <v>45911</v>
      </c>
      <c r="D3763" t="inlineStr">
        <is>
          <t>GÄVLEBORGS LÄN</t>
        </is>
      </c>
      <c r="E3763" t="inlineStr">
        <is>
          <t>GÄVLE</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19035-2023</t>
        </is>
      </c>
      <c r="B3764" s="1" t="n">
        <v>45047.53366898148</v>
      </c>
      <c r="C3764" s="1" t="n">
        <v>45911</v>
      </c>
      <c r="D3764" t="inlineStr">
        <is>
          <t>GÄVLEBORGS LÄN</t>
        </is>
      </c>
      <c r="E3764" t="inlineStr">
        <is>
          <t>LJUSDAL</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28057-2025</t>
        </is>
      </c>
      <c r="B3765" s="1" t="n">
        <v>45817.66207175926</v>
      </c>
      <c r="C3765" s="1" t="n">
        <v>45911</v>
      </c>
      <c r="D3765" t="inlineStr">
        <is>
          <t>GÄVLEBORGS LÄN</t>
        </is>
      </c>
      <c r="E3765" t="inlineStr">
        <is>
          <t>OVANÅKER</t>
        </is>
      </c>
      <c r="F3765" t="inlineStr">
        <is>
          <t>Bergvik skog väst AB</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27992-2025</t>
        </is>
      </c>
      <c r="B3766" s="1" t="n">
        <v>45817.58949074074</v>
      </c>
      <c r="C3766" s="1" t="n">
        <v>45911</v>
      </c>
      <c r="D3766" t="inlineStr">
        <is>
          <t>GÄVLEBORGS LÄN</t>
        </is>
      </c>
      <c r="E3766" t="inlineStr">
        <is>
          <t>LJUSDAL</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28003-2025</t>
        </is>
      </c>
      <c r="B3767" s="1" t="n">
        <v>45817.59530092592</v>
      </c>
      <c r="C3767" s="1" t="n">
        <v>45911</v>
      </c>
      <c r="D3767" t="inlineStr">
        <is>
          <t>GÄVLEBORGS LÄN</t>
        </is>
      </c>
      <c r="E3767" t="inlineStr">
        <is>
          <t>SÖDERHAMN</t>
        </is>
      </c>
      <c r="G3767" t="n">
        <v>3.9</v>
      </c>
      <c r="H3767" t="n">
        <v>0</v>
      </c>
      <c r="I3767" t="n">
        <v>0</v>
      </c>
      <c r="J3767" t="n">
        <v>0</v>
      </c>
      <c r="K3767" t="n">
        <v>0</v>
      </c>
      <c r="L3767" t="n">
        <v>0</v>
      </c>
      <c r="M3767" t="n">
        <v>0</v>
      </c>
      <c r="N3767" t="n">
        <v>0</v>
      </c>
      <c r="O3767" t="n">
        <v>0</v>
      </c>
      <c r="P3767" t="n">
        <v>0</v>
      </c>
      <c r="Q3767" t="n">
        <v>0</v>
      </c>
      <c r="R3767" s="2" t="inlineStr"/>
    </row>
    <row r="3768" ht="15" customHeight="1">
      <c r="A3768" t="inlineStr">
        <is>
          <t>A 28009-2025</t>
        </is>
      </c>
      <c r="B3768" s="1" t="n">
        <v>45817.60252314815</v>
      </c>
      <c r="C3768" s="1" t="n">
        <v>45911</v>
      </c>
      <c r="D3768" t="inlineStr">
        <is>
          <t>GÄVLEBORGS LÄN</t>
        </is>
      </c>
      <c r="E3768" t="inlineStr">
        <is>
          <t>GÄVLE</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61536-2022</t>
        </is>
      </c>
      <c r="B3769" s="1" t="n">
        <v>44916</v>
      </c>
      <c r="C3769" s="1" t="n">
        <v>45911</v>
      </c>
      <c r="D3769" t="inlineStr">
        <is>
          <t>GÄVLEBORGS LÄN</t>
        </is>
      </c>
      <c r="E3769" t="inlineStr">
        <is>
          <t>HUDIKSVALL</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28047-2025</t>
        </is>
      </c>
      <c r="B3770" s="1" t="n">
        <v>45817</v>
      </c>
      <c r="C3770" s="1" t="n">
        <v>45911</v>
      </c>
      <c r="D3770" t="inlineStr">
        <is>
          <t>GÄVLEBORGS LÄN</t>
        </is>
      </c>
      <c r="E3770" t="inlineStr">
        <is>
          <t>OVANÅKER</t>
        </is>
      </c>
      <c r="F3770" t="inlineStr">
        <is>
          <t>Holmen skog AB</t>
        </is>
      </c>
      <c r="G3770" t="n">
        <v>13.5</v>
      </c>
      <c r="H3770" t="n">
        <v>0</v>
      </c>
      <c r="I3770" t="n">
        <v>0</v>
      </c>
      <c r="J3770" t="n">
        <v>0</v>
      </c>
      <c r="K3770" t="n">
        <v>0</v>
      </c>
      <c r="L3770" t="n">
        <v>0</v>
      </c>
      <c r="M3770" t="n">
        <v>0</v>
      </c>
      <c r="N3770" t="n">
        <v>0</v>
      </c>
      <c r="O3770" t="n">
        <v>0</v>
      </c>
      <c r="P3770" t="n">
        <v>0</v>
      </c>
      <c r="Q3770" t="n">
        <v>0</v>
      </c>
      <c r="R3770" s="2" t="inlineStr"/>
    </row>
    <row r="3771" ht="15" customHeight="1">
      <c r="A3771" t="inlineStr">
        <is>
          <t>A 43177-2024</t>
        </is>
      </c>
      <c r="B3771" s="1" t="n">
        <v>45567.66236111111</v>
      </c>
      <c r="C3771" s="1" t="n">
        <v>45911</v>
      </c>
      <c r="D3771" t="inlineStr">
        <is>
          <t>GÄVLEBORGS LÄN</t>
        </is>
      </c>
      <c r="E3771" t="inlineStr">
        <is>
          <t>BOLLNÄS</t>
        </is>
      </c>
      <c r="G3771" t="n">
        <v>4.3</v>
      </c>
      <c r="H3771" t="n">
        <v>0</v>
      </c>
      <c r="I3771" t="n">
        <v>0</v>
      </c>
      <c r="J3771" t="n">
        <v>0</v>
      </c>
      <c r="K3771" t="n">
        <v>0</v>
      </c>
      <c r="L3771" t="n">
        <v>0</v>
      </c>
      <c r="M3771" t="n">
        <v>0</v>
      </c>
      <c r="N3771" t="n">
        <v>0</v>
      </c>
      <c r="O3771" t="n">
        <v>0</v>
      </c>
      <c r="P3771" t="n">
        <v>0</v>
      </c>
      <c r="Q3771" t="n">
        <v>0</v>
      </c>
      <c r="R3771" s="2" t="inlineStr"/>
    </row>
    <row r="3772" ht="15" customHeight="1">
      <c r="A3772" t="inlineStr">
        <is>
          <t>A 43180-2024</t>
        </is>
      </c>
      <c r="B3772" s="1" t="n">
        <v>45567.66302083333</v>
      </c>
      <c r="C3772" s="1" t="n">
        <v>45911</v>
      </c>
      <c r="D3772" t="inlineStr">
        <is>
          <t>GÄVLEBORGS LÄN</t>
        </is>
      </c>
      <c r="E3772" t="inlineStr">
        <is>
          <t>LJUSDAL</t>
        </is>
      </c>
      <c r="G3772" t="n">
        <v>0.4</v>
      </c>
      <c r="H3772" t="n">
        <v>0</v>
      </c>
      <c r="I3772" t="n">
        <v>0</v>
      </c>
      <c r="J3772" t="n">
        <v>0</v>
      </c>
      <c r="K3772" t="n">
        <v>0</v>
      </c>
      <c r="L3772" t="n">
        <v>0</v>
      </c>
      <c r="M3772" t="n">
        <v>0</v>
      </c>
      <c r="N3772" t="n">
        <v>0</v>
      </c>
      <c r="O3772" t="n">
        <v>0</v>
      </c>
      <c r="P3772" t="n">
        <v>0</v>
      </c>
      <c r="Q3772" t="n">
        <v>0</v>
      </c>
      <c r="R3772" s="2" t="inlineStr"/>
    </row>
    <row r="3773" ht="15" customHeight="1">
      <c r="A3773" t="inlineStr">
        <is>
          <t>A 28626-2025</t>
        </is>
      </c>
      <c r="B3773" s="1" t="n">
        <v>45819.62038194444</v>
      </c>
      <c r="C3773" s="1" t="n">
        <v>45911</v>
      </c>
      <c r="D3773" t="inlineStr">
        <is>
          <t>GÄVLEBORGS LÄN</t>
        </is>
      </c>
      <c r="E3773" t="inlineStr">
        <is>
          <t>OVANÅKER</t>
        </is>
      </c>
      <c r="F3773" t="inlineStr">
        <is>
          <t>Bergvik skog väst AB</t>
        </is>
      </c>
      <c r="G3773" t="n">
        <v>4.5</v>
      </c>
      <c r="H3773" t="n">
        <v>0</v>
      </c>
      <c r="I3773" t="n">
        <v>0</v>
      </c>
      <c r="J3773" t="n">
        <v>0</v>
      </c>
      <c r="K3773" t="n">
        <v>0</v>
      </c>
      <c r="L3773" t="n">
        <v>0</v>
      </c>
      <c r="M3773" t="n">
        <v>0</v>
      </c>
      <c r="N3773" t="n">
        <v>0</v>
      </c>
      <c r="O3773" t="n">
        <v>0</v>
      </c>
      <c r="P3773" t="n">
        <v>0</v>
      </c>
      <c r="Q3773" t="n">
        <v>0</v>
      </c>
      <c r="R3773" s="2" t="inlineStr"/>
    </row>
    <row r="3774" ht="15" customHeight="1">
      <c r="A3774" t="inlineStr">
        <is>
          <t>A 28633-2025</t>
        </is>
      </c>
      <c r="B3774" s="1" t="n">
        <v>45819.62692129629</v>
      </c>
      <c r="C3774" s="1" t="n">
        <v>45911</v>
      </c>
      <c r="D3774" t="inlineStr">
        <is>
          <t>GÄVLEBORGS LÄN</t>
        </is>
      </c>
      <c r="E3774" t="inlineStr">
        <is>
          <t>HUDIKSVALL</t>
        </is>
      </c>
      <c r="G3774" t="n">
        <v>4.1</v>
      </c>
      <c r="H3774" t="n">
        <v>0</v>
      </c>
      <c r="I3774" t="n">
        <v>0</v>
      </c>
      <c r="J3774" t="n">
        <v>0</v>
      </c>
      <c r="K3774" t="n">
        <v>0</v>
      </c>
      <c r="L3774" t="n">
        <v>0</v>
      </c>
      <c r="M3774" t="n">
        <v>0</v>
      </c>
      <c r="N3774" t="n">
        <v>0</v>
      </c>
      <c r="O3774" t="n">
        <v>0</v>
      </c>
      <c r="P3774" t="n">
        <v>0</v>
      </c>
      <c r="Q3774" t="n">
        <v>0</v>
      </c>
      <c r="R3774" s="2" t="inlineStr"/>
    </row>
    <row r="3775" ht="15" customHeight="1">
      <c r="A3775" t="inlineStr">
        <is>
          <t>A 28576-2025</t>
        </is>
      </c>
      <c r="B3775" s="1" t="n">
        <v>45819.5671412037</v>
      </c>
      <c r="C3775" s="1" t="n">
        <v>45911</v>
      </c>
      <c r="D3775" t="inlineStr">
        <is>
          <t>GÄVLEBORGS LÄN</t>
        </is>
      </c>
      <c r="E3775" t="inlineStr">
        <is>
          <t>OCKELBO</t>
        </is>
      </c>
      <c r="F3775" t="inlineStr">
        <is>
          <t>Bergvik skog väst AB</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28593-2025</t>
        </is>
      </c>
      <c r="B3776" s="1" t="n">
        <v>45819.59232638889</v>
      </c>
      <c r="C3776" s="1" t="n">
        <v>45911</v>
      </c>
      <c r="D3776" t="inlineStr">
        <is>
          <t>GÄVLEBORGS LÄN</t>
        </is>
      </c>
      <c r="E3776" t="inlineStr">
        <is>
          <t>OVANÅKER</t>
        </is>
      </c>
      <c r="F3776" t="inlineStr">
        <is>
          <t>Bergvik skog väst AB</t>
        </is>
      </c>
      <c r="G3776" t="n">
        <v>3.2</v>
      </c>
      <c r="H3776" t="n">
        <v>0</v>
      </c>
      <c r="I3776" t="n">
        <v>0</v>
      </c>
      <c r="J3776" t="n">
        <v>0</v>
      </c>
      <c r="K3776" t="n">
        <v>0</v>
      </c>
      <c r="L3776" t="n">
        <v>0</v>
      </c>
      <c r="M3776" t="n">
        <v>0</v>
      </c>
      <c r="N3776" t="n">
        <v>0</v>
      </c>
      <c r="O3776" t="n">
        <v>0</v>
      </c>
      <c r="P3776" t="n">
        <v>0</v>
      </c>
      <c r="Q3776" t="n">
        <v>0</v>
      </c>
      <c r="R3776" s="2" t="inlineStr"/>
    </row>
    <row r="3777" ht="15" customHeight="1">
      <c r="A3777" t="inlineStr">
        <is>
          <t>A 61052-2024</t>
        </is>
      </c>
      <c r="B3777" s="1" t="n">
        <v>45645.48365740741</v>
      </c>
      <c r="C3777" s="1" t="n">
        <v>45911</v>
      </c>
      <c r="D3777" t="inlineStr">
        <is>
          <t>GÄVLEBORGS LÄN</t>
        </is>
      </c>
      <c r="E3777" t="inlineStr">
        <is>
          <t>SANDVIKEN</t>
        </is>
      </c>
      <c r="F3777" t="inlineStr">
        <is>
          <t>Naturvårdsverket</t>
        </is>
      </c>
      <c r="G3777" t="n">
        <v>7.2</v>
      </c>
      <c r="H3777" t="n">
        <v>0</v>
      </c>
      <c r="I3777" t="n">
        <v>0</v>
      </c>
      <c r="J3777" t="n">
        <v>0</v>
      </c>
      <c r="K3777" t="n">
        <v>0</v>
      </c>
      <c r="L3777" t="n">
        <v>0</v>
      </c>
      <c r="M3777" t="n">
        <v>0</v>
      </c>
      <c r="N3777" t="n">
        <v>0</v>
      </c>
      <c r="O3777" t="n">
        <v>0</v>
      </c>
      <c r="P3777" t="n">
        <v>0</v>
      </c>
      <c r="Q3777" t="n">
        <v>0</v>
      </c>
      <c r="R3777" s="2" t="inlineStr"/>
    </row>
    <row r="3778" ht="15" customHeight="1">
      <c r="A3778" t="inlineStr">
        <is>
          <t>A 36257-2024</t>
        </is>
      </c>
      <c r="B3778" s="1" t="n">
        <v>45534</v>
      </c>
      <c r="C3778" s="1" t="n">
        <v>45911</v>
      </c>
      <c r="D3778" t="inlineStr">
        <is>
          <t>GÄVLEBORGS LÄN</t>
        </is>
      </c>
      <c r="E3778" t="inlineStr">
        <is>
          <t>OVANÅKER</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36261-2024</t>
        </is>
      </c>
      <c r="B3779" s="1" t="n">
        <v>45534.54993055556</v>
      </c>
      <c r="C3779" s="1" t="n">
        <v>45911</v>
      </c>
      <c r="D3779" t="inlineStr">
        <is>
          <t>GÄVLEBORGS LÄN</t>
        </is>
      </c>
      <c r="E3779" t="inlineStr">
        <is>
          <t>NORDANSTIG</t>
        </is>
      </c>
      <c r="F3779" t="inlineStr">
        <is>
          <t>Holmen skog AB</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28596-2025</t>
        </is>
      </c>
      <c r="B3780" s="1" t="n">
        <v>45819.59603009259</v>
      </c>
      <c r="C3780" s="1" t="n">
        <v>45911</v>
      </c>
      <c r="D3780" t="inlineStr">
        <is>
          <t>GÄVLEBORGS LÄN</t>
        </is>
      </c>
      <c r="E3780" t="inlineStr">
        <is>
          <t>GÄVLE</t>
        </is>
      </c>
      <c r="F3780" t="inlineStr">
        <is>
          <t>Bergvik skog väst AB</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1458-2023</t>
        </is>
      </c>
      <c r="B3781" s="1" t="n">
        <v>44937</v>
      </c>
      <c r="C3781" s="1" t="n">
        <v>45911</v>
      </c>
      <c r="D3781" t="inlineStr">
        <is>
          <t>GÄVLEBORGS LÄN</t>
        </is>
      </c>
      <c r="E3781" t="inlineStr">
        <is>
          <t>SÖDERHAMN</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28410-2025</t>
        </is>
      </c>
      <c r="B3782" s="1" t="n">
        <v>45819.34619212963</v>
      </c>
      <c r="C3782" s="1" t="n">
        <v>45911</v>
      </c>
      <c r="D3782" t="inlineStr">
        <is>
          <t>GÄVLEBORGS LÄN</t>
        </is>
      </c>
      <c r="E3782" t="inlineStr">
        <is>
          <t>HUDIKSVALL</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41521-2024</t>
        </is>
      </c>
      <c r="B3783" s="1" t="n">
        <v>45560.47880787037</v>
      </c>
      <c r="C3783" s="1" t="n">
        <v>45911</v>
      </c>
      <c r="D3783" t="inlineStr">
        <is>
          <t>GÄVLEBORGS LÄN</t>
        </is>
      </c>
      <c r="E3783" t="inlineStr">
        <is>
          <t>HUDIKSVALL</t>
        </is>
      </c>
      <c r="F3783" t="inlineStr">
        <is>
          <t>Holmen skog AB</t>
        </is>
      </c>
      <c r="G3783" t="n">
        <v>0.4</v>
      </c>
      <c r="H3783" t="n">
        <v>0</v>
      </c>
      <c r="I3783" t="n">
        <v>0</v>
      </c>
      <c r="J3783" t="n">
        <v>0</v>
      </c>
      <c r="K3783" t="n">
        <v>0</v>
      </c>
      <c r="L3783" t="n">
        <v>0</v>
      </c>
      <c r="M3783" t="n">
        <v>0</v>
      </c>
      <c r="N3783" t="n">
        <v>0</v>
      </c>
      <c r="O3783" t="n">
        <v>0</v>
      </c>
      <c r="P3783" t="n">
        <v>0</v>
      </c>
      <c r="Q3783" t="n">
        <v>0</v>
      </c>
      <c r="R3783" s="2" t="inlineStr"/>
    </row>
    <row r="3784" ht="15" customHeight="1">
      <c r="A3784" t="inlineStr">
        <is>
          <t>A 8967-2022</t>
        </is>
      </c>
      <c r="B3784" s="1" t="n">
        <v>44614</v>
      </c>
      <c r="C3784" s="1" t="n">
        <v>45911</v>
      </c>
      <c r="D3784" t="inlineStr">
        <is>
          <t>GÄVLEBORGS LÄN</t>
        </is>
      </c>
      <c r="E3784" t="inlineStr">
        <is>
          <t>OVANÅKER</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18017-2023</t>
        </is>
      </c>
      <c r="B3785" s="1" t="n">
        <v>45040.57936342592</v>
      </c>
      <c r="C3785" s="1" t="n">
        <v>45911</v>
      </c>
      <c r="D3785" t="inlineStr">
        <is>
          <t>GÄVLEBORGS LÄN</t>
        </is>
      </c>
      <c r="E3785" t="inlineStr">
        <is>
          <t>GÄVLE</t>
        </is>
      </c>
      <c r="F3785" t="inlineStr">
        <is>
          <t>Bergvik skog väst AB</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30798-2024</t>
        </is>
      </c>
      <c r="B3786" s="1" t="n">
        <v>45497.36582175926</v>
      </c>
      <c r="C3786" s="1" t="n">
        <v>45911</v>
      </c>
      <c r="D3786" t="inlineStr">
        <is>
          <t>GÄVLEBORGS LÄN</t>
        </is>
      </c>
      <c r="E3786" t="inlineStr">
        <is>
          <t>OCKELBO</t>
        </is>
      </c>
      <c r="G3786" t="n">
        <v>8.699999999999999</v>
      </c>
      <c r="H3786" t="n">
        <v>0</v>
      </c>
      <c r="I3786" t="n">
        <v>0</v>
      </c>
      <c r="J3786" t="n">
        <v>0</v>
      </c>
      <c r="K3786" t="n">
        <v>0</v>
      </c>
      <c r="L3786" t="n">
        <v>0</v>
      </c>
      <c r="M3786" t="n">
        <v>0</v>
      </c>
      <c r="N3786" t="n">
        <v>0</v>
      </c>
      <c r="O3786" t="n">
        <v>0</v>
      </c>
      <c r="P3786" t="n">
        <v>0</v>
      </c>
      <c r="Q3786" t="n">
        <v>0</v>
      </c>
      <c r="R3786" s="2" t="inlineStr"/>
    </row>
    <row r="3787" ht="15" customHeight="1">
      <c r="A3787" t="inlineStr">
        <is>
          <t>A 30818-2024</t>
        </is>
      </c>
      <c r="B3787" s="1" t="n">
        <v>45497.46219907407</v>
      </c>
      <c r="C3787" s="1" t="n">
        <v>45911</v>
      </c>
      <c r="D3787" t="inlineStr">
        <is>
          <t>GÄVLEBORGS LÄN</t>
        </is>
      </c>
      <c r="E3787" t="inlineStr">
        <is>
          <t>LJUSDAL</t>
        </is>
      </c>
      <c r="F3787" t="inlineStr">
        <is>
          <t>Bergvik skog väst AB</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48310-2023</t>
        </is>
      </c>
      <c r="B3788" s="1" t="n">
        <v>45205</v>
      </c>
      <c r="C3788" s="1" t="n">
        <v>45911</v>
      </c>
      <c r="D3788" t="inlineStr">
        <is>
          <t>GÄVLEBORGS LÄN</t>
        </is>
      </c>
      <c r="E3788" t="inlineStr">
        <is>
          <t>BOLLNÄS</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15042-2022</t>
        </is>
      </c>
      <c r="B3789" s="1" t="n">
        <v>44657</v>
      </c>
      <c r="C3789" s="1" t="n">
        <v>45911</v>
      </c>
      <c r="D3789" t="inlineStr">
        <is>
          <t>GÄVLEBORGS LÄN</t>
        </is>
      </c>
      <c r="E3789" t="inlineStr">
        <is>
          <t>LJUSDAL</t>
        </is>
      </c>
      <c r="G3789" t="n">
        <v>4.1</v>
      </c>
      <c r="H3789" t="n">
        <v>0</v>
      </c>
      <c r="I3789" t="n">
        <v>0</v>
      </c>
      <c r="J3789" t="n">
        <v>0</v>
      </c>
      <c r="K3789" t="n">
        <v>0</v>
      </c>
      <c r="L3789" t="n">
        <v>0</v>
      </c>
      <c r="M3789" t="n">
        <v>0</v>
      </c>
      <c r="N3789" t="n">
        <v>0</v>
      </c>
      <c r="O3789" t="n">
        <v>0</v>
      </c>
      <c r="P3789" t="n">
        <v>0</v>
      </c>
      <c r="Q3789" t="n">
        <v>0</v>
      </c>
      <c r="R3789" s="2" t="inlineStr"/>
    </row>
    <row r="3790" ht="15" customHeight="1">
      <c r="A3790" t="inlineStr">
        <is>
          <t>A 1236-2021</t>
        </is>
      </c>
      <c r="B3790" s="1" t="n">
        <v>44208</v>
      </c>
      <c r="C3790" s="1" t="n">
        <v>45911</v>
      </c>
      <c r="D3790" t="inlineStr">
        <is>
          <t>GÄVLEBORGS LÄN</t>
        </is>
      </c>
      <c r="E3790" t="inlineStr">
        <is>
          <t>NORDANSTIG</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10811-2025</t>
        </is>
      </c>
      <c r="B3791" s="1" t="n">
        <v>45722.53859953704</v>
      </c>
      <c r="C3791" s="1" t="n">
        <v>45911</v>
      </c>
      <c r="D3791" t="inlineStr">
        <is>
          <t>GÄVLEBORGS LÄN</t>
        </is>
      </c>
      <c r="E3791" t="inlineStr">
        <is>
          <t>GÄVLE</t>
        </is>
      </c>
      <c r="G3791" t="n">
        <v>3.5</v>
      </c>
      <c r="H3791" t="n">
        <v>0</v>
      </c>
      <c r="I3791" t="n">
        <v>0</v>
      </c>
      <c r="J3791" t="n">
        <v>0</v>
      </c>
      <c r="K3791" t="n">
        <v>0</v>
      </c>
      <c r="L3791" t="n">
        <v>0</v>
      </c>
      <c r="M3791" t="n">
        <v>0</v>
      </c>
      <c r="N3791" t="n">
        <v>0</v>
      </c>
      <c r="O3791" t="n">
        <v>0</v>
      </c>
      <c r="P3791" t="n">
        <v>0</v>
      </c>
      <c r="Q3791" t="n">
        <v>0</v>
      </c>
      <c r="R3791" s="2" t="inlineStr"/>
    </row>
    <row r="3792" ht="15" customHeight="1">
      <c r="A3792" t="inlineStr">
        <is>
          <t>A 51458-2022</t>
        </is>
      </c>
      <c r="B3792" s="1" t="n">
        <v>44869.53126157408</v>
      </c>
      <c r="C3792" s="1" t="n">
        <v>45911</v>
      </c>
      <c r="D3792" t="inlineStr">
        <is>
          <t>GÄVLEBORGS LÄN</t>
        </is>
      </c>
      <c r="E3792" t="inlineStr">
        <is>
          <t>SÖDERHAMN</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28381-2025</t>
        </is>
      </c>
      <c r="B3793" s="1" t="n">
        <v>45819.30736111111</v>
      </c>
      <c r="C3793" s="1" t="n">
        <v>45911</v>
      </c>
      <c r="D3793" t="inlineStr">
        <is>
          <t>GÄVLEBORGS LÄN</t>
        </is>
      </c>
      <c r="E3793" t="inlineStr">
        <is>
          <t>HUDIKSVALL</t>
        </is>
      </c>
      <c r="F3793" t="inlineStr">
        <is>
          <t>Holmen skog AB</t>
        </is>
      </c>
      <c r="G3793" t="n">
        <v>8.699999999999999</v>
      </c>
      <c r="H3793" t="n">
        <v>0</v>
      </c>
      <c r="I3793" t="n">
        <v>0</v>
      </c>
      <c r="J3793" t="n">
        <v>0</v>
      </c>
      <c r="K3793" t="n">
        <v>0</v>
      </c>
      <c r="L3793" t="n">
        <v>0</v>
      </c>
      <c r="M3793" t="n">
        <v>0</v>
      </c>
      <c r="N3793" t="n">
        <v>0</v>
      </c>
      <c r="O3793" t="n">
        <v>0</v>
      </c>
      <c r="P3793" t="n">
        <v>0</v>
      </c>
      <c r="Q3793" t="n">
        <v>0</v>
      </c>
      <c r="R3793" s="2" t="inlineStr"/>
    </row>
    <row r="3794" ht="15" customHeight="1">
      <c r="A3794" t="inlineStr">
        <is>
          <t>A 9191-2022</t>
        </is>
      </c>
      <c r="B3794" s="1" t="n">
        <v>44615</v>
      </c>
      <c r="C3794" s="1" t="n">
        <v>45911</v>
      </c>
      <c r="D3794" t="inlineStr">
        <is>
          <t>GÄVLEBORGS LÄN</t>
        </is>
      </c>
      <c r="E3794" t="inlineStr">
        <is>
          <t>LJUSDAL</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3639-2022</t>
        </is>
      </c>
      <c r="B3795" s="1" t="n">
        <v>44586</v>
      </c>
      <c r="C3795" s="1" t="n">
        <v>45911</v>
      </c>
      <c r="D3795" t="inlineStr">
        <is>
          <t>GÄVLEBORGS LÄN</t>
        </is>
      </c>
      <c r="E3795" t="inlineStr">
        <is>
          <t>GÄVLE</t>
        </is>
      </c>
      <c r="F3795" t="inlineStr">
        <is>
          <t>Bergvik skog öst AB</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7298-2025</t>
        </is>
      </c>
      <c r="B3796" s="1" t="n">
        <v>45702.65122685185</v>
      </c>
      <c r="C3796" s="1" t="n">
        <v>45911</v>
      </c>
      <c r="D3796" t="inlineStr">
        <is>
          <t>GÄVLEBORGS LÄN</t>
        </is>
      </c>
      <c r="E3796" t="inlineStr">
        <is>
          <t>GÄVLE</t>
        </is>
      </c>
      <c r="F3796" t="inlineStr">
        <is>
          <t>Bergvik skog öst AB</t>
        </is>
      </c>
      <c r="G3796" t="n">
        <v>4.4</v>
      </c>
      <c r="H3796" t="n">
        <v>0</v>
      </c>
      <c r="I3796" t="n">
        <v>0</v>
      </c>
      <c r="J3796" t="n">
        <v>0</v>
      </c>
      <c r="K3796" t="n">
        <v>0</v>
      </c>
      <c r="L3796" t="n">
        <v>0</v>
      </c>
      <c r="M3796" t="n">
        <v>0</v>
      </c>
      <c r="N3796" t="n">
        <v>0</v>
      </c>
      <c r="O3796" t="n">
        <v>0</v>
      </c>
      <c r="P3796" t="n">
        <v>0</v>
      </c>
      <c r="Q3796" t="n">
        <v>0</v>
      </c>
      <c r="R3796" s="2" t="inlineStr"/>
    </row>
    <row r="3797" ht="15" customHeight="1">
      <c r="A3797" t="inlineStr">
        <is>
          <t>A 44487-2024</t>
        </is>
      </c>
      <c r="B3797" s="1" t="n">
        <v>45574.38811342593</v>
      </c>
      <c r="C3797" s="1" t="n">
        <v>45911</v>
      </c>
      <c r="D3797" t="inlineStr">
        <is>
          <t>GÄVLEBORGS LÄN</t>
        </is>
      </c>
      <c r="E3797" t="inlineStr">
        <is>
          <t>BOLLNÄS</t>
        </is>
      </c>
      <c r="F3797" t="inlineStr">
        <is>
          <t>Kyrkan</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28429-2025</t>
        </is>
      </c>
      <c r="B3798" s="1" t="n">
        <v>45819.37796296296</v>
      </c>
      <c r="C3798" s="1" t="n">
        <v>45911</v>
      </c>
      <c r="D3798" t="inlineStr">
        <is>
          <t>GÄVLEBORGS LÄN</t>
        </is>
      </c>
      <c r="E3798" t="inlineStr">
        <is>
          <t>BOLLNÄS</t>
        </is>
      </c>
      <c r="F3798" t="inlineStr">
        <is>
          <t>Bergvik skog väst AB</t>
        </is>
      </c>
      <c r="G3798" t="n">
        <v>3.8</v>
      </c>
      <c r="H3798" t="n">
        <v>0</v>
      </c>
      <c r="I3798" t="n">
        <v>0</v>
      </c>
      <c r="J3798" t="n">
        <v>0</v>
      </c>
      <c r="K3798" t="n">
        <v>0</v>
      </c>
      <c r="L3798" t="n">
        <v>0</v>
      </c>
      <c r="M3798" t="n">
        <v>0</v>
      </c>
      <c r="N3798" t="n">
        <v>0</v>
      </c>
      <c r="O3798" t="n">
        <v>0</v>
      </c>
      <c r="P3798" t="n">
        <v>0</v>
      </c>
      <c r="Q3798" t="n">
        <v>0</v>
      </c>
      <c r="R3798" s="2" t="inlineStr"/>
    </row>
    <row r="3799" ht="15" customHeight="1">
      <c r="A3799" t="inlineStr">
        <is>
          <t>A 42703-2024</t>
        </is>
      </c>
      <c r="B3799" s="1" t="n">
        <v>45566.43296296296</v>
      </c>
      <c r="C3799" s="1" t="n">
        <v>45911</v>
      </c>
      <c r="D3799" t="inlineStr">
        <is>
          <t>GÄVLEBORGS LÄN</t>
        </is>
      </c>
      <c r="E3799" t="inlineStr">
        <is>
          <t>LJUSDAL</t>
        </is>
      </c>
      <c r="F3799" t="inlineStr">
        <is>
          <t>Kommuner</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6673-2021</t>
        </is>
      </c>
      <c r="B3800" s="1" t="n">
        <v>44236</v>
      </c>
      <c r="C3800" s="1" t="n">
        <v>45911</v>
      </c>
      <c r="D3800" t="inlineStr">
        <is>
          <t>GÄVLEBORGS LÄN</t>
        </is>
      </c>
      <c r="E3800" t="inlineStr">
        <is>
          <t>SANDVIKEN</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48605-2023</t>
        </is>
      </c>
      <c r="B3801" s="1" t="n">
        <v>45208</v>
      </c>
      <c r="C3801" s="1" t="n">
        <v>45911</v>
      </c>
      <c r="D3801" t="inlineStr">
        <is>
          <t>GÄVLEBORGS LÄN</t>
        </is>
      </c>
      <c r="E3801" t="inlineStr">
        <is>
          <t>BOLLNÄS</t>
        </is>
      </c>
      <c r="G3801" t="n">
        <v>0.2</v>
      </c>
      <c r="H3801" t="n">
        <v>0</v>
      </c>
      <c r="I3801" t="n">
        <v>0</v>
      </c>
      <c r="J3801" t="n">
        <v>0</v>
      </c>
      <c r="K3801" t="n">
        <v>0</v>
      </c>
      <c r="L3801" t="n">
        <v>0</v>
      </c>
      <c r="M3801" t="n">
        <v>0</v>
      </c>
      <c r="N3801" t="n">
        <v>0</v>
      </c>
      <c r="O3801" t="n">
        <v>0</v>
      </c>
      <c r="P3801" t="n">
        <v>0</v>
      </c>
      <c r="Q3801" t="n">
        <v>0</v>
      </c>
      <c r="R3801" s="2" t="inlineStr"/>
    </row>
    <row r="3802" ht="15" customHeight="1">
      <c r="A3802" t="inlineStr">
        <is>
          <t>A 28931-2025</t>
        </is>
      </c>
      <c r="B3802" s="1" t="n">
        <v>45820.67806712963</v>
      </c>
      <c r="C3802" s="1" t="n">
        <v>45911</v>
      </c>
      <c r="D3802" t="inlineStr">
        <is>
          <t>GÄVLEBORGS LÄN</t>
        </is>
      </c>
      <c r="E3802" t="inlineStr">
        <is>
          <t>GÄVLE</t>
        </is>
      </c>
      <c r="G3802" t="n">
        <v>5.9</v>
      </c>
      <c r="H3802" t="n">
        <v>0</v>
      </c>
      <c r="I3802" t="n">
        <v>0</v>
      </c>
      <c r="J3802" t="n">
        <v>0</v>
      </c>
      <c r="K3802" t="n">
        <v>0</v>
      </c>
      <c r="L3802" t="n">
        <v>0</v>
      </c>
      <c r="M3802" t="n">
        <v>0</v>
      </c>
      <c r="N3802" t="n">
        <v>0</v>
      </c>
      <c r="O3802" t="n">
        <v>0</v>
      </c>
      <c r="P3802" t="n">
        <v>0</v>
      </c>
      <c r="Q3802" t="n">
        <v>0</v>
      </c>
      <c r="R3802" s="2" t="inlineStr"/>
    </row>
    <row r="3803" ht="15" customHeight="1">
      <c r="A3803" t="inlineStr">
        <is>
          <t>A 29802-2023</t>
        </is>
      </c>
      <c r="B3803" s="1" t="n">
        <v>45107.54129629629</v>
      </c>
      <c r="C3803" s="1" t="n">
        <v>45911</v>
      </c>
      <c r="D3803" t="inlineStr">
        <is>
          <t>GÄVLEBORGS LÄN</t>
        </is>
      </c>
      <c r="E3803" t="inlineStr">
        <is>
          <t>SÖDERHAMN</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28669-2025</t>
        </is>
      </c>
      <c r="B3804" s="1" t="n">
        <v>45819.66730324074</v>
      </c>
      <c r="C3804" s="1" t="n">
        <v>45911</v>
      </c>
      <c r="D3804" t="inlineStr">
        <is>
          <t>GÄVLEBORGS LÄN</t>
        </is>
      </c>
      <c r="E3804" t="inlineStr">
        <is>
          <t>OCKELBO</t>
        </is>
      </c>
      <c r="F3804" t="inlineStr">
        <is>
          <t>Bergvik skog väst AB</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29807-2023</t>
        </is>
      </c>
      <c r="B3805" s="1" t="n">
        <v>45099</v>
      </c>
      <c r="C3805" s="1" t="n">
        <v>45911</v>
      </c>
      <c r="D3805" t="inlineStr">
        <is>
          <t>GÄVLEBORGS LÄN</t>
        </is>
      </c>
      <c r="E3805" t="inlineStr">
        <is>
          <t>LJUSDAL</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14030-2025</t>
        </is>
      </c>
      <c r="B3806" s="1" t="n">
        <v>45740</v>
      </c>
      <c r="C3806" s="1" t="n">
        <v>45911</v>
      </c>
      <c r="D3806" t="inlineStr">
        <is>
          <t>GÄVLEBORGS LÄN</t>
        </is>
      </c>
      <c r="E3806" t="inlineStr">
        <is>
          <t>BOLLNÄS</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28473-2025</t>
        </is>
      </c>
      <c r="B3807" s="1" t="n">
        <v>45819.43885416666</v>
      </c>
      <c r="C3807" s="1" t="n">
        <v>45911</v>
      </c>
      <c r="D3807" t="inlineStr">
        <is>
          <t>GÄVLEBORGS LÄN</t>
        </is>
      </c>
      <c r="E3807" t="inlineStr">
        <is>
          <t>LJUSDAL</t>
        </is>
      </c>
      <c r="F3807" t="inlineStr">
        <is>
          <t>Bergvik skog väst AB</t>
        </is>
      </c>
      <c r="G3807" t="n">
        <v>34.9</v>
      </c>
      <c r="H3807" t="n">
        <v>0</v>
      </c>
      <c r="I3807" t="n">
        <v>0</v>
      </c>
      <c r="J3807" t="n">
        <v>0</v>
      </c>
      <c r="K3807" t="n">
        <v>0</v>
      </c>
      <c r="L3807" t="n">
        <v>0</v>
      </c>
      <c r="M3807" t="n">
        <v>0</v>
      </c>
      <c r="N3807" t="n">
        <v>0</v>
      </c>
      <c r="O3807" t="n">
        <v>0</v>
      </c>
      <c r="P3807" t="n">
        <v>0</v>
      </c>
      <c r="Q3807" t="n">
        <v>0</v>
      </c>
      <c r="R3807" s="2" t="inlineStr"/>
    </row>
    <row r="3808" ht="15" customHeight="1">
      <c r="A3808" t="inlineStr">
        <is>
          <t>A 28475-2025</t>
        </is>
      </c>
      <c r="B3808" s="1" t="n">
        <v>45819.44251157407</v>
      </c>
      <c r="C3808" s="1" t="n">
        <v>45911</v>
      </c>
      <c r="D3808" t="inlineStr">
        <is>
          <t>GÄVLEBORGS LÄN</t>
        </is>
      </c>
      <c r="E3808" t="inlineStr">
        <is>
          <t>HUDIKSVALL</t>
        </is>
      </c>
      <c r="F3808" t="inlineStr">
        <is>
          <t>Holmen skog AB</t>
        </is>
      </c>
      <c r="G3808" t="n">
        <v>4.8</v>
      </c>
      <c r="H3808" t="n">
        <v>0</v>
      </c>
      <c r="I3808" t="n">
        <v>0</v>
      </c>
      <c r="J3808" t="n">
        <v>0</v>
      </c>
      <c r="K3808" t="n">
        <v>0</v>
      </c>
      <c r="L3808" t="n">
        <v>0</v>
      </c>
      <c r="M3808" t="n">
        <v>0</v>
      </c>
      <c r="N3808" t="n">
        <v>0</v>
      </c>
      <c r="O3808" t="n">
        <v>0</v>
      </c>
      <c r="P3808" t="n">
        <v>0</v>
      </c>
      <c r="Q3808" t="n">
        <v>0</v>
      </c>
      <c r="R3808" s="2" t="inlineStr"/>
    </row>
    <row r="3809" ht="15" customHeight="1">
      <c r="A3809" t="inlineStr">
        <is>
          <t>A 28477-2025</t>
        </is>
      </c>
      <c r="B3809" s="1" t="n">
        <v>45819.44628472222</v>
      </c>
      <c r="C3809" s="1" t="n">
        <v>45911</v>
      </c>
      <c r="D3809" t="inlineStr">
        <is>
          <t>GÄVLEBORGS LÄN</t>
        </is>
      </c>
      <c r="E3809" t="inlineStr">
        <is>
          <t>BOLLNÄS</t>
        </is>
      </c>
      <c r="F3809" t="inlineStr">
        <is>
          <t>Bergvik skog väst AB</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30928-2023</t>
        </is>
      </c>
      <c r="B3810" s="1" t="n">
        <v>45113.44694444445</v>
      </c>
      <c r="C3810" s="1" t="n">
        <v>45911</v>
      </c>
      <c r="D3810" t="inlineStr">
        <is>
          <t>GÄVLEBORGS LÄN</t>
        </is>
      </c>
      <c r="E3810" t="inlineStr">
        <is>
          <t>SÖDERHAMN</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31707-2024</t>
        </is>
      </c>
      <c r="B3811" s="1" t="n">
        <v>45508.92780092593</v>
      </c>
      <c r="C3811" s="1" t="n">
        <v>45911</v>
      </c>
      <c r="D3811" t="inlineStr">
        <is>
          <t>GÄVLEBORGS LÄN</t>
        </is>
      </c>
      <c r="E3811" t="inlineStr">
        <is>
          <t>HUDIKSVALL</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31723-2024</t>
        </is>
      </c>
      <c r="B3812" s="1" t="n">
        <v>45509.32942129629</v>
      </c>
      <c r="C3812" s="1" t="n">
        <v>45911</v>
      </c>
      <c r="D3812" t="inlineStr">
        <is>
          <t>GÄVLEBORGS LÄN</t>
        </is>
      </c>
      <c r="E3812" t="inlineStr">
        <is>
          <t>NORDANSTIG</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33945-2024</t>
        </is>
      </c>
      <c r="B3813" s="1" t="n">
        <v>45523.45549768519</v>
      </c>
      <c r="C3813" s="1" t="n">
        <v>45911</v>
      </c>
      <c r="D3813" t="inlineStr">
        <is>
          <t>GÄVLEBORGS LÄN</t>
        </is>
      </c>
      <c r="E3813" t="inlineStr">
        <is>
          <t>OVANÅKER</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69571-2020</t>
        </is>
      </c>
      <c r="B3814" s="1" t="n">
        <v>44194</v>
      </c>
      <c r="C3814" s="1" t="n">
        <v>45911</v>
      </c>
      <c r="D3814" t="inlineStr">
        <is>
          <t>GÄVLEBORGS LÄN</t>
        </is>
      </c>
      <c r="E3814" t="inlineStr">
        <is>
          <t>LJUSDAL</t>
        </is>
      </c>
      <c r="G3814" t="n">
        <v>2.2</v>
      </c>
      <c r="H3814" t="n">
        <v>0</v>
      </c>
      <c r="I3814" t="n">
        <v>0</v>
      </c>
      <c r="J3814" t="n">
        <v>0</v>
      </c>
      <c r="K3814" t="n">
        <v>0</v>
      </c>
      <c r="L3814" t="n">
        <v>0</v>
      </c>
      <c r="M3814" t="n">
        <v>0</v>
      </c>
      <c r="N3814" t="n">
        <v>0</v>
      </c>
      <c r="O3814" t="n">
        <v>0</v>
      </c>
      <c r="P3814" t="n">
        <v>0</v>
      </c>
      <c r="Q3814" t="n">
        <v>0</v>
      </c>
      <c r="R3814" s="2" t="inlineStr"/>
      <c r="U3814">
        <f>HYPERLINK("https://klasma.github.io/Logging_2161/knärot/A 69571-2020 karta knärot.png", "A 69571-2020")</f>
        <v/>
      </c>
      <c r="V3814">
        <f>HYPERLINK("https://klasma.github.io/Logging_2161/klagomål/A 69571-2020 FSC-klagomål.docx", "A 69571-2020")</f>
        <v/>
      </c>
      <c r="W3814">
        <f>HYPERLINK("https://klasma.github.io/Logging_2161/klagomålsmail/A 69571-2020 FSC-klagomål mail.docx", "A 69571-2020")</f>
        <v/>
      </c>
      <c r="X3814">
        <f>HYPERLINK("https://klasma.github.io/Logging_2161/tillsyn/A 69571-2020 tillsynsbegäran.docx", "A 69571-2020")</f>
        <v/>
      </c>
      <c r="Y3814">
        <f>HYPERLINK("https://klasma.github.io/Logging_2161/tillsynsmail/A 69571-2020 tillsynsbegäran mail.docx", "A 69571-2020")</f>
        <v/>
      </c>
    </row>
    <row r="3815" ht="15" customHeight="1">
      <c r="A3815" t="inlineStr">
        <is>
          <t>A 19564-2025</t>
        </is>
      </c>
      <c r="B3815" s="1" t="n">
        <v>45770.53148148148</v>
      </c>
      <c r="C3815" s="1" t="n">
        <v>45911</v>
      </c>
      <c r="D3815" t="inlineStr">
        <is>
          <t>GÄVLEBORGS LÄN</t>
        </is>
      </c>
      <c r="E3815" t="inlineStr">
        <is>
          <t>LJUSDAL</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28476-2025</t>
        </is>
      </c>
      <c r="B3816" s="1" t="n">
        <v>45819.44342592593</v>
      </c>
      <c r="C3816" s="1" t="n">
        <v>45911</v>
      </c>
      <c r="D3816" t="inlineStr">
        <is>
          <t>GÄVLEBORGS LÄN</t>
        </is>
      </c>
      <c r="E3816" t="inlineStr">
        <is>
          <t>SANDVIKEN</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28504-2025</t>
        </is>
      </c>
      <c r="B3817" s="1" t="n">
        <v>45819.47546296296</v>
      </c>
      <c r="C3817" s="1" t="n">
        <v>45911</v>
      </c>
      <c r="D3817" t="inlineStr">
        <is>
          <t>GÄVLEBORGS LÄN</t>
        </is>
      </c>
      <c r="E3817" t="inlineStr">
        <is>
          <t>HUDIKSVALL</t>
        </is>
      </c>
      <c r="F3817" t="inlineStr">
        <is>
          <t>Holmen skog AB</t>
        </is>
      </c>
      <c r="G3817" t="n">
        <v>3.9</v>
      </c>
      <c r="H3817" t="n">
        <v>0</v>
      </c>
      <c r="I3817" t="n">
        <v>0</v>
      </c>
      <c r="J3817" t="n">
        <v>0</v>
      </c>
      <c r="K3817" t="n">
        <v>0</v>
      </c>
      <c r="L3817" t="n">
        <v>0</v>
      </c>
      <c r="M3817" t="n">
        <v>0</v>
      </c>
      <c r="N3817" t="n">
        <v>0</v>
      </c>
      <c r="O3817" t="n">
        <v>0</v>
      </c>
      <c r="P3817" t="n">
        <v>0</v>
      </c>
      <c r="Q3817" t="n">
        <v>0</v>
      </c>
      <c r="R3817" s="2" t="inlineStr"/>
    </row>
    <row r="3818" ht="15" customHeight="1">
      <c r="A3818" t="inlineStr">
        <is>
          <t>A 20284-2025</t>
        </is>
      </c>
      <c r="B3818" s="1" t="n">
        <v>45774.50434027778</v>
      </c>
      <c r="C3818" s="1" t="n">
        <v>45911</v>
      </c>
      <c r="D3818" t="inlineStr">
        <is>
          <t>GÄVLEBORGS LÄN</t>
        </is>
      </c>
      <c r="E3818" t="inlineStr">
        <is>
          <t>BOLLNÄS</t>
        </is>
      </c>
      <c r="F3818" t="inlineStr">
        <is>
          <t>Bergvik skog väst AB</t>
        </is>
      </c>
      <c r="G3818" t="n">
        <v>0.4</v>
      </c>
      <c r="H3818" t="n">
        <v>0</v>
      </c>
      <c r="I3818" t="n">
        <v>0</v>
      </c>
      <c r="J3818" t="n">
        <v>0</v>
      </c>
      <c r="K3818" t="n">
        <v>0</v>
      </c>
      <c r="L3818" t="n">
        <v>0</v>
      </c>
      <c r="M3818" t="n">
        <v>0</v>
      </c>
      <c r="N3818" t="n">
        <v>0</v>
      </c>
      <c r="O3818" t="n">
        <v>0</v>
      </c>
      <c r="P3818" t="n">
        <v>0</v>
      </c>
      <c r="Q3818" t="n">
        <v>0</v>
      </c>
      <c r="R3818" s="2" t="inlineStr"/>
    </row>
    <row r="3819" ht="15" customHeight="1">
      <c r="A3819" t="inlineStr">
        <is>
          <t>A 4275-2023</t>
        </is>
      </c>
      <c r="B3819" s="1" t="n">
        <v>44953.5824537037</v>
      </c>
      <c r="C3819" s="1" t="n">
        <v>45911</v>
      </c>
      <c r="D3819" t="inlineStr">
        <is>
          <t>GÄVLEBORGS LÄN</t>
        </is>
      </c>
      <c r="E3819" t="inlineStr">
        <is>
          <t>LJUSDAL</t>
        </is>
      </c>
      <c r="F3819" t="inlineStr">
        <is>
          <t>Holmen skog AB</t>
        </is>
      </c>
      <c r="G3819" t="n">
        <v>16.4</v>
      </c>
      <c r="H3819" t="n">
        <v>0</v>
      </c>
      <c r="I3819" t="n">
        <v>0</v>
      </c>
      <c r="J3819" t="n">
        <v>0</v>
      </c>
      <c r="K3819" t="n">
        <v>0</v>
      </c>
      <c r="L3819" t="n">
        <v>0</v>
      </c>
      <c r="M3819" t="n">
        <v>0</v>
      </c>
      <c r="N3819" t="n">
        <v>0</v>
      </c>
      <c r="O3819" t="n">
        <v>0</v>
      </c>
      <c r="P3819" t="n">
        <v>0</v>
      </c>
      <c r="Q3819" t="n">
        <v>0</v>
      </c>
      <c r="R3819" s="2" t="inlineStr"/>
    </row>
    <row r="3820" ht="15" customHeight="1">
      <c r="A3820" t="inlineStr">
        <is>
          <t>A 7478-2025</t>
        </is>
      </c>
      <c r="B3820" s="1" t="n">
        <v>45705</v>
      </c>
      <c r="C3820" s="1" t="n">
        <v>45911</v>
      </c>
      <c r="D3820" t="inlineStr">
        <is>
          <t>GÄVLEBORGS LÄN</t>
        </is>
      </c>
      <c r="E3820" t="inlineStr">
        <is>
          <t>OCKELBO</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44826-2024</t>
        </is>
      </c>
      <c r="B3821" s="1" t="n">
        <v>45574.67715277777</v>
      </c>
      <c r="C3821" s="1" t="n">
        <v>45911</v>
      </c>
      <c r="D3821" t="inlineStr">
        <is>
          <t>GÄVLEBORGS LÄN</t>
        </is>
      </c>
      <c r="E3821" t="inlineStr">
        <is>
          <t>NORDANSTIG</t>
        </is>
      </c>
      <c r="F3821" t="inlineStr">
        <is>
          <t>Holmen skog AB</t>
        </is>
      </c>
      <c r="G3821" t="n">
        <v>15.3</v>
      </c>
      <c r="H3821" t="n">
        <v>0</v>
      </c>
      <c r="I3821" t="n">
        <v>0</v>
      </c>
      <c r="J3821" t="n">
        <v>0</v>
      </c>
      <c r="K3821" t="n">
        <v>0</v>
      </c>
      <c r="L3821" t="n">
        <v>0</v>
      </c>
      <c r="M3821" t="n">
        <v>0</v>
      </c>
      <c r="N3821" t="n">
        <v>0</v>
      </c>
      <c r="O3821" t="n">
        <v>0</v>
      </c>
      <c r="P3821" t="n">
        <v>0</v>
      </c>
      <c r="Q3821" t="n">
        <v>0</v>
      </c>
      <c r="R3821" s="2" t="inlineStr"/>
    </row>
    <row r="3822" ht="15" customHeight="1">
      <c r="A3822" t="inlineStr">
        <is>
          <t>A 60628-2023</t>
        </is>
      </c>
      <c r="B3822" s="1" t="n">
        <v>45260.39491898148</v>
      </c>
      <c r="C3822" s="1" t="n">
        <v>45911</v>
      </c>
      <c r="D3822" t="inlineStr">
        <is>
          <t>GÄVLEBORGS LÄN</t>
        </is>
      </c>
      <c r="E3822" t="inlineStr">
        <is>
          <t>HUDIKSVALL</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28622-2025</t>
        </is>
      </c>
      <c r="B3823" s="1" t="n">
        <v>45819.61425925926</v>
      </c>
      <c r="C3823" s="1" t="n">
        <v>45911</v>
      </c>
      <c r="D3823" t="inlineStr">
        <is>
          <t>GÄVLEBORGS LÄN</t>
        </is>
      </c>
      <c r="E3823" t="inlineStr">
        <is>
          <t>OVANÅKER</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7559-2025</t>
        </is>
      </c>
      <c r="B3824" s="1" t="n">
        <v>45705.58496527778</v>
      </c>
      <c r="C3824" s="1" t="n">
        <v>45911</v>
      </c>
      <c r="D3824" t="inlineStr">
        <is>
          <t>GÄVLEBORGS LÄN</t>
        </is>
      </c>
      <c r="E3824" t="inlineStr">
        <is>
          <t>SÖDERHAMN</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5395-2025</t>
        </is>
      </c>
      <c r="B3825" s="1" t="n">
        <v>45692</v>
      </c>
      <c r="C3825" s="1" t="n">
        <v>45911</v>
      </c>
      <c r="D3825" t="inlineStr">
        <is>
          <t>GÄVLEBORGS LÄN</t>
        </is>
      </c>
      <c r="E3825" t="inlineStr">
        <is>
          <t>HUDIKSVALL</t>
        </is>
      </c>
      <c r="F3825" t="inlineStr">
        <is>
          <t>Holmen skog AB</t>
        </is>
      </c>
      <c r="G3825" t="n">
        <v>7.3</v>
      </c>
      <c r="H3825" t="n">
        <v>0</v>
      </c>
      <c r="I3825" t="n">
        <v>0</v>
      </c>
      <c r="J3825" t="n">
        <v>0</v>
      </c>
      <c r="K3825" t="n">
        <v>0</v>
      </c>
      <c r="L3825" t="n">
        <v>0</v>
      </c>
      <c r="M3825" t="n">
        <v>0</v>
      </c>
      <c r="N3825" t="n">
        <v>0</v>
      </c>
      <c r="O3825" t="n">
        <v>0</v>
      </c>
      <c r="P3825" t="n">
        <v>0</v>
      </c>
      <c r="Q3825" t="n">
        <v>0</v>
      </c>
      <c r="R3825" s="2" t="inlineStr"/>
    </row>
    <row r="3826" ht="15" customHeight="1">
      <c r="A3826" t="inlineStr">
        <is>
          <t>A 28481-2025</t>
        </is>
      </c>
      <c r="B3826" s="1" t="n">
        <v>45819.4528125</v>
      </c>
      <c r="C3826" s="1" t="n">
        <v>45911</v>
      </c>
      <c r="D3826" t="inlineStr">
        <is>
          <t>GÄVLEBORGS LÄN</t>
        </is>
      </c>
      <c r="E3826" t="inlineStr">
        <is>
          <t>GÄVLE</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28520-2025</t>
        </is>
      </c>
      <c r="B3827" s="1" t="n">
        <v>45819.48962962963</v>
      </c>
      <c r="C3827" s="1" t="n">
        <v>45911</v>
      </c>
      <c r="D3827" t="inlineStr">
        <is>
          <t>GÄVLEBORGS LÄN</t>
        </is>
      </c>
      <c r="E3827" t="inlineStr">
        <is>
          <t>BOLLNÄS</t>
        </is>
      </c>
      <c r="F3827" t="inlineStr">
        <is>
          <t>Bergvik skog väst AB</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8448-2025</t>
        </is>
      </c>
      <c r="B3828" s="1" t="n">
        <v>45709</v>
      </c>
      <c r="C3828" s="1" t="n">
        <v>45911</v>
      </c>
      <c r="D3828" t="inlineStr">
        <is>
          <t>GÄVLEBORGS LÄN</t>
        </is>
      </c>
      <c r="E3828" t="inlineStr">
        <is>
          <t>HOFORS</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21525-2022</t>
        </is>
      </c>
      <c r="B3829" s="1" t="n">
        <v>44706.51047453703</v>
      </c>
      <c r="C3829" s="1" t="n">
        <v>45911</v>
      </c>
      <c r="D3829" t="inlineStr">
        <is>
          <t>GÄVLEBORGS LÄN</t>
        </is>
      </c>
      <c r="E3829" t="inlineStr">
        <is>
          <t>HUDIKSVALL</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28570-2025</t>
        </is>
      </c>
      <c r="B3830" s="1" t="n">
        <v>45819.55990740741</v>
      </c>
      <c r="C3830" s="1" t="n">
        <v>45911</v>
      </c>
      <c r="D3830" t="inlineStr">
        <is>
          <t>GÄVLEBORGS LÄN</t>
        </is>
      </c>
      <c r="E3830" t="inlineStr">
        <is>
          <t>BOLLNÄS</t>
        </is>
      </c>
      <c r="G3830" t="n">
        <v>3.9</v>
      </c>
      <c r="H3830" t="n">
        <v>0</v>
      </c>
      <c r="I3830" t="n">
        <v>0</v>
      </c>
      <c r="J3830" t="n">
        <v>0</v>
      </c>
      <c r="K3830" t="n">
        <v>0</v>
      </c>
      <c r="L3830" t="n">
        <v>0</v>
      </c>
      <c r="M3830" t="n">
        <v>0</v>
      </c>
      <c r="N3830" t="n">
        <v>0</v>
      </c>
      <c r="O3830" t="n">
        <v>0</v>
      </c>
      <c r="P3830" t="n">
        <v>0</v>
      </c>
      <c r="Q3830" t="n">
        <v>0</v>
      </c>
      <c r="R3830" s="2" t="inlineStr"/>
    </row>
    <row r="3831" ht="15" customHeight="1">
      <c r="A3831" t="inlineStr">
        <is>
          <t>A 57871-2023</t>
        </is>
      </c>
      <c r="B3831" s="1" t="n">
        <v>45247.45946759259</v>
      </c>
      <c r="C3831" s="1" t="n">
        <v>45911</v>
      </c>
      <c r="D3831" t="inlineStr">
        <is>
          <t>GÄVLEBORGS LÄN</t>
        </is>
      </c>
      <c r="E3831" t="inlineStr">
        <is>
          <t>HUDIKSVALL</t>
        </is>
      </c>
      <c r="F3831" t="inlineStr">
        <is>
          <t>Holmen skog AB</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5892-2025</t>
        </is>
      </c>
      <c r="B3832" s="1" t="n">
        <v>45695.38471064815</v>
      </c>
      <c r="C3832" s="1" t="n">
        <v>45911</v>
      </c>
      <c r="D3832" t="inlineStr">
        <is>
          <t>GÄVLEBORGS LÄN</t>
        </is>
      </c>
      <c r="E3832" t="inlineStr">
        <is>
          <t>HUDIKSVALL</t>
        </is>
      </c>
      <c r="F3832" t="inlineStr">
        <is>
          <t>Holmen skog AB</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7038-2025</t>
        </is>
      </c>
      <c r="B3833" s="1" t="n">
        <v>45701.63686342593</v>
      </c>
      <c r="C3833" s="1" t="n">
        <v>45911</v>
      </c>
      <c r="D3833" t="inlineStr">
        <is>
          <t>GÄVLEBORGS LÄN</t>
        </is>
      </c>
      <c r="E3833" t="inlineStr">
        <is>
          <t>SANDVIKEN</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17436-2025</t>
        </is>
      </c>
      <c r="B3834" s="1" t="n">
        <v>45757.42239583333</v>
      </c>
      <c r="C3834" s="1" t="n">
        <v>45911</v>
      </c>
      <c r="D3834" t="inlineStr">
        <is>
          <t>GÄVLEBORGS LÄN</t>
        </is>
      </c>
      <c r="E3834" t="inlineStr">
        <is>
          <t>SANDVIKEN</t>
        </is>
      </c>
      <c r="F3834" t="inlineStr">
        <is>
          <t>Bergvik skog öst AB</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7056-2025</t>
        </is>
      </c>
      <c r="B3835" s="1" t="n">
        <v>45701.65290509259</v>
      </c>
      <c r="C3835" s="1" t="n">
        <v>45911</v>
      </c>
      <c r="D3835" t="inlineStr">
        <is>
          <t>GÄVLEBORGS LÄN</t>
        </is>
      </c>
      <c r="E3835" t="inlineStr">
        <is>
          <t>SANDVIKEN</t>
        </is>
      </c>
      <c r="G3835" t="n">
        <v>6.4</v>
      </c>
      <c r="H3835" t="n">
        <v>0</v>
      </c>
      <c r="I3835" t="n">
        <v>0</v>
      </c>
      <c r="J3835" t="n">
        <v>0</v>
      </c>
      <c r="K3835" t="n">
        <v>0</v>
      </c>
      <c r="L3835" t="n">
        <v>0</v>
      </c>
      <c r="M3835" t="n">
        <v>0</v>
      </c>
      <c r="N3835" t="n">
        <v>0</v>
      </c>
      <c r="O3835" t="n">
        <v>0</v>
      </c>
      <c r="P3835" t="n">
        <v>0</v>
      </c>
      <c r="Q3835" t="n">
        <v>0</v>
      </c>
      <c r="R3835" s="2" t="inlineStr"/>
    </row>
    <row r="3836" ht="15" customHeight="1">
      <c r="A3836" t="inlineStr">
        <is>
          <t>A 59930-2024</t>
        </is>
      </c>
      <c r="B3836" s="1" t="n">
        <v>45642</v>
      </c>
      <c r="C3836" s="1" t="n">
        <v>45911</v>
      </c>
      <c r="D3836" t="inlineStr">
        <is>
          <t>GÄVLEBORGS LÄN</t>
        </is>
      </c>
      <c r="E3836" t="inlineStr">
        <is>
          <t>NORDANSTIG</t>
        </is>
      </c>
      <c r="G3836" t="n">
        <v>0.1</v>
      </c>
      <c r="H3836" t="n">
        <v>0</v>
      </c>
      <c r="I3836" t="n">
        <v>0</v>
      </c>
      <c r="J3836" t="n">
        <v>0</v>
      </c>
      <c r="K3836" t="n">
        <v>0</v>
      </c>
      <c r="L3836" t="n">
        <v>0</v>
      </c>
      <c r="M3836" t="n">
        <v>0</v>
      </c>
      <c r="N3836" t="n">
        <v>0</v>
      </c>
      <c r="O3836" t="n">
        <v>0</v>
      </c>
      <c r="P3836" t="n">
        <v>0</v>
      </c>
      <c r="Q3836" t="n">
        <v>0</v>
      </c>
      <c r="R3836" s="2" t="inlineStr"/>
    </row>
    <row r="3837" ht="15" customHeight="1">
      <c r="A3837" t="inlineStr">
        <is>
          <t>A 59941-2024</t>
        </is>
      </c>
      <c r="B3837" s="1" t="n">
        <v>45642.33047453704</v>
      </c>
      <c r="C3837" s="1" t="n">
        <v>45911</v>
      </c>
      <c r="D3837" t="inlineStr">
        <is>
          <t>GÄVLEBORGS LÄN</t>
        </is>
      </c>
      <c r="E3837" t="inlineStr">
        <is>
          <t>OCKELBO</t>
        </is>
      </c>
      <c r="F3837" t="inlineStr">
        <is>
          <t>Bergvik skog öst AB</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28585-2025</t>
        </is>
      </c>
      <c r="B3838" s="1" t="n">
        <v>45819.5790625</v>
      </c>
      <c r="C3838" s="1" t="n">
        <v>45911</v>
      </c>
      <c r="D3838" t="inlineStr">
        <is>
          <t>GÄVLEBORGS LÄN</t>
        </is>
      </c>
      <c r="E3838" t="inlineStr">
        <is>
          <t>OVANÅKER</t>
        </is>
      </c>
      <c r="F3838" t="inlineStr">
        <is>
          <t>Bergvik skog väst AB</t>
        </is>
      </c>
      <c r="G3838" t="n">
        <v>4.9</v>
      </c>
      <c r="H3838" t="n">
        <v>0</v>
      </c>
      <c r="I3838" t="n">
        <v>0</v>
      </c>
      <c r="J3838" t="n">
        <v>0</v>
      </c>
      <c r="K3838" t="n">
        <v>0</v>
      </c>
      <c r="L3838" t="n">
        <v>0</v>
      </c>
      <c r="M3838" t="n">
        <v>0</v>
      </c>
      <c r="N3838" t="n">
        <v>0</v>
      </c>
      <c r="O3838" t="n">
        <v>0</v>
      </c>
      <c r="P3838" t="n">
        <v>0</v>
      </c>
      <c r="Q3838" t="n">
        <v>0</v>
      </c>
      <c r="R3838" s="2" t="inlineStr"/>
    </row>
    <row r="3839" ht="15" customHeight="1">
      <c r="A3839" t="inlineStr">
        <is>
          <t>A 28776-2025</t>
        </is>
      </c>
      <c r="B3839" s="1" t="n">
        <v>45820.44554398148</v>
      </c>
      <c r="C3839" s="1" t="n">
        <v>45911</v>
      </c>
      <c r="D3839" t="inlineStr">
        <is>
          <t>GÄVLEBORGS LÄN</t>
        </is>
      </c>
      <c r="E3839" t="inlineStr">
        <is>
          <t>OVANÅKER</t>
        </is>
      </c>
      <c r="G3839" t="n">
        <v>4.8</v>
      </c>
      <c r="H3839" t="n">
        <v>0</v>
      </c>
      <c r="I3839" t="n">
        <v>0</v>
      </c>
      <c r="J3839" t="n">
        <v>0</v>
      </c>
      <c r="K3839" t="n">
        <v>0</v>
      </c>
      <c r="L3839" t="n">
        <v>0</v>
      </c>
      <c r="M3839" t="n">
        <v>0</v>
      </c>
      <c r="N3839" t="n">
        <v>0</v>
      </c>
      <c r="O3839" t="n">
        <v>0</v>
      </c>
      <c r="P3839" t="n">
        <v>0</v>
      </c>
      <c r="Q3839" t="n">
        <v>0</v>
      </c>
      <c r="R3839" s="2" t="inlineStr"/>
    </row>
    <row r="3840" ht="15" customHeight="1">
      <c r="A3840" t="inlineStr">
        <is>
          <t>A 12549-2025</t>
        </is>
      </c>
      <c r="B3840" s="1" t="n">
        <v>45731.3146412037</v>
      </c>
      <c r="C3840" s="1" t="n">
        <v>45911</v>
      </c>
      <c r="D3840" t="inlineStr">
        <is>
          <t>GÄVLEBORGS LÄN</t>
        </is>
      </c>
      <c r="E3840" t="inlineStr">
        <is>
          <t>OVANÅKER</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28163-2023</t>
        </is>
      </c>
      <c r="B3841" s="1" t="n">
        <v>45096</v>
      </c>
      <c r="C3841" s="1" t="n">
        <v>45911</v>
      </c>
      <c r="D3841" t="inlineStr">
        <is>
          <t>GÄVLEBORGS LÄN</t>
        </is>
      </c>
      <c r="E3841" t="inlineStr">
        <is>
          <t>SANDVIKEN</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16745-2025</t>
        </is>
      </c>
      <c r="B3842" s="1" t="n">
        <v>45754.56126157408</v>
      </c>
      <c r="C3842" s="1" t="n">
        <v>45911</v>
      </c>
      <c r="D3842" t="inlineStr">
        <is>
          <t>GÄVLEBORGS LÄN</t>
        </is>
      </c>
      <c r="E3842" t="inlineStr">
        <is>
          <t>HUDIKSVALL</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16641-2024</t>
        </is>
      </c>
      <c r="B3843" s="1" t="n">
        <v>45408.60974537037</v>
      </c>
      <c r="C3843" s="1" t="n">
        <v>45911</v>
      </c>
      <c r="D3843" t="inlineStr">
        <is>
          <t>GÄVLEBORGS LÄN</t>
        </is>
      </c>
      <c r="E3843" t="inlineStr">
        <is>
          <t>BOLLNÄS</t>
        </is>
      </c>
      <c r="F3843" t="inlineStr">
        <is>
          <t>Bergvik skog öst AB</t>
        </is>
      </c>
      <c r="G3843" t="n">
        <v>4.5</v>
      </c>
      <c r="H3843" t="n">
        <v>0</v>
      </c>
      <c r="I3843" t="n">
        <v>0</v>
      </c>
      <c r="J3843" t="n">
        <v>0</v>
      </c>
      <c r="K3843" t="n">
        <v>0</v>
      </c>
      <c r="L3843" t="n">
        <v>0</v>
      </c>
      <c r="M3843" t="n">
        <v>0</v>
      </c>
      <c r="N3843" t="n">
        <v>0</v>
      </c>
      <c r="O3843" t="n">
        <v>0</v>
      </c>
      <c r="P3843" t="n">
        <v>0</v>
      </c>
      <c r="Q3843" t="n">
        <v>0</v>
      </c>
      <c r="R3843" s="2" t="inlineStr"/>
    </row>
    <row r="3844" ht="15" customHeight="1">
      <c r="A3844" t="inlineStr">
        <is>
          <t>A 21125-2023</t>
        </is>
      </c>
      <c r="B3844" s="1" t="n">
        <v>45062.29048611111</v>
      </c>
      <c r="C3844" s="1" t="n">
        <v>45911</v>
      </c>
      <c r="D3844" t="inlineStr">
        <is>
          <t>GÄVLEBORGS LÄN</t>
        </is>
      </c>
      <c r="E3844" t="inlineStr">
        <is>
          <t>LJUSDAL</t>
        </is>
      </c>
      <c r="F3844" t="inlineStr">
        <is>
          <t>Holmen skog AB</t>
        </is>
      </c>
      <c r="G3844" t="n">
        <v>5.9</v>
      </c>
      <c r="H3844" t="n">
        <v>0</v>
      </c>
      <c r="I3844" t="n">
        <v>0</v>
      </c>
      <c r="J3844" t="n">
        <v>0</v>
      </c>
      <c r="K3844" t="n">
        <v>0</v>
      </c>
      <c r="L3844" t="n">
        <v>0</v>
      </c>
      <c r="M3844" t="n">
        <v>0</v>
      </c>
      <c r="N3844" t="n">
        <v>0</v>
      </c>
      <c r="O3844" t="n">
        <v>0</v>
      </c>
      <c r="P3844" t="n">
        <v>0</v>
      </c>
      <c r="Q3844" t="n">
        <v>0</v>
      </c>
      <c r="R3844" s="2" t="inlineStr"/>
    </row>
    <row r="3845" ht="15" customHeight="1">
      <c r="A3845" t="inlineStr">
        <is>
          <t>A 53494-2023</t>
        </is>
      </c>
      <c r="B3845" s="1" t="n">
        <v>45230.36850694445</v>
      </c>
      <c r="C3845" s="1" t="n">
        <v>45911</v>
      </c>
      <c r="D3845" t="inlineStr">
        <is>
          <t>GÄVLEBORGS LÄN</t>
        </is>
      </c>
      <c r="E3845" t="inlineStr">
        <is>
          <t>BOLLNÄS</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41882-2024</t>
        </is>
      </c>
      <c r="B3846" s="1" t="n">
        <v>45561.4859375</v>
      </c>
      <c r="C3846" s="1" t="n">
        <v>45911</v>
      </c>
      <c r="D3846" t="inlineStr">
        <is>
          <t>GÄVLEBORGS LÄN</t>
        </is>
      </c>
      <c r="E3846" t="inlineStr">
        <is>
          <t>LJUSDAL</t>
        </is>
      </c>
      <c r="G3846" t="n">
        <v>11.9</v>
      </c>
      <c r="H3846" t="n">
        <v>0</v>
      </c>
      <c r="I3846" t="n">
        <v>0</v>
      </c>
      <c r="J3846" t="n">
        <v>0</v>
      </c>
      <c r="K3846" t="n">
        <v>0</v>
      </c>
      <c r="L3846" t="n">
        <v>0</v>
      </c>
      <c r="M3846" t="n">
        <v>0</v>
      </c>
      <c r="N3846" t="n">
        <v>0</v>
      </c>
      <c r="O3846" t="n">
        <v>0</v>
      </c>
      <c r="P3846" t="n">
        <v>0</v>
      </c>
      <c r="Q3846" t="n">
        <v>0</v>
      </c>
      <c r="R3846" s="2" t="inlineStr"/>
    </row>
    <row r="3847" ht="15" customHeight="1">
      <c r="A3847" t="inlineStr">
        <is>
          <t>A 31005-2023</t>
        </is>
      </c>
      <c r="B3847" s="1" t="n">
        <v>45113.5514699074</v>
      </c>
      <c r="C3847" s="1" t="n">
        <v>45911</v>
      </c>
      <c r="D3847" t="inlineStr">
        <is>
          <t>GÄVLEBORGS LÄN</t>
        </is>
      </c>
      <c r="E3847" t="inlineStr">
        <is>
          <t>OVANÅKER</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31023-2023</t>
        </is>
      </c>
      <c r="B3848" s="1" t="n">
        <v>45113.57775462963</v>
      </c>
      <c r="C3848" s="1" t="n">
        <v>45911</v>
      </c>
      <c r="D3848" t="inlineStr">
        <is>
          <t>GÄVLEBORGS LÄN</t>
        </is>
      </c>
      <c r="E3848" t="inlineStr">
        <is>
          <t>OVANÅKER</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23545-2025</t>
        </is>
      </c>
      <c r="B3849" s="1" t="n">
        <v>45792</v>
      </c>
      <c r="C3849" s="1" t="n">
        <v>45911</v>
      </c>
      <c r="D3849" t="inlineStr">
        <is>
          <t>GÄVLEBORGS LÄN</t>
        </is>
      </c>
      <c r="E3849" t="inlineStr">
        <is>
          <t>HOFORS</t>
        </is>
      </c>
      <c r="G3849" t="n">
        <v>3.5</v>
      </c>
      <c r="H3849" t="n">
        <v>0</v>
      </c>
      <c r="I3849" t="n">
        <v>0</v>
      </c>
      <c r="J3849" t="n">
        <v>0</v>
      </c>
      <c r="K3849" t="n">
        <v>0</v>
      </c>
      <c r="L3849" t="n">
        <v>0</v>
      </c>
      <c r="M3849" t="n">
        <v>0</v>
      </c>
      <c r="N3849" t="n">
        <v>0</v>
      </c>
      <c r="O3849" t="n">
        <v>0</v>
      </c>
      <c r="P3849" t="n">
        <v>0</v>
      </c>
      <c r="Q3849" t="n">
        <v>0</v>
      </c>
      <c r="R3849" s="2" t="inlineStr"/>
    </row>
    <row r="3850" ht="15" customHeight="1">
      <c r="A3850" t="inlineStr">
        <is>
          <t>A 28424-2025</t>
        </is>
      </c>
      <c r="B3850" s="1" t="n">
        <v>45819.36444444444</v>
      </c>
      <c r="C3850" s="1" t="n">
        <v>45911</v>
      </c>
      <c r="D3850" t="inlineStr">
        <is>
          <t>GÄVLEBORGS LÄN</t>
        </is>
      </c>
      <c r="E3850" t="inlineStr">
        <is>
          <t>SANDVIKEN</t>
        </is>
      </c>
      <c r="G3850" t="n">
        <v>6.8</v>
      </c>
      <c r="H3850" t="n">
        <v>0</v>
      </c>
      <c r="I3850" t="n">
        <v>0</v>
      </c>
      <c r="J3850" t="n">
        <v>0</v>
      </c>
      <c r="K3850" t="n">
        <v>0</v>
      </c>
      <c r="L3850" t="n">
        <v>0</v>
      </c>
      <c r="M3850" t="n">
        <v>0</v>
      </c>
      <c r="N3850" t="n">
        <v>0</v>
      </c>
      <c r="O3850" t="n">
        <v>0</v>
      </c>
      <c r="P3850" t="n">
        <v>0</v>
      </c>
      <c r="Q3850" t="n">
        <v>0</v>
      </c>
      <c r="R3850" s="2" t="inlineStr"/>
    </row>
    <row r="3851" ht="15" customHeight="1">
      <c r="A3851" t="inlineStr">
        <is>
          <t>A 28434-2025</t>
        </is>
      </c>
      <c r="B3851" s="1" t="n">
        <v>45819.38166666667</v>
      </c>
      <c r="C3851" s="1" t="n">
        <v>45911</v>
      </c>
      <c r="D3851" t="inlineStr">
        <is>
          <t>GÄVLEBORGS LÄN</t>
        </is>
      </c>
      <c r="E3851" t="inlineStr">
        <is>
          <t>OVANÅKER</t>
        </is>
      </c>
      <c r="F3851" t="inlineStr">
        <is>
          <t>Bergvik skog väst AB</t>
        </is>
      </c>
      <c r="G3851" t="n">
        <v>3</v>
      </c>
      <c r="H3851" t="n">
        <v>0</v>
      </c>
      <c r="I3851" t="n">
        <v>0</v>
      </c>
      <c r="J3851" t="n">
        <v>0</v>
      </c>
      <c r="K3851" t="n">
        <v>0</v>
      </c>
      <c r="L3851" t="n">
        <v>0</v>
      </c>
      <c r="M3851" t="n">
        <v>0</v>
      </c>
      <c r="N3851" t="n">
        <v>0</v>
      </c>
      <c r="O3851" t="n">
        <v>0</v>
      </c>
      <c r="P3851" t="n">
        <v>0</v>
      </c>
      <c r="Q3851" t="n">
        <v>0</v>
      </c>
      <c r="R3851" s="2" t="inlineStr"/>
    </row>
    <row r="3852" ht="15" customHeight="1">
      <c r="A3852" t="inlineStr">
        <is>
          <t>A 28455-2025</t>
        </is>
      </c>
      <c r="B3852" s="1" t="n">
        <v>45819.4068287037</v>
      </c>
      <c r="C3852" s="1" t="n">
        <v>45911</v>
      </c>
      <c r="D3852" t="inlineStr">
        <is>
          <t>GÄVLEBORGS LÄN</t>
        </is>
      </c>
      <c r="E3852" t="inlineStr">
        <is>
          <t>BOLLNÄS</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28456-2025</t>
        </is>
      </c>
      <c r="B3853" s="1" t="n">
        <v>45819.40685185185</v>
      </c>
      <c r="C3853" s="1" t="n">
        <v>45911</v>
      </c>
      <c r="D3853" t="inlineStr">
        <is>
          <t>GÄVLEBORGS LÄN</t>
        </is>
      </c>
      <c r="E3853" t="inlineStr">
        <is>
          <t>HUDIKSVALL</t>
        </is>
      </c>
      <c r="G3853" t="n">
        <v>2.8</v>
      </c>
      <c r="H3853" t="n">
        <v>0</v>
      </c>
      <c r="I3853" t="n">
        <v>0</v>
      </c>
      <c r="J3853" t="n">
        <v>0</v>
      </c>
      <c r="K3853" t="n">
        <v>0</v>
      </c>
      <c r="L3853" t="n">
        <v>0</v>
      </c>
      <c r="M3853" t="n">
        <v>0</v>
      </c>
      <c r="N3853" t="n">
        <v>0</v>
      </c>
      <c r="O3853" t="n">
        <v>0</v>
      </c>
      <c r="P3853" t="n">
        <v>0</v>
      </c>
      <c r="Q3853" t="n">
        <v>0</v>
      </c>
      <c r="R3853" s="2" t="inlineStr"/>
    </row>
    <row r="3854" ht="15" customHeight="1">
      <c r="A3854" t="inlineStr">
        <is>
          <t>A 28532-2025</t>
        </is>
      </c>
      <c r="B3854" s="1" t="n">
        <v>45819.50333333333</v>
      </c>
      <c r="C3854" s="1" t="n">
        <v>45911</v>
      </c>
      <c r="D3854" t="inlineStr">
        <is>
          <t>GÄVLEBORGS LÄN</t>
        </is>
      </c>
      <c r="E3854" t="inlineStr">
        <is>
          <t>OVANÅKER</t>
        </is>
      </c>
      <c r="F3854" t="inlineStr">
        <is>
          <t>Bergvik skog väst AB</t>
        </is>
      </c>
      <c r="G3854" t="n">
        <v>6.3</v>
      </c>
      <c r="H3854" t="n">
        <v>0</v>
      </c>
      <c r="I3854" t="n">
        <v>0</v>
      </c>
      <c r="J3854" t="n">
        <v>0</v>
      </c>
      <c r="K3854" t="n">
        <v>0</v>
      </c>
      <c r="L3854" t="n">
        <v>0</v>
      </c>
      <c r="M3854" t="n">
        <v>0</v>
      </c>
      <c r="N3854" t="n">
        <v>0</v>
      </c>
      <c r="O3854" t="n">
        <v>0</v>
      </c>
      <c r="P3854" t="n">
        <v>0</v>
      </c>
      <c r="Q3854" t="n">
        <v>0</v>
      </c>
      <c r="R3854" s="2" t="inlineStr"/>
    </row>
    <row r="3855" ht="15" customHeight="1">
      <c r="A3855" t="inlineStr">
        <is>
          <t>A 13470-2025</t>
        </is>
      </c>
      <c r="B3855" s="1" t="n">
        <v>45736.40509259259</v>
      </c>
      <c r="C3855" s="1" t="n">
        <v>45911</v>
      </c>
      <c r="D3855" t="inlineStr">
        <is>
          <t>GÄVLEBORGS LÄN</t>
        </is>
      </c>
      <c r="E3855" t="inlineStr">
        <is>
          <t>NORDANSTIG</t>
        </is>
      </c>
      <c r="F3855" t="inlineStr">
        <is>
          <t>Holmen skog AB</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230-2025</t>
        </is>
      </c>
      <c r="B3856" s="1" t="n">
        <v>45660.36721064815</v>
      </c>
      <c r="C3856" s="1" t="n">
        <v>45911</v>
      </c>
      <c r="D3856" t="inlineStr">
        <is>
          <t>GÄVLEBORGS LÄN</t>
        </is>
      </c>
      <c r="E3856" t="inlineStr">
        <is>
          <t>GÄVLE</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28740-2025</t>
        </is>
      </c>
      <c r="B3857" s="1" t="n">
        <v>45820.38311342592</v>
      </c>
      <c r="C3857" s="1" t="n">
        <v>45911</v>
      </c>
      <c r="D3857" t="inlineStr">
        <is>
          <t>GÄVLEBORGS LÄN</t>
        </is>
      </c>
      <c r="E3857" t="inlineStr">
        <is>
          <t>OCKELBO</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28753-2025</t>
        </is>
      </c>
      <c r="B3858" s="1" t="n">
        <v>45820.40336805556</v>
      </c>
      <c r="C3858" s="1" t="n">
        <v>45911</v>
      </c>
      <c r="D3858" t="inlineStr">
        <is>
          <t>GÄVLEBORGS LÄN</t>
        </is>
      </c>
      <c r="E3858" t="inlineStr">
        <is>
          <t>BOLLNÄS</t>
        </is>
      </c>
      <c r="G3858" t="n">
        <v>4.2</v>
      </c>
      <c r="H3858" t="n">
        <v>0</v>
      </c>
      <c r="I3858" t="n">
        <v>0</v>
      </c>
      <c r="J3858" t="n">
        <v>0</v>
      </c>
      <c r="K3858" t="n">
        <v>0</v>
      </c>
      <c r="L3858" t="n">
        <v>0</v>
      </c>
      <c r="M3858" t="n">
        <v>0</v>
      </c>
      <c r="N3858" t="n">
        <v>0</v>
      </c>
      <c r="O3858" t="n">
        <v>0</v>
      </c>
      <c r="P3858" t="n">
        <v>0</v>
      </c>
      <c r="Q3858" t="n">
        <v>0</v>
      </c>
      <c r="R3858" s="2" t="inlineStr"/>
    </row>
    <row r="3859" ht="15" customHeight="1">
      <c r="A3859" t="inlineStr">
        <is>
          <t>A 1062-2025</t>
        </is>
      </c>
      <c r="B3859" s="1" t="n">
        <v>45666.58149305556</v>
      </c>
      <c r="C3859" s="1" t="n">
        <v>45911</v>
      </c>
      <c r="D3859" t="inlineStr">
        <is>
          <t>GÄVLEBORGS LÄN</t>
        </is>
      </c>
      <c r="E3859" t="inlineStr">
        <is>
          <t>GÄVLE</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28853-2025</t>
        </is>
      </c>
      <c r="B3860" s="1" t="n">
        <v>45820.57949074074</v>
      </c>
      <c r="C3860" s="1" t="n">
        <v>45911</v>
      </c>
      <c r="D3860" t="inlineStr">
        <is>
          <t>GÄVLEBORGS LÄN</t>
        </is>
      </c>
      <c r="E3860" t="inlineStr">
        <is>
          <t>OCKELBO</t>
        </is>
      </c>
      <c r="G3860" t="n">
        <v>7.1</v>
      </c>
      <c r="H3860" t="n">
        <v>0</v>
      </c>
      <c r="I3860" t="n">
        <v>0</v>
      </c>
      <c r="J3860" t="n">
        <v>0</v>
      </c>
      <c r="K3860" t="n">
        <v>0</v>
      </c>
      <c r="L3860" t="n">
        <v>0</v>
      </c>
      <c r="M3860" t="n">
        <v>0</v>
      </c>
      <c r="N3860" t="n">
        <v>0</v>
      </c>
      <c r="O3860" t="n">
        <v>0</v>
      </c>
      <c r="P3860" t="n">
        <v>0</v>
      </c>
      <c r="Q3860" t="n">
        <v>0</v>
      </c>
      <c r="R3860" s="2" t="inlineStr"/>
    </row>
    <row r="3861" ht="15" customHeight="1">
      <c r="A3861" t="inlineStr">
        <is>
          <t>A 28485-2025</t>
        </is>
      </c>
      <c r="B3861" s="1" t="n">
        <v>45819.4637037037</v>
      </c>
      <c r="C3861" s="1" t="n">
        <v>45911</v>
      </c>
      <c r="D3861" t="inlineStr">
        <is>
          <t>GÄVLEBORGS LÄN</t>
        </is>
      </c>
      <c r="E3861" t="inlineStr">
        <is>
          <t>HUDIKSVALL</t>
        </is>
      </c>
      <c r="F3861" t="inlineStr">
        <is>
          <t>Holmen skog AB</t>
        </is>
      </c>
      <c r="G3861" t="n">
        <v>5.8</v>
      </c>
      <c r="H3861" t="n">
        <v>0</v>
      </c>
      <c r="I3861" t="n">
        <v>0</v>
      </c>
      <c r="J3861" t="n">
        <v>0</v>
      </c>
      <c r="K3861" t="n">
        <v>0</v>
      </c>
      <c r="L3861" t="n">
        <v>0</v>
      </c>
      <c r="M3861" t="n">
        <v>0</v>
      </c>
      <c r="N3861" t="n">
        <v>0</v>
      </c>
      <c r="O3861" t="n">
        <v>0</v>
      </c>
      <c r="P3861" t="n">
        <v>0</v>
      </c>
      <c r="Q3861" t="n">
        <v>0</v>
      </c>
      <c r="R3861" s="2" t="inlineStr"/>
    </row>
    <row r="3862" ht="15" customHeight="1">
      <c r="A3862" t="inlineStr">
        <is>
          <t>A 28496-2025</t>
        </is>
      </c>
      <c r="B3862" s="1" t="n">
        <v>45819.46984953704</v>
      </c>
      <c r="C3862" s="1" t="n">
        <v>45911</v>
      </c>
      <c r="D3862" t="inlineStr">
        <is>
          <t>GÄVLEBORGS LÄN</t>
        </is>
      </c>
      <c r="E3862" t="inlineStr">
        <is>
          <t>OVANÅKER</t>
        </is>
      </c>
      <c r="F3862" t="inlineStr">
        <is>
          <t>Bergvik skog väst AB</t>
        </is>
      </c>
      <c r="G3862" t="n">
        <v>4.7</v>
      </c>
      <c r="H3862" t="n">
        <v>0</v>
      </c>
      <c r="I3862" t="n">
        <v>0</v>
      </c>
      <c r="J3862" t="n">
        <v>0</v>
      </c>
      <c r="K3862" t="n">
        <v>0</v>
      </c>
      <c r="L3862" t="n">
        <v>0</v>
      </c>
      <c r="M3862" t="n">
        <v>0</v>
      </c>
      <c r="N3862" t="n">
        <v>0</v>
      </c>
      <c r="O3862" t="n">
        <v>0</v>
      </c>
      <c r="P3862" t="n">
        <v>0</v>
      </c>
      <c r="Q3862" t="n">
        <v>0</v>
      </c>
      <c r="R3862" s="2" t="inlineStr"/>
    </row>
    <row r="3863" ht="15" customHeight="1">
      <c r="A3863" t="inlineStr">
        <is>
          <t>A 1659-2025</t>
        </is>
      </c>
      <c r="B3863" s="1" t="n">
        <v>45670</v>
      </c>
      <c r="C3863" s="1" t="n">
        <v>45911</v>
      </c>
      <c r="D3863" t="inlineStr">
        <is>
          <t>GÄVLEBORGS LÄN</t>
        </is>
      </c>
      <c r="E3863" t="inlineStr">
        <is>
          <t>SÖDERHAMN</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28548-2025</t>
        </is>
      </c>
      <c r="B3864" s="1" t="n">
        <v>45819.53034722222</v>
      </c>
      <c r="C3864" s="1" t="n">
        <v>45911</v>
      </c>
      <c r="D3864" t="inlineStr">
        <is>
          <t>GÄVLEBORGS LÄN</t>
        </is>
      </c>
      <c r="E3864" t="inlineStr">
        <is>
          <t>SANDVIKEN</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28549-2025</t>
        </is>
      </c>
      <c r="B3865" s="1" t="n">
        <v>45819.53112268518</v>
      </c>
      <c r="C3865" s="1" t="n">
        <v>45911</v>
      </c>
      <c r="D3865" t="inlineStr">
        <is>
          <t>GÄVLEBORGS LÄN</t>
        </is>
      </c>
      <c r="E3865" t="inlineStr">
        <is>
          <t>HUDIKSVALL</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28562-2025</t>
        </is>
      </c>
      <c r="B3866" s="1" t="n">
        <v>45819.5525</v>
      </c>
      <c r="C3866" s="1" t="n">
        <v>45911</v>
      </c>
      <c r="D3866" t="inlineStr">
        <is>
          <t>GÄVLEBORGS LÄN</t>
        </is>
      </c>
      <c r="E3866" t="inlineStr">
        <is>
          <t>OVANÅKER</t>
        </is>
      </c>
      <c r="F3866" t="inlineStr">
        <is>
          <t>Bergvik skog väst AB</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68228-2020</t>
        </is>
      </c>
      <c r="B3867" s="1" t="n">
        <v>44183</v>
      </c>
      <c r="C3867" s="1" t="n">
        <v>45911</v>
      </c>
      <c r="D3867" t="inlineStr">
        <is>
          <t>GÄVLEBORGS LÄN</t>
        </is>
      </c>
      <c r="E3867" t="inlineStr">
        <is>
          <t>OVANÅKER</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10593-2025</t>
        </is>
      </c>
      <c r="B3868" s="1" t="n">
        <v>45721.56726851852</v>
      </c>
      <c r="C3868" s="1" t="n">
        <v>45911</v>
      </c>
      <c r="D3868" t="inlineStr">
        <is>
          <t>GÄVLEBORGS LÄN</t>
        </is>
      </c>
      <c r="E3868" t="inlineStr">
        <is>
          <t>OVANÅKER</t>
        </is>
      </c>
      <c r="F3868" t="inlineStr">
        <is>
          <t>Bergvik skog öst AB</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24890-2023</t>
        </is>
      </c>
      <c r="B3869" s="1" t="n">
        <v>45085.45846064815</v>
      </c>
      <c r="C3869" s="1" t="n">
        <v>45911</v>
      </c>
      <c r="D3869" t="inlineStr">
        <is>
          <t>GÄVLEBORGS LÄN</t>
        </is>
      </c>
      <c r="E3869" t="inlineStr">
        <is>
          <t>HUDIKSVALL</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17762-2022</t>
        </is>
      </c>
      <c r="B3870" s="1" t="n">
        <v>44680</v>
      </c>
      <c r="C3870" s="1" t="n">
        <v>45911</v>
      </c>
      <c r="D3870" t="inlineStr">
        <is>
          <t>GÄVLEBORGS LÄN</t>
        </is>
      </c>
      <c r="E3870" t="inlineStr">
        <is>
          <t>HOFORS</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33629-2021</t>
        </is>
      </c>
      <c r="B3871" s="1" t="n">
        <v>44378</v>
      </c>
      <c r="C3871" s="1" t="n">
        <v>45911</v>
      </c>
      <c r="D3871" t="inlineStr">
        <is>
          <t>GÄVLEBORGS LÄN</t>
        </is>
      </c>
      <c r="E3871" t="inlineStr">
        <is>
          <t>HUDIKSVALL</t>
        </is>
      </c>
      <c r="F3871" t="inlineStr">
        <is>
          <t>Kyrkan</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58339-2024</t>
        </is>
      </c>
      <c r="B3872" s="1" t="n">
        <v>45632.63729166667</v>
      </c>
      <c r="C3872" s="1" t="n">
        <v>45911</v>
      </c>
      <c r="D3872" t="inlineStr">
        <is>
          <t>GÄVLEBORGS LÄN</t>
        </is>
      </c>
      <c r="E3872" t="inlineStr">
        <is>
          <t>HUDIKSVALL</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53867-2024</t>
        </is>
      </c>
      <c r="B3873" s="1" t="n">
        <v>45615.64972222222</v>
      </c>
      <c r="C3873" s="1" t="n">
        <v>45911</v>
      </c>
      <c r="D3873" t="inlineStr">
        <is>
          <t>GÄVLEBORGS LÄN</t>
        </is>
      </c>
      <c r="E3873" t="inlineStr">
        <is>
          <t>SANDVIKEN</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28584-2025</t>
        </is>
      </c>
      <c r="B3874" s="1" t="n">
        <v>45819.57846064815</v>
      </c>
      <c r="C3874" s="1" t="n">
        <v>45911</v>
      </c>
      <c r="D3874" t="inlineStr">
        <is>
          <t>GÄVLEBORGS LÄN</t>
        </is>
      </c>
      <c r="E3874" t="inlineStr">
        <is>
          <t>LJUSDAL</t>
        </is>
      </c>
      <c r="F3874" t="inlineStr">
        <is>
          <t>Sveaskog</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28594-2025</t>
        </is>
      </c>
      <c r="B3875" s="1" t="n">
        <v>45819.59415509259</v>
      </c>
      <c r="C3875" s="1" t="n">
        <v>45911</v>
      </c>
      <c r="D3875" t="inlineStr">
        <is>
          <t>GÄVLEBORGS LÄN</t>
        </is>
      </c>
      <c r="E3875" t="inlineStr">
        <is>
          <t>LJUSDAL</t>
        </is>
      </c>
      <c r="F3875" t="inlineStr">
        <is>
          <t>SCA</t>
        </is>
      </c>
      <c r="G3875" t="n">
        <v>9.199999999999999</v>
      </c>
      <c r="H3875" t="n">
        <v>0</v>
      </c>
      <c r="I3875" t="n">
        <v>0</v>
      </c>
      <c r="J3875" t="n">
        <v>0</v>
      </c>
      <c r="K3875" t="n">
        <v>0</v>
      </c>
      <c r="L3875" t="n">
        <v>0</v>
      </c>
      <c r="M3875" t="n">
        <v>0</v>
      </c>
      <c r="N3875" t="n">
        <v>0</v>
      </c>
      <c r="O3875" t="n">
        <v>0</v>
      </c>
      <c r="P3875" t="n">
        <v>0</v>
      </c>
      <c r="Q3875" t="n">
        <v>0</v>
      </c>
      <c r="R3875" s="2" t="inlineStr"/>
    </row>
    <row r="3876" ht="15" customHeight="1">
      <c r="A3876" t="inlineStr">
        <is>
          <t>A 28599-2025</t>
        </is>
      </c>
      <c r="B3876" s="1" t="n">
        <v>45819.5966550926</v>
      </c>
      <c r="C3876" s="1" t="n">
        <v>45911</v>
      </c>
      <c r="D3876" t="inlineStr">
        <is>
          <t>GÄVLEBORGS LÄN</t>
        </is>
      </c>
      <c r="E3876" t="inlineStr">
        <is>
          <t>HUDIKSVALL</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60698-2023</t>
        </is>
      </c>
      <c r="B3877" s="1" t="n">
        <v>45260.5078587963</v>
      </c>
      <c r="C3877" s="1" t="n">
        <v>45911</v>
      </c>
      <c r="D3877" t="inlineStr">
        <is>
          <t>GÄVLEBORGS LÄN</t>
        </is>
      </c>
      <c r="E3877" t="inlineStr">
        <is>
          <t>SÖDERHAMN</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32804-2024</t>
        </is>
      </c>
      <c r="B3878" s="1" t="n">
        <v>45516.56881944444</v>
      </c>
      <c r="C3878" s="1" t="n">
        <v>45911</v>
      </c>
      <c r="D3878" t="inlineStr">
        <is>
          <t>GÄVLEBORGS LÄN</t>
        </is>
      </c>
      <c r="E3878" t="inlineStr">
        <is>
          <t>OVANÅKER</t>
        </is>
      </c>
      <c r="F3878" t="inlineStr">
        <is>
          <t>Bergvik skog öst AB</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44092-2024</t>
        </is>
      </c>
      <c r="B3879" s="1" t="n">
        <v>45572.62274305556</v>
      </c>
      <c r="C3879" s="1" t="n">
        <v>45911</v>
      </c>
      <c r="D3879" t="inlineStr">
        <is>
          <t>GÄVLEBORGS LÄN</t>
        </is>
      </c>
      <c r="E3879" t="inlineStr">
        <is>
          <t>LJUSDAL</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49380-2024</t>
        </is>
      </c>
      <c r="B3880" s="1" t="n">
        <v>45595.64767361111</v>
      </c>
      <c r="C3880" s="1" t="n">
        <v>45911</v>
      </c>
      <c r="D3880" t="inlineStr">
        <is>
          <t>GÄVLEBORGS LÄN</t>
        </is>
      </c>
      <c r="E3880" t="inlineStr">
        <is>
          <t>GÄVLE</t>
        </is>
      </c>
      <c r="G3880" t="n">
        <v>3.3</v>
      </c>
      <c r="H3880" t="n">
        <v>0</v>
      </c>
      <c r="I3880" t="n">
        <v>0</v>
      </c>
      <c r="J3880" t="n">
        <v>0</v>
      </c>
      <c r="K3880" t="n">
        <v>0</v>
      </c>
      <c r="L3880" t="n">
        <v>0</v>
      </c>
      <c r="M3880" t="n">
        <v>0</v>
      </c>
      <c r="N3880" t="n">
        <v>0</v>
      </c>
      <c r="O3880" t="n">
        <v>0</v>
      </c>
      <c r="P3880" t="n">
        <v>0</v>
      </c>
      <c r="Q3880" t="n">
        <v>0</v>
      </c>
      <c r="R3880" s="2" t="inlineStr"/>
    </row>
    <row r="3881" ht="15" customHeight="1">
      <c r="A3881" t="inlineStr">
        <is>
          <t>A 28457-2025</t>
        </is>
      </c>
      <c r="B3881" s="1" t="n">
        <v>45819.40884259259</v>
      </c>
      <c r="C3881" s="1" t="n">
        <v>45911</v>
      </c>
      <c r="D3881" t="inlineStr">
        <is>
          <t>GÄVLEBORGS LÄN</t>
        </is>
      </c>
      <c r="E3881" t="inlineStr">
        <is>
          <t>HUDIKSVALL</t>
        </is>
      </c>
      <c r="F3881" t="inlineStr">
        <is>
          <t>Holmen skog AB</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28547-2025</t>
        </is>
      </c>
      <c r="B3882" s="1" t="n">
        <v>45819.52945601852</v>
      </c>
      <c r="C3882" s="1" t="n">
        <v>45911</v>
      </c>
      <c r="D3882" t="inlineStr">
        <is>
          <t>GÄVLEBORGS LÄN</t>
        </is>
      </c>
      <c r="E3882" t="inlineStr">
        <is>
          <t>SANDVIKEN</t>
        </is>
      </c>
      <c r="G3882" t="n">
        <v>6.2</v>
      </c>
      <c r="H3882" t="n">
        <v>0</v>
      </c>
      <c r="I3882" t="n">
        <v>0</v>
      </c>
      <c r="J3882" t="n">
        <v>0</v>
      </c>
      <c r="K3882" t="n">
        <v>0</v>
      </c>
      <c r="L3882" t="n">
        <v>0</v>
      </c>
      <c r="M3882" t="n">
        <v>0</v>
      </c>
      <c r="N3882" t="n">
        <v>0</v>
      </c>
      <c r="O3882" t="n">
        <v>0</v>
      </c>
      <c r="P3882" t="n">
        <v>0</v>
      </c>
      <c r="Q3882" t="n">
        <v>0</v>
      </c>
      <c r="R3882" s="2" t="inlineStr"/>
    </row>
    <row r="3883" ht="15" customHeight="1">
      <c r="A3883" t="inlineStr">
        <is>
          <t>A 28411-2025</t>
        </is>
      </c>
      <c r="B3883" s="1" t="n">
        <v>45819.3462037037</v>
      </c>
      <c r="C3883" s="1" t="n">
        <v>45911</v>
      </c>
      <c r="D3883" t="inlineStr">
        <is>
          <t>GÄVLEBORGS LÄN</t>
        </is>
      </c>
      <c r="E3883" t="inlineStr">
        <is>
          <t>HUDIKSVALL</t>
        </is>
      </c>
      <c r="G3883" t="n">
        <v>0.1</v>
      </c>
      <c r="H3883" t="n">
        <v>0</v>
      </c>
      <c r="I3883" t="n">
        <v>0</v>
      </c>
      <c r="J3883" t="n">
        <v>0</v>
      </c>
      <c r="K3883" t="n">
        <v>0</v>
      </c>
      <c r="L3883" t="n">
        <v>0</v>
      </c>
      <c r="M3883" t="n">
        <v>0</v>
      </c>
      <c r="N3883" t="n">
        <v>0</v>
      </c>
      <c r="O3883" t="n">
        <v>0</v>
      </c>
      <c r="P3883" t="n">
        <v>0</v>
      </c>
      <c r="Q3883" t="n">
        <v>0</v>
      </c>
      <c r="R3883" s="2" t="inlineStr"/>
    </row>
    <row r="3884" ht="15" customHeight="1">
      <c r="A3884" t="inlineStr">
        <is>
          <t>A 28815-2025</t>
        </is>
      </c>
      <c r="B3884" s="1" t="n">
        <v>45820</v>
      </c>
      <c r="C3884" s="1" t="n">
        <v>45911</v>
      </c>
      <c r="D3884" t="inlineStr">
        <is>
          <t>GÄVLEBORGS LÄN</t>
        </is>
      </c>
      <c r="E3884" t="inlineStr">
        <is>
          <t>HUDIKSVALL</t>
        </is>
      </c>
      <c r="G3884" t="n">
        <v>3</v>
      </c>
      <c r="H3884" t="n">
        <v>0</v>
      </c>
      <c r="I3884" t="n">
        <v>0</v>
      </c>
      <c r="J3884" t="n">
        <v>0</v>
      </c>
      <c r="K3884" t="n">
        <v>0</v>
      </c>
      <c r="L3884" t="n">
        <v>0</v>
      </c>
      <c r="M3884" t="n">
        <v>0</v>
      </c>
      <c r="N3884" t="n">
        <v>0</v>
      </c>
      <c r="O3884" t="n">
        <v>0</v>
      </c>
      <c r="P3884" t="n">
        <v>0</v>
      </c>
      <c r="Q3884" t="n">
        <v>0</v>
      </c>
      <c r="R3884" s="2" t="inlineStr"/>
    </row>
    <row r="3885" ht="15" customHeight="1">
      <c r="A3885" t="inlineStr">
        <is>
          <t>A 47376-2024</t>
        </is>
      </c>
      <c r="B3885" s="1" t="n">
        <v>45587.45378472222</v>
      </c>
      <c r="C3885" s="1" t="n">
        <v>45911</v>
      </c>
      <c r="D3885" t="inlineStr">
        <is>
          <t>GÄVLEBORGS LÄN</t>
        </is>
      </c>
      <c r="E3885" t="inlineStr">
        <is>
          <t>OVANÅKER</t>
        </is>
      </c>
      <c r="G3885" t="n">
        <v>5.3</v>
      </c>
      <c r="H3885" t="n">
        <v>0</v>
      </c>
      <c r="I3885" t="n">
        <v>0</v>
      </c>
      <c r="J3885" t="n">
        <v>0</v>
      </c>
      <c r="K3885" t="n">
        <v>0</v>
      </c>
      <c r="L3885" t="n">
        <v>0</v>
      </c>
      <c r="M3885" t="n">
        <v>0</v>
      </c>
      <c r="N3885" t="n">
        <v>0</v>
      </c>
      <c r="O3885" t="n">
        <v>0</v>
      </c>
      <c r="P3885" t="n">
        <v>0</v>
      </c>
      <c r="Q3885" t="n">
        <v>0</v>
      </c>
      <c r="R3885" s="2" t="inlineStr"/>
    </row>
    <row r="3886" ht="15" customHeight="1">
      <c r="A3886" t="inlineStr">
        <is>
          <t>A 28835-2025</t>
        </is>
      </c>
      <c r="B3886" s="1" t="n">
        <v>45820.55809027778</v>
      </c>
      <c r="C3886" s="1" t="n">
        <v>45911</v>
      </c>
      <c r="D3886" t="inlineStr">
        <is>
          <t>GÄVLEBORGS LÄN</t>
        </is>
      </c>
      <c r="E3886" t="inlineStr">
        <is>
          <t>OVANÅKER</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28903-2025</t>
        </is>
      </c>
      <c r="B3887" s="1" t="n">
        <v>45820.64299768519</v>
      </c>
      <c r="C3887" s="1" t="n">
        <v>45911</v>
      </c>
      <c r="D3887" t="inlineStr">
        <is>
          <t>GÄVLEBORGS LÄN</t>
        </is>
      </c>
      <c r="E3887" t="inlineStr">
        <is>
          <t>LJUSDAL</t>
        </is>
      </c>
      <c r="F3887" t="inlineStr">
        <is>
          <t>Bergvik skog väst AB</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47100-2024</t>
        </is>
      </c>
      <c r="B3888" s="1" t="n">
        <v>45586.54471064815</v>
      </c>
      <c r="C3888" s="1" t="n">
        <v>45911</v>
      </c>
      <c r="D3888" t="inlineStr">
        <is>
          <t>GÄVLEBORGS LÄN</t>
        </is>
      </c>
      <c r="E3888" t="inlineStr">
        <is>
          <t>OCKELBO</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40191-2023</t>
        </is>
      </c>
      <c r="B3889" s="1" t="n">
        <v>45169</v>
      </c>
      <c r="C3889" s="1" t="n">
        <v>45911</v>
      </c>
      <c r="D3889" t="inlineStr">
        <is>
          <t>GÄVLEBORGS LÄN</t>
        </is>
      </c>
      <c r="E3889" t="inlineStr">
        <is>
          <t>LJUSDAL</t>
        </is>
      </c>
      <c r="F3889" t="inlineStr">
        <is>
          <t>Sveaskog</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28387-2025</t>
        </is>
      </c>
      <c r="B3890" s="1" t="n">
        <v>45819.32304398148</v>
      </c>
      <c r="C3890" s="1" t="n">
        <v>45911</v>
      </c>
      <c r="D3890" t="inlineStr">
        <is>
          <t>GÄVLEBORGS LÄN</t>
        </is>
      </c>
      <c r="E3890" t="inlineStr">
        <is>
          <t>OVANÅKER</t>
        </is>
      </c>
      <c r="F3890" t="inlineStr">
        <is>
          <t>Holmen skog AB</t>
        </is>
      </c>
      <c r="G3890" t="n">
        <v>10.6</v>
      </c>
      <c r="H3890" t="n">
        <v>0</v>
      </c>
      <c r="I3890" t="n">
        <v>0</v>
      </c>
      <c r="J3890" t="n">
        <v>0</v>
      </c>
      <c r="K3890" t="n">
        <v>0</v>
      </c>
      <c r="L3890" t="n">
        <v>0</v>
      </c>
      <c r="M3890" t="n">
        <v>0</v>
      </c>
      <c r="N3890" t="n">
        <v>0</v>
      </c>
      <c r="O3890" t="n">
        <v>0</v>
      </c>
      <c r="P3890" t="n">
        <v>0</v>
      </c>
      <c r="Q3890" t="n">
        <v>0</v>
      </c>
      <c r="R3890" s="2" t="inlineStr"/>
    </row>
    <row r="3891" ht="15" customHeight="1">
      <c r="A3891" t="inlineStr">
        <is>
          <t>A 28446-2025</t>
        </is>
      </c>
      <c r="B3891" s="1" t="n">
        <v>45819.39910879629</v>
      </c>
      <c r="C3891" s="1" t="n">
        <v>45911</v>
      </c>
      <c r="D3891" t="inlineStr">
        <is>
          <t>GÄVLEBORGS LÄN</t>
        </is>
      </c>
      <c r="E3891" t="inlineStr">
        <is>
          <t>BOLLNÄS</t>
        </is>
      </c>
      <c r="G3891" t="n">
        <v>5</v>
      </c>
      <c r="H3891" t="n">
        <v>0</v>
      </c>
      <c r="I3891" t="n">
        <v>0</v>
      </c>
      <c r="J3891" t="n">
        <v>0</v>
      </c>
      <c r="K3891" t="n">
        <v>0</v>
      </c>
      <c r="L3891" t="n">
        <v>0</v>
      </c>
      <c r="M3891" t="n">
        <v>0</v>
      </c>
      <c r="N3891" t="n">
        <v>0</v>
      </c>
      <c r="O3891" t="n">
        <v>0</v>
      </c>
      <c r="P3891" t="n">
        <v>0</v>
      </c>
      <c r="Q3891" t="n">
        <v>0</v>
      </c>
      <c r="R3891" s="2" t="inlineStr"/>
    </row>
    <row r="3892" ht="15" customHeight="1">
      <c r="A3892" t="inlineStr">
        <is>
          <t>A 28468-2025</t>
        </is>
      </c>
      <c r="B3892" s="1" t="n">
        <v>45819.42824074074</v>
      </c>
      <c r="C3892" s="1" t="n">
        <v>45911</v>
      </c>
      <c r="D3892" t="inlineStr">
        <is>
          <t>GÄVLEBORGS LÄN</t>
        </is>
      </c>
      <c r="E3892" t="inlineStr">
        <is>
          <t>SANDVIKEN</t>
        </is>
      </c>
      <c r="G3892" t="n">
        <v>2.9</v>
      </c>
      <c r="H3892" t="n">
        <v>0</v>
      </c>
      <c r="I3892" t="n">
        <v>0</v>
      </c>
      <c r="J3892" t="n">
        <v>0</v>
      </c>
      <c r="K3892" t="n">
        <v>0</v>
      </c>
      <c r="L3892" t="n">
        <v>0</v>
      </c>
      <c r="M3892" t="n">
        <v>0</v>
      </c>
      <c r="N3892" t="n">
        <v>0</v>
      </c>
      <c r="O3892" t="n">
        <v>0</v>
      </c>
      <c r="P3892" t="n">
        <v>0</v>
      </c>
      <c r="Q3892" t="n">
        <v>0</v>
      </c>
      <c r="R3892" s="2" t="inlineStr"/>
    </row>
    <row r="3893" ht="15" customHeight="1">
      <c r="A3893" t="inlineStr">
        <is>
          <t>A 10689-2025</t>
        </is>
      </c>
      <c r="B3893" s="1" t="n">
        <v>45722.29954861111</v>
      </c>
      <c r="C3893" s="1" t="n">
        <v>45911</v>
      </c>
      <c r="D3893" t="inlineStr">
        <is>
          <t>GÄVLEBORGS LÄN</t>
        </is>
      </c>
      <c r="E3893" t="inlineStr">
        <is>
          <t>OVANÅKER</t>
        </is>
      </c>
      <c r="F3893" t="inlineStr">
        <is>
          <t>Bergvik skog öst AB</t>
        </is>
      </c>
      <c r="G3893" t="n">
        <v>4.2</v>
      </c>
      <c r="H3893" t="n">
        <v>0</v>
      </c>
      <c r="I3893" t="n">
        <v>0</v>
      </c>
      <c r="J3893" t="n">
        <v>0</v>
      </c>
      <c r="K3893" t="n">
        <v>0</v>
      </c>
      <c r="L3893" t="n">
        <v>0</v>
      </c>
      <c r="M3893" t="n">
        <v>0</v>
      </c>
      <c r="N3893" t="n">
        <v>0</v>
      </c>
      <c r="O3893" t="n">
        <v>0</v>
      </c>
      <c r="P3893" t="n">
        <v>0</v>
      </c>
      <c r="Q3893" t="n">
        <v>0</v>
      </c>
      <c r="R3893" s="2" t="inlineStr"/>
    </row>
    <row r="3894" ht="15" customHeight="1">
      <c r="A3894" t="inlineStr">
        <is>
          <t>A 57101-2023</t>
        </is>
      </c>
      <c r="B3894" s="1" t="n">
        <v>45245.34210648148</v>
      </c>
      <c r="C3894" s="1" t="n">
        <v>45911</v>
      </c>
      <c r="D3894" t="inlineStr">
        <is>
          <t>GÄVLEBORGS LÄN</t>
        </is>
      </c>
      <c r="E3894" t="inlineStr">
        <is>
          <t>LJUSDAL</t>
        </is>
      </c>
      <c r="F3894" t="inlineStr">
        <is>
          <t>Holmen skog AB</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17788-2025</t>
        </is>
      </c>
      <c r="B3895" s="1" t="n">
        <v>45758.5408912037</v>
      </c>
      <c r="C3895" s="1" t="n">
        <v>45911</v>
      </c>
      <c r="D3895" t="inlineStr">
        <is>
          <t>GÄVLEBORGS LÄN</t>
        </is>
      </c>
      <c r="E3895" t="inlineStr">
        <is>
          <t>GÄVLE</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7013-2023</t>
        </is>
      </c>
      <c r="B3896" s="1" t="n">
        <v>44967.96155092592</v>
      </c>
      <c r="C3896" s="1" t="n">
        <v>45911</v>
      </c>
      <c r="D3896" t="inlineStr">
        <is>
          <t>GÄVLEBORGS LÄN</t>
        </is>
      </c>
      <c r="E3896" t="inlineStr">
        <is>
          <t>NORDANSTIG</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7014-2023</t>
        </is>
      </c>
      <c r="B3897" s="1" t="n">
        <v>44967.968125</v>
      </c>
      <c r="C3897" s="1" t="n">
        <v>45911</v>
      </c>
      <c r="D3897" t="inlineStr">
        <is>
          <t>GÄVLEBORGS LÄN</t>
        </is>
      </c>
      <c r="E3897" t="inlineStr">
        <is>
          <t>NORDANSTIG</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58885-2023</t>
        </is>
      </c>
      <c r="B3898" s="1" t="n">
        <v>45252.47675925926</v>
      </c>
      <c r="C3898" s="1" t="n">
        <v>45911</v>
      </c>
      <c r="D3898" t="inlineStr">
        <is>
          <t>GÄVLEBORGS LÄN</t>
        </is>
      </c>
      <c r="E3898" t="inlineStr">
        <is>
          <t>SANDVIKEN</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28472-2025</t>
        </is>
      </c>
      <c r="B3899" s="1" t="n">
        <v>45819.43876157407</v>
      </c>
      <c r="C3899" s="1" t="n">
        <v>45911</v>
      </c>
      <c r="D3899" t="inlineStr">
        <is>
          <t>GÄVLEBORGS LÄN</t>
        </is>
      </c>
      <c r="E3899" t="inlineStr">
        <is>
          <t>HUDIKSVALL</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28460-2025</t>
        </is>
      </c>
      <c r="B3900" s="1" t="n">
        <v>45819</v>
      </c>
      <c r="C3900" s="1" t="n">
        <v>45911</v>
      </c>
      <c r="D3900" t="inlineStr">
        <is>
          <t>GÄVLEBORGS LÄN</t>
        </is>
      </c>
      <c r="E3900" t="inlineStr">
        <is>
          <t>OVANÅKER</t>
        </is>
      </c>
      <c r="G3900" t="n">
        <v>3.4</v>
      </c>
      <c r="H3900" t="n">
        <v>0</v>
      </c>
      <c r="I3900" t="n">
        <v>0</v>
      </c>
      <c r="J3900" t="n">
        <v>0</v>
      </c>
      <c r="K3900" t="n">
        <v>0</v>
      </c>
      <c r="L3900" t="n">
        <v>0</v>
      </c>
      <c r="M3900" t="n">
        <v>0</v>
      </c>
      <c r="N3900" t="n">
        <v>0</v>
      </c>
      <c r="O3900" t="n">
        <v>0</v>
      </c>
      <c r="P3900" t="n">
        <v>0</v>
      </c>
      <c r="Q3900" t="n">
        <v>0</v>
      </c>
      <c r="R3900" s="2" t="inlineStr"/>
    </row>
    <row r="3901" ht="15" customHeight="1">
      <c r="A3901" t="inlineStr">
        <is>
          <t>A 28462-2025</t>
        </is>
      </c>
      <c r="B3901" s="1" t="n">
        <v>45819.41706018519</v>
      </c>
      <c r="C3901" s="1" t="n">
        <v>45911</v>
      </c>
      <c r="D3901" t="inlineStr">
        <is>
          <t>GÄVLEBORGS LÄN</t>
        </is>
      </c>
      <c r="E3901" t="inlineStr">
        <is>
          <t>BOLLNÄS</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28474-2025</t>
        </is>
      </c>
      <c r="B3902" s="1" t="n">
        <v>45819.44173611111</v>
      </c>
      <c r="C3902" s="1" t="n">
        <v>45911</v>
      </c>
      <c r="D3902" t="inlineStr">
        <is>
          <t>GÄVLEBORGS LÄN</t>
        </is>
      </c>
      <c r="E3902" t="inlineStr">
        <is>
          <t>OVANÅKER</t>
        </is>
      </c>
      <c r="F3902" t="inlineStr">
        <is>
          <t>Bergvik skog väst AB</t>
        </is>
      </c>
      <c r="G3902" t="n">
        <v>3.3</v>
      </c>
      <c r="H3902" t="n">
        <v>0</v>
      </c>
      <c r="I3902" t="n">
        <v>0</v>
      </c>
      <c r="J3902" t="n">
        <v>0</v>
      </c>
      <c r="K3902" t="n">
        <v>0</v>
      </c>
      <c r="L3902" t="n">
        <v>0</v>
      </c>
      <c r="M3902" t="n">
        <v>0</v>
      </c>
      <c r="N3902" t="n">
        <v>0</v>
      </c>
      <c r="O3902" t="n">
        <v>0</v>
      </c>
      <c r="P3902" t="n">
        <v>0</v>
      </c>
      <c r="Q3902" t="n">
        <v>0</v>
      </c>
      <c r="R3902" s="2" t="inlineStr"/>
    </row>
    <row r="3903" ht="15" customHeight="1">
      <c r="A3903" t="inlineStr">
        <is>
          <t>A 60417-2023</t>
        </is>
      </c>
      <c r="B3903" s="1" t="n">
        <v>45259.49364583333</v>
      </c>
      <c r="C3903" s="1" t="n">
        <v>45911</v>
      </c>
      <c r="D3903" t="inlineStr">
        <is>
          <t>GÄVLEBORGS LÄN</t>
        </is>
      </c>
      <c r="E3903" t="inlineStr">
        <is>
          <t>OVANÅKER</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36125-2023</t>
        </is>
      </c>
      <c r="B3904" s="1" t="n">
        <v>45149.57210648148</v>
      </c>
      <c r="C3904" s="1" t="n">
        <v>45911</v>
      </c>
      <c r="D3904" t="inlineStr">
        <is>
          <t>GÄVLEBORGS LÄN</t>
        </is>
      </c>
      <c r="E3904" t="inlineStr">
        <is>
          <t>HUDIKSVALL</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28809-2025</t>
        </is>
      </c>
      <c r="B3905" s="1" t="n">
        <v>45820.5178125</v>
      </c>
      <c r="C3905" s="1" t="n">
        <v>45911</v>
      </c>
      <c r="D3905" t="inlineStr">
        <is>
          <t>GÄVLEBORGS LÄN</t>
        </is>
      </c>
      <c r="E3905" t="inlineStr">
        <is>
          <t>HUDIKSVALL</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24999-2022</t>
        </is>
      </c>
      <c r="B3906" s="1" t="n">
        <v>44728</v>
      </c>
      <c r="C3906" s="1" t="n">
        <v>45911</v>
      </c>
      <c r="D3906" t="inlineStr">
        <is>
          <t>GÄVLEBORGS LÄN</t>
        </is>
      </c>
      <c r="E3906" t="inlineStr">
        <is>
          <t>NORDANSTIG</t>
        </is>
      </c>
      <c r="G3906" t="n">
        <v>18.5</v>
      </c>
      <c r="H3906" t="n">
        <v>0</v>
      </c>
      <c r="I3906" t="n">
        <v>0</v>
      </c>
      <c r="J3906" t="n">
        <v>0</v>
      </c>
      <c r="K3906" t="n">
        <v>0</v>
      </c>
      <c r="L3906" t="n">
        <v>0</v>
      </c>
      <c r="M3906" t="n">
        <v>0</v>
      </c>
      <c r="N3906" t="n">
        <v>0</v>
      </c>
      <c r="O3906" t="n">
        <v>0</v>
      </c>
      <c r="P3906" t="n">
        <v>0</v>
      </c>
      <c r="Q3906" t="n">
        <v>0</v>
      </c>
      <c r="R3906" s="2" t="inlineStr"/>
    </row>
    <row r="3907" ht="15" customHeight="1">
      <c r="A3907" t="inlineStr">
        <is>
          <t>A 55473-2023</t>
        </is>
      </c>
      <c r="B3907" s="1" t="n">
        <v>45231</v>
      </c>
      <c r="C3907" s="1" t="n">
        <v>45911</v>
      </c>
      <c r="D3907" t="inlineStr">
        <is>
          <t>GÄVLEBORGS LÄN</t>
        </is>
      </c>
      <c r="E3907" t="inlineStr">
        <is>
          <t>GÄVLE</t>
        </is>
      </c>
      <c r="F3907" t="inlineStr">
        <is>
          <t>Bergvik skog väst AB</t>
        </is>
      </c>
      <c r="G3907" t="n">
        <v>5</v>
      </c>
      <c r="H3907" t="n">
        <v>0</v>
      </c>
      <c r="I3907" t="n">
        <v>0</v>
      </c>
      <c r="J3907" t="n">
        <v>0</v>
      </c>
      <c r="K3907" t="n">
        <v>0</v>
      </c>
      <c r="L3907" t="n">
        <v>0</v>
      </c>
      <c r="M3907" t="n">
        <v>0</v>
      </c>
      <c r="N3907" t="n">
        <v>0</v>
      </c>
      <c r="O3907" t="n">
        <v>0</v>
      </c>
      <c r="P3907" t="n">
        <v>0</v>
      </c>
      <c r="Q3907" t="n">
        <v>0</v>
      </c>
      <c r="R3907" s="2" t="inlineStr"/>
    </row>
    <row r="3908" ht="15" customHeight="1">
      <c r="A3908" t="inlineStr">
        <is>
          <t>A 36283-2024</t>
        </is>
      </c>
      <c r="B3908" s="1" t="n">
        <v>45534.58899305556</v>
      </c>
      <c r="C3908" s="1" t="n">
        <v>45911</v>
      </c>
      <c r="D3908" t="inlineStr">
        <is>
          <t>GÄVLEBORGS LÄN</t>
        </is>
      </c>
      <c r="E3908" t="inlineStr">
        <is>
          <t>HOFORS</t>
        </is>
      </c>
      <c r="F3908" t="inlineStr">
        <is>
          <t>Sveaskog</t>
        </is>
      </c>
      <c r="G3908" t="n">
        <v>6.9</v>
      </c>
      <c r="H3908" t="n">
        <v>0</v>
      </c>
      <c r="I3908" t="n">
        <v>0</v>
      </c>
      <c r="J3908" t="n">
        <v>0</v>
      </c>
      <c r="K3908" t="n">
        <v>0</v>
      </c>
      <c r="L3908" t="n">
        <v>0</v>
      </c>
      <c r="M3908" t="n">
        <v>0</v>
      </c>
      <c r="N3908" t="n">
        <v>0</v>
      </c>
      <c r="O3908" t="n">
        <v>0</v>
      </c>
      <c r="P3908" t="n">
        <v>0</v>
      </c>
      <c r="Q3908" t="n">
        <v>0</v>
      </c>
      <c r="R3908" s="2" t="inlineStr"/>
    </row>
    <row r="3909" ht="15" customHeight="1">
      <c r="A3909" t="inlineStr">
        <is>
          <t>A 28600-2025</t>
        </is>
      </c>
      <c r="B3909" s="1" t="n">
        <v>45819.59787037037</v>
      </c>
      <c r="C3909" s="1" t="n">
        <v>45911</v>
      </c>
      <c r="D3909" t="inlineStr">
        <is>
          <t>GÄVLEBORGS LÄN</t>
        </is>
      </c>
      <c r="E3909" t="inlineStr">
        <is>
          <t>OVANÅKER</t>
        </is>
      </c>
      <c r="F3909" t="inlineStr">
        <is>
          <t>Bergvik skog väst AB</t>
        </is>
      </c>
      <c r="G3909" t="n">
        <v>4.2</v>
      </c>
      <c r="H3909" t="n">
        <v>0</v>
      </c>
      <c r="I3909" t="n">
        <v>0</v>
      </c>
      <c r="J3909" t="n">
        <v>0</v>
      </c>
      <c r="K3909" t="n">
        <v>0</v>
      </c>
      <c r="L3909" t="n">
        <v>0</v>
      </c>
      <c r="M3909" t="n">
        <v>0</v>
      </c>
      <c r="N3909" t="n">
        <v>0</v>
      </c>
      <c r="O3909" t="n">
        <v>0</v>
      </c>
      <c r="P3909" t="n">
        <v>0</v>
      </c>
      <c r="Q3909" t="n">
        <v>0</v>
      </c>
      <c r="R3909" s="2" t="inlineStr"/>
    </row>
    <row r="3910" ht="15" customHeight="1">
      <c r="A3910" t="inlineStr">
        <is>
          <t>A 28618-2025</t>
        </is>
      </c>
      <c r="B3910" s="1" t="n">
        <v>45819.61023148148</v>
      </c>
      <c r="C3910" s="1" t="n">
        <v>45911</v>
      </c>
      <c r="D3910" t="inlineStr">
        <is>
          <t>GÄVLEBORGS LÄN</t>
        </is>
      </c>
      <c r="E3910" t="inlineStr">
        <is>
          <t>BOLLNÄS</t>
        </is>
      </c>
      <c r="F3910" t="inlineStr">
        <is>
          <t>Bergvik skog väst AB</t>
        </is>
      </c>
      <c r="G3910" t="n">
        <v>11.7</v>
      </c>
      <c r="H3910" t="n">
        <v>0</v>
      </c>
      <c r="I3910" t="n">
        <v>0</v>
      </c>
      <c r="J3910" t="n">
        <v>0</v>
      </c>
      <c r="K3910" t="n">
        <v>0</v>
      </c>
      <c r="L3910" t="n">
        <v>0</v>
      </c>
      <c r="M3910" t="n">
        <v>0</v>
      </c>
      <c r="N3910" t="n">
        <v>0</v>
      </c>
      <c r="O3910" t="n">
        <v>0</v>
      </c>
      <c r="P3910" t="n">
        <v>0</v>
      </c>
      <c r="Q3910" t="n">
        <v>0</v>
      </c>
      <c r="R3910" s="2" t="inlineStr"/>
    </row>
    <row r="3911" ht="15" customHeight="1">
      <c r="A3911" t="inlineStr">
        <is>
          <t>A 69219-2020</t>
        </is>
      </c>
      <c r="B3911" s="1" t="n">
        <v>44192</v>
      </c>
      <c r="C3911" s="1" t="n">
        <v>45911</v>
      </c>
      <c r="D3911" t="inlineStr">
        <is>
          <t>GÄVLEBORGS LÄN</t>
        </is>
      </c>
      <c r="E3911" t="inlineStr">
        <is>
          <t>GÄVLE</t>
        </is>
      </c>
      <c r="F3911" t="inlineStr">
        <is>
          <t>Kommuner</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69251-2020</t>
        </is>
      </c>
      <c r="B3912" s="1" t="n">
        <v>44192</v>
      </c>
      <c r="C3912" s="1" t="n">
        <v>45911</v>
      </c>
      <c r="D3912" t="inlineStr">
        <is>
          <t>GÄVLEBORGS LÄN</t>
        </is>
      </c>
      <c r="E3912" t="inlineStr">
        <is>
          <t>GÄVLE</t>
        </is>
      </c>
      <c r="F3912" t="inlineStr">
        <is>
          <t>Kommuner</t>
        </is>
      </c>
      <c r="G3912" t="n">
        <v>4.7</v>
      </c>
      <c r="H3912" t="n">
        <v>0</v>
      </c>
      <c r="I3912" t="n">
        <v>0</v>
      </c>
      <c r="J3912" t="n">
        <v>0</v>
      </c>
      <c r="K3912" t="n">
        <v>0</v>
      </c>
      <c r="L3912" t="n">
        <v>0</v>
      </c>
      <c r="M3912" t="n">
        <v>0</v>
      </c>
      <c r="N3912" t="n">
        <v>0</v>
      </c>
      <c r="O3912" t="n">
        <v>0</v>
      </c>
      <c r="P3912" t="n">
        <v>0</v>
      </c>
      <c r="Q3912" t="n">
        <v>0</v>
      </c>
      <c r="R3912" s="2" t="inlineStr"/>
    </row>
    <row r="3913" ht="15" customHeight="1">
      <c r="A3913" t="inlineStr">
        <is>
          <t>A 69252-2020</t>
        </is>
      </c>
      <c r="B3913" s="1" t="n">
        <v>44192</v>
      </c>
      <c r="C3913" s="1" t="n">
        <v>45911</v>
      </c>
      <c r="D3913" t="inlineStr">
        <is>
          <t>GÄVLEBORGS LÄN</t>
        </is>
      </c>
      <c r="E3913" t="inlineStr">
        <is>
          <t>GÄVLE</t>
        </is>
      </c>
      <c r="F3913" t="inlineStr">
        <is>
          <t>Kommuner</t>
        </is>
      </c>
      <c r="G3913" t="n">
        <v>4.8</v>
      </c>
      <c r="H3913" t="n">
        <v>0</v>
      </c>
      <c r="I3913" t="n">
        <v>0</v>
      </c>
      <c r="J3913" t="n">
        <v>0</v>
      </c>
      <c r="K3913" t="n">
        <v>0</v>
      </c>
      <c r="L3913" t="n">
        <v>0</v>
      </c>
      <c r="M3913" t="n">
        <v>0</v>
      </c>
      <c r="N3913" t="n">
        <v>0</v>
      </c>
      <c r="O3913" t="n">
        <v>0</v>
      </c>
      <c r="P3913" t="n">
        <v>0</v>
      </c>
      <c r="Q3913" t="n">
        <v>0</v>
      </c>
      <c r="R3913" s="2" t="inlineStr"/>
    </row>
    <row r="3914" ht="15" customHeight="1">
      <c r="A3914" t="inlineStr">
        <is>
          <t>A 13997-2024</t>
        </is>
      </c>
      <c r="B3914" s="1" t="n">
        <v>45392</v>
      </c>
      <c r="C3914" s="1" t="n">
        <v>45911</v>
      </c>
      <c r="D3914" t="inlineStr">
        <is>
          <t>GÄVLEBORGS LÄN</t>
        </is>
      </c>
      <c r="E3914" t="inlineStr">
        <is>
          <t>HUDIKSVALL</t>
        </is>
      </c>
      <c r="F3914" t="inlineStr">
        <is>
          <t>Holmen skog AB</t>
        </is>
      </c>
      <c r="G3914" t="n">
        <v>6.8</v>
      </c>
      <c r="H3914" t="n">
        <v>0</v>
      </c>
      <c r="I3914" t="n">
        <v>0</v>
      </c>
      <c r="J3914" t="n">
        <v>0</v>
      </c>
      <c r="K3914" t="n">
        <v>0</v>
      </c>
      <c r="L3914" t="n">
        <v>0</v>
      </c>
      <c r="M3914" t="n">
        <v>0</v>
      </c>
      <c r="N3914" t="n">
        <v>0</v>
      </c>
      <c r="O3914" t="n">
        <v>0</v>
      </c>
      <c r="P3914" t="n">
        <v>0</v>
      </c>
      <c r="Q3914" t="n">
        <v>0</v>
      </c>
      <c r="R3914" s="2" t="inlineStr"/>
    </row>
    <row r="3915" ht="15" customHeight="1">
      <c r="A3915" t="inlineStr">
        <is>
          <t>A 28624-2025</t>
        </is>
      </c>
      <c r="B3915" s="1" t="n">
        <v>45819.61737268518</v>
      </c>
      <c r="C3915" s="1" t="n">
        <v>45911</v>
      </c>
      <c r="D3915" t="inlineStr">
        <is>
          <t>GÄVLEBORGS LÄN</t>
        </is>
      </c>
      <c r="E3915" t="inlineStr">
        <is>
          <t>GÄVLE</t>
        </is>
      </c>
      <c r="F3915" t="inlineStr">
        <is>
          <t>Bergvik skog väst AB</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28638-2025</t>
        </is>
      </c>
      <c r="B3916" s="1" t="n">
        <v>45819.63609953703</v>
      </c>
      <c r="C3916" s="1" t="n">
        <v>45911</v>
      </c>
      <c r="D3916" t="inlineStr">
        <is>
          <t>GÄVLEBORGS LÄN</t>
        </is>
      </c>
      <c r="E3916" t="inlineStr">
        <is>
          <t>LJUSDAL</t>
        </is>
      </c>
      <c r="F3916" t="inlineStr">
        <is>
          <t>SCA</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69254-2020</t>
        </is>
      </c>
      <c r="B3917" s="1" t="n">
        <v>44192</v>
      </c>
      <c r="C3917" s="1" t="n">
        <v>45911</v>
      </c>
      <c r="D3917" t="inlineStr">
        <is>
          <t>GÄVLEBORGS LÄN</t>
        </is>
      </c>
      <c r="E3917" t="inlineStr">
        <is>
          <t>GÄVLE</t>
        </is>
      </c>
      <c r="F3917" t="inlineStr">
        <is>
          <t>Kommuner</t>
        </is>
      </c>
      <c r="G3917" t="n">
        <v>4</v>
      </c>
      <c r="H3917" t="n">
        <v>0</v>
      </c>
      <c r="I3917" t="n">
        <v>0</v>
      </c>
      <c r="J3917" t="n">
        <v>0</v>
      </c>
      <c r="K3917" t="n">
        <v>0</v>
      </c>
      <c r="L3917" t="n">
        <v>0</v>
      </c>
      <c r="M3917" t="n">
        <v>0</v>
      </c>
      <c r="N3917" t="n">
        <v>0</v>
      </c>
      <c r="O3917" t="n">
        <v>0</v>
      </c>
      <c r="P3917" t="n">
        <v>0</v>
      </c>
      <c r="Q3917" t="n">
        <v>0</v>
      </c>
      <c r="R3917" s="2" t="inlineStr"/>
    </row>
    <row r="3918" ht="15" customHeight="1">
      <c r="A3918" t="inlineStr">
        <is>
          <t>A 15671-2024</t>
        </is>
      </c>
      <c r="B3918" s="1" t="n">
        <v>45404</v>
      </c>
      <c r="C3918" s="1" t="n">
        <v>45911</v>
      </c>
      <c r="D3918" t="inlineStr">
        <is>
          <t>GÄVLEBORGS LÄN</t>
        </is>
      </c>
      <c r="E3918" t="inlineStr">
        <is>
          <t>SANDVIKEN</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28648-2025</t>
        </is>
      </c>
      <c r="B3919" s="1" t="n">
        <v>45819.64917824074</v>
      </c>
      <c r="C3919" s="1" t="n">
        <v>45911</v>
      </c>
      <c r="D3919" t="inlineStr">
        <is>
          <t>GÄVLEBORGS LÄN</t>
        </is>
      </c>
      <c r="E3919" t="inlineStr">
        <is>
          <t>LJUSDAL</t>
        </is>
      </c>
      <c r="F3919" t="inlineStr">
        <is>
          <t>Sveaskog</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19846-2024</t>
        </is>
      </c>
      <c r="B3920" s="1" t="n">
        <v>45433.39193287037</v>
      </c>
      <c r="C3920" s="1" t="n">
        <v>45911</v>
      </c>
      <c r="D3920" t="inlineStr">
        <is>
          <t>GÄVLEBORGS LÄN</t>
        </is>
      </c>
      <c r="E3920" t="inlineStr">
        <is>
          <t>SÖDERHAMN</t>
        </is>
      </c>
      <c r="G3920" t="n">
        <v>4.8</v>
      </c>
      <c r="H3920" t="n">
        <v>0</v>
      </c>
      <c r="I3920" t="n">
        <v>0</v>
      </c>
      <c r="J3920" t="n">
        <v>0</v>
      </c>
      <c r="K3920" t="n">
        <v>0</v>
      </c>
      <c r="L3920" t="n">
        <v>0</v>
      </c>
      <c r="M3920" t="n">
        <v>0</v>
      </c>
      <c r="N3920" t="n">
        <v>0</v>
      </c>
      <c r="O3920" t="n">
        <v>0</v>
      </c>
      <c r="P3920" t="n">
        <v>0</v>
      </c>
      <c r="Q3920" t="n">
        <v>0</v>
      </c>
      <c r="R3920" s="2" t="inlineStr"/>
    </row>
    <row r="3921" ht="15" customHeight="1">
      <c r="A3921" t="inlineStr">
        <is>
          <t>A 4084-2025</t>
        </is>
      </c>
      <c r="B3921" s="1" t="n">
        <v>45684.66099537037</v>
      </c>
      <c r="C3921" s="1" t="n">
        <v>45911</v>
      </c>
      <c r="D3921" t="inlineStr">
        <is>
          <t>GÄVLEBORGS LÄN</t>
        </is>
      </c>
      <c r="E3921" t="inlineStr">
        <is>
          <t>NORDANSTIG</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55520-2023</t>
        </is>
      </c>
      <c r="B3922" s="1" t="n">
        <v>45238</v>
      </c>
      <c r="C3922" s="1" t="n">
        <v>45911</v>
      </c>
      <c r="D3922" t="inlineStr">
        <is>
          <t>GÄVLEBORGS LÄN</t>
        </is>
      </c>
      <c r="E3922" t="inlineStr">
        <is>
          <t>BOLLNÄS</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22294-2024</t>
        </is>
      </c>
      <c r="B3923" s="1" t="n">
        <v>45446.56048611111</v>
      </c>
      <c r="C3923" s="1" t="n">
        <v>45911</v>
      </c>
      <c r="D3923" t="inlineStr">
        <is>
          <t>GÄVLEBORGS LÄN</t>
        </is>
      </c>
      <c r="E3923" t="inlineStr">
        <is>
          <t>LJUSDAL</t>
        </is>
      </c>
      <c r="F3923" t="inlineStr">
        <is>
          <t>Bergvik skog väst AB</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29261-2025</t>
        </is>
      </c>
      <c r="B3924" s="1" t="n">
        <v>45824</v>
      </c>
      <c r="C3924" s="1" t="n">
        <v>45911</v>
      </c>
      <c r="D3924" t="inlineStr">
        <is>
          <t>GÄVLEBORGS LÄN</t>
        </is>
      </c>
      <c r="E3924" t="inlineStr">
        <is>
          <t>NORDANSTIG</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29013-2025</t>
        </is>
      </c>
      <c r="B3925" s="1" t="n">
        <v>45821.40672453704</v>
      </c>
      <c r="C3925" s="1" t="n">
        <v>45911</v>
      </c>
      <c r="D3925" t="inlineStr">
        <is>
          <t>GÄVLEBORGS LÄN</t>
        </is>
      </c>
      <c r="E3925" t="inlineStr">
        <is>
          <t>LJUSDAL</t>
        </is>
      </c>
      <c r="F3925" t="inlineStr">
        <is>
          <t>SCA</t>
        </is>
      </c>
      <c r="G3925" t="n">
        <v>13.5</v>
      </c>
      <c r="H3925" t="n">
        <v>0</v>
      </c>
      <c r="I3925" t="n">
        <v>0</v>
      </c>
      <c r="J3925" t="n">
        <v>0</v>
      </c>
      <c r="K3925" t="n">
        <v>0</v>
      </c>
      <c r="L3925" t="n">
        <v>0</v>
      </c>
      <c r="M3925" t="n">
        <v>0</v>
      </c>
      <c r="N3925" t="n">
        <v>0</v>
      </c>
      <c r="O3925" t="n">
        <v>0</v>
      </c>
      <c r="P3925" t="n">
        <v>0</v>
      </c>
      <c r="Q3925" t="n">
        <v>0</v>
      </c>
      <c r="R3925" s="2" t="inlineStr"/>
    </row>
    <row r="3926" ht="15" customHeight="1">
      <c r="A3926" t="inlineStr">
        <is>
          <t>A 29227-2025</t>
        </is>
      </c>
      <c r="B3926" s="1" t="n">
        <v>45824.33912037037</v>
      </c>
      <c r="C3926" s="1" t="n">
        <v>45911</v>
      </c>
      <c r="D3926" t="inlineStr">
        <is>
          <t>GÄVLEBORGS LÄN</t>
        </is>
      </c>
      <c r="E3926" t="inlineStr">
        <is>
          <t>HUDIKSVALL</t>
        </is>
      </c>
      <c r="G3926" t="n">
        <v>5.7</v>
      </c>
      <c r="H3926" t="n">
        <v>0</v>
      </c>
      <c r="I3926" t="n">
        <v>0</v>
      </c>
      <c r="J3926" t="n">
        <v>0</v>
      </c>
      <c r="K3926" t="n">
        <v>0</v>
      </c>
      <c r="L3926" t="n">
        <v>0</v>
      </c>
      <c r="M3926" t="n">
        <v>0</v>
      </c>
      <c r="N3926" t="n">
        <v>0</v>
      </c>
      <c r="O3926" t="n">
        <v>0</v>
      </c>
      <c r="P3926" t="n">
        <v>0</v>
      </c>
      <c r="Q3926" t="n">
        <v>0</v>
      </c>
      <c r="R3926" s="2" t="inlineStr"/>
    </row>
    <row r="3927" ht="15" customHeight="1">
      <c r="A3927" t="inlineStr">
        <is>
          <t>A 29240-2025</t>
        </is>
      </c>
      <c r="B3927" s="1" t="n">
        <v>45824.35913194445</v>
      </c>
      <c r="C3927" s="1" t="n">
        <v>45911</v>
      </c>
      <c r="D3927" t="inlineStr">
        <is>
          <t>GÄVLEBORGS LÄN</t>
        </is>
      </c>
      <c r="E3927" t="inlineStr">
        <is>
          <t>LJUSDAL</t>
        </is>
      </c>
      <c r="F3927" t="inlineStr">
        <is>
          <t>Holmen skog AB</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29423-2025</t>
        </is>
      </c>
      <c r="B3928" s="1" t="n">
        <v>45824.64304398148</v>
      </c>
      <c r="C3928" s="1" t="n">
        <v>45911</v>
      </c>
      <c r="D3928" t="inlineStr">
        <is>
          <t>GÄVLEBORGS LÄN</t>
        </is>
      </c>
      <c r="E3928" t="inlineStr">
        <is>
          <t>OVANÅKER</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12983-2022</t>
        </is>
      </c>
      <c r="B3929" s="1" t="n">
        <v>44643.41052083333</v>
      </c>
      <c r="C3929" s="1" t="n">
        <v>45911</v>
      </c>
      <c r="D3929" t="inlineStr">
        <is>
          <t>GÄVLEBORGS LÄN</t>
        </is>
      </c>
      <c r="E3929" t="inlineStr">
        <is>
          <t>OCKELBO</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21637-2024</t>
        </is>
      </c>
      <c r="B3930" s="1" t="n">
        <v>45442.34444444445</v>
      </c>
      <c r="C3930" s="1" t="n">
        <v>45911</v>
      </c>
      <c r="D3930" t="inlineStr">
        <is>
          <t>GÄVLEBORGS LÄN</t>
        </is>
      </c>
      <c r="E3930" t="inlineStr">
        <is>
          <t>LJUSDAL</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29402-2025</t>
        </is>
      </c>
      <c r="B3931" s="1" t="n">
        <v>45824.61443287037</v>
      </c>
      <c r="C3931" s="1" t="n">
        <v>45911</v>
      </c>
      <c r="D3931" t="inlineStr">
        <is>
          <t>GÄVLEBORGS LÄN</t>
        </is>
      </c>
      <c r="E3931" t="inlineStr">
        <is>
          <t>OVANÅKER</t>
        </is>
      </c>
      <c r="F3931" t="inlineStr">
        <is>
          <t>Holmen skog AB</t>
        </is>
      </c>
      <c r="G3931" t="n">
        <v>3.9</v>
      </c>
      <c r="H3931" t="n">
        <v>0</v>
      </c>
      <c r="I3931" t="n">
        <v>0</v>
      </c>
      <c r="J3931" t="n">
        <v>0</v>
      </c>
      <c r="K3931" t="n">
        <v>0</v>
      </c>
      <c r="L3931" t="n">
        <v>0</v>
      </c>
      <c r="M3931" t="n">
        <v>0</v>
      </c>
      <c r="N3931" t="n">
        <v>0</v>
      </c>
      <c r="O3931" t="n">
        <v>0</v>
      </c>
      <c r="P3931" t="n">
        <v>0</v>
      </c>
      <c r="Q3931" t="n">
        <v>0</v>
      </c>
      <c r="R3931" s="2" t="inlineStr"/>
    </row>
    <row r="3932" ht="15" customHeight="1">
      <c r="A3932" t="inlineStr">
        <is>
          <t>A 15707-2024</t>
        </is>
      </c>
      <c r="B3932" s="1" t="n">
        <v>45404.47491898148</v>
      </c>
      <c r="C3932" s="1" t="n">
        <v>45911</v>
      </c>
      <c r="D3932" t="inlineStr">
        <is>
          <t>GÄVLEBORGS LÄN</t>
        </is>
      </c>
      <c r="E3932" t="inlineStr">
        <is>
          <t>GÄVLE</t>
        </is>
      </c>
      <c r="G3932" t="n">
        <v>4.7</v>
      </c>
      <c r="H3932" t="n">
        <v>0</v>
      </c>
      <c r="I3932" t="n">
        <v>0</v>
      </c>
      <c r="J3932" t="n">
        <v>0</v>
      </c>
      <c r="K3932" t="n">
        <v>0</v>
      </c>
      <c r="L3932" t="n">
        <v>0</v>
      </c>
      <c r="M3932" t="n">
        <v>0</v>
      </c>
      <c r="N3932" t="n">
        <v>0</v>
      </c>
      <c r="O3932" t="n">
        <v>0</v>
      </c>
      <c r="P3932" t="n">
        <v>0</v>
      </c>
      <c r="Q3932" t="n">
        <v>0</v>
      </c>
      <c r="R3932" s="2" t="inlineStr"/>
    </row>
    <row r="3933" ht="15" customHeight="1">
      <c r="A3933" t="inlineStr">
        <is>
          <t>A 29249-2025</t>
        </is>
      </c>
      <c r="B3933" s="1" t="n">
        <v>45824.37268518518</v>
      </c>
      <c r="C3933" s="1" t="n">
        <v>45911</v>
      </c>
      <c r="D3933" t="inlineStr">
        <is>
          <t>GÄVLEBORGS LÄN</t>
        </is>
      </c>
      <c r="E3933" t="inlineStr">
        <is>
          <t>OVANÅKER</t>
        </is>
      </c>
      <c r="F3933" t="inlineStr">
        <is>
          <t>Holmen skog AB</t>
        </is>
      </c>
      <c r="G3933" t="n">
        <v>20.7</v>
      </c>
      <c r="H3933" t="n">
        <v>0</v>
      </c>
      <c r="I3933" t="n">
        <v>0</v>
      </c>
      <c r="J3933" t="n">
        <v>0</v>
      </c>
      <c r="K3933" t="n">
        <v>0</v>
      </c>
      <c r="L3933" t="n">
        <v>0</v>
      </c>
      <c r="M3933" t="n">
        <v>0</v>
      </c>
      <c r="N3933" t="n">
        <v>0</v>
      </c>
      <c r="O3933" t="n">
        <v>0</v>
      </c>
      <c r="P3933" t="n">
        <v>0</v>
      </c>
      <c r="Q3933" t="n">
        <v>0</v>
      </c>
      <c r="R3933" s="2" t="inlineStr"/>
    </row>
    <row r="3934" ht="15" customHeight="1">
      <c r="A3934" t="inlineStr">
        <is>
          <t>A 23758-2024</t>
        </is>
      </c>
      <c r="B3934" s="1" t="n">
        <v>45455.35325231482</v>
      </c>
      <c r="C3934" s="1" t="n">
        <v>45911</v>
      </c>
      <c r="D3934" t="inlineStr">
        <is>
          <t>GÄVLEBORGS LÄN</t>
        </is>
      </c>
      <c r="E3934" t="inlineStr">
        <is>
          <t>SANDVIKEN</t>
        </is>
      </c>
      <c r="F3934" t="inlineStr">
        <is>
          <t>Kyrkan</t>
        </is>
      </c>
      <c r="G3934" t="n">
        <v>3.2</v>
      </c>
      <c r="H3934" t="n">
        <v>0</v>
      </c>
      <c r="I3934" t="n">
        <v>0</v>
      </c>
      <c r="J3934" t="n">
        <v>0</v>
      </c>
      <c r="K3934" t="n">
        <v>0</v>
      </c>
      <c r="L3934" t="n">
        <v>0</v>
      </c>
      <c r="M3934" t="n">
        <v>0</v>
      </c>
      <c r="N3934" t="n">
        <v>0</v>
      </c>
      <c r="O3934" t="n">
        <v>0</v>
      </c>
      <c r="P3934" t="n">
        <v>0</v>
      </c>
      <c r="Q3934" t="n">
        <v>0</v>
      </c>
      <c r="R3934" s="2" t="inlineStr"/>
    </row>
    <row r="3935" ht="15" customHeight="1">
      <c r="A3935" t="inlineStr">
        <is>
          <t>A 29018-2025</t>
        </is>
      </c>
      <c r="B3935" s="1" t="n">
        <v>45821.4209837963</v>
      </c>
      <c r="C3935" s="1" t="n">
        <v>45911</v>
      </c>
      <c r="D3935" t="inlineStr">
        <is>
          <t>GÄVLEBORGS LÄN</t>
        </is>
      </c>
      <c r="E3935" t="inlineStr">
        <is>
          <t>OVANÅKER</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10026-2023</t>
        </is>
      </c>
      <c r="B3936" s="1" t="n">
        <v>44985</v>
      </c>
      <c r="C3936" s="1" t="n">
        <v>45911</v>
      </c>
      <c r="D3936" t="inlineStr">
        <is>
          <t>GÄVLEBORGS LÄN</t>
        </is>
      </c>
      <c r="E3936" t="inlineStr">
        <is>
          <t>LJUSDAL</t>
        </is>
      </c>
      <c r="F3936" t="inlineStr">
        <is>
          <t>Holmen skog AB</t>
        </is>
      </c>
      <c r="G3936" t="n">
        <v>6.8</v>
      </c>
      <c r="H3936" t="n">
        <v>0</v>
      </c>
      <c r="I3936" t="n">
        <v>0</v>
      </c>
      <c r="J3936" t="n">
        <v>0</v>
      </c>
      <c r="K3936" t="n">
        <v>0</v>
      </c>
      <c r="L3936" t="n">
        <v>0</v>
      </c>
      <c r="M3936" t="n">
        <v>0</v>
      </c>
      <c r="N3936" t="n">
        <v>0</v>
      </c>
      <c r="O3936" t="n">
        <v>0</v>
      </c>
      <c r="P3936" t="n">
        <v>0</v>
      </c>
      <c r="Q3936" t="n">
        <v>0</v>
      </c>
      <c r="R3936" s="2" t="inlineStr"/>
    </row>
    <row r="3937" ht="15" customHeight="1">
      <c r="A3937" t="inlineStr">
        <is>
          <t>A 32149-2024</t>
        </is>
      </c>
      <c r="B3937" s="1" t="n">
        <v>45511</v>
      </c>
      <c r="C3937" s="1" t="n">
        <v>45911</v>
      </c>
      <c r="D3937" t="inlineStr">
        <is>
          <t>GÄVLEBORGS LÄN</t>
        </is>
      </c>
      <c r="E3937" t="inlineStr">
        <is>
          <t>NORDANSTIG</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44045-2023</t>
        </is>
      </c>
      <c r="B3938" s="1" t="n">
        <v>45188.38197916667</v>
      </c>
      <c r="C3938" s="1" t="n">
        <v>45911</v>
      </c>
      <c r="D3938" t="inlineStr">
        <is>
          <t>GÄVLEBORGS LÄN</t>
        </is>
      </c>
      <c r="E3938" t="inlineStr">
        <is>
          <t>HUDIKSVALL</t>
        </is>
      </c>
      <c r="F3938" t="inlineStr">
        <is>
          <t>Holmen skog AB</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8380-2025</t>
        </is>
      </c>
      <c r="B3939" s="1" t="n">
        <v>45709</v>
      </c>
      <c r="C3939" s="1" t="n">
        <v>45911</v>
      </c>
      <c r="D3939" t="inlineStr">
        <is>
          <t>GÄVLEBORGS LÄN</t>
        </is>
      </c>
      <c r="E3939" t="inlineStr">
        <is>
          <t>SANDVIKEN</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6221-2025</t>
        </is>
      </c>
      <c r="B3940" s="1" t="n">
        <v>45698.54001157408</v>
      </c>
      <c r="C3940" s="1" t="n">
        <v>45911</v>
      </c>
      <c r="D3940" t="inlineStr">
        <is>
          <t>GÄVLEBORGS LÄN</t>
        </is>
      </c>
      <c r="E3940" t="inlineStr">
        <is>
          <t>BOLLNÄS</t>
        </is>
      </c>
      <c r="G3940" t="n">
        <v>5.4</v>
      </c>
      <c r="H3940" t="n">
        <v>0</v>
      </c>
      <c r="I3940" t="n">
        <v>0</v>
      </c>
      <c r="J3940" t="n">
        <v>0</v>
      </c>
      <c r="K3940" t="n">
        <v>0</v>
      </c>
      <c r="L3940" t="n">
        <v>0</v>
      </c>
      <c r="M3940" t="n">
        <v>0</v>
      </c>
      <c r="N3940" t="n">
        <v>0</v>
      </c>
      <c r="O3940" t="n">
        <v>0</v>
      </c>
      <c r="P3940" t="n">
        <v>0</v>
      </c>
      <c r="Q3940" t="n">
        <v>0</v>
      </c>
      <c r="R3940" s="2" t="inlineStr"/>
    </row>
    <row r="3941" ht="15" customHeight="1">
      <c r="A3941" t="inlineStr">
        <is>
          <t>A 46590-2024</t>
        </is>
      </c>
      <c r="B3941" s="1" t="n">
        <v>45582.79400462963</v>
      </c>
      <c r="C3941" s="1" t="n">
        <v>45911</v>
      </c>
      <c r="D3941" t="inlineStr">
        <is>
          <t>GÄVLEBORGS LÄN</t>
        </is>
      </c>
      <c r="E3941" t="inlineStr">
        <is>
          <t>HUDIKSVALL</t>
        </is>
      </c>
      <c r="F3941" t="inlineStr">
        <is>
          <t>Holmen skog AB</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46593-2024</t>
        </is>
      </c>
      <c r="B3942" s="1" t="n">
        <v>45582.816875</v>
      </c>
      <c r="C3942" s="1" t="n">
        <v>45911</v>
      </c>
      <c r="D3942" t="inlineStr">
        <is>
          <t>GÄVLEBORGS LÄN</t>
        </is>
      </c>
      <c r="E3942" t="inlineStr">
        <is>
          <t>HUDIKSVALL</t>
        </is>
      </c>
      <c r="F3942" t="inlineStr">
        <is>
          <t>Holmen skog AB</t>
        </is>
      </c>
      <c r="G3942" t="n">
        <v>5.3</v>
      </c>
      <c r="H3942" t="n">
        <v>0</v>
      </c>
      <c r="I3942" t="n">
        <v>0</v>
      </c>
      <c r="J3942" t="n">
        <v>0</v>
      </c>
      <c r="K3942" t="n">
        <v>0</v>
      </c>
      <c r="L3942" t="n">
        <v>0</v>
      </c>
      <c r="M3942" t="n">
        <v>0</v>
      </c>
      <c r="N3942" t="n">
        <v>0</v>
      </c>
      <c r="O3942" t="n">
        <v>0</v>
      </c>
      <c r="P3942" t="n">
        <v>0</v>
      </c>
      <c r="Q3942" t="n">
        <v>0</v>
      </c>
      <c r="R3942" s="2" t="inlineStr"/>
    </row>
    <row r="3943" ht="15" customHeight="1">
      <c r="A3943" t="inlineStr">
        <is>
          <t>A 46598-2024</t>
        </is>
      </c>
      <c r="B3943" s="1" t="n">
        <v>45582</v>
      </c>
      <c r="C3943" s="1" t="n">
        <v>45911</v>
      </c>
      <c r="D3943" t="inlineStr">
        <is>
          <t>GÄVLEBORGS LÄN</t>
        </is>
      </c>
      <c r="E3943" t="inlineStr">
        <is>
          <t>HUDIKSVALL</t>
        </is>
      </c>
      <c r="F3943" t="inlineStr">
        <is>
          <t>Holmen skog AB</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29254-2025</t>
        </is>
      </c>
      <c r="B3944" s="1" t="n">
        <v>45824.38350694445</v>
      </c>
      <c r="C3944" s="1" t="n">
        <v>45911</v>
      </c>
      <c r="D3944" t="inlineStr">
        <is>
          <t>GÄVLEBORGS LÄN</t>
        </is>
      </c>
      <c r="E3944" t="inlineStr">
        <is>
          <t>LJUSDAL</t>
        </is>
      </c>
      <c r="F3944" t="inlineStr">
        <is>
          <t>Holmen skog AB</t>
        </is>
      </c>
      <c r="G3944" t="n">
        <v>3.4</v>
      </c>
      <c r="H3944" t="n">
        <v>0</v>
      </c>
      <c r="I3944" t="n">
        <v>0</v>
      </c>
      <c r="J3944" t="n">
        <v>0</v>
      </c>
      <c r="K3944" t="n">
        <v>0</v>
      </c>
      <c r="L3944" t="n">
        <v>0</v>
      </c>
      <c r="M3944" t="n">
        <v>0</v>
      </c>
      <c r="N3944" t="n">
        <v>0</v>
      </c>
      <c r="O3944" t="n">
        <v>0</v>
      </c>
      <c r="P3944" t="n">
        <v>0</v>
      </c>
      <c r="Q3944" t="n">
        <v>0</v>
      </c>
      <c r="R3944" s="2" t="inlineStr"/>
    </row>
    <row r="3945" ht="15" customHeight="1">
      <c r="A3945" t="inlineStr">
        <is>
          <t>A 4770-2025</t>
        </is>
      </c>
      <c r="B3945" s="1" t="n">
        <v>45688.49590277778</v>
      </c>
      <c r="C3945" s="1" t="n">
        <v>45911</v>
      </c>
      <c r="D3945" t="inlineStr">
        <is>
          <t>GÄVLEBORGS LÄN</t>
        </is>
      </c>
      <c r="E3945" t="inlineStr">
        <is>
          <t>HUDIKSVALL</t>
        </is>
      </c>
      <c r="G3945" t="n">
        <v>3</v>
      </c>
      <c r="H3945" t="n">
        <v>0</v>
      </c>
      <c r="I3945" t="n">
        <v>0</v>
      </c>
      <c r="J3945" t="n">
        <v>0</v>
      </c>
      <c r="K3945" t="n">
        <v>0</v>
      </c>
      <c r="L3945" t="n">
        <v>0</v>
      </c>
      <c r="M3945" t="n">
        <v>0</v>
      </c>
      <c r="N3945" t="n">
        <v>0</v>
      </c>
      <c r="O3945" t="n">
        <v>0</v>
      </c>
      <c r="P3945" t="n">
        <v>0</v>
      </c>
      <c r="Q3945" t="n">
        <v>0</v>
      </c>
      <c r="R3945" s="2" t="inlineStr"/>
    </row>
    <row r="3946" ht="15" customHeight="1">
      <c r="A3946" t="inlineStr">
        <is>
          <t>A 4783-2025</t>
        </is>
      </c>
      <c r="B3946" s="1" t="n">
        <v>45688.52892361111</v>
      </c>
      <c r="C3946" s="1" t="n">
        <v>45911</v>
      </c>
      <c r="D3946" t="inlineStr">
        <is>
          <t>GÄVLEBORGS LÄN</t>
        </is>
      </c>
      <c r="E3946" t="inlineStr">
        <is>
          <t>SANDVIKEN</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29113-2025</t>
        </is>
      </c>
      <c r="B3947" s="1" t="n">
        <v>45821.58765046296</v>
      </c>
      <c r="C3947" s="1" t="n">
        <v>45911</v>
      </c>
      <c r="D3947" t="inlineStr">
        <is>
          <t>GÄVLEBORGS LÄN</t>
        </is>
      </c>
      <c r="E3947" t="inlineStr">
        <is>
          <t>OCKELBO</t>
        </is>
      </c>
      <c r="G3947" t="n">
        <v>8.4</v>
      </c>
      <c r="H3947" t="n">
        <v>0</v>
      </c>
      <c r="I3947" t="n">
        <v>0</v>
      </c>
      <c r="J3947" t="n">
        <v>0</v>
      </c>
      <c r="K3947" t="n">
        <v>0</v>
      </c>
      <c r="L3947" t="n">
        <v>0</v>
      </c>
      <c r="M3947" t="n">
        <v>0</v>
      </c>
      <c r="N3947" t="n">
        <v>0</v>
      </c>
      <c r="O3947" t="n">
        <v>0</v>
      </c>
      <c r="P3947" t="n">
        <v>0</v>
      </c>
      <c r="Q3947" t="n">
        <v>0</v>
      </c>
      <c r="R3947" s="2" t="inlineStr"/>
    </row>
    <row r="3948" ht="15" customHeight="1">
      <c r="A3948" t="inlineStr">
        <is>
          <t>A 35000-2024</t>
        </is>
      </c>
      <c r="B3948" s="1" t="n">
        <v>45527</v>
      </c>
      <c r="C3948" s="1" t="n">
        <v>45911</v>
      </c>
      <c r="D3948" t="inlineStr">
        <is>
          <t>GÄVLEBORGS LÄN</t>
        </is>
      </c>
      <c r="E3948" t="inlineStr">
        <is>
          <t>HUDIKSVALL</t>
        </is>
      </c>
      <c r="F3948" t="inlineStr">
        <is>
          <t>Holmen skog AB</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35024-2024</t>
        </is>
      </c>
      <c r="B3949" s="1" t="n">
        <v>45527.60289351852</v>
      </c>
      <c r="C3949" s="1" t="n">
        <v>45911</v>
      </c>
      <c r="D3949" t="inlineStr">
        <is>
          <t>GÄVLEBORGS LÄN</t>
        </is>
      </c>
      <c r="E3949" t="inlineStr">
        <is>
          <t>LJUSDAL</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29378-2025</t>
        </is>
      </c>
      <c r="B3950" s="1" t="n">
        <v>45824.5883912037</v>
      </c>
      <c r="C3950" s="1" t="n">
        <v>45911</v>
      </c>
      <c r="D3950" t="inlineStr">
        <is>
          <t>GÄVLEBORGS LÄN</t>
        </is>
      </c>
      <c r="E3950" t="inlineStr">
        <is>
          <t>BOLLNÄS</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28955-2025</t>
        </is>
      </c>
      <c r="B3951" s="1" t="n">
        <v>45821.28813657408</v>
      </c>
      <c r="C3951" s="1" t="n">
        <v>45911</v>
      </c>
      <c r="D3951" t="inlineStr">
        <is>
          <t>GÄVLEBORGS LÄN</t>
        </is>
      </c>
      <c r="E3951" t="inlineStr">
        <is>
          <t>LJUSDAL</t>
        </is>
      </c>
      <c r="F3951" t="inlineStr">
        <is>
          <t>Bergvik skog väst AB</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29036-2025</t>
        </is>
      </c>
      <c r="B3952" s="1" t="n">
        <v>45821.44332175926</v>
      </c>
      <c r="C3952" s="1" t="n">
        <v>45911</v>
      </c>
      <c r="D3952" t="inlineStr">
        <is>
          <t>GÄVLEBORGS LÄN</t>
        </is>
      </c>
      <c r="E3952" t="inlineStr">
        <is>
          <t>SÖDERHAMN</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9140-2023</t>
        </is>
      </c>
      <c r="B3953" s="1" t="n">
        <v>44980.36575231481</v>
      </c>
      <c r="C3953" s="1" t="n">
        <v>45911</v>
      </c>
      <c r="D3953" t="inlineStr">
        <is>
          <t>GÄVLEBORGS LÄN</t>
        </is>
      </c>
      <c r="E3953" t="inlineStr">
        <is>
          <t>HUDIKSVALL</t>
        </is>
      </c>
      <c r="F3953" t="inlineStr">
        <is>
          <t>Holmen skog AB</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9163-2023</t>
        </is>
      </c>
      <c r="B3954" s="1" t="n">
        <v>44980.4041087963</v>
      </c>
      <c r="C3954" s="1" t="n">
        <v>45911</v>
      </c>
      <c r="D3954" t="inlineStr">
        <is>
          <t>GÄVLEBORGS LÄN</t>
        </is>
      </c>
      <c r="E3954" t="inlineStr">
        <is>
          <t>HUDIKSVALL</t>
        </is>
      </c>
      <c r="F3954" t="inlineStr">
        <is>
          <t>Holmen skog AB</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2592-2023</t>
        </is>
      </c>
      <c r="B3955" s="1" t="n">
        <v>44943.92533564815</v>
      </c>
      <c r="C3955" s="1" t="n">
        <v>45911</v>
      </c>
      <c r="D3955" t="inlineStr">
        <is>
          <t>GÄVLEBORGS LÄN</t>
        </is>
      </c>
      <c r="E3955" t="inlineStr">
        <is>
          <t>NORDANSTIG</t>
        </is>
      </c>
      <c r="G3955" t="n">
        <v>4.1</v>
      </c>
      <c r="H3955" t="n">
        <v>0</v>
      </c>
      <c r="I3955" t="n">
        <v>0</v>
      </c>
      <c r="J3955" t="n">
        <v>0</v>
      </c>
      <c r="K3955" t="n">
        <v>0</v>
      </c>
      <c r="L3955" t="n">
        <v>0</v>
      </c>
      <c r="M3955" t="n">
        <v>0</v>
      </c>
      <c r="N3955" t="n">
        <v>0</v>
      </c>
      <c r="O3955" t="n">
        <v>0</v>
      </c>
      <c r="P3955" t="n">
        <v>0</v>
      </c>
      <c r="Q3955" t="n">
        <v>0</v>
      </c>
      <c r="R3955" s="2" t="inlineStr"/>
    </row>
    <row r="3956" ht="15" customHeight="1">
      <c r="A3956" t="inlineStr">
        <is>
          <t>A 3714-2023</t>
        </is>
      </c>
      <c r="B3956" s="1" t="n">
        <v>44951.34615740741</v>
      </c>
      <c r="C3956" s="1" t="n">
        <v>45911</v>
      </c>
      <c r="D3956" t="inlineStr">
        <is>
          <t>GÄVLEBORGS LÄN</t>
        </is>
      </c>
      <c r="E3956" t="inlineStr">
        <is>
          <t>GÄVLE</t>
        </is>
      </c>
      <c r="F3956" t="inlineStr">
        <is>
          <t>Bergvik skog väst AB</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29033-2025</t>
        </is>
      </c>
      <c r="B3957" s="1" t="n">
        <v>45821.44239583334</v>
      </c>
      <c r="C3957" s="1" t="n">
        <v>45911</v>
      </c>
      <c r="D3957" t="inlineStr">
        <is>
          <t>GÄVLEBORGS LÄN</t>
        </is>
      </c>
      <c r="E3957" t="inlineStr">
        <is>
          <t>OVANÅKER</t>
        </is>
      </c>
      <c r="G3957" t="n">
        <v>21.1</v>
      </c>
      <c r="H3957" t="n">
        <v>0</v>
      </c>
      <c r="I3957" t="n">
        <v>0</v>
      </c>
      <c r="J3957" t="n">
        <v>0</v>
      </c>
      <c r="K3957" t="n">
        <v>0</v>
      </c>
      <c r="L3957" t="n">
        <v>0</v>
      </c>
      <c r="M3957" t="n">
        <v>0</v>
      </c>
      <c r="N3957" t="n">
        <v>0</v>
      </c>
      <c r="O3957" t="n">
        <v>0</v>
      </c>
      <c r="P3957" t="n">
        <v>0</v>
      </c>
      <c r="Q3957" t="n">
        <v>0</v>
      </c>
      <c r="R3957" s="2" t="inlineStr"/>
    </row>
    <row r="3958" ht="15" customHeight="1">
      <c r="A3958" t="inlineStr">
        <is>
          <t>A 29252-2025</t>
        </is>
      </c>
      <c r="B3958" s="1" t="n">
        <v>45824.37804398148</v>
      </c>
      <c r="C3958" s="1" t="n">
        <v>45911</v>
      </c>
      <c r="D3958" t="inlineStr">
        <is>
          <t>GÄVLEBORGS LÄN</t>
        </is>
      </c>
      <c r="E3958" t="inlineStr">
        <is>
          <t>LJUSDAL</t>
        </is>
      </c>
      <c r="F3958" t="inlineStr">
        <is>
          <t>Holmen skog AB</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3715-2023</t>
        </is>
      </c>
      <c r="B3959" s="1" t="n">
        <v>44951</v>
      </c>
      <c r="C3959" s="1" t="n">
        <v>45911</v>
      </c>
      <c r="D3959" t="inlineStr">
        <is>
          <t>GÄVLEBORGS LÄN</t>
        </is>
      </c>
      <c r="E3959" t="inlineStr">
        <is>
          <t>GÄVLE</t>
        </is>
      </c>
      <c r="F3959" t="inlineStr">
        <is>
          <t>Bergvik skog väst AB</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61065-2023</t>
        </is>
      </c>
      <c r="B3960" s="1" t="n">
        <v>45261.61618055555</v>
      </c>
      <c r="C3960" s="1" t="n">
        <v>45911</v>
      </c>
      <c r="D3960" t="inlineStr">
        <is>
          <t>GÄVLEBORGS LÄN</t>
        </is>
      </c>
      <c r="E3960" t="inlineStr">
        <is>
          <t>BOLLNÄS</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29275-2025</t>
        </is>
      </c>
      <c r="B3961" s="1" t="n">
        <v>45824.41685185185</v>
      </c>
      <c r="C3961" s="1" t="n">
        <v>45911</v>
      </c>
      <c r="D3961" t="inlineStr">
        <is>
          <t>GÄVLEBORGS LÄN</t>
        </is>
      </c>
      <c r="E3961" t="inlineStr">
        <is>
          <t>NORDANSTIG</t>
        </is>
      </c>
      <c r="F3961" t="inlineStr">
        <is>
          <t>Holmen skog AB</t>
        </is>
      </c>
      <c r="G3961" t="n">
        <v>5.3</v>
      </c>
      <c r="H3961" t="n">
        <v>0</v>
      </c>
      <c r="I3961" t="n">
        <v>0</v>
      </c>
      <c r="J3961" t="n">
        <v>0</v>
      </c>
      <c r="K3961" t="n">
        <v>0</v>
      </c>
      <c r="L3961" t="n">
        <v>0</v>
      </c>
      <c r="M3961" t="n">
        <v>0</v>
      </c>
      <c r="N3961" t="n">
        <v>0</v>
      </c>
      <c r="O3961" t="n">
        <v>0</v>
      </c>
      <c r="P3961" t="n">
        <v>0</v>
      </c>
      <c r="Q3961" t="n">
        <v>0</v>
      </c>
      <c r="R3961" s="2" t="inlineStr"/>
    </row>
    <row r="3962" ht="15" customHeight="1">
      <c r="A3962" t="inlineStr">
        <is>
          <t>A 29276-2025</t>
        </is>
      </c>
      <c r="B3962" s="1" t="n">
        <v>45824.41805555556</v>
      </c>
      <c r="C3962" s="1" t="n">
        <v>45911</v>
      </c>
      <c r="D3962" t="inlineStr">
        <is>
          <t>GÄVLEBORGS LÄN</t>
        </is>
      </c>
      <c r="E3962" t="inlineStr">
        <is>
          <t>HUDIKSVALL</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6701-2025</t>
        </is>
      </c>
      <c r="B3963" s="1" t="n">
        <v>45700.54153935185</v>
      </c>
      <c r="C3963" s="1" t="n">
        <v>45911</v>
      </c>
      <c r="D3963" t="inlineStr">
        <is>
          <t>GÄVLEBORGS LÄN</t>
        </is>
      </c>
      <c r="E3963" t="inlineStr">
        <is>
          <t>GÄVLE</t>
        </is>
      </c>
      <c r="F3963" t="inlineStr">
        <is>
          <t>Bergvik skog öst AB</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37391-2023</t>
        </is>
      </c>
      <c r="B3964" s="1" t="n">
        <v>45156</v>
      </c>
      <c r="C3964" s="1" t="n">
        <v>45911</v>
      </c>
      <c r="D3964" t="inlineStr">
        <is>
          <t>GÄVLEBORGS LÄN</t>
        </is>
      </c>
      <c r="E3964" t="inlineStr">
        <is>
          <t>OCKELBO</t>
        </is>
      </c>
      <c r="F3964" t="inlineStr">
        <is>
          <t>Bergvik skog väst AB</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29401-2025</t>
        </is>
      </c>
      <c r="B3965" s="1" t="n">
        <v>45824.61436342593</v>
      </c>
      <c r="C3965" s="1" t="n">
        <v>45911</v>
      </c>
      <c r="D3965" t="inlineStr">
        <is>
          <t>GÄVLEBORGS LÄN</t>
        </is>
      </c>
      <c r="E3965" t="inlineStr">
        <is>
          <t>NORDANSTIG</t>
        </is>
      </c>
      <c r="F3965" t="inlineStr">
        <is>
          <t>Holmen skog AB</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29338-2025</t>
        </is>
      </c>
      <c r="B3966" s="1" t="n">
        <v>45824.49907407408</v>
      </c>
      <c r="C3966" s="1" t="n">
        <v>45911</v>
      </c>
      <c r="D3966" t="inlineStr">
        <is>
          <t>GÄVLEBORGS LÄN</t>
        </is>
      </c>
      <c r="E3966" t="inlineStr">
        <is>
          <t>HUDIKSVALL</t>
        </is>
      </c>
      <c r="F3966" t="inlineStr">
        <is>
          <t>Holmen skog AB</t>
        </is>
      </c>
      <c r="G3966" t="n">
        <v>5.2</v>
      </c>
      <c r="H3966" t="n">
        <v>0</v>
      </c>
      <c r="I3966" t="n">
        <v>0</v>
      </c>
      <c r="J3966" t="n">
        <v>0</v>
      </c>
      <c r="K3966" t="n">
        <v>0</v>
      </c>
      <c r="L3966" t="n">
        <v>0</v>
      </c>
      <c r="M3966" t="n">
        <v>0</v>
      </c>
      <c r="N3966" t="n">
        <v>0</v>
      </c>
      <c r="O3966" t="n">
        <v>0</v>
      </c>
      <c r="P3966" t="n">
        <v>0</v>
      </c>
      <c r="Q3966" t="n">
        <v>0</v>
      </c>
      <c r="R3966" s="2" t="inlineStr"/>
    </row>
    <row r="3967" ht="15" customHeight="1">
      <c r="A3967" t="inlineStr">
        <is>
          <t>A 11810-2023</t>
        </is>
      </c>
      <c r="B3967" s="1" t="n">
        <v>44994.71511574074</v>
      </c>
      <c r="C3967" s="1" t="n">
        <v>45911</v>
      </c>
      <c r="D3967" t="inlineStr">
        <is>
          <t>GÄVLEBORGS LÄN</t>
        </is>
      </c>
      <c r="E3967" t="inlineStr">
        <is>
          <t>SANDVIKEN</t>
        </is>
      </c>
      <c r="G3967" t="n">
        <v>4.9</v>
      </c>
      <c r="H3967" t="n">
        <v>0</v>
      </c>
      <c r="I3967" t="n">
        <v>0</v>
      </c>
      <c r="J3967" t="n">
        <v>0</v>
      </c>
      <c r="K3967" t="n">
        <v>0</v>
      </c>
      <c r="L3967" t="n">
        <v>0</v>
      </c>
      <c r="M3967" t="n">
        <v>0</v>
      </c>
      <c r="N3967" t="n">
        <v>0</v>
      </c>
      <c r="O3967" t="n">
        <v>0</v>
      </c>
      <c r="P3967" t="n">
        <v>0</v>
      </c>
      <c r="Q3967" t="n">
        <v>0</v>
      </c>
      <c r="R3967" s="2" t="inlineStr"/>
    </row>
    <row r="3968" ht="15" customHeight="1">
      <c r="A3968" t="inlineStr">
        <is>
          <t>A 47415-2023</t>
        </is>
      </c>
      <c r="B3968" s="1" t="n">
        <v>45202.65471064814</v>
      </c>
      <c r="C3968" s="1" t="n">
        <v>45911</v>
      </c>
      <c r="D3968" t="inlineStr">
        <is>
          <t>GÄVLEBORGS LÄN</t>
        </is>
      </c>
      <c r="E3968" t="inlineStr">
        <is>
          <t>HUDIKSVALL</t>
        </is>
      </c>
      <c r="F3968" t="inlineStr">
        <is>
          <t>Holmen skog AB</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30630-2022</t>
        </is>
      </c>
      <c r="B3969" s="1" t="n">
        <v>44763.44563657408</v>
      </c>
      <c r="C3969" s="1" t="n">
        <v>45911</v>
      </c>
      <c r="D3969" t="inlineStr">
        <is>
          <t>GÄVLEBORGS LÄN</t>
        </is>
      </c>
      <c r="E3969" t="inlineStr">
        <is>
          <t>NORDANSTIG</t>
        </is>
      </c>
      <c r="F3969" t="inlineStr">
        <is>
          <t>Holmen skog AB</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23195-2022</t>
        </is>
      </c>
      <c r="B3970" s="1" t="n">
        <v>44719.92542824074</v>
      </c>
      <c r="C3970" s="1" t="n">
        <v>45911</v>
      </c>
      <c r="D3970" t="inlineStr">
        <is>
          <t>GÄVLEBORGS LÄN</t>
        </is>
      </c>
      <c r="E3970" t="inlineStr">
        <is>
          <t>LJUSDAL</t>
        </is>
      </c>
      <c r="G3970" t="n">
        <v>4.2</v>
      </c>
      <c r="H3970" t="n">
        <v>0</v>
      </c>
      <c r="I3970" t="n">
        <v>0</v>
      </c>
      <c r="J3970" t="n">
        <v>0</v>
      </c>
      <c r="K3970" t="n">
        <v>0</v>
      </c>
      <c r="L3970" t="n">
        <v>0</v>
      </c>
      <c r="M3970" t="n">
        <v>0</v>
      </c>
      <c r="N3970" t="n">
        <v>0</v>
      </c>
      <c r="O3970" t="n">
        <v>0</v>
      </c>
      <c r="P3970" t="n">
        <v>0</v>
      </c>
      <c r="Q3970" t="n">
        <v>0</v>
      </c>
      <c r="R3970" s="2" t="inlineStr"/>
    </row>
    <row r="3971" ht="15" customHeight="1">
      <c r="A3971" t="inlineStr">
        <is>
          <t>A 29014-2025</t>
        </is>
      </c>
      <c r="B3971" s="1" t="n">
        <v>45821.40796296296</v>
      </c>
      <c r="C3971" s="1" t="n">
        <v>45911</v>
      </c>
      <c r="D3971" t="inlineStr">
        <is>
          <t>GÄVLEBORGS LÄN</t>
        </is>
      </c>
      <c r="E3971" t="inlineStr">
        <is>
          <t>LJUSDAL</t>
        </is>
      </c>
      <c r="F3971" t="inlineStr">
        <is>
          <t>Bergvik skog väst AB</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29415-2025</t>
        </is>
      </c>
      <c r="B3972" s="1" t="n">
        <v>45824.62717592593</v>
      </c>
      <c r="C3972" s="1" t="n">
        <v>45911</v>
      </c>
      <c r="D3972" t="inlineStr">
        <is>
          <t>GÄVLEBORGS LÄN</t>
        </is>
      </c>
      <c r="E3972" t="inlineStr">
        <is>
          <t>LJUSDAL</t>
        </is>
      </c>
      <c r="G3972" t="n">
        <v>15.1</v>
      </c>
      <c r="H3972" t="n">
        <v>0</v>
      </c>
      <c r="I3972" t="n">
        <v>0</v>
      </c>
      <c r="J3972" t="n">
        <v>0</v>
      </c>
      <c r="K3972" t="n">
        <v>0</v>
      </c>
      <c r="L3972" t="n">
        <v>0</v>
      </c>
      <c r="M3972" t="n">
        <v>0</v>
      </c>
      <c r="N3972" t="n">
        <v>0</v>
      </c>
      <c r="O3972" t="n">
        <v>0</v>
      </c>
      <c r="P3972" t="n">
        <v>0</v>
      </c>
      <c r="Q3972" t="n">
        <v>0</v>
      </c>
      <c r="R3972" s="2" t="inlineStr"/>
    </row>
    <row r="3973" ht="15" customHeight="1">
      <c r="A3973" t="inlineStr">
        <is>
          <t>A 28966-2025</t>
        </is>
      </c>
      <c r="B3973" s="1" t="n">
        <v>45821.34212962963</v>
      </c>
      <c r="C3973" s="1" t="n">
        <v>45911</v>
      </c>
      <c r="D3973" t="inlineStr">
        <is>
          <t>GÄVLEBORGS LÄN</t>
        </is>
      </c>
      <c r="E3973" t="inlineStr">
        <is>
          <t>OCKELBO</t>
        </is>
      </c>
      <c r="G3973" t="n">
        <v>2.6</v>
      </c>
      <c r="H3973" t="n">
        <v>0</v>
      </c>
      <c r="I3973" t="n">
        <v>0</v>
      </c>
      <c r="J3973" t="n">
        <v>0</v>
      </c>
      <c r="K3973" t="n">
        <v>0</v>
      </c>
      <c r="L3973" t="n">
        <v>0</v>
      </c>
      <c r="M3973" t="n">
        <v>0</v>
      </c>
      <c r="N3973" t="n">
        <v>0</v>
      </c>
      <c r="O3973" t="n">
        <v>0</v>
      </c>
      <c r="P3973" t="n">
        <v>0</v>
      </c>
      <c r="Q3973" t="n">
        <v>0</v>
      </c>
      <c r="R3973" s="2" t="inlineStr"/>
    </row>
    <row r="3974" ht="15" customHeight="1">
      <c r="A3974" t="inlineStr">
        <is>
          <t>A 4428-2025</t>
        </is>
      </c>
      <c r="B3974" s="1" t="n">
        <v>45686.48658564815</v>
      </c>
      <c r="C3974" s="1" t="n">
        <v>45911</v>
      </c>
      <c r="D3974" t="inlineStr">
        <is>
          <t>GÄVLEBORGS LÄN</t>
        </is>
      </c>
      <c r="E3974" t="inlineStr">
        <is>
          <t>HUDIKSVALL</t>
        </is>
      </c>
      <c r="F3974" t="inlineStr">
        <is>
          <t>Holmen skog AB</t>
        </is>
      </c>
      <c r="G3974" t="n">
        <v>3</v>
      </c>
      <c r="H3974" t="n">
        <v>0</v>
      </c>
      <c r="I3974" t="n">
        <v>0</v>
      </c>
      <c r="J3974" t="n">
        <v>0</v>
      </c>
      <c r="K3974" t="n">
        <v>0</v>
      </c>
      <c r="L3974" t="n">
        <v>0</v>
      </c>
      <c r="M3974" t="n">
        <v>0</v>
      </c>
      <c r="N3974" t="n">
        <v>0</v>
      </c>
      <c r="O3974" t="n">
        <v>0</v>
      </c>
      <c r="P3974" t="n">
        <v>0</v>
      </c>
      <c r="Q3974" t="n">
        <v>0</v>
      </c>
      <c r="R3974" s="2" t="inlineStr"/>
    </row>
    <row r="3975" ht="15" customHeight="1">
      <c r="A3975" t="inlineStr">
        <is>
          <t>A 24770-2022</t>
        </is>
      </c>
      <c r="B3975" s="1" t="n">
        <v>44728.36199074074</v>
      </c>
      <c r="C3975" s="1" t="n">
        <v>45911</v>
      </c>
      <c r="D3975" t="inlineStr">
        <is>
          <t>GÄVLEBORGS LÄN</t>
        </is>
      </c>
      <c r="E3975" t="inlineStr">
        <is>
          <t>BOLLNÄS</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61141-2022</t>
        </is>
      </c>
      <c r="B3976" s="1" t="n">
        <v>44915.45592592593</v>
      </c>
      <c r="C3976" s="1" t="n">
        <v>45911</v>
      </c>
      <c r="D3976" t="inlineStr">
        <is>
          <t>GÄVLEBORGS LÄN</t>
        </is>
      </c>
      <c r="E3976" t="inlineStr">
        <is>
          <t>NORDANSTIG</t>
        </is>
      </c>
      <c r="G3976" t="n">
        <v>0.4</v>
      </c>
      <c r="H3976" t="n">
        <v>0</v>
      </c>
      <c r="I3976" t="n">
        <v>0</v>
      </c>
      <c r="J3976" t="n">
        <v>0</v>
      </c>
      <c r="K3976" t="n">
        <v>0</v>
      </c>
      <c r="L3976" t="n">
        <v>0</v>
      </c>
      <c r="M3976" t="n">
        <v>0</v>
      </c>
      <c r="N3976" t="n">
        <v>0</v>
      </c>
      <c r="O3976" t="n">
        <v>0</v>
      </c>
      <c r="P3976" t="n">
        <v>0</v>
      </c>
      <c r="Q3976" t="n">
        <v>0</v>
      </c>
      <c r="R3976" s="2" t="inlineStr"/>
    </row>
    <row r="3977" ht="15" customHeight="1">
      <c r="A3977" t="inlineStr">
        <is>
          <t>A 29253-2025</t>
        </is>
      </c>
      <c r="B3977" s="1" t="n">
        <v>45824.37842592593</v>
      </c>
      <c r="C3977" s="1" t="n">
        <v>45911</v>
      </c>
      <c r="D3977" t="inlineStr">
        <is>
          <t>GÄVLEBORGS LÄN</t>
        </is>
      </c>
      <c r="E3977" t="inlineStr">
        <is>
          <t>HUDIKSVALL</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29046-2025</t>
        </is>
      </c>
      <c r="B3978" s="1" t="n">
        <v>45821.45869212963</v>
      </c>
      <c r="C3978" s="1" t="n">
        <v>45911</v>
      </c>
      <c r="D3978" t="inlineStr">
        <is>
          <t>GÄVLEBORGS LÄN</t>
        </is>
      </c>
      <c r="E3978" t="inlineStr">
        <is>
          <t>OVANÅKER</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29054-2025</t>
        </is>
      </c>
      <c r="B3979" s="1" t="n">
        <v>45821.47021990741</v>
      </c>
      <c r="C3979" s="1" t="n">
        <v>45911</v>
      </c>
      <c r="D3979" t="inlineStr">
        <is>
          <t>GÄVLEBORGS LÄN</t>
        </is>
      </c>
      <c r="E3979" t="inlineStr">
        <is>
          <t>OVANÅKER</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57168-2023</t>
        </is>
      </c>
      <c r="B3980" s="1" t="n">
        <v>45245.44936342593</v>
      </c>
      <c r="C3980" s="1" t="n">
        <v>45911</v>
      </c>
      <c r="D3980" t="inlineStr">
        <is>
          <t>GÄVLEBORGS LÄN</t>
        </is>
      </c>
      <c r="E3980" t="inlineStr">
        <is>
          <t>GÄVLE</t>
        </is>
      </c>
      <c r="F3980" t="inlineStr">
        <is>
          <t>Kyrkan</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39669-2022</t>
        </is>
      </c>
      <c r="B3981" s="1" t="n">
        <v>44818</v>
      </c>
      <c r="C3981" s="1" t="n">
        <v>45911</v>
      </c>
      <c r="D3981" t="inlineStr">
        <is>
          <t>GÄVLEBORGS LÄN</t>
        </is>
      </c>
      <c r="E3981" t="inlineStr">
        <is>
          <t>HUDIKSVALL</t>
        </is>
      </c>
      <c r="F3981" t="inlineStr">
        <is>
          <t>Holmen skog AB</t>
        </is>
      </c>
      <c r="G3981" t="n">
        <v>5.9</v>
      </c>
      <c r="H3981" t="n">
        <v>0</v>
      </c>
      <c r="I3981" t="n">
        <v>0</v>
      </c>
      <c r="J3981" t="n">
        <v>0</v>
      </c>
      <c r="K3981" t="n">
        <v>0</v>
      </c>
      <c r="L3981" t="n">
        <v>0</v>
      </c>
      <c r="M3981" t="n">
        <v>0</v>
      </c>
      <c r="N3981" t="n">
        <v>0</v>
      </c>
      <c r="O3981" t="n">
        <v>0</v>
      </c>
      <c r="P3981" t="n">
        <v>0</v>
      </c>
      <c r="Q3981" t="n">
        <v>0</v>
      </c>
      <c r="R3981" s="2" t="inlineStr"/>
    </row>
    <row r="3982" ht="15" customHeight="1">
      <c r="A3982" t="inlineStr">
        <is>
          <t>A 29357-2025</t>
        </is>
      </c>
      <c r="B3982" s="1" t="n">
        <v>45824.55668981482</v>
      </c>
      <c r="C3982" s="1" t="n">
        <v>45911</v>
      </c>
      <c r="D3982" t="inlineStr">
        <is>
          <t>GÄVLEBORGS LÄN</t>
        </is>
      </c>
      <c r="E3982" t="inlineStr">
        <is>
          <t>HUDIKSVALL</t>
        </is>
      </c>
      <c r="F3982" t="inlineStr">
        <is>
          <t>Holmen skog AB</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28711-2022</t>
        </is>
      </c>
      <c r="B3983" s="1" t="n">
        <v>44748</v>
      </c>
      <c r="C3983" s="1" t="n">
        <v>45911</v>
      </c>
      <c r="D3983" t="inlineStr">
        <is>
          <t>GÄVLEBORGS LÄN</t>
        </is>
      </c>
      <c r="E3983" t="inlineStr">
        <is>
          <t>NORDANSTIG</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29334-2025</t>
        </is>
      </c>
      <c r="B3984" s="1" t="n">
        <v>45824.49040509259</v>
      </c>
      <c r="C3984" s="1" t="n">
        <v>45911</v>
      </c>
      <c r="D3984" t="inlineStr">
        <is>
          <t>GÄVLEBORGS LÄN</t>
        </is>
      </c>
      <c r="E3984" t="inlineStr">
        <is>
          <t>HUDIKSVALL</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7827-2025</t>
        </is>
      </c>
      <c r="B3985" s="1" t="n">
        <v>45706.64928240741</v>
      </c>
      <c r="C3985" s="1" t="n">
        <v>45911</v>
      </c>
      <c r="D3985" t="inlineStr">
        <is>
          <t>GÄVLEBORGS LÄN</t>
        </is>
      </c>
      <c r="E3985" t="inlineStr">
        <is>
          <t>OCKELBO</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58088-2022</t>
        </is>
      </c>
      <c r="B3986" s="1" t="n">
        <v>44900.62633101852</v>
      </c>
      <c r="C3986" s="1" t="n">
        <v>45911</v>
      </c>
      <c r="D3986" t="inlineStr">
        <is>
          <t>GÄVLEBORGS LÄN</t>
        </is>
      </c>
      <c r="E3986" t="inlineStr">
        <is>
          <t>HUDIKSVALL</t>
        </is>
      </c>
      <c r="G3986" t="n">
        <v>7.5</v>
      </c>
      <c r="H3986" t="n">
        <v>0</v>
      </c>
      <c r="I3986" t="n">
        <v>0</v>
      </c>
      <c r="J3986" t="n">
        <v>0</v>
      </c>
      <c r="K3986" t="n">
        <v>0</v>
      </c>
      <c r="L3986" t="n">
        <v>0</v>
      </c>
      <c r="M3986" t="n">
        <v>0</v>
      </c>
      <c r="N3986" t="n">
        <v>0</v>
      </c>
      <c r="O3986" t="n">
        <v>0</v>
      </c>
      <c r="P3986" t="n">
        <v>0</v>
      </c>
      <c r="Q3986" t="n">
        <v>0</v>
      </c>
      <c r="R3986" s="2" t="inlineStr"/>
    </row>
    <row r="3987" ht="15" customHeight="1">
      <c r="A3987" t="inlineStr">
        <is>
          <t>A 26323-2021</t>
        </is>
      </c>
      <c r="B3987" s="1" t="n">
        <v>44347</v>
      </c>
      <c r="C3987" s="1" t="n">
        <v>45911</v>
      </c>
      <c r="D3987" t="inlineStr">
        <is>
          <t>GÄVLEBORGS LÄN</t>
        </is>
      </c>
      <c r="E3987" t="inlineStr">
        <is>
          <t>GÄVLE</t>
        </is>
      </c>
      <c r="F3987" t="inlineStr">
        <is>
          <t>Bergvik skog väst AB</t>
        </is>
      </c>
      <c r="G3987" t="n">
        <v>7</v>
      </c>
      <c r="H3987" t="n">
        <v>0</v>
      </c>
      <c r="I3987" t="n">
        <v>0</v>
      </c>
      <c r="J3987" t="n">
        <v>0</v>
      </c>
      <c r="K3987" t="n">
        <v>0</v>
      </c>
      <c r="L3987" t="n">
        <v>0</v>
      </c>
      <c r="M3987" t="n">
        <v>0</v>
      </c>
      <c r="N3987" t="n">
        <v>0</v>
      </c>
      <c r="O3987" t="n">
        <v>0</v>
      </c>
      <c r="P3987" t="n">
        <v>0</v>
      </c>
      <c r="Q3987" t="n">
        <v>0</v>
      </c>
      <c r="R3987" s="2" t="inlineStr"/>
    </row>
    <row r="3988" ht="15" customHeight="1">
      <c r="A3988" t="inlineStr">
        <is>
          <t>A 14115-2025</t>
        </is>
      </c>
      <c r="B3988" s="1" t="n">
        <v>45740.46099537037</v>
      </c>
      <c r="C3988" s="1" t="n">
        <v>45911</v>
      </c>
      <c r="D3988" t="inlineStr">
        <is>
          <t>GÄVLEBORGS LÄN</t>
        </is>
      </c>
      <c r="E3988" t="inlineStr">
        <is>
          <t>GÄVLE</t>
        </is>
      </c>
      <c r="F3988" t="inlineStr">
        <is>
          <t>Bergvik skog öst AB</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53845-2023</t>
        </is>
      </c>
      <c r="B3989" s="1" t="n">
        <v>45231.44913194444</v>
      </c>
      <c r="C3989" s="1" t="n">
        <v>45911</v>
      </c>
      <c r="D3989" t="inlineStr">
        <is>
          <t>GÄVLEBORGS LÄN</t>
        </is>
      </c>
      <c r="E3989" t="inlineStr">
        <is>
          <t>OVANÅKER</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29274-2025</t>
        </is>
      </c>
      <c r="B3990" s="1" t="n">
        <v>45824.41335648148</v>
      </c>
      <c r="C3990" s="1" t="n">
        <v>45911</v>
      </c>
      <c r="D3990" t="inlineStr">
        <is>
          <t>GÄVLEBORGS LÄN</t>
        </is>
      </c>
      <c r="E3990" t="inlineStr">
        <is>
          <t>OCKELBO</t>
        </is>
      </c>
      <c r="F3990" t="inlineStr">
        <is>
          <t>Bergvik skog väst AB</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29459-2025</t>
        </is>
      </c>
      <c r="B3991" s="1" t="n">
        <v>45824.69475694445</v>
      </c>
      <c r="C3991" s="1" t="n">
        <v>45911</v>
      </c>
      <c r="D3991" t="inlineStr">
        <is>
          <t>GÄVLEBORGS LÄN</t>
        </is>
      </c>
      <c r="E3991" t="inlineStr">
        <is>
          <t>SÖDERHAMN</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29473-2025</t>
        </is>
      </c>
      <c r="B3992" s="1" t="n">
        <v>45824.705</v>
      </c>
      <c r="C3992" s="1" t="n">
        <v>45911</v>
      </c>
      <c r="D3992" t="inlineStr">
        <is>
          <t>GÄVLEBORGS LÄN</t>
        </is>
      </c>
      <c r="E3992" t="inlineStr">
        <is>
          <t>SÖDERHAMN</t>
        </is>
      </c>
      <c r="G3992" t="n">
        <v>4.6</v>
      </c>
      <c r="H3992" t="n">
        <v>0</v>
      </c>
      <c r="I3992" t="n">
        <v>0</v>
      </c>
      <c r="J3992" t="n">
        <v>0</v>
      </c>
      <c r="K3992" t="n">
        <v>0</v>
      </c>
      <c r="L3992" t="n">
        <v>0</v>
      </c>
      <c r="M3992" t="n">
        <v>0</v>
      </c>
      <c r="N3992" t="n">
        <v>0</v>
      </c>
      <c r="O3992" t="n">
        <v>0</v>
      </c>
      <c r="P3992" t="n">
        <v>0</v>
      </c>
      <c r="Q3992" t="n">
        <v>0</v>
      </c>
      <c r="R3992" s="2" t="inlineStr"/>
    </row>
    <row r="3993" ht="15" customHeight="1">
      <c r="A3993" t="inlineStr">
        <is>
          <t>A 29329-2025</t>
        </is>
      </c>
      <c r="B3993" s="1" t="n">
        <v>45824.48667824074</v>
      </c>
      <c r="C3993" s="1" t="n">
        <v>45911</v>
      </c>
      <c r="D3993" t="inlineStr">
        <is>
          <t>GÄVLEBORGS LÄN</t>
        </is>
      </c>
      <c r="E3993" t="inlineStr">
        <is>
          <t>HUDIKSVALL</t>
        </is>
      </c>
      <c r="F3993" t="inlineStr">
        <is>
          <t>Holmen skog AB</t>
        </is>
      </c>
      <c r="G3993" t="n">
        <v>15.3</v>
      </c>
      <c r="H3993" t="n">
        <v>0</v>
      </c>
      <c r="I3993" t="n">
        <v>0</v>
      </c>
      <c r="J3993" t="n">
        <v>0</v>
      </c>
      <c r="K3993" t="n">
        <v>0</v>
      </c>
      <c r="L3993" t="n">
        <v>0</v>
      </c>
      <c r="M3993" t="n">
        <v>0</v>
      </c>
      <c r="N3993" t="n">
        <v>0</v>
      </c>
      <c r="O3993" t="n">
        <v>0</v>
      </c>
      <c r="P3993" t="n">
        <v>0</v>
      </c>
      <c r="Q3993" t="n">
        <v>0</v>
      </c>
      <c r="R3993" s="2" t="inlineStr"/>
    </row>
    <row r="3994" ht="15" customHeight="1">
      <c r="A3994" t="inlineStr">
        <is>
          <t>A 14402-2025</t>
        </is>
      </c>
      <c r="B3994" s="1" t="n">
        <v>45741.4575</v>
      </c>
      <c r="C3994" s="1" t="n">
        <v>45911</v>
      </c>
      <c r="D3994" t="inlineStr">
        <is>
          <t>GÄVLEBORGS LÄN</t>
        </is>
      </c>
      <c r="E3994" t="inlineStr">
        <is>
          <t>NORDANSTIG</t>
        </is>
      </c>
      <c r="G3994" t="n">
        <v>17.1</v>
      </c>
      <c r="H3994" t="n">
        <v>0</v>
      </c>
      <c r="I3994" t="n">
        <v>0</v>
      </c>
      <c r="J3994" t="n">
        <v>0</v>
      </c>
      <c r="K3994" t="n">
        <v>0</v>
      </c>
      <c r="L3994" t="n">
        <v>0</v>
      </c>
      <c r="M3994" t="n">
        <v>0</v>
      </c>
      <c r="N3994" t="n">
        <v>0</v>
      </c>
      <c r="O3994" t="n">
        <v>0</v>
      </c>
      <c r="P3994" t="n">
        <v>0</v>
      </c>
      <c r="Q3994" t="n">
        <v>0</v>
      </c>
      <c r="R3994" s="2" t="inlineStr"/>
    </row>
    <row r="3995" ht="15" customHeight="1">
      <c r="A3995" t="inlineStr">
        <is>
          <t>A 29358-2025</t>
        </is>
      </c>
      <c r="B3995" s="1" t="n">
        <v>45824.55981481481</v>
      </c>
      <c r="C3995" s="1" t="n">
        <v>45911</v>
      </c>
      <c r="D3995" t="inlineStr">
        <is>
          <t>GÄVLEBORGS LÄN</t>
        </is>
      </c>
      <c r="E3995" t="inlineStr">
        <is>
          <t>LJUSDAL</t>
        </is>
      </c>
      <c r="F3995" t="inlineStr">
        <is>
          <t>Bergvik skog väst AB</t>
        </is>
      </c>
      <c r="G3995" t="n">
        <v>0.4</v>
      </c>
      <c r="H3995" t="n">
        <v>0</v>
      </c>
      <c r="I3995" t="n">
        <v>0</v>
      </c>
      <c r="J3995" t="n">
        <v>0</v>
      </c>
      <c r="K3995" t="n">
        <v>0</v>
      </c>
      <c r="L3995" t="n">
        <v>0</v>
      </c>
      <c r="M3995" t="n">
        <v>0</v>
      </c>
      <c r="N3995" t="n">
        <v>0</v>
      </c>
      <c r="O3995" t="n">
        <v>0</v>
      </c>
      <c r="P3995" t="n">
        <v>0</v>
      </c>
      <c r="Q3995" t="n">
        <v>0</v>
      </c>
      <c r="R3995" s="2" t="inlineStr"/>
    </row>
    <row r="3996" ht="15" customHeight="1">
      <c r="A3996" t="inlineStr">
        <is>
          <t>A 37693-2024</t>
        </is>
      </c>
      <c r="B3996" s="1" t="n">
        <v>45541</v>
      </c>
      <c r="C3996" s="1" t="n">
        <v>45911</v>
      </c>
      <c r="D3996" t="inlineStr">
        <is>
          <t>GÄVLEBORGS LÄN</t>
        </is>
      </c>
      <c r="E3996" t="inlineStr">
        <is>
          <t>HUDIKSVALL</t>
        </is>
      </c>
      <c r="F3996" t="inlineStr">
        <is>
          <t>Kommuner</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37697-2024</t>
        </is>
      </c>
      <c r="B3997" s="1" t="n">
        <v>45541</v>
      </c>
      <c r="C3997" s="1" t="n">
        <v>45911</v>
      </c>
      <c r="D3997" t="inlineStr">
        <is>
          <t>GÄVLEBORGS LÄN</t>
        </is>
      </c>
      <c r="E3997" t="inlineStr">
        <is>
          <t>HUDIKSVALL</t>
        </is>
      </c>
      <c r="F3997" t="inlineStr">
        <is>
          <t>Kommuner</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29388-2025</t>
        </is>
      </c>
      <c r="B3998" s="1" t="n">
        <v>45824.60252314815</v>
      </c>
      <c r="C3998" s="1" t="n">
        <v>45911</v>
      </c>
      <c r="D3998" t="inlineStr">
        <is>
          <t>GÄVLEBORGS LÄN</t>
        </is>
      </c>
      <c r="E3998" t="inlineStr">
        <is>
          <t>SANDVIKEN</t>
        </is>
      </c>
      <c r="G3998" t="n">
        <v>13.9</v>
      </c>
      <c r="H3998" t="n">
        <v>0</v>
      </c>
      <c r="I3998" t="n">
        <v>0</v>
      </c>
      <c r="J3998" t="n">
        <v>0</v>
      </c>
      <c r="K3998" t="n">
        <v>0</v>
      </c>
      <c r="L3998" t="n">
        <v>0</v>
      </c>
      <c r="M3998" t="n">
        <v>0</v>
      </c>
      <c r="N3998" t="n">
        <v>0</v>
      </c>
      <c r="O3998" t="n">
        <v>0</v>
      </c>
      <c r="P3998" t="n">
        <v>0</v>
      </c>
      <c r="Q3998" t="n">
        <v>0</v>
      </c>
      <c r="R3998" s="2" t="inlineStr"/>
    </row>
    <row r="3999" ht="15" customHeight="1">
      <c r="A3999" t="inlineStr">
        <is>
          <t>A 29472-2025</t>
        </is>
      </c>
      <c r="B3999" s="1" t="n">
        <v>45824.70373842592</v>
      </c>
      <c r="C3999" s="1" t="n">
        <v>45911</v>
      </c>
      <c r="D3999" t="inlineStr">
        <is>
          <t>GÄVLEBORGS LÄN</t>
        </is>
      </c>
      <c r="E3999" t="inlineStr">
        <is>
          <t>SÖDERHAMN</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4294-2024</t>
        </is>
      </c>
      <c r="B4000" s="1" t="n">
        <v>45324</v>
      </c>
      <c r="C4000" s="1" t="n">
        <v>45911</v>
      </c>
      <c r="D4000" t="inlineStr">
        <is>
          <t>GÄVLEBORGS LÄN</t>
        </is>
      </c>
      <c r="E4000" t="inlineStr">
        <is>
          <t>GÄVLE</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4298-2024</t>
        </is>
      </c>
      <c r="B4001" s="1" t="n">
        <v>45324.62356481481</v>
      </c>
      <c r="C4001" s="1" t="n">
        <v>45911</v>
      </c>
      <c r="D4001" t="inlineStr">
        <is>
          <t>GÄVLEBORGS LÄN</t>
        </is>
      </c>
      <c r="E4001" t="inlineStr">
        <is>
          <t>SÖDERHAMN</t>
        </is>
      </c>
      <c r="G4001" t="n">
        <v>5.1</v>
      </c>
      <c r="H4001" t="n">
        <v>0</v>
      </c>
      <c r="I4001" t="n">
        <v>0</v>
      </c>
      <c r="J4001" t="n">
        <v>0</v>
      </c>
      <c r="K4001" t="n">
        <v>0</v>
      </c>
      <c r="L4001" t="n">
        <v>0</v>
      </c>
      <c r="M4001" t="n">
        <v>0</v>
      </c>
      <c r="N4001" t="n">
        <v>0</v>
      </c>
      <c r="O4001" t="n">
        <v>0</v>
      </c>
      <c r="P4001" t="n">
        <v>0</v>
      </c>
      <c r="Q4001" t="n">
        <v>0</v>
      </c>
      <c r="R4001" s="2" t="inlineStr"/>
    </row>
    <row r="4002" ht="15" customHeight="1">
      <c r="A4002" t="inlineStr">
        <is>
          <t>A 1445-2023</t>
        </is>
      </c>
      <c r="B4002" s="1" t="n">
        <v>44937.38020833334</v>
      </c>
      <c r="C4002" s="1" t="n">
        <v>45911</v>
      </c>
      <c r="D4002" t="inlineStr">
        <is>
          <t>GÄVLEBORGS LÄN</t>
        </is>
      </c>
      <c r="E4002" t="inlineStr">
        <is>
          <t>LJUSDAL</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64871-2023</t>
        </is>
      </c>
      <c r="B4003" s="1" t="n">
        <v>45282</v>
      </c>
      <c r="C4003" s="1" t="n">
        <v>45911</v>
      </c>
      <c r="D4003" t="inlineStr">
        <is>
          <t>GÄVLEBORGS LÄN</t>
        </is>
      </c>
      <c r="E4003" t="inlineStr">
        <is>
          <t>GÄVLE</t>
        </is>
      </c>
      <c r="G4003" t="n">
        <v>0.3</v>
      </c>
      <c r="H4003" t="n">
        <v>0</v>
      </c>
      <c r="I4003" t="n">
        <v>0</v>
      </c>
      <c r="J4003" t="n">
        <v>0</v>
      </c>
      <c r="K4003" t="n">
        <v>0</v>
      </c>
      <c r="L4003" t="n">
        <v>0</v>
      </c>
      <c r="M4003" t="n">
        <v>0</v>
      </c>
      <c r="N4003" t="n">
        <v>0</v>
      </c>
      <c r="O4003" t="n">
        <v>0</v>
      </c>
      <c r="P4003" t="n">
        <v>0</v>
      </c>
      <c r="Q4003" t="n">
        <v>0</v>
      </c>
      <c r="R4003" s="2" t="inlineStr"/>
    </row>
    <row r="4004" ht="15" customHeight="1">
      <c r="A4004" t="inlineStr">
        <is>
          <t>A 64875-2023</t>
        </is>
      </c>
      <c r="B4004" s="1" t="n">
        <v>45282</v>
      </c>
      <c r="C4004" s="1" t="n">
        <v>45911</v>
      </c>
      <c r="D4004" t="inlineStr">
        <is>
          <t>GÄVLEBORGS LÄN</t>
        </is>
      </c>
      <c r="E4004" t="inlineStr">
        <is>
          <t>GÄVLE</t>
        </is>
      </c>
      <c r="G4004" t="n">
        <v>0.1</v>
      </c>
      <c r="H4004" t="n">
        <v>0</v>
      </c>
      <c r="I4004" t="n">
        <v>0</v>
      </c>
      <c r="J4004" t="n">
        <v>0</v>
      </c>
      <c r="K4004" t="n">
        <v>0</v>
      </c>
      <c r="L4004" t="n">
        <v>0</v>
      </c>
      <c r="M4004" t="n">
        <v>0</v>
      </c>
      <c r="N4004" t="n">
        <v>0</v>
      </c>
      <c r="O4004" t="n">
        <v>0</v>
      </c>
      <c r="P4004" t="n">
        <v>0</v>
      </c>
      <c r="Q4004" t="n">
        <v>0</v>
      </c>
      <c r="R4004" s="2" t="inlineStr"/>
    </row>
    <row r="4005" ht="15" customHeight="1">
      <c r="A4005" t="inlineStr">
        <is>
          <t>A 29076-2025</t>
        </is>
      </c>
      <c r="B4005" s="1" t="n">
        <v>45821.52070601852</v>
      </c>
      <c r="C4005" s="1" t="n">
        <v>45911</v>
      </c>
      <c r="D4005" t="inlineStr">
        <is>
          <t>GÄVLEBORGS LÄN</t>
        </is>
      </c>
      <c r="E4005" t="inlineStr">
        <is>
          <t>GÄVLE</t>
        </is>
      </c>
      <c r="G4005" t="n">
        <v>3.8</v>
      </c>
      <c r="H4005" t="n">
        <v>0</v>
      </c>
      <c r="I4005" t="n">
        <v>0</v>
      </c>
      <c r="J4005" t="n">
        <v>0</v>
      </c>
      <c r="K4005" t="n">
        <v>0</v>
      </c>
      <c r="L4005" t="n">
        <v>0</v>
      </c>
      <c r="M4005" t="n">
        <v>0</v>
      </c>
      <c r="N4005" t="n">
        <v>0</v>
      </c>
      <c r="O4005" t="n">
        <v>0</v>
      </c>
      <c r="P4005" t="n">
        <v>0</v>
      </c>
      <c r="Q4005" t="n">
        <v>0</v>
      </c>
      <c r="R4005" s="2" t="inlineStr"/>
    </row>
    <row r="4006" ht="15" customHeight="1">
      <c r="A4006" t="inlineStr">
        <is>
          <t>A 29083-2025</t>
        </is>
      </c>
      <c r="B4006" s="1" t="n">
        <v>45821.53861111111</v>
      </c>
      <c r="C4006" s="1" t="n">
        <v>45911</v>
      </c>
      <c r="D4006" t="inlineStr">
        <is>
          <t>GÄVLEBORGS LÄN</t>
        </is>
      </c>
      <c r="E4006" t="inlineStr">
        <is>
          <t>SÖDERHAMN</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29084-2025</t>
        </is>
      </c>
      <c r="B4007" s="1" t="n">
        <v>45821.54072916666</v>
      </c>
      <c r="C4007" s="1" t="n">
        <v>45911</v>
      </c>
      <c r="D4007" t="inlineStr">
        <is>
          <t>GÄVLEBORGS LÄN</t>
        </is>
      </c>
      <c r="E4007" t="inlineStr">
        <is>
          <t>SÖDERHAMN</t>
        </is>
      </c>
      <c r="G4007" t="n">
        <v>7</v>
      </c>
      <c r="H4007" t="n">
        <v>0</v>
      </c>
      <c r="I4007" t="n">
        <v>0</v>
      </c>
      <c r="J4007" t="n">
        <v>0</v>
      </c>
      <c r="K4007" t="n">
        <v>0</v>
      </c>
      <c r="L4007" t="n">
        <v>0</v>
      </c>
      <c r="M4007" t="n">
        <v>0</v>
      </c>
      <c r="N4007" t="n">
        <v>0</v>
      </c>
      <c r="O4007" t="n">
        <v>0</v>
      </c>
      <c r="P4007" t="n">
        <v>0</v>
      </c>
      <c r="Q4007" t="n">
        <v>0</v>
      </c>
      <c r="R4007" s="2" t="inlineStr"/>
    </row>
    <row r="4008" ht="15" customHeight="1">
      <c r="A4008" t="inlineStr">
        <is>
          <t>A 28963-2025</t>
        </is>
      </c>
      <c r="B4008" s="1" t="n">
        <v>45821.32741898148</v>
      </c>
      <c r="C4008" s="1" t="n">
        <v>45911</v>
      </c>
      <c r="D4008" t="inlineStr">
        <is>
          <t>GÄVLEBORGS LÄN</t>
        </is>
      </c>
      <c r="E4008" t="inlineStr">
        <is>
          <t>OCKELBO</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36607-2023</t>
        </is>
      </c>
      <c r="B4009" s="1" t="n">
        <v>45153.48958333334</v>
      </c>
      <c r="C4009" s="1" t="n">
        <v>45911</v>
      </c>
      <c r="D4009" t="inlineStr">
        <is>
          <t>GÄVLEBORGS LÄN</t>
        </is>
      </c>
      <c r="E4009" t="inlineStr">
        <is>
          <t>BOLLNÄS</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29105-2025</t>
        </is>
      </c>
      <c r="B4010" s="1" t="n">
        <v>45821.57449074074</v>
      </c>
      <c r="C4010" s="1" t="n">
        <v>45911</v>
      </c>
      <c r="D4010" t="inlineStr">
        <is>
          <t>GÄVLEBORGS LÄN</t>
        </is>
      </c>
      <c r="E4010" t="inlineStr">
        <is>
          <t>BOLLNÄS</t>
        </is>
      </c>
      <c r="G4010" t="n">
        <v>5.6</v>
      </c>
      <c r="H4010" t="n">
        <v>0</v>
      </c>
      <c r="I4010" t="n">
        <v>0</v>
      </c>
      <c r="J4010" t="n">
        <v>0</v>
      </c>
      <c r="K4010" t="n">
        <v>0</v>
      </c>
      <c r="L4010" t="n">
        <v>0</v>
      </c>
      <c r="M4010" t="n">
        <v>0</v>
      </c>
      <c r="N4010" t="n">
        <v>0</v>
      </c>
      <c r="O4010" t="n">
        <v>0</v>
      </c>
      <c r="P4010" t="n">
        <v>0</v>
      </c>
      <c r="Q4010" t="n">
        <v>0</v>
      </c>
      <c r="R4010" s="2" t="inlineStr"/>
    </row>
    <row r="4011" ht="15" customHeight="1">
      <c r="A4011" t="inlineStr">
        <is>
          <t>A 29474-2025</t>
        </is>
      </c>
      <c r="B4011" s="1" t="n">
        <v>45824.70642361111</v>
      </c>
      <c r="C4011" s="1" t="n">
        <v>45911</v>
      </c>
      <c r="D4011" t="inlineStr">
        <is>
          <t>GÄVLEBORGS LÄN</t>
        </is>
      </c>
      <c r="E4011" t="inlineStr">
        <is>
          <t>SÖDERHAMN</t>
        </is>
      </c>
      <c r="G4011" t="n">
        <v>10.4</v>
      </c>
      <c r="H4011" t="n">
        <v>0</v>
      </c>
      <c r="I4011" t="n">
        <v>0</v>
      </c>
      <c r="J4011" t="n">
        <v>0</v>
      </c>
      <c r="K4011" t="n">
        <v>0</v>
      </c>
      <c r="L4011" t="n">
        <v>0</v>
      </c>
      <c r="M4011" t="n">
        <v>0</v>
      </c>
      <c r="N4011" t="n">
        <v>0</v>
      </c>
      <c r="O4011" t="n">
        <v>0</v>
      </c>
      <c r="P4011" t="n">
        <v>0</v>
      </c>
      <c r="Q4011" t="n">
        <v>0</v>
      </c>
      <c r="R4011" s="2" t="inlineStr"/>
    </row>
    <row r="4012" ht="15" customHeight="1">
      <c r="A4012" t="inlineStr">
        <is>
          <t>A 29110-2025</t>
        </is>
      </c>
      <c r="B4012" s="1" t="n">
        <v>45821.58282407407</v>
      </c>
      <c r="C4012" s="1" t="n">
        <v>45911</v>
      </c>
      <c r="D4012" t="inlineStr">
        <is>
          <t>GÄVLEBORGS LÄN</t>
        </is>
      </c>
      <c r="E4012" t="inlineStr">
        <is>
          <t>GÄVLE</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29158-2025</t>
        </is>
      </c>
      <c r="B4013" s="1" t="n">
        <v>45821.65914351852</v>
      </c>
      <c r="C4013" s="1" t="n">
        <v>45911</v>
      </c>
      <c r="D4013" t="inlineStr">
        <is>
          <t>GÄVLEBORGS LÄN</t>
        </is>
      </c>
      <c r="E4013" t="inlineStr">
        <is>
          <t>OCKELBO</t>
        </is>
      </c>
      <c r="F4013" t="inlineStr">
        <is>
          <t>Bergvik skog väst AB</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14623-2023</t>
        </is>
      </c>
      <c r="B4014" s="1" t="n">
        <v>45013.65927083333</v>
      </c>
      <c r="C4014" s="1" t="n">
        <v>45911</v>
      </c>
      <c r="D4014" t="inlineStr">
        <is>
          <t>GÄVLEBORGS LÄN</t>
        </is>
      </c>
      <c r="E4014" t="inlineStr">
        <is>
          <t>BOLLNÄS</t>
        </is>
      </c>
      <c r="G4014" t="n">
        <v>5.3</v>
      </c>
      <c r="H4014" t="n">
        <v>0</v>
      </c>
      <c r="I4014" t="n">
        <v>0</v>
      </c>
      <c r="J4014" t="n">
        <v>0</v>
      </c>
      <c r="K4014" t="n">
        <v>0</v>
      </c>
      <c r="L4014" t="n">
        <v>0</v>
      </c>
      <c r="M4014" t="n">
        <v>0</v>
      </c>
      <c r="N4014" t="n">
        <v>0</v>
      </c>
      <c r="O4014" t="n">
        <v>0</v>
      </c>
      <c r="P4014" t="n">
        <v>0</v>
      </c>
      <c r="Q4014" t="n">
        <v>0</v>
      </c>
      <c r="R4014" s="2" t="inlineStr"/>
    </row>
    <row r="4015" ht="15" customHeight="1">
      <c r="A4015" t="inlineStr">
        <is>
          <t>A 3587-2025</t>
        </is>
      </c>
      <c r="B4015" s="1" t="n">
        <v>45680.87159722222</v>
      </c>
      <c r="C4015" s="1" t="n">
        <v>45911</v>
      </c>
      <c r="D4015" t="inlineStr">
        <is>
          <t>GÄVLEBORGS LÄN</t>
        </is>
      </c>
      <c r="E4015" t="inlineStr">
        <is>
          <t>OVANÅKER</t>
        </is>
      </c>
      <c r="G4015" t="n">
        <v>11.4</v>
      </c>
      <c r="H4015" t="n">
        <v>0</v>
      </c>
      <c r="I4015" t="n">
        <v>0</v>
      </c>
      <c r="J4015" t="n">
        <v>0</v>
      </c>
      <c r="K4015" t="n">
        <v>0</v>
      </c>
      <c r="L4015" t="n">
        <v>0</v>
      </c>
      <c r="M4015" t="n">
        <v>0</v>
      </c>
      <c r="N4015" t="n">
        <v>0</v>
      </c>
      <c r="O4015" t="n">
        <v>0</v>
      </c>
      <c r="P4015" t="n">
        <v>0</v>
      </c>
      <c r="Q4015" t="n">
        <v>0</v>
      </c>
      <c r="R4015" s="2" t="inlineStr"/>
    </row>
    <row r="4016" ht="15" customHeight="1">
      <c r="A4016" t="inlineStr">
        <is>
          <t>A 41990-2023</t>
        </is>
      </c>
      <c r="B4016" s="1" t="n">
        <v>45177</v>
      </c>
      <c r="C4016" s="1" t="n">
        <v>45911</v>
      </c>
      <c r="D4016" t="inlineStr">
        <is>
          <t>GÄVLEBORGS LÄN</t>
        </is>
      </c>
      <c r="E4016" t="inlineStr">
        <is>
          <t>OVANÅKER</t>
        </is>
      </c>
      <c r="F4016" t="inlineStr">
        <is>
          <t>Bergvik skog väst AB</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19269-2025</t>
        </is>
      </c>
      <c r="B4017" s="1" t="n">
        <v>45769.51464120371</v>
      </c>
      <c r="C4017" s="1" t="n">
        <v>45911</v>
      </c>
      <c r="D4017" t="inlineStr">
        <is>
          <t>GÄVLEBORGS LÄN</t>
        </is>
      </c>
      <c r="E4017" t="inlineStr">
        <is>
          <t>SANDVIKEN</t>
        </is>
      </c>
      <c r="G4017" t="n">
        <v>8</v>
      </c>
      <c r="H4017" t="n">
        <v>0</v>
      </c>
      <c r="I4017" t="n">
        <v>0</v>
      </c>
      <c r="J4017" t="n">
        <v>0</v>
      </c>
      <c r="K4017" t="n">
        <v>0</v>
      </c>
      <c r="L4017" t="n">
        <v>0</v>
      </c>
      <c r="M4017" t="n">
        <v>0</v>
      </c>
      <c r="N4017" t="n">
        <v>0</v>
      </c>
      <c r="O4017" t="n">
        <v>0</v>
      </c>
      <c r="P4017" t="n">
        <v>0</v>
      </c>
      <c r="Q4017" t="n">
        <v>0</v>
      </c>
      <c r="R4017" s="2" t="inlineStr"/>
    </row>
    <row r="4018" ht="15" customHeight="1">
      <c r="A4018" t="inlineStr">
        <is>
          <t>A 48063-2024</t>
        </is>
      </c>
      <c r="B4018" s="1" t="n">
        <v>45589.55237268518</v>
      </c>
      <c r="C4018" s="1" t="n">
        <v>45911</v>
      </c>
      <c r="D4018" t="inlineStr">
        <is>
          <t>GÄVLEBORGS LÄN</t>
        </is>
      </c>
      <c r="E4018" t="inlineStr">
        <is>
          <t>HOFORS</t>
        </is>
      </c>
      <c r="G4018" t="n">
        <v>3.9</v>
      </c>
      <c r="H4018" t="n">
        <v>0</v>
      </c>
      <c r="I4018" t="n">
        <v>0</v>
      </c>
      <c r="J4018" t="n">
        <v>0</v>
      </c>
      <c r="K4018" t="n">
        <v>0</v>
      </c>
      <c r="L4018" t="n">
        <v>0</v>
      </c>
      <c r="M4018" t="n">
        <v>0</v>
      </c>
      <c r="N4018" t="n">
        <v>0</v>
      </c>
      <c r="O4018" t="n">
        <v>0</v>
      </c>
      <c r="P4018" t="n">
        <v>0</v>
      </c>
      <c r="Q4018" t="n">
        <v>0</v>
      </c>
      <c r="R4018" s="2" t="inlineStr"/>
    </row>
    <row r="4019" ht="15" customHeight="1">
      <c r="A4019" t="inlineStr">
        <is>
          <t>A 19303-2025</t>
        </is>
      </c>
      <c r="B4019" s="1" t="n">
        <v>45769.56547453703</v>
      </c>
      <c r="C4019" s="1" t="n">
        <v>45911</v>
      </c>
      <c r="D4019" t="inlineStr">
        <is>
          <t>GÄVLEBORGS LÄN</t>
        </is>
      </c>
      <c r="E4019" t="inlineStr">
        <is>
          <t>OVANÅKER</t>
        </is>
      </c>
      <c r="G4019" t="n">
        <v>3</v>
      </c>
      <c r="H4019" t="n">
        <v>0</v>
      </c>
      <c r="I4019" t="n">
        <v>0</v>
      </c>
      <c r="J4019" t="n">
        <v>0</v>
      </c>
      <c r="K4019" t="n">
        <v>0</v>
      </c>
      <c r="L4019" t="n">
        <v>0</v>
      </c>
      <c r="M4019" t="n">
        <v>0</v>
      </c>
      <c r="N4019" t="n">
        <v>0</v>
      </c>
      <c r="O4019" t="n">
        <v>0</v>
      </c>
      <c r="P4019" t="n">
        <v>0</v>
      </c>
      <c r="Q4019" t="n">
        <v>0</v>
      </c>
      <c r="R4019" s="2" t="inlineStr"/>
    </row>
    <row r="4020" ht="15" customHeight="1">
      <c r="A4020" t="inlineStr">
        <is>
          <t>A 22165-2022</t>
        </is>
      </c>
      <c r="B4020" s="1" t="n">
        <v>44712</v>
      </c>
      <c r="C4020" s="1" t="n">
        <v>45911</v>
      </c>
      <c r="D4020" t="inlineStr">
        <is>
          <t>GÄVLEBORGS LÄN</t>
        </is>
      </c>
      <c r="E4020" t="inlineStr">
        <is>
          <t>HUDIKSVALL</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33979-2024</t>
        </is>
      </c>
      <c r="B4021" s="1" t="n">
        <v>45523.51896990741</v>
      </c>
      <c r="C4021" s="1" t="n">
        <v>45911</v>
      </c>
      <c r="D4021" t="inlineStr">
        <is>
          <t>GÄVLEBORGS LÄN</t>
        </is>
      </c>
      <c r="E4021" t="inlineStr">
        <is>
          <t>HOFORS</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29456-2025</t>
        </is>
      </c>
      <c r="B4022" s="1" t="n">
        <v>45824.6874537037</v>
      </c>
      <c r="C4022" s="1" t="n">
        <v>45911</v>
      </c>
      <c r="D4022" t="inlineStr">
        <is>
          <t>GÄVLEBORGS LÄN</t>
        </is>
      </c>
      <c r="E4022" t="inlineStr">
        <is>
          <t>SÖDERHAMN</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52219-2023</t>
        </is>
      </c>
      <c r="B4023" s="1" t="n">
        <v>45224</v>
      </c>
      <c r="C4023" s="1" t="n">
        <v>45911</v>
      </c>
      <c r="D4023" t="inlineStr">
        <is>
          <t>GÄVLEBORGS LÄN</t>
        </is>
      </c>
      <c r="E4023" t="inlineStr">
        <is>
          <t>HUDIKSVALL</t>
        </is>
      </c>
      <c r="F4023" t="inlineStr">
        <is>
          <t>Holmen skog AB</t>
        </is>
      </c>
      <c r="G4023" t="n">
        <v>3.3</v>
      </c>
      <c r="H4023" t="n">
        <v>0</v>
      </c>
      <c r="I4023" t="n">
        <v>0</v>
      </c>
      <c r="J4023" t="n">
        <v>0</v>
      </c>
      <c r="K4023" t="n">
        <v>0</v>
      </c>
      <c r="L4023" t="n">
        <v>0</v>
      </c>
      <c r="M4023" t="n">
        <v>0</v>
      </c>
      <c r="N4023" t="n">
        <v>0</v>
      </c>
      <c r="O4023" t="n">
        <v>0</v>
      </c>
      <c r="P4023" t="n">
        <v>0</v>
      </c>
      <c r="Q4023" t="n">
        <v>0</v>
      </c>
      <c r="R4023" s="2" t="inlineStr"/>
    </row>
    <row r="4024" ht="15" customHeight="1">
      <c r="A4024" t="inlineStr">
        <is>
          <t>A 56634-2023</t>
        </is>
      </c>
      <c r="B4024" s="1" t="n">
        <v>45243.71267361111</v>
      </c>
      <c r="C4024" s="1" t="n">
        <v>45911</v>
      </c>
      <c r="D4024" t="inlineStr">
        <is>
          <t>GÄVLEBORGS LÄN</t>
        </is>
      </c>
      <c r="E4024" t="inlineStr">
        <is>
          <t>OCKELBO</t>
        </is>
      </c>
      <c r="G4024" t="n">
        <v>4.7</v>
      </c>
      <c r="H4024" t="n">
        <v>0</v>
      </c>
      <c r="I4024" t="n">
        <v>0</v>
      </c>
      <c r="J4024" t="n">
        <v>0</v>
      </c>
      <c r="K4024" t="n">
        <v>0</v>
      </c>
      <c r="L4024" t="n">
        <v>0</v>
      </c>
      <c r="M4024" t="n">
        <v>0</v>
      </c>
      <c r="N4024" t="n">
        <v>0</v>
      </c>
      <c r="O4024" t="n">
        <v>0</v>
      </c>
      <c r="P4024" t="n">
        <v>0</v>
      </c>
      <c r="Q4024" t="n">
        <v>0</v>
      </c>
      <c r="R4024" s="2" t="inlineStr"/>
    </row>
    <row r="4025" ht="15" customHeight="1">
      <c r="A4025" t="inlineStr">
        <is>
          <t>A 52158-2023</t>
        </is>
      </c>
      <c r="B4025" s="1" t="n">
        <v>45224.31581018519</v>
      </c>
      <c r="C4025" s="1" t="n">
        <v>45911</v>
      </c>
      <c r="D4025" t="inlineStr">
        <is>
          <t>GÄVLEBORGS LÄN</t>
        </is>
      </c>
      <c r="E4025" t="inlineStr">
        <is>
          <t>OVANÅKER</t>
        </is>
      </c>
      <c r="G4025" t="n">
        <v>0.4</v>
      </c>
      <c r="H4025" t="n">
        <v>0</v>
      </c>
      <c r="I4025" t="n">
        <v>0</v>
      </c>
      <c r="J4025" t="n">
        <v>0</v>
      </c>
      <c r="K4025" t="n">
        <v>0</v>
      </c>
      <c r="L4025" t="n">
        <v>0</v>
      </c>
      <c r="M4025" t="n">
        <v>0</v>
      </c>
      <c r="N4025" t="n">
        <v>0</v>
      </c>
      <c r="O4025" t="n">
        <v>0</v>
      </c>
      <c r="P4025" t="n">
        <v>0</v>
      </c>
      <c r="Q4025" t="n">
        <v>0</v>
      </c>
      <c r="R4025" s="2" t="inlineStr"/>
    </row>
    <row r="4026" ht="15" customHeight="1">
      <c r="A4026" t="inlineStr">
        <is>
          <t>A 29116-2025</t>
        </is>
      </c>
      <c r="B4026" s="1" t="n">
        <v>45821.59091435185</v>
      </c>
      <c r="C4026" s="1" t="n">
        <v>45911</v>
      </c>
      <c r="D4026" t="inlineStr">
        <is>
          <t>GÄVLEBORGS LÄN</t>
        </is>
      </c>
      <c r="E4026" t="inlineStr">
        <is>
          <t>OCKELBO</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33880-2022</t>
        </is>
      </c>
      <c r="B4027" s="1" t="n">
        <v>44790.59284722222</v>
      </c>
      <c r="C4027" s="1" t="n">
        <v>45911</v>
      </c>
      <c r="D4027" t="inlineStr">
        <is>
          <t>GÄVLEBORGS LÄN</t>
        </is>
      </c>
      <c r="E4027" t="inlineStr">
        <is>
          <t>GÄVLE</t>
        </is>
      </c>
      <c r="G4027" t="n">
        <v>9.4</v>
      </c>
      <c r="H4027" t="n">
        <v>0</v>
      </c>
      <c r="I4027" t="n">
        <v>0</v>
      </c>
      <c r="J4027" t="n">
        <v>0</v>
      </c>
      <c r="K4027" t="n">
        <v>0</v>
      </c>
      <c r="L4027" t="n">
        <v>0</v>
      </c>
      <c r="M4027" t="n">
        <v>0</v>
      </c>
      <c r="N4027" t="n">
        <v>0</v>
      </c>
      <c r="O4027" t="n">
        <v>0</v>
      </c>
      <c r="P4027" t="n">
        <v>0</v>
      </c>
      <c r="Q4027" t="n">
        <v>0</v>
      </c>
      <c r="R4027" s="2" t="inlineStr"/>
    </row>
    <row r="4028" ht="15" customHeight="1">
      <c r="A4028" t="inlineStr">
        <is>
          <t>A 18854-2025</t>
        </is>
      </c>
      <c r="B4028" s="1" t="n">
        <v>45764.42233796296</v>
      </c>
      <c r="C4028" s="1" t="n">
        <v>45911</v>
      </c>
      <c r="D4028" t="inlineStr">
        <is>
          <t>GÄVLEBORGS LÄN</t>
        </is>
      </c>
      <c r="E4028" t="inlineStr">
        <is>
          <t>LJUSDAL</t>
        </is>
      </c>
      <c r="F4028" t="inlineStr">
        <is>
          <t>Sveaskog</t>
        </is>
      </c>
      <c r="G4028" t="n">
        <v>6.5</v>
      </c>
      <c r="H4028" t="n">
        <v>0</v>
      </c>
      <c r="I4028" t="n">
        <v>0</v>
      </c>
      <c r="J4028" t="n">
        <v>0</v>
      </c>
      <c r="K4028" t="n">
        <v>0</v>
      </c>
      <c r="L4028" t="n">
        <v>0</v>
      </c>
      <c r="M4028" t="n">
        <v>0</v>
      </c>
      <c r="N4028" t="n">
        <v>0</v>
      </c>
      <c r="O4028" t="n">
        <v>0</v>
      </c>
      <c r="P4028" t="n">
        <v>0</v>
      </c>
      <c r="Q4028" t="n">
        <v>0</v>
      </c>
      <c r="R4028" s="2" t="inlineStr"/>
    </row>
    <row r="4029" ht="15" customHeight="1">
      <c r="A4029" t="inlineStr">
        <is>
          <t>A 29315-2025</t>
        </is>
      </c>
      <c r="B4029" s="1" t="n">
        <v>45824.46946759259</v>
      </c>
      <c r="C4029" s="1" t="n">
        <v>45911</v>
      </c>
      <c r="D4029" t="inlineStr">
        <is>
          <t>GÄVLEBORGS LÄN</t>
        </is>
      </c>
      <c r="E4029" t="inlineStr">
        <is>
          <t>HUDIKSVALL</t>
        </is>
      </c>
      <c r="F4029" t="inlineStr">
        <is>
          <t>Holmen skog AB</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29351-2025</t>
        </is>
      </c>
      <c r="B4030" s="1" t="n">
        <v>45824.53961805555</v>
      </c>
      <c r="C4030" s="1" t="n">
        <v>45911</v>
      </c>
      <c r="D4030" t="inlineStr">
        <is>
          <t>GÄVLEBORGS LÄN</t>
        </is>
      </c>
      <c r="E4030" t="inlineStr">
        <is>
          <t>BOLLNÄS</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29353-2025</t>
        </is>
      </c>
      <c r="B4031" s="1" t="n">
        <v>45824.54452546296</v>
      </c>
      <c r="C4031" s="1" t="n">
        <v>45911</v>
      </c>
      <c r="D4031" t="inlineStr">
        <is>
          <t>GÄVLEBORGS LÄN</t>
        </is>
      </c>
      <c r="E4031" t="inlineStr">
        <is>
          <t>HUDIKSVALL</t>
        </is>
      </c>
      <c r="F4031" t="inlineStr">
        <is>
          <t>Holmen skog AB</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29369-2025</t>
        </is>
      </c>
      <c r="B4032" s="1" t="n">
        <v>45824.57314814815</v>
      </c>
      <c r="C4032" s="1" t="n">
        <v>45911</v>
      </c>
      <c r="D4032" t="inlineStr">
        <is>
          <t>GÄVLEBORGS LÄN</t>
        </is>
      </c>
      <c r="E4032" t="inlineStr">
        <is>
          <t>LJUSDAL</t>
        </is>
      </c>
      <c r="G4032" t="n">
        <v>8</v>
      </c>
      <c r="H4032" t="n">
        <v>0</v>
      </c>
      <c r="I4032" t="n">
        <v>0</v>
      </c>
      <c r="J4032" t="n">
        <v>0</v>
      </c>
      <c r="K4032" t="n">
        <v>0</v>
      </c>
      <c r="L4032" t="n">
        <v>0</v>
      </c>
      <c r="M4032" t="n">
        <v>0</v>
      </c>
      <c r="N4032" t="n">
        <v>0</v>
      </c>
      <c r="O4032" t="n">
        <v>0</v>
      </c>
      <c r="P4032" t="n">
        <v>0</v>
      </c>
      <c r="Q4032" t="n">
        <v>0</v>
      </c>
      <c r="R4032" s="2" t="inlineStr"/>
    </row>
    <row r="4033" ht="15" customHeight="1">
      <c r="A4033" t="inlineStr">
        <is>
          <t>A 6922-2023</t>
        </is>
      </c>
      <c r="B4033" s="1" t="n">
        <v>44967</v>
      </c>
      <c r="C4033" s="1" t="n">
        <v>45911</v>
      </c>
      <c r="D4033" t="inlineStr">
        <is>
          <t>GÄVLEBORGS LÄN</t>
        </is>
      </c>
      <c r="E4033" t="inlineStr">
        <is>
          <t>BOLLNÄS</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35122-2024</t>
        </is>
      </c>
      <c r="B4034" s="1" t="n">
        <v>45530</v>
      </c>
      <c r="C4034" s="1" t="n">
        <v>45911</v>
      </c>
      <c r="D4034" t="inlineStr">
        <is>
          <t>GÄVLEBORGS LÄN</t>
        </is>
      </c>
      <c r="E4034" t="inlineStr">
        <is>
          <t>LJUSDAL</t>
        </is>
      </c>
      <c r="F4034" t="inlineStr">
        <is>
          <t>Sveaskog</t>
        </is>
      </c>
      <c r="G4034" t="n">
        <v>0.1</v>
      </c>
      <c r="H4034" t="n">
        <v>0</v>
      </c>
      <c r="I4034" t="n">
        <v>0</v>
      </c>
      <c r="J4034" t="n">
        <v>0</v>
      </c>
      <c r="K4034" t="n">
        <v>0</v>
      </c>
      <c r="L4034" t="n">
        <v>0</v>
      </c>
      <c r="M4034" t="n">
        <v>0</v>
      </c>
      <c r="N4034" t="n">
        <v>0</v>
      </c>
      <c r="O4034" t="n">
        <v>0</v>
      </c>
      <c r="P4034" t="n">
        <v>0</v>
      </c>
      <c r="Q4034" t="n">
        <v>0</v>
      </c>
      <c r="R4034" s="2" t="inlineStr"/>
    </row>
    <row r="4035" ht="15" customHeight="1">
      <c r="A4035" t="inlineStr">
        <is>
          <t>A 24512-2022</t>
        </is>
      </c>
      <c r="B4035" s="1" t="n">
        <v>44726</v>
      </c>
      <c r="C4035" s="1" t="n">
        <v>45911</v>
      </c>
      <c r="D4035" t="inlineStr">
        <is>
          <t>GÄVLEBORGS LÄN</t>
        </is>
      </c>
      <c r="E4035" t="inlineStr">
        <is>
          <t>LJUSDAL</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34867-2024</t>
        </is>
      </c>
      <c r="B4036" s="1" t="n">
        <v>45527.34408564815</v>
      </c>
      <c r="C4036" s="1" t="n">
        <v>45911</v>
      </c>
      <c r="D4036" t="inlineStr">
        <is>
          <t>GÄVLEBORGS LÄN</t>
        </is>
      </c>
      <c r="E4036" t="inlineStr">
        <is>
          <t>BOLLNÄS</t>
        </is>
      </c>
      <c r="F4036" t="inlineStr">
        <is>
          <t>Bergvik skog väst AB</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34869-2024</t>
        </is>
      </c>
      <c r="B4037" s="1" t="n">
        <v>45527.34570601852</v>
      </c>
      <c r="C4037" s="1" t="n">
        <v>45911</v>
      </c>
      <c r="D4037" t="inlineStr">
        <is>
          <t>GÄVLEBORGS LÄN</t>
        </is>
      </c>
      <c r="E4037" t="inlineStr">
        <is>
          <t>NORDANSTIG</t>
        </is>
      </c>
      <c r="F4037" t="inlineStr">
        <is>
          <t>Holmen skog AB</t>
        </is>
      </c>
      <c r="G4037" t="n">
        <v>4.6</v>
      </c>
      <c r="H4037" t="n">
        <v>0</v>
      </c>
      <c r="I4037" t="n">
        <v>0</v>
      </c>
      <c r="J4037" t="n">
        <v>0</v>
      </c>
      <c r="K4037" t="n">
        <v>0</v>
      </c>
      <c r="L4037" t="n">
        <v>0</v>
      </c>
      <c r="M4037" t="n">
        <v>0</v>
      </c>
      <c r="N4037" t="n">
        <v>0</v>
      </c>
      <c r="O4037" t="n">
        <v>0</v>
      </c>
      <c r="P4037" t="n">
        <v>0</v>
      </c>
      <c r="Q4037" t="n">
        <v>0</v>
      </c>
      <c r="R4037" s="2" t="inlineStr"/>
    </row>
    <row r="4038" ht="15" customHeight="1">
      <c r="A4038" t="inlineStr">
        <is>
          <t>A 57475-2023</t>
        </is>
      </c>
      <c r="B4038" s="1" t="n">
        <v>45246.38005787037</v>
      </c>
      <c r="C4038" s="1" t="n">
        <v>45911</v>
      </c>
      <c r="D4038" t="inlineStr">
        <is>
          <t>GÄVLEBORGS LÄN</t>
        </is>
      </c>
      <c r="E4038" t="inlineStr">
        <is>
          <t>LJUSDAL</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68781-2020</t>
        </is>
      </c>
      <c r="B4039" s="1" t="n">
        <v>44187</v>
      </c>
      <c r="C4039" s="1" t="n">
        <v>45911</v>
      </c>
      <c r="D4039" t="inlineStr">
        <is>
          <t>GÄVLEBORGS LÄN</t>
        </is>
      </c>
      <c r="E4039" t="inlineStr">
        <is>
          <t>SÖDERHAMN</t>
        </is>
      </c>
      <c r="G4039" t="n">
        <v>4.2</v>
      </c>
      <c r="H4039" t="n">
        <v>0</v>
      </c>
      <c r="I4039" t="n">
        <v>0</v>
      </c>
      <c r="J4039" t="n">
        <v>0</v>
      </c>
      <c r="K4039" t="n">
        <v>0</v>
      </c>
      <c r="L4039" t="n">
        <v>0</v>
      </c>
      <c r="M4039" t="n">
        <v>0</v>
      </c>
      <c r="N4039" t="n">
        <v>0</v>
      </c>
      <c r="O4039" t="n">
        <v>0</v>
      </c>
      <c r="P4039" t="n">
        <v>0</v>
      </c>
      <c r="Q4039" t="n">
        <v>0</v>
      </c>
      <c r="R4039" s="2" t="inlineStr"/>
    </row>
    <row r="4040" ht="15" customHeight="1">
      <c r="A4040" t="inlineStr">
        <is>
          <t>A 29831-2025</t>
        </is>
      </c>
      <c r="B4040" s="1" t="n">
        <v>45825.92075231481</v>
      </c>
      <c r="C4040" s="1" t="n">
        <v>45911</v>
      </c>
      <c r="D4040" t="inlineStr">
        <is>
          <t>GÄVLEBORGS LÄN</t>
        </is>
      </c>
      <c r="E4040" t="inlineStr">
        <is>
          <t>SANDVIKEN</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29832-2025</t>
        </is>
      </c>
      <c r="B4041" s="1" t="n">
        <v>45825.92290509259</v>
      </c>
      <c r="C4041" s="1" t="n">
        <v>45911</v>
      </c>
      <c r="D4041" t="inlineStr">
        <is>
          <t>GÄVLEBORGS LÄN</t>
        </is>
      </c>
      <c r="E4041" t="inlineStr">
        <is>
          <t>SANDVIKEN</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545-2021</t>
        </is>
      </c>
      <c r="B4042" s="1" t="n">
        <v>44203</v>
      </c>
      <c r="C4042" s="1" t="n">
        <v>45911</v>
      </c>
      <c r="D4042" t="inlineStr">
        <is>
          <t>GÄVLEBORGS LÄN</t>
        </is>
      </c>
      <c r="E4042" t="inlineStr">
        <is>
          <t>BOLLNÄS</t>
        </is>
      </c>
      <c r="F4042" t="inlineStr">
        <is>
          <t>Bergvik skog väst AB</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44859-2024</t>
        </is>
      </c>
      <c r="B4043" s="1" t="n">
        <v>45575.29123842593</v>
      </c>
      <c r="C4043" s="1" t="n">
        <v>45911</v>
      </c>
      <c r="D4043" t="inlineStr">
        <is>
          <t>GÄVLEBORGS LÄN</t>
        </is>
      </c>
      <c r="E4043" t="inlineStr">
        <is>
          <t>OVANÅKER</t>
        </is>
      </c>
      <c r="G4043" t="n">
        <v>0.2</v>
      </c>
      <c r="H4043" t="n">
        <v>0</v>
      </c>
      <c r="I4043" t="n">
        <v>0</v>
      </c>
      <c r="J4043" t="n">
        <v>0</v>
      </c>
      <c r="K4043" t="n">
        <v>0</v>
      </c>
      <c r="L4043" t="n">
        <v>0</v>
      </c>
      <c r="M4043" t="n">
        <v>0</v>
      </c>
      <c r="N4043" t="n">
        <v>0</v>
      </c>
      <c r="O4043" t="n">
        <v>0</v>
      </c>
      <c r="P4043" t="n">
        <v>0</v>
      </c>
      <c r="Q4043" t="n">
        <v>0</v>
      </c>
      <c r="R4043" s="2" t="inlineStr"/>
    </row>
    <row r="4044" ht="15" customHeight="1">
      <c r="A4044" t="inlineStr">
        <is>
          <t>A 29878-2025</t>
        </is>
      </c>
      <c r="B4044" s="1" t="n">
        <v>45826.3631712963</v>
      </c>
      <c r="C4044" s="1" t="n">
        <v>45911</v>
      </c>
      <c r="D4044" t="inlineStr">
        <is>
          <t>GÄVLEBORGS LÄN</t>
        </is>
      </c>
      <c r="E4044" t="inlineStr">
        <is>
          <t>NORDANSTIG</t>
        </is>
      </c>
      <c r="F4044" t="inlineStr">
        <is>
          <t>Holmen skog AB</t>
        </is>
      </c>
      <c r="G4044" t="n">
        <v>4.2</v>
      </c>
      <c r="H4044" t="n">
        <v>0</v>
      </c>
      <c r="I4044" t="n">
        <v>0</v>
      </c>
      <c r="J4044" t="n">
        <v>0</v>
      </c>
      <c r="K4044" t="n">
        <v>0</v>
      </c>
      <c r="L4044" t="n">
        <v>0</v>
      </c>
      <c r="M4044" t="n">
        <v>0</v>
      </c>
      <c r="N4044" t="n">
        <v>0</v>
      </c>
      <c r="O4044" t="n">
        <v>0</v>
      </c>
      <c r="P4044" t="n">
        <v>0</v>
      </c>
      <c r="Q4044" t="n">
        <v>0</v>
      </c>
      <c r="R4044" s="2" t="inlineStr"/>
    </row>
    <row r="4045" ht="15" customHeight="1">
      <c r="A4045" t="inlineStr">
        <is>
          <t>A 29900-2025</t>
        </is>
      </c>
      <c r="B4045" s="1" t="n">
        <v>45826.3866087963</v>
      </c>
      <c r="C4045" s="1" t="n">
        <v>45911</v>
      </c>
      <c r="D4045" t="inlineStr">
        <is>
          <t>GÄVLEBORGS LÄN</t>
        </is>
      </c>
      <c r="E4045" t="inlineStr">
        <is>
          <t>HUDIKSVALL</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67547-2021</t>
        </is>
      </c>
      <c r="B4046" s="1" t="n">
        <v>44524.56090277778</v>
      </c>
      <c r="C4046" s="1" t="n">
        <v>45911</v>
      </c>
      <c r="D4046" t="inlineStr">
        <is>
          <t>GÄVLEBORGS LÄN</t>
        </is>
      </c>
      <c r="E4046" t="inlineStr">
        <is>
          <t>BOLLNÄS</t>
        </is>
      </c>
      <c r="F4046" t="inlineStr">
        <is>
          <t>Övriga statliga verk och myndigheter</t>
        </is>
      </c>
      <c r="G4046" t="n">
        <v>3.7</v>
      </c>
      <c r="H4046" t="n">
        <v>0</v>
      </c>
      <c r="I4046" t="n">
        <v>0</v>
      </c>
      <c r="J4046" t="n">
        <v>0</v>
      </c>
      <c r="K4046" t="n">
        <v>0</v>
      </c>
      <c r="L4046" t="n">
        <v>0</v>
      </c>
      <c r="M4046" t="n">
        <v>0</v>
      </c>
      <c r="N4046" t="n">
        <v>0</v>
      </c>
      <c r="O4046" t="n">
        <v>0</v>
      </c>
      <c r="P4046" t="n">
        <v>0</v>
      </c>
      <c r="Q4046" t="n">
        <v>0</v>
      </c>
      <c r="R4046" s="2" t="inlineStr"/>
    </row>
    <row r="4047" ht="15" customHeight="1">
      <c r="A4047" t="inlineStr">
        <is>
          <t>A 11434-2024</t>
        </is>
      </c>
      <c r="B4047" s="1" t="n">
        <v>45372.51966435185</v>
      </c>
      <c r="C4047" s="1" t="n">
        <v>45911</v>
      </c>
      <c r="D4047" t="inlineStr">
        <is>
          <t>GÄVLEBORGS LÄN</t>
        </is>
      </c>
      <c r="E4047" t="inlineStr">
        <is>
          <t>NORDANSTIG</t>
        </is>
      </c>
      <c r="F4047" t="inlineStr">
        <is>
          <t>Holmen skog AB</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4090-2025</t>
        </is>
      </c>
      <c r="B4048" s="1" t="n">
        <v>45684.67178240741</v>
      </c>
      <c r="C4048" s="1" t="n">
        <v>45911</v>
      </c>
      <c r="D4048" t="inlineStr">
        <is>
          <t>GÄVLEBORGS LÄN</t>
        </is>
      </c>
      <c r="E4048" t="inlineStr">
        <is>
          <t>GÄVLE</t>
        </is>
      </c>
      <c r="G4048" t="n">
        <v>4.4</v>
      </c>
      <c r="H4048" t="n">
        <v>0</v>
      </c>
      <c r="I4048" t="n">
        <v>0</v>
      </c>
      <c r="J4048" t="n">
        <v>0</v>
      </c>
      <c r="K4048" t="n">
        <v>0</v>
      </c>
      <c r="L4048" t="n">
        <v>0</v>
      </c>
      <c r="M4048" t="n">
        <v>0</v>
      </c>
      <c r="N4048" t="n">
        <v>0</v>
      </c>
      <c r="O4048" t="n">
        <v>0</v>
      </c>
      <c r="P4048" t="n">
        <v>0</v>
      </c>
      <c r="Q4048" t="n">
        <v>0</v>
      </c>
      <c r="R4048" s="2" t="inlineStr"/>
    </row>
    <row r="4049" ht="15" customHeight="1">
      <c r="A4049" t="inlineStr">
        <is>
          <t>A 4097-2025</t>
        </is>
      </c>
      <c r="B4049" s="1" t="n">
        <v>45684.68004629629</v>
      </c>
      <c r="C4049" s="1" t="n">
        <v>45911</v>
      </c>
      <c r="D4049" t="inlineStr">
        <is>
          <t>GÄVLEBORGS LÄN</t>
        </is>
      </c>
      <c r="E4049" t="inlineStr">
        <is>
          <t>GÄVLE</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59533-2023</t>
        </is>
      </c>
      <c r="B4050" s="1" t="n">
        <v>45254.51929398148</v>
      </c>
      <c r="C4050" s="1" t="n">
        <v>45911</v>
      </c>
      <c r="D4050" t="inlineStr">
        <is>
          <t>GÄVLEBORGS LÄN</t>
        </is>
      </c>
      <c r="E4050" t="inlineStr">
        <is>
          <t>OCKELBO</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36960-2023</t>
        </is>
      </c>
      <c r="B4051" s="1" t="n">
        <v>45154</v>
      </c>
      <c r="C4051" s="1" t="n">
        <v>45911</v>
      </c>
      <c r="D4051" t="inlineStr">
        <is>
          <t>GÄVLEBORGS LÄN</t>
        </is>
      </c>
      <c r="E4051" t="inlineStr">
        <is>
          <t>NORDANSTIG</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43659-2023</t>
        </is>
      </c>
      <c r="B4052" s="1" t="n">
        <v>45187</v>
      </c>
      <c r="C4052" s="1" t="n">
        <v>45911</v>
      </c>
      <c r="D4052" t="inlineStr">
        <is>
          <t>GÄVLEBORGS LÄN</t>
        </is>
      </c>
      <c r="E4052" t="inlineStr">
        <is>
          <t>HUDIKSVALL</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29260-2023</t>
        </is>
      </c>
      <c r="B4053" s="1" t="n">
        <v>45105.6580787037</v>
      </c>
      <c r="C4053" s="1" t="n">
        <v>45911</v>
      </c>
      <c r="D4053" t="inlineStr">
        <is>
          <t>GÄVLEBORGS LÄN</t>
        </is>
      </c>
      <c r="E4053" t="inlineStr">
        <is>
          <t>LJUSDAL</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29735-2025</t>
        </is>
      </c>
      <c r="B4054" s="1" t="n">
        <v>45825.58403935185</v>
      </c>
      <c r="C4054" s="1" t="n">
        <v>45911</v>
      </c>
      <c r="D4054" t="inlineStr">
        <is>
          <t>GÄVLEBORGS LÄN</t>
        </is>
      </c>
      <c r="E4054" t="inlineStr">
        <is>
          <t>SANDVIKEN</t>
        </is>
      </c>
      <c r="G4054" t="n">
        <v>6.2</v>
      </c>
      <c r="H4054" t="n">
        <v>0</v>
      </c>
      <c r="I4054" t="n">
        <v>0</v>
      </c>
      <c r="J4054" t="n">
        <v>0</v>
      </c>
      <c r="K4054" t="n">
        <v>0</v>
      </c>
      <c r="L4054" t="n">
        <v>0</v>
      </c>
      <c r="M4054" t="n">
        <v>0</v>
      </c>
      <c r="N4054" t="n">
        <v>0</v>
      </c>
      <c r="O4054" t="n">
        <v>0</v>
      </c>
      <c r="P4054" t="n">
        <v>0</v>
      </c>
      <c r="Q4054" t="n">
        <v>0</v>
      </c>
      <c r="R4054" s="2" t="inlineStr"/>
    </row>
    <row r="4055" ht="15" customHeight="1">
      <c r="A4055" t="inlineStr">
        <is>
          <t>A 43734-2023</t>
        </is>
      </c>
      <c r="B4055" s="1" t="n">
        <v>45187.45697916667</v>
      </c>
      <c r="C4055" s="1" t="n">
        <v>45911</v>
      </c>
      <c r="D4055" t="inlineStr">
        <is>
          <t>GÄVLEBORGS LÄN</t>
        </is>
      </c>
      <c r="E4055" t="inlineStr">
        <is>
          <t>BOLLNÄS</t>
        </is>
      </c>
      <c r="F4055" t="inlineStr">
        <is>
          <t>Kyrkan</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7252-2025</t>
        </is>
      </c>
      <c r="B4056" s="1" t="n">
        <v>45702.56151620371</v>
      </c>
      <c r="C4056" s="1" t="n">
        <v>45911</v>
      </c>
      <c r="D4056" t="inlineStr">
        <is>
          <t>GÄVLEBORGS LÄN</t>
        </is>
      </c>
      <c r="E4056" t="inlineStr">
        <is>
          <t>NORDANSTIG</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44338-2023</t>
        </is>
      </c>
      <c r="B4057" s="1" t="n">
        <v>45188</v>
      </c>
      <c r="C4057" s="1" t="n">
        <v>45911</v>
      </c>
      <c r="D4057" t="inlineStr">
        <is>
          <t>GÄVLEBORGS LÄN</t>
        </is>
      </c>
      <c r="E4057" t="inlineStr">
        <is>
          <t>SÖDERHAMN</t>
        </is>
      </c>
      <c r="F4057" t="inlineStr">
        <is>
          <t>Kommuner</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44341-2023</t>
        </is>
      </c>
      <c r="B4058" s="1" t="n">
        <v>45188</v>
      </c>
      <c r="C4058" s="1" t="n">
        <v>45911</v>
      </c>
      <c r="D4058" t="inlineStr">
        <is>
          <t>GÄVLEBORGS LÄN</t>
        </is>
      </c>
      <c r="E4058" t="inlineStr">
        <is>
          <t>SÖDERHAMN</t>
        </is>
      </c>
      <c r="F4058" t="inlineStr">
        <is>
          <t>Kommuner</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7899-2025</t>
        </is>
      </c>
      <c r="B4059" s="1" t="n">
        <v>45707.31538194444</v>
      </c>
      <c r="C4059" s="1" t="n">
        <v>45911</v>
      </c>
      <c r="D4059" t="inlineStr">
        <is>
          <t>GÄVLEBORGS LÄN</t>
        </is>
      </c>
      <c r="E4059" t="inlineStr">
        <is>
          <t>LJUSDAL</t>
        </is>
      </c>
      <c r="F4059" t="inlineStr">
        <is>
          <t>Övriga Aktiebolag</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7919-2025</t>
        </is>
      </c>
      <c r="B4060" s="1" t="n">
        <v>45707.35554398148</v>
      </c>
      <c r="C4060" s="1" t="n">
        <v>45911</v>
      </c>
      <c r="D4060" t="inlineStr">
        <is>
          <t>GÄVLEBORGS LÄN</t>
        </is>
      </c>
      <c r="E4060" t="inlineStr">
        <is>
          <t>OCKELBO</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29922-2025</t>
        </is>
      </c>
      <c r="B4061" s="1" t="n">
        <v>45826.4253125</v>
      </c>
      <c r="C4061" s="1" t="n">
        <v>45911</v>
      </c>
      <c r="D4061" t="inlineStr">
        <is>
          <t>GÄVLEBORGS LÄN</t>
        </is>
      </c>
      <c r="E4061" t="inlineStr">
        <is>
          <t>OVANÅKER</t>
        </is>
      </c>
      <c r="F4061" t="inlineStr">
        <is>
          <t>Holmen skog AB</t>
        </is>
      </c>
      <c r="G4061" t="n">
        <v>30</v>
      </c>
      <c r="H4061" t="n">
        <v>0</v>
      </c>
      <c r="I4061" t="n">
        <v>0</v>
      </c>
      <c r="J4061" t="n">
        <v>0</v>
      </c>
      <c r="K4061" t="n">
        <v>0</v>
      </c>
      <c r="L4061" t="n">
        <v>0</v>
      </c>
      <c r="M4061" t="n">
        <v>0</v>
      </c>
      <c r="N4061" t="n">
        <v>0</v>
      </c>
      <c r="O4061" t="n">
        <v>0</v>
      </c>
      <c r="P4061" t="n">
        <v>0</v>
      </c>
      <c r="Q4061" t="n">
        <v>0</v>
      </c>
      <c r="R4061" s="2" t="inlineStr"/>
    </row>
    <row r="4062" ht="15" customHeight="1">
      <c r="A4062" t="inlineStr">
        <is>
          <t>A 15646-2022</t>
        </is>
      </c>
      <c r="B4062" s="1" t="n">
        <v>44662.9243287037</v>
      </c>
      <c r="C4062" s="1" t="n">
        <v>45911</v>
      </c>
      <c r="D4062" t="inlineStr">
        <is>
          <t>GÄVLEBORGS LÄN</t>
        </is>
      </c>
      <c r="E4062" t="inlineStr">
        <is>
          <t>SÖDERHAMN</t>
        </is>
      </c>
      <c r="G4062" t="n">
        <v>7.6</v>
      </c>
      <c r="H4062" t="n">
        <v>0</v>
      </c>
      <c r="I4062" t="n">
        <v>0</v>
      </c>
      <c r="J4062" t="n">
        <v>0</v>
      </c>
      <c r="K4062" t="n">
        <v>0</v>
      </c>
      <c r="L4062" t="n">
        <v>0</v>
      </c>
      <c r="M4062" t="n">
        <v>0</v>
      </c>
      <c r="N4062" t="n">
        <v>0</v>
      </c>
      <c r="O4062" t="n">
        <v>0</v>
      </c>
      <c r="P4062" t="n">
        <v>0</v>
      </c>
      <c r="Q4062" t="n">
        <v>0</v>
      </c>
      <c r="R4062" s="2" t="inlineStr"/>
    </row>
    <row r="4063" ht="15" customHeight="1">
      <c r="A4063" t="inlineStr">
        <is>
          <t>A 29738-2025</t>
        </is>
      </c>
      <c r="B4063" s="1" t="n">
        <v>45825.58762731482</v>
      </c>
      <c r="C4063" s="1" t="n">
        <v>45911</v>
      </c>
      <c r="D4063" t="inlineStr">
        <is>
          <t>GÄVLEBORGS LÄN</t>
        </is>
      </c>
      <c r="E4063" t="inlineStr">
        <is>
          <t>SANDVIKEN</t>
        </is>
      </c>
      <c r="G4063" t="n">
        <v>4.8</v>
      </c>
      <c r="H4063" t="n">
        <v>0</v>
      </c>
      <c r="I4063" t="n">
        <v>0</v>
      </c>
      <c r="J4063" t="n">
        <v>0</v>
      </c>
      <c r="K4063" t="n">
        <v>0</v>
      </c>
      <c r="L4063" t="n">
        <v>0</v>
      </c>
      <c r="M4063" t="n">
        <v>0</v>
      </c>
      <c r="N4063" t="n">
        <v>0</v>
      </c>
      <c r="O4063" t="n">
        <v>0</v>
      </c>
      <c r="P4063" t="n">
        <v>0</v>
      </c>
      <c r="Q4063" t="n">
        <v>0</v>
      </c>
      <c r="R4063" s="2" t="inlineStr"/>
    </row>
    <row r="4064" ht="15" customHeight="1">
      <c r="A4064" t="inlineStr">
        <is>
          <t>A 17792-2023</t>
        </is>
      </c>
      <c r="B4064" s="1" t="n">
        <v>45037</v>
      </c>
      <c r="C4064" s="1" t="n">
        <v>45911</v>
      </c>
      <c r="D4064" t="inlineStr">
        <is>
          <t>GÄVLEBORGS LÄN</t>
        </is>
      </c>
      <c r="E4064" t="inlineStr">
        <is>
          <t>BOLLNÄS</t>
        </is>
      </c>
      <c r="F4064" t="inlineStr">
        <is>
          <t>Kyrkan</t>
        </is>
      </c>
      <c r="G4064" t="n">
        <v>4.1</v>
      </c>
      <c r="H4064" t="n">
        <v>0</v>
      </c>
      <c r="I4064" t="n">
        <v>0</v>
      </c>
      <c r="J4064" t="n">
        <v>0</v>
      </c>
      <c r="K4064" t="n">
        <v>0</v>
      </c>
      <c r="L4064" t="n">
        <v>0</v>
      </c>
      <c r="M4064" t="n">
        <v>0</v>
      </c>
      <c r="N4064" t="n">
        <v>0</v>
      </c>
      <c r="O4064" t="n">
        <v>0</v>
      </c>
      <c r="P4064" t="n">
        <v>0</v>
      </c>
      <c r="Q4064" t="n">
        <v>0</v>
      </c>
      <c r="R4064" s="2" t="inlineStr"/>
    </row>
    <row r="4065" ht="15" customHeight="1">
      <c r="A4065" t="inlineStr">
        <is>
          <t>A 18078-2024</t>
        </is>
      </c>
      <c r="B4065" s="1" t="n">
        <v>45420.43887731482</v>
      </c>
      <c r="C4065" s="1" t="n">
        <v>45911</v>
      </c>
      <c r="D4065" t="inlineStr">
        <is>
          <t>GÄVLEBORGS LÄN</t>
        </is>
      </c>
      <c r="E4065" t="inlineStr">
        <is>
          <t>LJUSDAL</t>
        </is>
      </c>
      <c r="F4065" t="inlineStr">
        <is>
          <t>Holmen skog AB</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29776-2025</t>
        </is>
      </c>
      <c r="B4066" s="1" t="n">
        <v>45825.64038194445</v>
      </c>
      <c r="C4066" s="1" t="n">
        <v>45911</v>
      </c>
      <c r="D4066" t="inlineStr">
        <is>
          <t>GÄVLEBORGS LÄN</t>
        </is>
      </c>
      <c r="E4066" t="inlineStr">
        <is>
          <t>BOLLNÄS</t>
        </is>
      </c>
      <c r="F4066" t="inlineStr">
        <is>
          <t>Sveaskog</t>
        </is>
      </c>
      <c r="G4066" t="n">
        <v>10.7</v>
      </c>
      <c r="H4066" t="n">
        <v>0</v>
      </c>
      <c r="I4066" t="n">
        <v>0</v>
      </c>
      <c r="J4066" t="n">
        <v>0</v>
      </c>
      <c r="K4066" t="n">
        <v>0</v>
      </c>
      <c r="L4066" t="n">
        <v>0</v>
      </c>
      <c r="M4066" t="n">
        <v>0</v>
      </c>
      <c r="N4066" t="n">
        <v>0</v>
      </c>
      <c r="O4066" t="n">
        <v>0</v>
      </c>
      <c r="P4066" t="n">
        <v>0</v>
      </c>
      <c r="Q4066" t="n">
        <v>0</v>
      </c>
      <c r="R4066" s="2" t="inlineStr"/>
    </row>
    <row r="4067" ht="15" customHeight="1">
      <c r="A4067" t="inlineStr">
        <is>
          <t>A 48188-2023</t>
        </is>
      </c>
      <c r="B4067" s="1" t="n">
        <v>45205.45511574074</v>
      </c>
      <c r="C4067" s="1" t="n">
        <v>45911</v>
      </c>
      <c r="D4067" t="inlineStr">
        <is>
          <t>GÄVLEBORGS LÄN</t>
        </is>
      </c>
      <c r="E4067" t="inlineStr">
        <is>
          <t>LJUSDAL</t>
        </is>
      </c>
      <c r="G4067" t="n">
        <v>4.2</v>
      </c>
      <c r="H4067" t="n">
        <v>0</v>
      </c>
      <c r="I4067" t="n">
        <v>0</v>
      </c>
      <c r="J4067" t="n">
        <v>0</v>
      </c>
      <c r="K4067" t="n">
        <v>0</v>
      </c>
      <c r="L4067" t="n">
        <v>0</v>
      </c>
      <c r="M4067" t="n">
        <v>0</v>
      </c>
      <c r="N4067" t="n">
        <v>0</v>
      </c>
      <c r="O4067" t="n">
        <v>0</v>
      </c>
      <c r="P4067" t="n">
        <v>0</v>
      </c>
      <c r="Q4067" t="n">
        <v>0</v>
      </c>
      <c r="R4067" s="2" t="inlineStr"/>
    </row>
    <row r="4068" ht="15" customHeight="1">
      <c r="A4068" t="inlineStr">
        <is>
          <t>A 53234-2024</t>
        </is>
      </c>
      <c r="B4068" s="1" t="n">
        <v>45613.775625</v>
      </c>
      <c r="C4068" s="1" t="n">
        <v>45911</v>
      </c>
      <c r="D4068" t="inlineStr">
        <is>
          <t>GÄVLEBORGS LÄN</t>
        </is>
      </c>
      <c r="E4068" t="inlineStr">
        <is>
          <t>BOLLNÄS</t>
        </is>
      </c>
      <c r="G4068" t="n">
        <v>5</v>
      </c>
      <c r="H4068" t="n">
        <v>0</v>
      </c>
      <c r="I4068" t="n">
        <v>0</v>
      </c>
      <c r="J4068" t="n">
        <v>0</v>
      </c>
      <c r="K4068" t="n">
        <v>0</v>
      </c>
      <c r="L4068" t="n">
        <v>0</v>
      </c>
      <c r="M4068" t="n">
        <v>0</v>
      </c>
      <c r="N4068" t="n">
        <v>0</v>
      </c>
      <c r="O4068" t="n">
        <v>0</v>
      </c>
      <c r="P4068" t="n">
        <v>0</v>
      </c>
      <c r="Q4068" t="n">
        <v>0</v>
      </c>
      <c r="R4068" s="2" t="inlineStr"/>
    </row>
    <row r="4069" ht="15" customHeight="1">
      <c r="A4069" t="inlineStr">
        <is>
          <t>A 2539-2023</t>
        </is>
      </c>
      <c r="B4069" s="1" t="n">
        <v>44943.64569444444</v>
      </c>
      <c r="C4069" s="1" t="n">
        <v>45911</v>
      </c>
      <c r="D4069" t="inlineStr">
        <is>
          <t>GÄVLEBORGS LÄN</t>
        </is>
      </c>
      <c r="E4069" t="inlineStr">
        <is>
          <t>BOLLNÄS</t>
        </is>
      </c>
      <c r="G4069" t="n">
        <v>14.6</v>
      </c>
      <c r="H4069" t="n">
        <v>0</v>
      </c>
      <c r="I4069" t="n">
        <v>0</v>
      </c>
      <c r="J4069" t="n">
        <v>0</v>
      </c>
      <c r="K4069" t="n">
        <v>0</v>
      </c>
      <c r="L4069" t="n">
        <v>0</v>
      </c>
      <c r="M4069" t="n">
        <v>0</v>
      </c>
      <c r="N4069" t="n">
        <v>0</v>
      </c>
      <c r="O4069" t="n">
        <v>0</v>
      </c>
      <c r="P4069" t="n">
        <v>0</v>
      </c>
      <c r="Q4069" t="n">
        <v>0</v>
      </c>
      <c r="R4069" s="2" t="inlineStr"/>
    </row>
    <row r="4070" ht="15" customHeight="1">
      <c r="A4070" t="inlineStr">
        <is>
          <t>A 30940-2022</t>
        </is>
      </c>
      <c r="B4070" s="1" t="n">
        <v>44768.34793981481</v>
      </c>
      <c r="C4070" s="1" t="n">
        <v>45911</v>
      </c>
      <c r="D4070" t="inlineStr">
        <is>
          <t>GÄVLEBORGS LÄN</t>
        </is>
      </c>
      <c r="E4070" t="inlineStr">
        <is>
          <t>NORDANSTIG</t>
        </is>
      </c>
      <c r="F4070" t="inlineStr">
        <is>
          <t>Holmen skog AB</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15825-2025</t>
        </is>
      </c>
      <c r="B4071" s="1" t="n">
        <v>45748.70894675926</v>
      </c>
      <c r="C4071" s="1" t="n">
        <v>45911</v>
      </c>
      <c r="D4071" t="inlineStr">
        <is>
          <t>GÄVLEBORGS LÄN</t>
        </is>
      </c>
      <c r="E4071" t="inlineStr">
        <is>
          <t>LJUSDAL</t>
        </is>
      </c>
      <c r="F4071" t="inlineStr">
        <is>
          <t>SCA</t>
        </is>
      </c>
      <c r="G4071" t="n">
        <v>9.9</v>
      </c>
      <c r="H4071" t="n">
        <v>0</v>
      </c>
      <c r="I4071" t="n">
        <v>0</v>
      </c>
      <c r="J4071" t="n">
        <v>0</v>
      </c>
      <c r="K4071" t="n">
        <v>0</v>
      </c>
      <c r="L4071" t="n">
        <v>0</v>
      </c>
      <c r="M4071" t="n">
        <v>0</v>
      </c>
      <c r="N4071" t="n">
        <v>0</v>
      </c>
      <c r="O4071" t="n">
        <v>0</v>
      </c>
      <c r="P4071" t="n">
        <v>0</v>
      </c>
      <c r="Q4071" t="n">
        <v>0</v>
      </c>
      <c r="R4071" s="2" t="inlineStr"/>
      <c r="U4071">
        <f>HYPERLINK("https://klasma.github.io/Logging_2161/knärot/A 15825-2025 karta knärot.png", "A 15825-2025")</f>
        <v/>
      </c>
      <c r="V4071">
        <f>HYPERLINK("https://klasma.github.io/Logging_2161/klagomål/A 15825-2025 FSC-klagomål.docx", "A 15825-2025")</f>
        <v/>
      </c>
      <c r="W4071">
        <f>HYPERLINK("https://klasma.github.io/Logging_2161/klagomålsmail/A 15825-2025 FSC-klagomål mail.docx", "A 15825-2025")</f>
        <v/>
      </c>
      <c r="X4071">
        <f>HYPERLINK("https://klasma.github.io/Logging_2161/tillsyn/A 15825-2025 tillsynsbegäran.docx", "A 15825-2025")</f>
        <v/>
      </c>
      <c r="Y4071">
        <f>HYPERLINK("https://klasma.github.io/Logging_2161/tillsynsmail/A 15825-2025 tillsynsbegäran mail.docx", "A 15825-2025")</f>
        <v/>
      </c>
    </row>
    <row r="4072" ht="15" customHeight="1">
      <c r="A4072" t="inlineStr">
        <is>
          <t>A 58840-2023</t>
        </is>
      </c>
      <c r="B4072" s="1" t="n">
        <v>45252.42072916667</v>
      </c>
      <c r="C4072" s="1" t="n">
        <v>45911</v>
      </c>
      <c r="D4072" t="inlineStr">
        <is>
          <t>GÄVLEBORGS LÄN</t>
        </is>
      </c>
      <c r="E4072" t="inlineStr">
        <is>
          <t>SANDVIKEN</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58911-2023</t>
        </is>
      </c>
      <c r="B4073" s="1" t="n">
        <v>45250</v>
      </c>
      <c r="C4073" s="1" t="n">
        <v>45911</v>
      </c>
      <c r="D4073" t="inlineStr">
        <is>
          <t>GÄVLEBORGS LÄN</t>
        </is>
      </c>
      <c r="E4073" t="inlineStr">
        <is>
          <t>SANDVIKEN</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14564-2025</t>
        </is>
      </c>
      <c r="B4074" s="1" t="n">
        <v>45741</v>
      </c>
      <c r="C4074" s="1" t="n">
        <v>45911</v>
      </c>
      <c r="D4074" t="inlineStr">
        <is>
          <t>GÄVLEBORGS LÄN</t>
        </is>
      </c>
      <c r="E4074" t="inlineStr">
        <is>
          <t>GÄVLE</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59571-2022</t>
        </is>
      </c>
      <c r="B4075" s="1" t="n">
        <v>44907.6153125</v>
      </c>
      <c r="C4075" s="1" t="n">
        <v>45911</v>
      </c>
      <c r="D4075" t="inlineStr">
        <is>
          <t>GÄVLEBORGS LÄN</t>
        </is>
      </c>
      <c r="E4075" t="inlineStr">
        <is>
          <t>HUDIKSVALL</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29780-2025</t>
        </is>
      </c>
      <c r="B4076" s="1" t="n">
        <v>45825.64649305555</v>
      </c>
      <c r="C4076" s="1" t="n">
        <v>45911</v>
      </c>
      <c r="D4076" t="inlineStr">
        <is>
          <t>GÄVLEBORGS LÄN</t>
        </is>
      </c>
      <c r="E4076" t="inlineStr">
        <is>
          <t>BOLLNÄS</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53520-2023</t>
        </is>
      </c>
      <c r="B4077" s="1" t="n">
        <v>45230.42870370371</v>
      </c>
      <c r="C4077" s="1" t="n">
        <v>45911</v>
      </c>
      <c r="D4077" t="inlineStr">
        <is>
          <t>GÄVLEBORGS LÄN</t>
        </is>
      </c>
      <c r="E4077" t="inlineStr">
        <is>
          <t>HUDIKSVALL</t>
        </is>
      </c>
      <c r="F4077" t="inlineStr">
        <is>
          <t>Holmen skog AB</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30013-2025</t>
        </is>
      </c>
      <c r="B4078" s="1" t="n">
        <v>45826.54642361111</v>
      </c>
      <c r="C4078" s="1" t="n">
        <v>45911</v>
      </c>
      <c r="D4078" t="inlineStr">
        <is>
          <t>GÄVLEBORGS LÄN</t>
        </is>
      </c>
      <c r="E4078" t="inlineStr">
        <is>
          <t>OVANÅKER</t>
        </is>
      </c>
      <c r="F4078" t="inlineStr">
        <is>
          <t>Holmen skog AB</t>
        </is>
      </c>
      <c r="G4078" t="n">
        <v>4.6</v>
      </c>
      <c r="H4078" t="n">
        <v>0</v>
      </c>
      <c r="I4078" t="n">
        <v>0</v>
      </c>
      <c r="J4078" t="n">
        <v>0</v>
      </c>
      <c r="K4078" t="n">
        <v>0</v>
      </c>
      <c r="L4078" t="n">
        <v>0</v>
      </c>
      <c r="M4078" t="n">
        <v>0</v>
      </c>
      <c r="N4078" t="n">
        <v>0</v>
      </c>
      <c r="O4078" t="n">
        <v>0</v>
      </c>
      <c r="P4078" t="n">
        <v>0</v>
      </c>
      <c r="Q4078" t="n">
        <v>0</v>
      </c>
      <c r="R4078" s="2" t="inlineStr"/>
    </row>
    <row r="4079" ht="15" customHeight="1">
      <c r="A4079" t="inlineStr">
        <is>
          <t>A 2993-2021</t>
        </is>
      </c>
      <c r="B4079" s="1" t="n">
        <v>44216</v>
      </c>
      <c r="C4079" s="1" t="n">
        <v>45911</v>
      </c>
      <c r="D4079" t="inlineStr">
        <is>
          <t>GÄVLEBORGS LÄN</t>
        </is>
      </c>
      <c r="E4079" t="inlineStr">
        <is>
          <t>HUDIKSVALL</t>
        </is>
      </c>
      <c r="F4079" t="inlineStr">
        <is>
          <t>Naturvårdsverket</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55002-2023</t>
        </is>
      </c>
      <c r="B4080" s="1" t="n">
        <v>45236</v>
      </c>
      <c r="C4080" s="1" t="n">
        <v>45911</v>
      </c>
      <c r="D4080" t="inlineStr">
        <is>
          <t>GÄVLEBORGS LÄN</t>
        </is>
      </c>
      <c r="E4080" t="inlineStr">
        <is>
          <t>NORDANSTIG</t>
        </is>
      </c>
      <c r="F4080" t="inlineStr">
        <is>
          <t>SCA</t>
        </is>
      </c>
      <c r="G4080" t="n">
        <v>3.7</v>
      </c>
      <c r="H4080" t="n">
        <v>0</v>
      </c>
      <c r="I4080" t="n">
        <v>0</v>
      </c>
      <c r="J4080" t="n">
        <v>0</v>
      </c>
      <c r="K4080" t="n">
        <v>0</v>
      </c>
      <c r="L4080" t="n">
        <v>0</v>
      </c>
      <c r="M4080" t="n">
        <v>0</v>
      </c>
      <c r="N4080" t="n">
        <v>0</v>
      </c>
      <c r="O4080" t="n">
        <v>0</v>
      </c>
      <c r="P4080" t="n">
        <v>0</v>
      </c>
      <c r="Q4080" t="n">
        <v>0</v>
      </c>
      <c r="R4080" s="2" t="inlineStr"/>
    </row>
    <row r="4081" ht="15" customHeight="1">
      <c r="A4081" t="inlineStr">
        <is>
          <t>A 49207-2023</t>
        </is>
      </c>
      <c r="B4081" s="1" t="n">
        <v>45210</v>
      </c>
      <c r="C4081" s="1" t="n">
        <v>45911</v>
      </c>
      <c r="D4081" t="inlineStr">
        <is>
          <t>GÄVLEBORGS LÄN</t>
        </is>
      </c>
      <c r="E4081" t="inlineStr">
        <is>
          <t>OCKELBO</t>
        </is>
      </c>
      <c r="G4081" t="n">
        <v>0.1</v>
      </c>
      <c r="H4081" t="n">
        <v>0</v>
      </c>
      <c r="I4081" t="n">
        <v>0</v>
      </c>
      <c r="J4081" t="n">
        <v>0</v>
      </c>
      <c r="K4081" t="n">
        <v>0</v>
      </c>
      <c r="L4081" t="n">
        <v>0</v>
      </c>
      <c r="M4081" t="n">
        <v>0</v>
      </c>
      <c r="N4081" t="n">
        <v>0</v>
      </c>
      <c r="O4081" t="n">
        <v>0</v>
      </c>
      <c r="P4081" t="n">
        <v>0</v>
      </c>
      <c r="Q4081" t="n">
        <v>0</v>
      </c>
      <c r="R4081" s="2" t="inlineStr"/>
    </row>
    <row r="4082" ht="15" customHeight="1">
      <c r="A4082" t="inlineStr">
        <is>
          <t>A 30044-2025</t>
        </is>
      </c>
      <c r="B4082" s="1" t="n">
        <v>45826.57925925926</v>
      </c>
      <c r="C4082" s="1" t="n">
        <v>45911</v>
      </c>
      <c r="D4082" t="inlineStr">
        <is>
          <t>GÄVLEBORGS LÄN</t>
        </is>
      </c>
      <c r="E4082" t="inlineStr">
        <is>
          <t>OVANÅKER</t>
        </is>
      </c>
      <c r="F4082" t="inlineStr">
        <is>
          <t>Bergvik skog öst AB</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29748-2025</t>
        </is>
      </c>
      <c r="B4083" s="1" t="n">
        <v>45825.60623842593</v>
      </c>
      <c r="C4083" s="1" t="n">
        <v>45911</v>
      </c>
      <c r="D4083" t="inlineStr">
        <is>
          <t>GÄVLEBORGS LÄN</t>
        </is>
      </c>
      <c r="E4083" t="inlineStr">
        <is>
          <t>SANDVIKEN</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29766-2025</t>
        </is>
      </c>
      <c r="B4084" s="1" t="n">
        <v>45825.61914351852</v>
      </c>
      <c r="C4084" s="1" t="n">
        <v>45911</v>
      </c>
      <c r="D4084" t="inlineStr">
        <is>
          <t>GÄVLEBORGS LÄN</t>
        </is>
      </c>
      <c r="E4084" t="inlineStr">
        <is>
          <t>BOLLNÄS</t>
        </is>
      </c>
      <c r="F4084" t="inlineStr">
        <is>
          <t>Sveaskog</t>
        </is>
      </c>
      <c r="G4084" t="n">
        <v>4.3</v>
      </c>
      <c r="H4084" t="n">
        <v>0</v>
      </c>
      <c r="I4084" t="n">
        <v>0</v>
      </c>
      <c r="J4084" t="n">
        <v>0</v>
      </c>
      <c r="K4084" t="n">
        <v>0</v>
      </c>
      <c r="L4084" t="n">
        <v>0</v>
      </c>
      <c r="M4084" t="n">
        <v>0</v>
      </c>
      <c r="N4084" t="n">
        <v>0</v>
      </c>
      <c r="O4084" t="n">
        <v>0</v>
      </c>
      <c r="P4084" t="n">
        <v>0</v>
      </c>
      <c r="Q4084" t="n">
        <v>0</v>
      </c>
      <c r="R4084" s="2" t="inlineStr"/>
    </row>
    <row r="4085" ht="15" customHeight="1">
      <c r="A4085" t="inlineStr">
        <is>
          <t>A 60041-2023</t>
        </is>
      </c>
      <c r="B4085" s="1" t="n">
        <v>45258.34424768519</v>
      </c>
      <c r="C4085" s="1" t="n">
        <v>45911</v>
      </c>
      <c r="D4085" t="inlineStr">
        <is>
          <t>GÄVLEBORGS LÄN</t>
        </is>
      </c>
      <c r="E4085" t="inlineStr">
        <is>
          <t>NORDANSTIG</t>
        </is>
      </c>
      <c r="G4085" t="n">
        <v>7.2</v>
      </c>
      <c r="H4085" t="n">
        <v>0</v>
      </c>
      <c r="I4085" t="n">
        <v>0</v>
      </c>
      <c r="J4085" t="n">
        <v>0</v>
      </c>
      <c r="K4085" t="n">
        <v>0</v>
      </c>
      <c r="L4085" t="n">
        <v>0</v>
      </c>
      <c r="M4085" t="n">
        <v>0</v>
      </c>
      <c r="N4085" t="n">
        <v>0</v>
      </c>
      <c r="O4085" t="n">
        <v>0</v>
      </c>
      <c r="P4085" t="n">
        <v>0</v>
      </c>
      <c r="Q4085" t="n">
        <v>0</v>
      </c>
      <c r="R4085" s="2" t="inlineStr"/>
    </row>
    <row r="4086" ht="15" customHeight="1">
      <c r="A4086" t="inlineStr">
        <is>
          <t>A 51560-2023</t>
        </is>
      </c>
      <c r="B4086" s="1" t="n">
        <v>45222.44016203703</v>
      </c>
      <c r="C4086" s="1" t="n">
        <v>45911</v>
      </c>
      <c r="D4086" t="inlineStr">
        <is>
          <t>GÄVLEBORGS LÄN</t>
        </is>
      </c>
      <c r="E4086" t="inlineStr">
        <is>
          <t>NORDANSTIG</t>
        </is>
      </c>
      <c r="G4086" t="n">
        <v>26.9</v>
      </c>
      <c r="H4086" t="n">
        <v>0</v>
      </c>
      <c r="I4086" t="n">
        <v>0</v>
      </c>
      <c r="J4086" t="n">
        <v>0</v>
      </c>
      <c r="K4086" t="n">
        <v>0</v>
      </c>
      <c r="L4086" t="n">
        <v>0</v>
      </c>
      <c r="M4086" t="n">
        <v>0</v>
      </c>
      <c r="N4086" t="n">
        <v>0</v>
      </c>
      <c r="O4086" t="n">
        <v>0</v>
      </c>
      <c r="P4086" t="n">
        <v>0</v>
      </c>
      <c r="Q4086" t="n">
        <v>0</v>
      </c>
      <c r="R4086" s="2" t="inlineStr"/>
    </row>
    <row r="4087" ht="15" customHeight="1">
      <c r="A4087" t="inlineStr">
        <is>
          <t>A 9477-2025</t>
        </is>
      </c>
      <c r="B4087" s="1" t="n">
        <v>45715.47542824074</v>
      </c>
      <c r="C4087" s="1" t="n">
        <v>45911</v>
      </c>
      <c r="D4087" t="inlineStr">
        <is>
          <t>GÄVLEBORGS LÄN</t>
        </is>
      </c>
      <c r="E4087" t="inlineStr">
        <is>
          <t>HUDIKSVALL</t>
        </is>
      </c>
      <c r="G4087" t="n">
        <v>2.5</v>
      </c>
      <c r="H4087" t="n">
        <v>0</v>
      </c>
      <c r="I4087" t="n">
        <v>0</v>
      </c>
      <c r="J4087" t="n">
        <v>0</v>
      </c>
      <c r="K4087" t="n">
        <v>0</v>
      </c>
      <c r="L4087" t="n">
        <v>0</v>
      </c>
      <c r="M4087" t="n">
        <v>0</v>
      </c>
      <c r="N4087" t="n">
        <v>0</v>
      </c>
      <c r="O4087" t="n">
        <v>0</v>
      </c>
      <c r="P4087" t="n">
        <v>0</v>
      </c>
      <c r="Q4087" t="n">
        <v>0</v>
      </c>
      <c r="R4087" s="2" t="inlineStr"/>
    </row>
    <row r="4088" ht="15" customHeight="1">
      <c r="A4088" t="inlineStr">
        <is>
          <t>A 33296-2023</t>
        </is>
      </c>
      <c r="B4088" s="1" t="n">
        <v>45127.69603009259</v>
      </c>
      <c r="C4088" s="1" t="n">
        <v>45911</v>
      </c>
      <c r="D4088" t="inlineStr">
        <is>
          <t>GÄVLEBORGS LÄN</t>
        </is>
      </c>
      <c r="E4088" t="inlineStr">
        <is>
          <t>HOFORS</t>
        </is>
      </c>
      <c r="F4088" t="inlineStr">
        <is>
          <t>Sveaskog</t>
        </is>
      </c>
      <c r="G4088" t="n">
        <v>6.4</v>
      </c>
      <c r="H4088" t="n">
        <v>0</v>
      </c>
      <c r="I4088" t="n">
        <v>0</v>
      </c>
      <c r="J4088" t="n">
        <v>0</v>
      </c>
      <c r="K4088" t="n">
        <v>0</v>
      </c>
      <c r="L4088" t="n">
        <v>0</v>
      </c>
      <c r="M4088" t="n">
        <v>0</v>
      </c>
      <c r="N4088" t="n">
        <v>0</v>
      </c>
      <c r="O4088" t="n">
        <v>0</v>
      </c>
      <c r="P4088" t="n">
        <v>0</v>
      </c>
      <c r="Q4088" t="n">
        <v>0</v>
      </c>
      <c r="R4088" s="2" t="inlineStr"/>
    </row>
    <row r="4089" ht="15" customHeight="1">
      <c r="A4089" t="inlineStr">
        <is>
          <t>A 23191-2022</t>
        </is>
      </c>
      <c r="B4089" s="1" t="n">
        <v>44719.92519675926</v>
      </c>
      <c r="C4089" s="1" t="n">
        <v>45911</v>
      </c>
      <c r="D4089" t="inlineStr">
        <is>
          <t>GÄVLEBORGS LÄN</t>
        </is>
      </c>
      <c r="E4089" t="inlineStr">
        <is>
          <t>LJUSDAL</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23192-2022</t>
        </is>
      </c>
      <c r="B4090" s="1" t="n">
        <v>44719.92523148148</v>
      </c>
      <c r="C4090" s="1" t="n">
        <v>45911</v>
      </c>
      <c r="D4090" t="inlineStr">
        <is>
          <t>GÄVLEBORGS LÄN</t>
        </is>
      </c>
      <c r="E4090" t="inlineStr">
        <is>
          <t>LJUSDAL</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29855-2025</t>
        </is>
      </c>
      <c r="B4091" s="1" t="n">
        <v>45826.34469907408</v>
      </c>
      <c r="C4091" s="1" t="n">
        <v>45911</v>
      </c>
      <c r="D4091" t="inlineStr">
        <is>
          <t>GÄVLEBORGS LÄN</t>
        </is>
      </c>
      <c r="E4091" t="inlineStr">
        <is>
          <t>OVANÅKER</t>
        </is>
      </c>
      <c r="F4091" t="inlineStr">
        <is>
          <t>Bergvik skog väst AB</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29887-2025</t>
        </is>
      </c>
      <c r="B4092" s="1" t="n">
        <v>45826.3696412037</v>
      </c>
      <c r="C4092" s="1" t="n">
        <v>45911</v>
      </c>
      <c r="D4092" t="inlineStr">
        <is>
          <t>GÄVLEBORGS LÄN</t>
        </is>
      </c>
      <c r="E4092" t="inlineStr">
        <is>
          <t>OVANÅKER</t>
        </is>
      </c>
      <c r="F4092" t="inlineStr">
        <is>
          <t>Holmen skog AB</t>
        </is>
      </c>
      <c r="G4092" t="n">
        <v>13.7</v>
      </c>
      <c r="H4092" t="n">
        <v>0</v>
      </c>
      <c r="I4092" t="n">
        <v>0</v>
      </c>
      <c r="J4092" t="n">
        <v>0</v>
      </c>
      <c r="K4092" t="n">
        <v>0</v>
      </c>
      <c r="L4092" t="n">
        <v>0</v>
      </c>
      <c r="M4092" t="n">
        <v>0</v>
      </c>
      <c r="N4092" t="n">
        <v>0</v>
      </c>
      <c r="O4092" t="n">
        <v>0</v>
      </c>
      <c r="P4092" t="n">
        <v>0</v>
      </c>
      <c r="Q4092" t="n">
        <v>0</v>
      </c>
      <c r="R4092" s="2" t="inlineStr"/>
    </row>
    <row r="4093" ht="15" customHeight="1">
      <c r="A4093" t="inlineStr">
        <is>
          <t>A 30022-2025</t>
        </is>
      </c>
      <c r="B4093" s="1" t="n">
        <v>45826.5583449074</v>
      </c>
      <c r="C4093" s="1" t="n">
        <v>45911</v>
      </c>
      <c r="D4093" t="inlineStr">
        <is>
          <t>GÄVLEBORGS LÄN</t>
        </is>
      </c>
      <c r="E4093" t="inlineStr">
        <is>
          <t>NORDANSTIG</t>
        </is>
      </c>
      <c r="F4093" t="inlineStr">
        <is>
          <t>Holmen skog AB</t>
        </is>
      </c>
      <c r="G4093" t="n">
        <v>4.2</v>
      </c>
      <c r="H4093" t="n">
        <v>0</v>
      </c>
      <c r="I4093" t="n">
        <v>0</v>
      </c>
      <c r="J4093" t="n">
        <v>0</v>
      </c>
      <c r="K4093" t="n">
        <v>0</v>
      </c>
      <c r="L4093" t="n">
        <v>0</v>
      </c>
      <c r="M4093" t="n">
        <v>0</v>
      </c>
      <c r="N4093" t="n">
        <v>0</v>
      </c>
      <c r="O4093" t="n">
        <v>0</v>
      </c>
      <c r="P4093" t="n">
        <v>0</v>
      </c>
      <c r="Q4093" t="n">
        <v>0</v>
      </c>
      <c r="R4093" s="2" t="inlineStr"/>
    </row>
    <row r="4094" ht="15" customHeight="1">
      <c r="A4094" t="inlineStr">
        <is>
          <t>A 30033-2025</t>
        </is>
      </c>
      <c r="B4094" s="1" t="n">
        <v>45826.56905092593</v>
      </c>
      <c r="C4094" s="1" t="n">
        <v>45911</v>
      </c>
      <c r="D4094" t="inlineStr">
        <is>
          <t>GÄVLEBORGS LÄN</t>
        </is>
      </c>
      <c r="E4094" t="inlineStr">
        <is>
          <t>OVANÅKER</t>
        </is>
      </c>
      <c r="F4094" t="inlineStr">
        <is>
          <t>Holmen skog AB</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16371-2022</t>
        </is>
      </c>
      <c r="B4095" s="1" t="n">
        <v>44671</v>
      </c>
      <c r="C4095" s="1" t="n">
        <v>45911</v>
      </c>
      <c r="D4095" t="inlineStr">
        <is>
          <t>GÄVLEBORGS LÄN</t>
        </is>
      </c>
      <c r="E4095" t="inlineStr">
        <is>
          <t>HOFORS</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59409-2023</t>
        </is>
      </c>
      <c r="B4096" s="1" t="n">
        <v>45253</v>
      </c>
      <c r="C4096" s="1" t="n">
        <v>45911</v>
      </c>
      <c r="D4096" t="inlineStr">
        <is>
          <t>GÄVLEBORGS LÄN</t>
        </is>
      </c>
      <c r="E4096" t="inlineStr">
        <is>
          <t>NORDANSTIG</t>
        </is>
      </c>
      <c r="G4096" t="n">
        <v>12.5</v>
      </c>
      <c r="H4096" t="n">
        <v>0</v>
      </c>
      <c r="I4096" t="n">
        <v>0</v>
      </c>
      <c r="J4096" t="n">
        <v>0</v>
      </c>
      <c r="K4096" t="n">
        <v>0</v>
      </c>
      <c r="L4096" t="n">
        <v>0</v>
      </c>
      <c r="M4096" t="n">
        <v>0</v>
      </c>
      <c r="N4096" t="n">
        <v>0</v>
      </c>
      <c r="O4096" t="n">
        <v>0</v>
      </c>
      <c r="P4096" t="n">
        <v>0</v>
      </c>
      <c r="Q4096" t="n">
        <v>0</v>
      </c>
      <c r="R4096" s="2" t="inlineStr"/>
    </row>
    <row r="4097" ht="15" customHeight="1">
      <c r="A4097" t="inlineStr">
        <is>
          <t>A 36521-2022</t>
        </is>
      </c>
      <c r="B4097" s="1" t="n">
        <v>44804.53847222222</v>
      </c>
      <c r="C4097" s="1" t="n">
        <v>45911</v>
      </c>
      <c r="D4097" t="inlineStr">
        <is>
          <t>GÄVLEBORGS LÄN</t>
        </is>
      </c>
      <c r="E4097" t="inlineStr">
        <is>
          <t>OCKELBO</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60398-2023</t>
        </is>
      </c>
      <c r="B4098" s="1" t="n">
        <v>45259</v>
      </c>
      <c r="C4098" s="1" t="n">
        <v>45911</v>
      </c>
      <c r="D4098" t="inlineStr">
        <is>
          <t>GÄVLEBORGS LÄN</t>
        </is>
      </c>
      <c r="E4098" t="inlineStr">
        <is>
          <t>NORDANSTIG</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10740-2025</t>
        </is>
      </c>
      <c r="B4099" s="1" t="n">
        <v>45722.41008101852</v>
      </c>
      <c r="C4099" s="1" t="n">
        <v>45911</v>
      </c>
      <c r="D4099" t="inlineStr">
        <is>
          <t>GÄVLEBORGS LÄN</t>
        </is>
      </c>
      <c r="E4099" t="inlineStr">
        <is>
          <t>HOFORS</t>
        </is>
      </c>
      <c r="G4099" t="n">
        <v>2.7</v>
      </c>
      <c r="H4099" t="n">
        <v>0</v>
      </c>
      <c r="I4099" t="n">
        <v>0</v>
      </c>
      <c r="J4099" t="n">
        <v>0</v>
      </c>
      <c r="K4099" t="n">
        <v>0</v>
      </c>
      <c r="L4099" t="n">
        <v>0</v>
      </c>
      <c r="M4099" t="n">
        <v>0</v>
      </c>
      <c r="N4099" t="n">
        <v>0</v>
      </c>
      <c r="O4099" t="n">
        <v>0</v>
      </c>
      <c r="P4099" t="n">
        <v>0</v>
      </c>
      <c r="Q4099" t="n">
        <v>0</v>
      </c>
      <c r="R4099" s="2" t="inlineStr"/>
    </row>
    <row r="4100" ht="15" customHeight="1">
      <c r="A4100" t="inlineStr">
        <is>
          <t>A 17962-2025</t>
        </is>
      </c>
      <c r="B4100" s="1" t="n">
        <v>45761.33565972222</v>
      </c>
      <c r="C4100" s="1" t="n">
        <v>45911</v>
      </c>
      <c r="D4100" t="inlineStr">
        <is>
          <t>GÄVLEBORGS LÄN</t>
        </is>
      </c>
      <c r="E4100" t="inlineStr">
        <is>
          <t>OVANÅKER</t>
        </is>
      </c>
      <c r="F4100" t="inlineStr">
        <is>
          <t>Holmen skog AB</t>
        </is>
      </c>
      <c r="G4100" t="n">
        <v>12.6</v>
      </c>
      <c r="H4100" t="n">
        <v>0</v>
      </c>
      <c r="I4100" t="n">
        <v>0</v>
      </c>
      <c r="J4100" t="n">
        <v>0</v>
      </c>
      <c r="K4100" t="n">
        <v>0</v>
      </c>
      <c r="L4100" t="n">
        <v>0</v>
      </c>
      <c r="M4100" t="n">
        <v>0</v>
      </c>
      <c r="N4100" t="n">
        <v>0</v>
      </c>
      <c r="O4100" t="n">
        <v>0</v>
      </c>
      <c r="P4100" t="n">
        <v>0</v>
      </c>
      <c r="Q4100" t="n">
        <v>0</v>
      </c>
      <c r="R4100" s="2" t="inlineStr"/>
    </row>
    <row r="4101" ht="15" customHeight="1">
      <c r="A4101" t="inlineStr">
        <is>
          <t>A 18014-2025</t>
        </is>
      </c>
      <c r="B4101" s="1" t="n">
        <v>45761.43936342592</v>
      </c>
      <c r="C4101" s="1" t="n">
        <v>45911</v>
      </c>
      <c r="D4101" t="inlineStr">
        <is>
          <t>GÄVLEBORGS LÄN</t>
        </is>
      </c>
      <c r="E4101" t="inlineStr">
        <is>
          <t>LJUSDAL</t>
        </is>
      </c>
      <c r="F4101" t="inlineStr">
        <is>
          <t>Bergvik skog väst AB</t>
        </is>
      </c>
      <c r="G4101" t="n">
        <v>21.9</v>
      </c>
      <c r="H4101" t="n">
        <v>0</v>
      </c>
      <c r="I4101" t="n">
        <v>0</v>
      </c>
      <c r="J4101" t="n">
        <v>0</v>
      </c>
      <c r="K4101" t="n">
        <v>0</v>
      </c>
      <c r="L4101" t="n">
        <v>0</v>
      </c>
      <c r="M4101" t="n">
        <v>0</v>
      </c>
      <c r="N4101" t="n">
        <v>0</v>
      </c>
      <c r="O4101" t="n">
        <v>0</v>
      </c>
      <c r="P4101" t="n">
        <v>0</v>
      </c>
      <c r="Q4101" t="n">
        <v>0</v>
      </c>
      <c r="R4101" s="2" t="inlineStr"/>
    </row>
    <row r="4102" ht="15" customHeight="1">
      <c r="A4102" t="inlineStr">
        <is>
          <t>A 30029-2025</t>
        </is>
      </c>
      <c r="B4102" s="1" t="n">
        <v>45826.56724537037</v>
      </c>
      <c r="C4102" s="1" t="n">
        <v>45911</v>
      </c>
      <c r="D4102" t="inlineStr">
        <is>
          <t>GÄVLEBORGS LÄN</t>
        </is>
      </c>
      <c r="E4102" t="inlineStr">
        <is>
          <t>OVANÅKER</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18611-2025</t>
        </is>
      </c>
      <c r="B4103" s="1" t="n">
        <v>45763.49574074074</v>
      </c>
      <c r="C4103" s="1" t="n">
        <v>45911</v>
      </c>
      <c r="D4103" t="inlineStr">
        <is>
          <t>GÄVLEBORGS LÄN</t>
        </is>
      </c>
      <c r="E4103" t="inlineStr">
        <is>
          <t>SANDVIKEN</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29523-2025</t>
        </is>
      </c>
      <c r="B4104" s="1" t="n">
        <v>45825.33288194444</v>
      </c>
      <c r="C4104" s="1" t="n">
        <v>45911</v>
      </c>
      <c r="D4104" t="inlineStr">
        <is>
          <t>GÄVLEBORGS LÄN</t>
        </is>
      </c>
      <c r="E4104" t="inlineStr">
        <is>
          <t>LJUSDAL</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41023-2023</t>
        </is>
      </c>
      <c r="B4105" s="1" t="n">
        <v>45173.59473379629</v>
      </c>
      <c r="C4105" s="1" t="n">
        <v>45911</v>
      </c>
      <c r="D4105" t="inlineStr">
        <is>
          <t>GÄVLEBORGS LÄN</t>
        </is>
      </c>
      <c r="E4105" t="inlineStr">
        <is>
          <t>SANDVIKEN</t>
        </is>
      </c>
      <c r="F4105" t="inlineStr">
        <is>
          <t>Sveaskog</t>
        </is>
      </c>
      <c r="G4105" t="n">
        <v>5.2</v>
      </c>
      <c r="H4105" t="n">
        <v>0</v>
      </c>
      <c r="I4105" t="n">
        <v>0</v>
      </c>
      <c r="J4105" t="n">
        <v>0</v>
      </c>
      <c r="K4105" t="n">
        <v>0</v>
      </c>
      <c r="L4105" t="n">
        <v>0</v>
      </c>
      <c r="M4105" t="n">
        <v>0</v>
      </c>
      <c r="N4105" t="n">
        <v>0</v>
      </c>
      <c r="O4105" t="n">
        <v>0</v>
      </c>
      <c r="P4105" t="n">
        <v>0</v>
      </c>
      <c r="Q4105" t="n">
        <v>0</v>
      </c>
      <c r="R4105" s="2" t="inlineStr"/>
    </row>
    <row r="4106" ht="15" customHeight="1">
      <c r="A4106" t="inlineStr">
        <is>
          <t>A 35997-2023</t>
        </is>
      </c>
      <c r="B4106" s="1" t="n">
        <v>45149.33300925926</v>
      </c>
      <c r="C4106" s="1" t="n">
        <v>45911</v>
      </c>
      <c r="D4106" t="inlineStr">
        <is>
          <t>GÄVLEBORGS LÄN</t>
        </is>
      </c>
      <c r="E4106" t="inlineStr">
        <is>
          <t>LJUSDAL</t>
        </is>
      </c>
      <c r="F4106" t="inlineStr">
        <is>
          <t>Holmen skog AB</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58562-2023</t>
        </is>
      </c>
      <c r="B4107" s="1" t="n">
        <v>45251.43935185186</v>
      </c>
      <c r="C4107" s="1" t="n">
        <v>45911</v>
      </c>
      <c r="D4107" t="inlineStr">
        <is>
          <t>GÄVLEBORGS LÄN</t>
        </is>
      </c>
      <c r="E4107" t="inlineStr">
        <is>
          <t>SANDVIKEN</t>
        </is>
      </c>
      <c r="G4107" t="n">
        <v>2.9</v>
      </c>
      <c r="H4107" t="n">
        <v>0</v>
      </c>
      <c r="I4107" t="n">
        <v>0</v>
      </c>
      <c r="J4107" t="n">
        <v>0</v>
      </c>
      <c r="K4107" t="n">
        <v>0</v>
      </c>
      <c r="L4107" t="n">
        <v>0</v>
      </c>
      <c r="M4107" t="n">
        <v>0</v>
      </c>
      <c r="N4107" t="n">
        <v>0</v>
      </c>
      <c r="O4107" t="n">
        <v>0</v>
      </c>
      <c r="P4107" t="n">
        <v>0</v>
      </c>
      <c r="Q4107" t="n">
        <v>0</v>
      </c>
      <c r="R4107" s="2" t="inlineStr"/>
    </row>
    <row r="4108" ht="15" customHeight="1">
      <c r="A4108" t="inlineStr">
        <is>
          <t>A 26249-2022</t>
        </is>
      </c>
      <c r="B4108" s="1" t="n">
        <v>44735.49341435185</v>
      </c>
      <c r="C4108" s="1" t="n">
        <v>45911</v>
      </c>
      <c r="D4108" t="inlineStr">
        <is>
          <t>GÄVLEBORGS LÄN</t>
        </is>
      </c>
      <c r="E4108" t="inlineStr">
        <is>
          <t>GÄVLE</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6903-2025</t>
        </is>
      </c>
      <c r="B4109" s="1" t="n">
        <v>45701</v>
      </c>
      <c r="C4109" s="1" t="n">
        <v>45911</v>
      </c>
      <c r="D4109" t="inlineStr">
        <is>
          <t>GÄVLEBORGS LÄN</t>
        </is>
      </c>
      <c r="E4109" t="inlineStr">
        <is>
          <t>BOLLNÄS</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29614-2025</t>
        </is>
      </c>
      <c r="B4110" s="1" t="n">
        <v>45825.42587962963</v>
      </c>
      <c r="C4110" s="1" t="n">
        <v>45911</v>
      </c>
      <c r="D4110" t="inlineStr">
        <is>
          <t>GÄVLEBORGS LÄN</t>
        </is>
      </c>
      <c r="E4110" t="inlineStr">
        <is>
          <t>OVANÅKER</t>
        </is>
      </c>
      <c r="F4110" t="inlineStr">
        <is>
          <t>Bergvik skog väst AB</t>
        </is>
      </c>
      <c r="G4110" t="n">
        <v>8.6</v>
      </c>
      <c r="H4110" t="n">
        <v>0</v>
      </c>
      <c r="I4110" t="n">
        <v>0</v>
      </c>
      <c r="J4110" t="n">
        <v>0</v>
      </c>
      <c r="K4110" t="n">
        <v>0</v>
      </c>
      <c r="L4110" t="n">
        <v>0</v>
      </c>
      <c r="M4110" t="n">
        <v>0</v>
      </c>
      <c r="N4110" t="n">
        <v>0</v>
      </c>
      <c r="O4110" t="n">
        <v>0</v>
      </c>
      <c r="P4110" t="n">
        <v>0</v>
      </c>
      <c r="Q4110" t="n">
        <v>0</v>
      </c>
      <c r="R4110" s="2" t="inlineStr"/>
    </row>
    <row r="4111" ht="15" customHeight="1">
      <c r="A4111" t="inlineStr">
        <is>
          <t>A 58369-2023</t>
        </is>
      </c>
      <c r="B4111" s="1" t="n">
        <v>45250</v>
      </c>
      <c r="C4111" s="1" t="n">
        <v>45911</v>
      </c>
      <c r="D4111" t="inlineStr">
        <is>
          <t>GÄVLEBORGS LÄN</t>
        </is>
      </c>
      <c r="E4111" t="inlineStr">
        <is>
          <t>HOFORS</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29635-2025</t>
        </is>
      </c>
      <c r="B4112" s="1" t="n">
        <v>45825.45329861111</v>
      </c>
      <c r="C4112" s="1" t="n">
        <v>45911</v>
      </c>
      <c r="D4112" t="inlineStr">
        <is>
          <t>GÄVLEBORGS LÄN</t>
        </is>
      </c>
      <c r="E4112" t="inlineStr">
        <is>
          <t>OVANÅKER</t>
        </is>
      </c>
      <c r="F4112" t="inlineStr">
        <is>
          <t>Bergvik skog väst AB</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4414-2022</t>
        </is>
      </c>
      <c r="B4113" s="1" t="n">
        <v>44589</v>
      </c>
      <c r="C4113" s="1" t="n">
        <v>45911</v>
      </c>
      <c r="D4113" t="inlineStr">
        <is>
          <t>GÄVLEBORGS LÄN</t>
        </is>
      </c>
      <c r="E4113" t="inlineStr">
        <is>
          <t>NORDANSTIG</t>
        </is>
      </c>
      <c r="G4113" t="n">
        <v>12.6</v>
      </c>
      <c r="H4113" t="n">
        <v>0</v>
      </c>
      <c r="I4113" t="n">
        <v>0</v>
      </c>
      <c r="J4113" t="n">
        <v>0</v>
      </c>
      <c r="K4113" t="n">
        <v>0</v>
      </c>
      <c r="L4113" t="n">
        <v>0</v>
      </c>
      <c r="M4113" t="n">
        <v>0</v>
      </c>
      <c r="N4113" t="n">
        <v>0</v>
      </c>
      <c r="O4113" t="n">
        <v>0</v>
      </c>
      <c r="P4113" t="n">
        <v>0</v>
      </c>
      <c r="Q4113" t="n">
        <v>0</v>
      </c>
      <c r="R4113" s="2" t="inlineStr"/>
    </row>
    <row r="4114" ht="15" customHeight="1">
      <c r="A4114" t="inlineStr">
        <is>
          <t>A 41525-2024</t>
        </is>
      </c>
      <c r="B4114" s="1" t="n">
        <v>45560</v>
      </c>
      <c r="C4114" s="1" t="n">
        <v>45911</v>
      </c>
      <c r="D4114" t="inlineStr">
        <is>
          <t>GÄVLEBORGS LÄN</t>
        </is>
      </c>
      <c r="E4114" t="inlineStr">
        <is>
          <t>GÄVLE</t>
        </is>
      </c>
      <c r="G4114" t="n">
        <v>2.9</v>
      </c>
      <c r="H4114" t="n">
        <v>0</v>
      </c>
      <c r="I4114" t="n">
        <v>0</v>
      </c>
      <c r="J4114" t="n">
        <v>0</v>
      </c>
      <c r="K4114" t="n">
        <v>0</v>
      </c>
      <c r="L4114" t="n">
        <v>0</v>
      </c>
      <c r="M4114" t="n">
        <v>0</v>
      </c>
      <c r="N4114" t="n">
        <v>0</v>
      </c>
      <c r="O4114" t="n">
        <v>0</v>
      </c>
      <c r="P4114" t="n">
        <v>0</v>
      </c>
      <c r="Q4114" t="n">
        <v>0</v>
      </c>
      <c r="R4114" s="2" t="inlineStr"/>
    </row>
    <row r="4115" ht="15" customHeight="1">
      <c r="A4115" t="inlineStr">
        <is>
          <t>A 22588-2023</t>
        </is>
      </c>
      <c r="B4115" s="1" t="n">
        <v>45071.48023148148</v>
      </c>
      <c r="C4115" s="1" t="n">
        <v>45911</v>
      </c>
      <c r="D4115" t="inlineStr">
        <is>
          <t>GÄVLEBORGS LÄN</t>
        </is>
      </c>
      <c r="E4115" t="inlineStr">
        <is>
          <t>HUDIKSVALL</t>
        </is>
      </c>
      <c r="G4115" t="n">
        <v>8.4</v>
      </c>
      <c r="H4115" t="n">
        <v>0</v>
      </c>
      <c r="I4115" t="n">
        <v>0</v>
      </c>
      <c r="J4115" t="n">
        <v>0</v>
      </c>
      <c r="K4115" t="n">
        <v>0</v>
      </c>
      <c r="L4115" t="n">
        <v>0</v>
      </c>
      <c r="M4115" t="n">
        <v>0</v>
      </c>
      <c r="N4115" t="n">
        <v>0</v>
      </c>
      <c r="O4115" t="n">
        <v>0</v>
      </c>
      <c r="P4115" t="n">
        <v>0</v>
      </c>
      <c r="Q4115" t="n">
        <v>0</v>
      </c>
      <c r="R4115" s="2" t="inlineStr"/>
    </row>
    <row r="4116" ht="15" customHeight="1">
      <c r="A4116" t="inlineStr">
        <is>
          <t>A 29491-2025</t>
        </is>
      </c>
      <c r="B4116" s="1" t="n">
        <v>45824.78724537037</v>
      </c>
      <c r="C4116" s="1" t="n">
        <v>45911</v>
      </c>
      <c r="D4116" t="inlineStr">
        <is>
          <t>GÄVLEBORGS LÄN</t>
        </is>
      </c>
      <c r="E4116" t="inlineStr">
        <is>
          <t>LJUSDAL</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29835-2025</t>
        </is>
      </c>
      <c r="B4117" s="1" t="n">
        <v>45825.94304398148</v>
      </c>
      <c r="C4117" s="1" t="n">
        <v>45911</v>
      </c>
      <c r="D4117" t="inlineStr">
        <is>
          <t>GÄVLEBORGS LÄN</t>
        </is>
      </c>
      <c r="E4117" t="inlineStr">
        <is>
          <t>SÖDERHAMN</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29289-2022</t>
        </is>
      </c>
      <c r="B4118" s="1" t="n">
        <v>44750</v>
      </c>
      <c r="C4118" s="1" t="n">
        <v>45911</v>
      </c>
      <c r="D4118" t="inlineStr">
        <is>
          <t>GÄVLEBORGS LÄN</t>
        </is>
      </c>
      <c r="E4118" t="inlineStr">
        <is>
          <t>SÖDERHAMN</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18909-2025</t>
        </is>
      </c>
      <c r="B4119" s="1" t="n">
        <v>45764.46388888889</v>
      </c>
      <c r="C4119" s="1" t="n">
        <v>45911</v>
      </c>
      <c r="D4119" t="inlineStr">
        <is>
          <t>GÄVLEBORGS LÄN</t>
        </is>
      </c>
      <c r="E4119" t="inlineStr">
        <is>
          <t>SÖDERHAMN</t>
        </is>
      </c>
      <c r="F4119" t="inlineStr">
        <is>
          <t>Kommuner</t>
        </is>
      </c>
      <c r="G4119" t="n">
        <v>4.1</v>
      </c>
      <c r="H4119" t="n">
        <v>0</v>
      </c>
      <c r="I4119" t="n">
        <v>0</v>
      </c>
      <c r="J4119" t="n">
        <v>0</v>
      </c>
      <c r="K4119" t="n">
        <v>0</v>
      </c>
      <c r="L4119" t="n">
        <v>0</v>
      </c>
      <c r="M4119" t="n">
        <v>0</v>
      </c>
      <c r="N4119" t="n">
        <v>0</v>
      </c>
      <c r="O4119" t="n">
        <v>0</v>
      </c>
      <c r="P4119" t="n">
        <v>0</v>
      </c>
      <c r="Q4119" t="n">
        <v>0</v>
      </c>
      <c r="R4119" s="2" t="inlineStr"/>
    </row>
    <row r="4120" ht="15" customHeight="1">
      <c r="A4120" t="inlineStr">
        <is>
          <t>A 18911-2025</t>
        </is>
      </c>
      <c r="B4120" s="1" t="n">
        <v>45764.46538194444</v>
      </c>
      <c r="C4120" s="1" t="n">
        <v>45911</v>
      </c>
      <c r="D4120" t="inlineStr">
        <is>
          <t>GÄVLEBORGS LÄN</t>
        </is>
      </c>
      <c r="E4120" t="inlineStr">
        <is>
          <t>LJUSDAL</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24228-2022</t>
        </is>
      </c>
      <c r="B4121" s="1" t="n">
        <v>44725</v>
      </c>
      <c r="C4121" s="1" t="n">
        <v>45911</v>
      </c>
      <c r="D4121" t="inlineStr">
        <is>
          <t>GÄVLEBORGS LÄN</t>
        </is>
      </c>
      <c r="E4121" t="inlineStr">
        <is>
          <t>OCKELBO</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18926-2025</t>
        </is>
      </c>
      <c r="B4122" s="1" t="n">
        <v>45764.48270833334</v>
      </c>
      <c r="C4122" s="1" t="n">
        <v>45911</v>
      </c>
      <c r="D4122" t="inlineStr">
        <is>
          <t>GÄVLEBORGS LÄN</t>
        </is>
      </c>
      <c r="E4122" t="inlineStr">
        <is>
          <t>HUDIKSVALL</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29851-2025</t>
        </is>
      </c>
      <c r="B4123" s="1" t="n">
        <v>45826.33542824074</v>
      </c>
      <c r="C4123" s="1" t="n">
        <v>45911</v>
      </c>
      <c r="D4123" t="inlineStr">
        <is>
          <t>GÄVLEBORGS LÄN</t>
        </is>
      </c>
      <c r="E4123" t="inlineStr">
        <is>
          <t>OCKELBO</t>
        </is>
      </c>
      <c r="G4123" t="n">
        <v>6.6</v>
      </c>
      <c r="H4123" t="n">
        <v>0</v>
      </c>
      <c r="I4123" t="n">
        <v>0</v>
      </c>
      <c r="J4123" t="n">
        <v>0</v>
      </c>
      <c r="K4123" t="n">
        <v>0</v>
      </c>
      <c r="L4123" t="n">
        <v>0</v>
      </c>
      <c r="M4123" t="n">
        <v>0</v>
      </c>
      <c r="N4123" t="n">
        <v>0</v>
      </c>
      <c r="O4123" t="n">
        <v>0</v>
      </c>
      <c r="P4123" t="n">
        <v>0</v>
      </c>
      <c r="Q4123" t="n">
        <v>0</v>
      </c>
      <c r="R4123" s="2" t="inlineStr"/>
    </row>
    <row r="4124" ht="15" customHeight="1">
      <c r="A4124" t="inlineStr">
        <is>
          <t>A 29493-2025</t>
        </is>
      </c>
      <c r="B4124" s="1" t="n">
        <v>45824.80202546297</v>
      </c>
      <c r="C4124" s="1" t="n">
        <v>45911</v>
      </c>
      <c r="D4124" t="inlineStr">
        <is>
          <t>GÄVLEBORGS LÄN</t>
        </is>
      </c>
      <c r="E4124" t="inlineStr">
        <is>
          <t>LJUSDAL</t>
        </is>
      </c>
      <c r="G4124" t="n">
        <v>3.2</v>
      </c>
      <c r="H4124" t="n">
        <v>0</v>
      </c>
      <c r="I4124" t="n">
        <v>0</v>
      </c>
      <c r="J4124" t="n">
        <v>0</v>
      </c>
      <c r="K4124" t="n">
        <v>0</v>
      </c>
      <c r="L4124" t="n">
        <v>0</v>
      </c>
      <c r="M4124" t="n">
        <v>0</v>
      </c>
      <c r="N4124" t="n">
        <v>0</v>
      </c>
      <c r="O4124" t="n">
        <v>0</v>
      </c>
      <c r="P4124" t="n">
        <v>0</v>
      </c>
      <c r="Q4124" t="n">
        <v>0</v>
      </c>
      <c r="R4124" s="2" t="inlineStr"/>
    </row>
    <row r="4125" ht="15" customHeight="1">
      <c r="A4125" t="inlineStr">
        <is>
          <t>A 14563-2025</t>
        </is>
      </c>
      <c r="B4125" s="1" t="n">
        <v>45741</v>
      </c>
      <c r="C4125" s="1" t="n">
        <v>45911</v>
      </c>
      <c r="D4125" t="inlineStr">
        <is>
          <t>GÄVLEBORGS LÄN</t>
        </is>
      </c>
      <c r="E4125" t="inlineStr">
        <is>
          <t>GÄVLE</t>
        </is>
      </c>
      <c r="G4125" t="n">
        <v>4</v>
      </c>
      <c r="H4125" t="n">
        <v>0</v>
      </c>
      <c r="I4125" t="n">
        <v>0</v>
      </c>
      <c r="J4125" t="n">
        <v>0</v>
      </c>
      <c r="K4125" t="n">
        <v>0</v>
      </c>
      <c r="L4125" t="n">
        <v>0</v>
      </c>
      <c r="M4125" t="n">
        <v>0</v>
      </c>
      <c r="N4125" t="n">
        <v>0</v>
      </c>
      <c r="O4125" t="n">
        <v>0</v>
      </c>
      <c r="P4125" t="n">
        <v>0</v>
      </c>
      <c r="Q4125" t="n">
        <v>0</v>
      </c>
      <c r="R4125" s="2" t="inlineStr"/>
    </row>
    <row r="4126" ht="15" customHeight="1">
      <c r="A4126" t="inlineStr">
        <is>
          <t>A 20999-2022</t>
        </is>
      </c>
      <c r="B4126" s="1" t="n">
        <v>44701</v>
      </c>
      <c r="C4126" s="1" t="n">
        <v>45911</v>
      </c>
      <c r="D4126" t="inlineStr">
        <is>
          <t>GÄVLEBORGS LÄN</t>
        </is>
      </c>
      <c r="E4126" t="inlineStr">
        <is>
          <t>GÄVLE</t>
        </is>
      </c>
      <c r="F4126" t="inlineStr">
        <is>
          <t>Bergvik skog väst AB</t>
        </is>
      </c>
      <c r="G4126" t="n">
        <v>26.3</v>
      </c>
      <c r="H4126" t="n">
        <v>0</v>
      </c>
      <c r="I4126" t="n">
        <v>0</v>
      </c>
      <c r="J4126" t="n">
        <v>0</v>
      </c>
      <c r="K4126" t="n">
        <v>0</v>
      </c>
      <c r="L4126" t="n">
        <v>0</v>
      </c>
      <c r="M4126" t="n">
        <v>0</v>
      </c>
      <c r="N4126" t="n">
        <v>0</v>
      </c>
      <c r="O4126" t="n">
        <v>0</v>
      </c>
      <c r="P4126" t="n">
        <v>0</v>
      </c>
      <c r="Q4126" t="n">
        <v>0</v>
      </c>
      <c r="R4126" s="2" t="inlineStr"/>
    </row>
    <row r="4127" ht="15" customHeight="1">
      <c r="A4127" t="inlineStr">
        <is>
          <t>A 29830-2025</t>
        </is>
      </c>
      <c r="B4127" s="1" t="n">
        <v>45825.91829861111</v>
      </c>
      <c r="C4127" s="1" t="n">
        <v>45911</v>
      </c>
      <c r="D4127" t="inlineStr">
        <is>
          <t>GÄVLEBORGS LÄN</t>
        </is>
      </c>
      <c r="E4127" t="inlineStr">
        <is>
          <t>SANDVIKEN</t>
        </is>
      </c>
      <c r="G4127" t="n">
        <v>1.7</v>
      </c>
      <c r="H4127" t="n">
        <v>0</v>
      </c>
      <c r="I4127" t="n">
        <v>0</v>
      </c>
      <c r="J4127" t="n">
        <v>0</v>
      </c>
      <c r="K4127" t="n">
        <v>0</v>
      </c>
      <c r="L4127" t="n">
        <v>0</v>
      </c>
      <c r="M4127" t="n">
        <v>0</v>
      </c>
      <c r="N4127" t="n">
        <v>0</v>
      </c>
      <c r="O4127" t="n">
        <v>0</v>
      </c>
      <c r="P4127" t="n">
        <v>0</v>
      </c>
      <c r="Q4127" t="n">
        <v>0</v>
      </c>
      <c r="R4127" s="2" t="inlineStr"/>
      <c r="U4127">
        <f>HYPERLINK("https://klasma.github.io/Logging_2181/knärot/A 29830-2025 karta knärot.png", "A 29830-2025")</f>
        <v/>
      </c>
      <c r="V4127">
        <f>HYPERLINK("https://klasma.github.io/Logging_2181/klagomål/A 29830-2025 FSC-klagomål.docx", "A 29830-2025")</f>
        <v/>
      </c>
      <c r="W4127">
        <f>HYPERLINK("https://klasma.github.io/Logging_2181/klagomålsmail/A 29830-2025 FSC-klagomål mail.docx", "A 29830-2025")</f>
        <v/>
      </c>
      <c r="X4127">
        <f>HYPERLINK("https://klasma.github.io/Logging_2181/tillsyn/A 29830-2025 tillsynsbegäran.docx", "A 29830-2025")</f>
        <v/>
      </c>
      <c r="Y4127">
        <f>HYPERLINK("https://klasma.github.io/Logging_2181/tillsynsmail/A 29830-2025 tillsynsbegäran mail.docx", "A 29830-2025")</f>
        <v/>
      </c>
    </row>
    <row r="4128" ht="15" customHeight="1">
      <c r="A4128" t="inlineStr">
        <is>
          <t>A 30058-2025</t>
        </is>
      </c>
      <c r="B4128" s="1" t="n">
        <v>45826.60596064815</v>
      </c>
      <c r="C4128" s="1" t="n">
        <v>45911</v>
      </c>
      <c r="D4128" t="inlineStr">
        <is>
          <t>GÄVLEBORGS LÄN</t>
        </is>
      </c>
      <c r="E4128" t="inlineStr">
        <is>
          <t>SÖDERHAMN</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29892-2025</t>
        </is>
      </c>
      <c r="B4129" s="1" t="n">
        <v>45826.37696759259</v>
      </c>
      <c r="C4129" s="1" t="n">
        <v>45911</v>
      </c>
      <c r="D4129" t="inlineStr">
        <is>
          <t>GÄVLEBORGS LÄN</t>
        </is>
      </c>
      <c r="E4129" t="inlineStr">
        <is>
          <t>OVANÅKER</t>
        </is>
      </c>
      <c r="F4129" t="inlineStr">
        <is>
          <t>Holmen skog AB</t>
        </is>
      </c>
      <c r="G4129" t="n">
        <v>10.5</v>
      </c>
      <c r="H4129" t="n">
        <v>0</v>
      </c>
      <c r="I4129" t="n">
        <v>0</v>
      </c>
      <c r="J4129" t="n">
        <v>0</v>
      </c>
      <c r="K4129" t="n">
        <v>0</v>
      </c>
      <c r="L4129" t="n">
        <v>0</v>
      </c>
      <c r="M4129" t="n">
        <v>0</v>
      </c>
      <c r="N4129" t="n">
        <v>0</v>
      </c>
      <c r="O4129" t="n">
        <v>0</v>
      </c>
      <c r="P4129" t="n">
        <v>0</v>
      </c>
      <c r="Q4129" t="n">
        <v>0</v>
      </c>
      <c r="R4129" s="2" t="inlineStr"/>
    </row>
    <row r="4130" ht="15" customHeight="1">
      <c r="A4130" t="inlineStr">
        <is>
          <t>A 25477-2024</t>
        </is>
      </c>
      <c r="B4130" s="1" t="n">
        <v>45463.45015046297</v>
      </c>
      <c r="C4130" s="1" t="n">
        <v>45911</v>
      </c>
      <c r="D4130" t="inlineStr">
        <is>
          <t>GÄVLEBORGS LÄN</t>
        </is>
      </c>
      <c r="E4130" t="inlineStr">
        <is>
          <t>HOFORS</t>
        </is>
      </c>
      <c r="F4130" t="inlineStr">
        <is>
          <t>Sveaskog</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43930-2023</t>
        </is>
      </c>
      <c r="B4131" s="1" t="n">
        <v>45187</v>
      </c>
      <c r="C4131" s="1" t="n">
        <v>45911</v>
      </c>
      <c r="D4131" t="inlineStr">
        <is>
          <t>GÄVLEBORGS LÄN</t>
        </is>
      </c>
      <c r="E4131" t="inlineStr">
        <is>
          <t>HUDIKSVALL</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15197-2025</t>
        </is>
      </c>
      <c r="B4132" s="1" t="n">
        <v>45744.56331018519</v>
      </c>
      <c r="C4132" s="1" t="n">
        <v>45911</v>
      </c>
      <c r="D4132" t="inlineStr">
        <is>
          <t>GÄVLEBORGS LÄN</t>
        </is>
      </c>
      <c r="E4132" t="inlineStr">
        <is>
          <t>LJUSDAL</t>
        </is>
      </c>
      <c r="F4132" t="inlineStr">
        <is>
          <t>Bergvik skog väst AB</t>
        </is>
      </c>
      <c r="G4132" t="n">
        <v>31.3</v>
      </c>
      <c r="H4132" t="n">
        <v>0</v>
      </c>
      <c r="I4132" t="n">
        <v>0</v>
      </c>
      <c r="J4132" t="n">
        <v>0</v>
      </c>
      <c r="K4132" t="n">
        <v>0</v>
      </c>
      <c r="L4132" t="n">
        <v>0</v>
      </c>
      <c r="M4132" t="n">
        <v>0</v>
      </c>
      <c r="N4132" t="n">
        <v>0</v>
      </c>
      <c r="O4132" t="n">
        <v>0</v>
      </c>
      <c r="P4132" t="n">
        <v>0</v>
      </c>
      <c r="Q4132" t="n">
        <v>0</v>
      </c>
      <c r="R4132" s="2" t="inlineStr"/>
    </row>
    <row r="4133" ht="15" customHeight="1">
      <c r="A4133" t="inlineStr">
        <is>
          <t>A 25544-2024</t>
        </is>
      </c>
      <c r="B4133" s="1" t="n">
        <v>45463</v>
      </c>
      <c r="C4133" s="1" t="n">
        <v>45911</v>
      </c>
      <c r="D4133" t="inlineStr">
        <is>
          <t>GÄVLEBORGS LÄN</t>
        </is>
      </c>
      <c r="E4133" t="inlineStr">
        <is>
          <t>SANDVIKEN</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38401-2023</t>
        </is>
      </c>
      <c r="B4134" s="1" t="n">
        <v>45162</v>
      </c>
      <c r="C4134" s="1" t="n">
        <v>45911</v>
      </c>
      <c r="D4134" t="inlineStr">
        <is>
          <t>GÄVLEBORGS LÄN</t>
        </is>
      </c>
      <c r="E4134" t="inlineStr">
        <is>
          <t>OCKELBO</t>
        </is>
      </c>
      <c r="F4134" t="inlineStr">
        <is>
          <t>Bergvik skog väst AB</t>
        </is>
      </c>
      <c r="G4134" t="n">
        <v>3</v>
      </c>
      <c r="H4134" t="n">
        <v>0</v>
      </c>
      <c r="I4134" t="n">
        <v>0</v>
      </c>
      <c r="J4134" t="n">
        <v>0</v>
      </c>
      <c r="K4134" t="n">
        <v>0</v>
      </c>
      <c r="L4134" t="n">
        <v>0</v>
      </c>
      <c r="M4134" t="n">
        <v>0</v>
      </c>
      <c r="N4134" t="n">
        <v>0</v>
      </c>
      <c r="O4134" t="n">
        <v>0</v>
      </c>
      <c r="P4134" t="n">
        <v>0</v>
      </c>
      <c r="Q4134" t="n">
        <v>0</v>
      </c>
      <c r="R4134" s="2" t="inlineStr"/>
    </row>
    <row r="4135" ht="15" customHeight="1">
      <c r="A4135" t="inlineStr">
        <is>
          <t>A 29768-2023</t>
        </is>
      </c>
      <c r="B4135" s="1" t="n">
        <v>45107.48458333333</v>
      </c>
      <c r="C4135" s="1" t="n">
        <v>45911</v>
      </c>
      <c r="D4135" t="inlineStr">
        <is>
          <t>GÄVLEBORGS LÄN</t>
        </is>
      </c>
      <c r="E4135" t="inlineStr">
        <is>
          <t>OCKELBO</t>
        </is>
      </c>
      <c r="F4135" t="inlineStr">
        <is>
          <t>Bergvik skog väst AB</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30082-2025</t>
        </is>
      </c>
      <c r="B4136" s="1" t="n">
        <v>45826.6516550926</v>
      </c>
      <c r="C4136" s="1" t="n">
        <v>45911</v>
      </c>
      <c r="D4136" t="inlineStr">
        <is>
          <t>GÄVLEBORGS LÄN</t>
        </is>
      </c>
      <c r="E4136" t="inlineStr">
        <is>
          <t>LJUSDAL</t>
        </is>
      </c>
      <c r="F4136" t="inlineStr">
        <is>
          <t>Holmen skog AB</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29526-2025</t>
        </is>
      </c>
      <c r="B4137" s="1" t="n">
        <v>45825.34037037037</v>
      </c>
      <c r="C4137" s="1" t="n">
        <v>45911</v>
      </c>
      <c r="D4137" t="inlineStr">
        <is>
          <t>GÄVLEBORGS LÄN</t>
        </is>
      </c>
      <c r="E4137" t="inlineStr">
        <is>
          <t>LJUSDAL</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39047-2024</t>
        </is>
      </c>
      <c r="B4138" s="1" t="n">
        <v>45548</v>
      </c>
      <c r="C4138" s="1" t="n">
        <v>45911</v>
      </c>
      <c r="D4138" t="inlineStr">
        <is>
          <t>GÄVLEBORGS LÄN</t>
        </is>
      </c>
      <c r="E4138" t="inlineStr">
        <is>
          <t>SANDVIKEN</t>
        </is>
      </c>
      <c r="F4138" t="inlineStr">
        <is>
          <t>Sveaskog</t>
        </is>
      </c>
      <c r="G4138" t="n">
        <v>12.9</v>
      </c>
      <c r="H4138" t="n">
        <v>0</v>
      </c>
      <c r="I4138" t="n">
        <v>0</v>
      </c>
      <c r="J4138" t="n">
        <v>0</v>
      </c>
      <c r="K4138" t="n">
        <v>0</v>
      </c>
      <c r="L4138" t="n">
        <v>0</v>
      </c>
      <c r="M4138" t="n">
        <v>0</v>
      </c>
      <c r="N4138" t="n">
        <v>0</v>
      </c>
      <c r="O4138" t="n">
        <v>0</v>
      </c>
      <c r="P4138" t="n">
        <v>0</v>
      </c>
      <c r="Q4138" t="n">
        <v>0</v>
      </c>
      <c r="R4138" s="2" t="inlineStr"/>
    </row>
    <row r="4139" ht="15" customHeight="1">
      <c r="A4139" t="inlineStr">
        <is>
          <t>A 12391-2021</t>
        </is>
      </c>
      <c r="B4139" s="1" t="n">
        <v>44267.54184027778</v>
      </c>
      <c r="C4139" s="1" t="n">
        <v>45911</v>
      </c>
      <c r="D4139" t="inlineStr">
        <is>
          <t>GÄVLEBORGS LÄN</t>
        </is>
      </c>
      <c r="E4139" t="inlineStr">
        <is>
          <t>LJUSDAL</t>
        </is>
      </c>
      <c r="F4139" t="inlineStr">
        <is>
          <t>Bergvik skog väst AB</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43274-2023</t>
        </is>
      </c>
      <c r="B4140" s="1" t="n">
        <v>45183.54471064815</v>
      </c>
      <c r="C4140" s="1" t="n">
        <v>45911</v>
      </c>
      <c r="D4140" t="inlineStr">
        <is>
          <t>GÄVLEBORGS LÄN</t>
        </is>
      </c>
      <c r="E4140" t="inlineStr">
        <is>
          <t>OVANÅKER</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43800-2023</t>
        </is>
      </c>
      <c r="B4141" s="1" t="n">
        <v>45187.55690972223</v>
      </c>
      <c r="C4141" s="1" t="n">
        <v>45911</v>
      </c>
      <c r="D4141" t="inlineStr">
        <is>
          <t>GÄVLEBORGS LÄN</t>
        </is>
      </c>
      <c r="E4141" t="inlineStr">
        <is>
          <t>LJUSDAL</t>
        </is>
      </c>
      <c r="F4141" t="inlineStr">
        <is>
          <t>Bergvik skog väst AB</t>
        </is>
      </c>
      <c r="G4141" t="n">
        <v>6.9</v>
      </c>
      <c r="H4141" t="n">
        <v>0</v>
      </c>
      <c r="I4141" t="n">
        <v>0</v>
      </c>
      <c r="J4141" t="n">
        <v>0</v>
      </c>
      <c r="K4141" t="n">
        <v>0</v>
      </c>
      <c r="L4141" t="n">
        <v>0</v>
      </c>
      <c r="M4141" t="n">
        <v>0</v>
      </c>
      <c r="N4141" t="n">
        <v>0</v>
      </c>
      <c r="O4141" t="n">
        <v>0</v>
      </c>
      <c r="P4141" t="n">
        <v>0</v>
      </c>
      <c r="Q4141" t="n">
        <v>0</v>
      </c>
      <c r="R4141" s="2" t="inlineStr"/>
    </row>
    <row r="4142" ht="15" customHeight="1">
      <c r="A4142" t="inlineStr">
        <is>
          <t>A 8137-2023</t>
        </is>
      </c>
      <c r="B4142" s="1" t="n">
        <v>44974.44017361111</v>
      </c>
      <c r="C4142" s="1" t="n">
        <v>45911</v>
      </c>
      <c r="D4142" t="inlineStr">
        <is>
          <t>GÄVLEBORGS LÄN</t>
        </is>
      </c>
      <c r="E4142" t="inlineStr">
        <is>
          <t>HUDIKSVALL</t>
        </is>
      </c>
      <c r="G4142" t="n">
        <v>0.4</v>
      </c>
      <c r="H4142" t="n">
        <v>0</v>
      </c>
      <c r="I4142" t="n">
        <v>0</v>
      </c>
      <c r="J4142" t="n">
        <v>0</v>
      </c>
      <c r="K4142" t="n">
        <v>0</v>
      </c>
      <c r="L4142" t="n">
        <v>0</v>
      </c>
      <c r="M4142" t="n">
        <v>0</v>
      </c>
      <c r="N4142" t="n">
        <v>0</v>
      </c>
      <c r="O4142" t="n">
        <v>0</v>
      </c>
      <c r="P4142" t="n">
        <v>0</v>
      </c>
      <c r="Q4142" t="n">
        <v>0</v>
      </c>
      <c r="R4142" s="2" t="inlineStr"/>
    </row>
    <row r="4143" ht="15" customHeight="1">
      <c r="A4143" t="inlineStr">
        <is>
          <t>A 13461-2024</t>
        </is>
      </c>
      <c r="B4143" s="1" t="n">
        <v>45387.55202546297</v>
      </c>
      <c r="C4143" s="1" t="n">
        <v>45911</v>
      </c>
      <c r="D4143" t="inlineStr">
        <is>
          <t>GÄVLEBORGS LÄN</t>
        </is>
      </c>
      <c r="E4143" t="inlineStr">
        <is>
          <t>BOLLNÄS</t>
        </is>
      </c>
      <c r="F4143" t="inlineStr">
        <is>
          <t>Holmen skog AB</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32301-2022</t>
        </is>
      </c>
      <c r="B4144" s="1" t="n">
        <v>44781.62321759259</v>
      </c>
      <c r="C4144" s="1" t="n">
        <v>45911</v>
      </c>
      <c r="D4144" t="inlineStr">
        <is>
          <t>GÄVLEBORGS LÄN</t>
        </is>
      </c>
      <c r="E4144" t="inlineStr">
        <is>
          <t>OCKELBO</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29833-2025</t>
        </is>
      </c>
      <c r="B4145" s="1" t="n">
        <v>45825.92494212963</v>
      </c>
      <c r="C4145" s="1" t="n">
        <v>45911</v>
      </c>
      <c r="D4145" t="inlineStr">
        <is>
          <t>GÄVLEBORGS LÄN</t>
        </is>
      </c>
      <c r="E4145" t="inlineStr">
        <is>
          <t>SANDVIKEN</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29834-2025</t>
        </is>
      </c>
      <c r="B4146" s="1" t="n">
        <v>45825.93572916667</v>
      </c>
      <c r="C4146" s="1" t="n">
        <v>45911</v>
      </c>
      <c r="D4146" t="inlineStr">
        <is>
          <t>GÄVLEBORGS LÄN</t>
        </is>
      </c>
      <c r="E4146" t="inlineStr">
        <is>
          <t>SÖDERHAMN</t>
        </is>
      </c>
      <c r="G4146" t="n">
        <v>3.7</v>
      </c>
      <c r="H4146" t="n">
        <v>0</v>
      </c>
      <c r="I4146" t="n">
        <v>0</v>
      </c>
      <c r="J4146" t="n">
        <v>0</v>
      </c>
      <c r="K4146" t="n">
        <v>0</v>
      </c>
      <c r="L4146" t="n">
        <v>0</v>
      </c>
      <c r="M4146" t="n">
        <v>0</v>
      </c>
      <c r="N4146" t="n">
        <v>0</v>
      </c>
      <c r="O4146" t="n">
        <v>0</v>
      </c>
      <c r="P4146" t="n">
        <v>0</v>
      </c>
      <c r="Q4146" t="n">
        <v>0</v>
      </c>
      <c r="R4146" s="2" t="inlineStr"/>
    </row>
    <row r="4147" ht="15" customHeight="1">
      <c r="A4147" t="inlineStr">
        <is>
          <t>A 14093-2025</t>
        </is>
      </c>
      <c r="B4147" s="1" t="n">
        <v>45740.44788194444</v>
      </c>
      <c r="C4147" s="1" t="n">
        <v>45911</v>
      </c>
      <c r="D4147" t="inlineStr">
        <is>
          <t>GÄVLEBORGS LÄN</t>
        </is>
      </c>
      <c r="E4147" t="inlineStr">
        <is>
          <t>GÄVLE</t>
        </is>
      </c>
      <c r="F4147" t="inlineStr">
        <is>
          <t>Bergvik skog öst AB</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22577-2022</t>
        </is>
      </c>
      <c r="B4148" s="1" t="n">
        <v>44713</v>
      </c>
      <c r="C4148" s="1" t="n">
        <v>45911</v>
      </c>
      <c r="D4148" t="inlineStr">
        <is>
          <t>GÄVLEBORGS LÄN</t>
        </is>
      </c>
      <c r="E4148" t="inlineStr">
        <is>
          <t>GÄVLE</t>
        </is>
      </c>
      <c r="F4148" t="inlineStr">
        <is>
          <t>Bergvik skog väst AB</t>
        </is>
      </c>
      <c r="G4148" t="n">
        <v>10</v>
      </c>
      <c r="H4148" t="n">
        <v>0</v>
      </c>
      <c r="I4148" t="n">
        <v>0</v>
      </c>
      <c r="J4148" t="n">
        <v>0</v>
      </c>
      <c r="K4148" t="n">
        <v>0</v>
      </c>
      <c r="L4148" t="n">
        <v>0</v>
      </c>
      <c r="M4148" t="n">
        <v>0</v>
      </c>
      <c r="N4148" t="n">
        <v>0</v>
      </c>
      <c r="O4148" t="n">
        <v>0</v>
      </c>
      <c r="P4148" t="n">
        <v>0</v>
      </c>
      <c r="Q4148" t="n">
        <v>0</v>
      </c>
      <c r="R4148" s="2" t="inlineStr"/>
    </row>
    <row r="4149" ht="15" customHeight="1">
      <c r="A4149" t="inlineStr">
        <is>
          <t>A 59425-2022</t>
        </is>
      </c>
      <c r="B4149" s="1" t="n">
        <v>44907</v>
      </c>
      <c r="C4149" s="1" t="n">
        <v>45911</v>
      </c>
      <c r="D4149" t="inlineStr">
        <is>
          <t>GÄVLEBORGS LÄN</t>
        </is>
      </c>
      <c r="E4149" t="inlineStr">
        <is>
          <t>NORDANSTIG</t>
        </is>
      </c>
      <c r="F4149" t="inlineStr">
        <is>
          <t>Holmen skog AB</t>
        </is>
      </c>
      <c r="G4149" t="n">
        <v>3.5</v>
      </c>
      <c r="H4149" t="n">
        <v>0</v>
      </c>
      <c r="I4149" t="n">
        <v>0</v>
      </c>
      <c r="J4149" t="n">
        <v>0</v>
      </c>
      <c r="K4149" t="n">
        <v>0</v>
      </c>
      <c r="L4149" t="n">
        <v>0</v>
      </c>
      <c r="M4149" t="n">
        <v>0</v>
      </c>
      <c r="N4149" t="n">
        <v>0</v>
      </c>
      <c r="O4149" t="n">
        <v>0</v>
      </c>
      <c r="P4149" t="n">
        <v>0</v>
      </c>
      <c r="Q4149" t="n">
        <v>0</v>
      </c>
      <c r="R4149" s="2" t="inlineStr"/>
    </row>
    <row r="4150" ht="15" customHeight="1">
      <c r="A4150" t="inlineStr">
        <is>
          <t>A 26302-2025</t>
        </is>
      </c>
      <c r="B4150" s="1" t="n">
        <v>45805</v>
      </c>
      <c r="C4150" s="1" t="n">
        <v>45911</v>
      </c>
      <c r="D4150" t="inlineStr">
        <is>
          <t>GÄVLEBORGS LÄN</t>
        </is>
      </c>
      <c r="E4150" t="inlineStr">
        <is>
          <t>HOFORS</t>
        </is>
      </c>
      <c r="G4150" t="n">
        <v>5.3</v>
      </c>
      <c r="H4150" t="n">
        <v>0</v>
      </c>
      <c r="I4150" t="n">
        <v>0</v>
      </c>
      <c r="J4150" t="n">
        <v>0</v>
      </c>
      <c r="K4150" t="n">
        <v>0</v>
      </c>
      <c r="L4150" t="n">
        <v>0</v>
      </c>
      <c r="M4150" t="n">
        <v>0</v>
      </c>
      <c r="N4150" t="n">
        <v>0</v>
      </c>
      <c r="O4150" t="n">
        <v>0</v>
      </c>
      <c r="P4150" t="n">
        <v>0</v>
      </c>
      <c r="Q4150" t="n">
        <v>0</v>
      </c>
      <c r="R4150" s="2" t="inlineStr"/>
    </row>
    <row r="4151" ht="15" customHeight="1">
      <c r="A4151" t="inlineStr">
        <is>
          <t>A 48435-2024</t>
        </is>
      </c>
      <c r="B4151" s="1" t="n">
        <v>45590.66225694444</v>
      </c>
      <c r="C4151" s="1" t="n">
        <v>45911</v>
      </c>
      <c r="D4151" t="inlineStr">
        <is>
          <t>GÄVLEBORGS LÄN</t>
        </is>
      </c>
      <c r="E4151" t="inlineStr">
        <is>
          <t>SANDVIKEN</t>
        </is>
      </c>
      <c r="G4151" t="n">
        <v>6.7</v>
      </c>
      <c r="H4151" t="n">
        <v>0</v>
      </c>
      <c r="I4151" t="n">
        <v>0</v>
      </c>
      <c r="J4151" t="n">
        <v>0</v>
      </c>
      <c r="K4151" t="n">
        <v>0</v>
      </c>
      <c r="L4151" t="n">
        <v>0</v>
      </c>
      <c r="M4151" t="n">
        <v>0</v>
      </c>
      <c r="N4151" t="n">
        <v>0</v>
      </c>
      <c r="O4151" t="n">
        <v>0</v>
      </c>
      <c r="P4151" t="n">
        <v>0</v>
      </c>
      <c r="Q4151" t="n">
        <v>0</v>
      </c>
      <c r="R4151" s="2" t="inlineStr"/>
    </row>
    <row r="4152" ht="15" customHeight="1">
      <c r="A4152" t="inlineStr">
        <is>
          <t>A 29772-2025</t>
        </is>
      </c>
      <c r="B4152" s="1" t="n">
        <v>45825</v>
      </c>
      <c r="C4152" s="1" t="n">
        <v>45911</v>
      </c>
      <c r="D4152" t="inlineStr">
        <is>
          <t>GÄVLEBORGS LÄN</t>
        </is>
      </c>
      <c r="E4152" t="inlineStr">
        <is>
          <t>HUDIKSVALL</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56738-2023</t>
        </is>
      </c>
      <c r="B4153" s="1" t="n">
        <v>45244.35681712963</v>
      </c>
      <c r="C4153" s="1" t="n">
        <v>45911</v>
      </c>
      <c r="D4153" t="inlineStr">
        <is>
          <t>GÄVLEBORGS LÄN</t>
        </is>
      </c>
      <c r="E4153" t="inlineStr">
        <is>
          <t>HUDIKSVALL</t>
        </is>
      </c>
      <c r="F4153" t="inlineStr">
        <is>
          <t>Holmen skog AB</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18244-2024</t>
        </is>
      </c>
      <c r="B4154" s="1" t="n">
        <v>45421.353125</v>
      </c>
      <c r="C4154" s="1" t="n">
        <v>45911</v>
      </c>
      <c r="D4154" t="inlineStr">
        <is>
          <t>GÄVLEBORGS LÄN</t>
        </is>
      </c>
      <c r="E4154" t="inlineStr">
        <is>
          <t>OVANÅKER</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56755-2023</t>
        </is>
      </c>
      <c r="B4155" s="1" t="n">
        <v>45244.37376157408</v>
      </c>
      <c r="C4155" s="1" t="n">
        <v>45911</v>
      </c>
      <c r="D4155" t="inlineStr">
        <is>
          <t>GÄVLEBORGS LÄN</t>
        </is>
      </c>
      <c r="E4155" t="inlineStr">
        <is>
          <t>HUDIKSVALL</t>
        </is>
      </c>
      <c r="F4155" t="inlineStr">
        <is>
          <t>Holmen skog AB</t>
        </is>
      </c>
      <c r="G4155" t="n">
        <v>2.8</v>
      </c>
      <c r="H4155" t="n">
        <v>0</v>
      </c>
      <c r="I4155" t="n">
        <v>0</v>
      </c>
      <c r="J4155" t="n">
        <v>0</v>
      </c>
      <c r="K4155" t="n">
        <v>0</v>
      </c>
      <c r="L4155" t="n">
        <v>0</v>
      </c>
      <c r="M4155" t="n">
        <v>0</v>
      </c>
      <c r="N4155" t="n">
        <v>0</v>
      </c>
      <c r="O4155" t="n">
        <v>0</v>
      </c>
      <c r="P4155" t="n">
        <v>0</v>
      </c>
      <c r="Q4155" t="n">
        <v>0</v>
      </c>
      <c r="R4155" s="2" t="inlineStr"/>
    </row>
    <row r="4156" ht="15" customHeight="1">
      <c r="A4156" t="inlineStr">
        <is>
          <t>A 29957-2025</t>
        </is>
      </c>
      <c r="B4156" s="1" t="n">
        <v>45826.47090277778</v>
      </c>
      <c r="C4156" s="1" t="n">
        <v>45911</v>
      </c>
      <c r="D4156" t="inlineStr">
        <is>
          <t>GÄVLEBORGS LÄN</t>
        </is>
      </c>
      <c r="E4156" t="inlineStr">
        <is>
          <t>SÖDERHAMN</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68735-2020</t>
        </is>
      </c>
      <c r="B4157" s="1" t="n">
        <v>44187</v>
      </c>
      <c r="C4157" s="1" t="n">
        <v>45911</v>
      </c>
      <c r="D4157" t="inlineStr">
        <is>
          <t>GÄVLEBORGS LÄN</t>
        </is>
      </c>
      <c r="E4157" t="inlineStr">
        <is>
          <t>BOLLNÄS</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53007-2023</t>
        </is>
      </c>
      <c r="B4158" s="1" t="n">
        <v>45226</v>
      </c>
      <c r="C4158" s="1" t="n">
        <v>45911</v>
      </c>
      <c r="D4158" t="inlineStr">
        <is>
          <t>GÄVLEBORGS LÄN</t>
        </is>
      </c>
      <c r="E4158" t="inlineStr">
        <is>
          <t>SANDVIKEN</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53013-2023</t>
        </is>
      </c>
      <c r="B4159" s="1" t="n">
        <v>45226.66094907407</v>
      </c>
      <c r="C4159" s="1" t="n">
        <v>45911</v>
      </c>
      <c r="D4159" t="inlineStr">
        <is>
          <t>GÄVLEBORGS LÄN</t>
        </is>
      </c>
      <c r="E4159" t="inlineStr">
        <is>
          <t>LJUSDAL</t>
        </is>
      </c>
      <c r="F4159" t="inlineStr">
        <is>
          <t>Sveaskog</t>
        </is>
      </c>
      <c r="G4159" t="n">
        <v>21.1</v>
      </c>
      <c r="H4159" t="n">
        <v>0</v>
      </c>
      <c r="I4159" t="n">
        <v>0</v>
      </c>
      <c r="J4159" t="n">
        <v>0</v>
      </c>
      <c r="K4159" t="n">
        <v>0</v>
      </c>
      <c r="L4159" t="n">
        <v>0</v>
      </c>
      <c r="M4159" t="n">
        <v>0</v>
      </c>
      <c r="N4159" t="n">
        <v>0</v>
      </c>
      <c r="O4159" t="n">
        <v>0</v>
      </c>
      <c r="P4159" t="n">
        <v>0</v>
      </c>
      <c r="Q4159" t="n">
        <v>0</v>
      </c>
      <c r="R4159" s="2" t="inlineStr"/>
    </row>
    <row r="4160" ht="15" customHeight="1">
      <c r="A4160" t="inlineStr">
        <is>
          <t>A 5241-2024</t>
        </is>
      </c>
      <c r="B4160" s="1" t="n">
        <v>45330.86684027778</v>
      </c>
      <c r="C4160" s="1" t="n">
        <v>45911</v>
      </c>
      <c r="D4160" t="inlineStr">
        <is>
          <t>GÄVLEBORGS LÄN</t>
        </is>
      </c>
      <c r="E4160" t="inlineStr">
        <is>
          <t>GÄVLE</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51023-2023</t>
        </is>
      </c>
      <c r="B4161" s="1" t="n">
        <v>45218</v>
      </c>
      <c r="C4161" s="1" t="n">
        <v>45911</v>
      </c>
      <c r="D4161" t="inlineStr">
        <is>
          <t>GÄVLEBORGS LÄN</t>
        </is>
      </c>
      <c r="E4161" t="inlineStr">
        <is>
          <t>HUDIKSVALL</t>
        </is>
      </c>
      <c r="F4161" t="inlineStr">
        <is>
          <t>Holmen skog AB</t>
        </is>
      </c>
      <c r="G4161" t="n">
        <v>13.7</v>
      </c>
      <c r="H4161" t="n">
        <v>0</v>
      </c>
      <c r="I4161" t="n">
        <v>0</v>
      </c>
      <c r="J4161" t="n">
        <v>0</v>
      </c>
      <c r="K4161" t="n">
        <v>0</v>
      </c>
      <c r="L4161" t="n">
        <v>0</v>
      </c>
      <c r="M4161" t="n">
        <v>0</v>
      </c>
      <c r="N4161" t="n">
        <v>0</v>
      </c>
      <c r="O4161" t="n">
        <v>0</v>
      </c>
      <c r="P4161" t="n">
        <v>0</v>
      </c>
      <c r="Q4161" t="n">
        <v>0</v>
      </c>
      <c r="R4161" s="2" t="inlineStr"/>
    </row>
    <row r="4162" ht="15" customHeight="1">
      <c r="A4162" t="inlineStr">
        <is>
          <t>A 49980-2024</t>
        </is>
      </c>
      <c r="B4162" s="1" t="n">
        <v>45597.74361111111</v>
      </c>
      <c r="C4162" s="1" t="n">
        <v>45911</v>
      </c>
      <c r="D4162" t="inlineStr">
        <is>
          <t>GÄVLEBORGS LÄN</t>
        </is>
      </c>
      <c r="E4162" t="inlineStr">
        <is>
          <t>BOLLNÄS</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5405-2025</t>
        </is>
      </c>
      <c r="B4163" s="1" t="n">
        <v>45692</v>
      </c>
      <c r="C4163" s="1" t="n">
        <v>45911</v>
      </c>
      <c r="D4163" t="inlineStr">
        <is>
          <t>GÄVLEBORGS LÄN</t>
        </is>
      </c>
      <c r="E4163" t="inlineStr">
        <is>
          <t>HUDIKSVALL</t>
        </is>
      </c>
      <c r="F4163" t="inlineStr">
        <is>
          <t>Holmen skog AB</t>
        </is>
      </c>
      <c r="G4163" t="n">
        <v>48.2</v>
      </c>
      <c r="H4163" t="n">
        <v>0</v>
      </c>
      <c r="I4163" t="n">
        <v>0</v>
      </c>
      <c r="J4163" t="n">
        <v>0</v>
      </c>
      <c r="K4163" t="n">
        <v>0</v>
      </c>
      <c r="L4163" t="n">
        <v>0</v>
      </c>
      <c r="M4163" t="n">
        <v>0</v>
      </c>
      <c r="N4163" t="n">
        <v>0</v>
      </c>
      <c r="O4163" t="n">
        <v>0</v>
      </c>
      <c r="P4163" t="n">
        <v>0</v>
      </c>
      <c r="Q4163" t="n">
        <v>0</v>
      </c>
      <c r="R4163" s="2" t="inlineStr"/>
    </row>
    <row r="4164" ht="15" customHeight="1">
      <c r="A4164" t="inlineStr">
        <is>
          <t>A 47580-2024</t>
        </is>
      </c>
      <c r="B4164" s="1" t="n">
        <v>45587.76090277778</v>
      </c>
      <c r="C4164" s="1" t="n">
        <v>45911</v>
      </c>
      <c r="D4164" t="inlineStr">
        <is>
          <t>GÄVLEBORGS LÄN</t>
        </is>
      </c>
      <c r="E4164" t="inlineStr">
        <is>
          <t>LJUSDAL</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48943-2024</t>
        </is>
      </c>
      <c r="B4165" s="1" t="n">
        <v>45594.42071759259</v>
      </c>
      <c r="C4165" s="1" t="n">
        <v>45911</v>
      </c>
      <c r="D4165" t="inlineStr">
        <is>
          <t>GÄVLEBORGS LÄN</t>
        </is>
      </c>
      <c r="E4165" t="inlineStr">
        <is>
          <t>SÖDERHAMN</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50469-2024</t>
        </is>
      </c>
      <c r="B4166" s="1" t="n">
        <v>45601.47113425926</v>
      </c>
      <c r="C4166" s="1" t="n">
        <v>45911</v>
      </c>
      <c r="D4166" t="inlineStr">
        <is>
          <t>GÄVLEBORGS LÄN</t>
        </is>
      </c>
      <c r="E4166" t="inlineStr">
        <is>
          <t>OVANÅKER</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41544-2023</t>
        </is>
      </c>
      <c r="B4167" s="1" t="n">
        <v>45175.56778935185</v>
      </c>
      <c r="C4167" s="1" t="n">
        <v>45911</v>
      </c>
      <c r="D4167" t="inlineStr">
        <is>
          <t>GÄVLEBORGS LÄN</t>
        </is>
      </c>
      <c r="E4167" t="inlineStr">
        <is>
          <t>OVANÅKER</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43726-2023</t>
        </is>
      </c>
      <c r="B4168" s="1" t="n">
        <v>45187</v>
      </c>
      <c r="C4168" s="1" t="n">
        <v>45911</v>
      </c>
      <c r="D4168" t="inlineStr">
        <is>
          <t>GÄVLEBORGS LÄN</t>
        </is>
      </c>
      <c r="E4168" t="inlineStr">
        <is>
          <t>HOFORS</t>
        </is>
      </c>
      <c r="F4168" t="inlineStr">
        <is>
          <t>Sveaskog</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46827-2024</t>
        </is>
      </c>
      <c r="B4169" s="1" t="n">
        <v>45583</v>
      </c>
      <c r="C4169" s="1" t="n">
        <v>45911</v>
      </c>
      <c r="D4169" t="inlineStr">
        <is>
          <t>GÄVLEBORGS LÄN</t>
        </is>
      </c>
      <c r="E4169" t="inlineStr">
        <is>
          <t>HUDIKSVALL</t>
        </is>
      </c>
      <c r="F4169" t="inlineStr">
        <is>
          <t>Sveaskog</t>
        </is>
      </c>
      <c r="G4169" t="n">
        <v>5.9</v>
      </c>
      <c r="H4169" t="n">
        <v>0</v>
      </c>
      <c r="I4169" t="n">
        <v>0</v>
      </c>
      <c r="J4169" t="n">
        <v>0</v>
      </c>
      <c r="K4169" t="n">
        <v>0</v>
      </c>
      <c r="L4169" t="n">
        <v>0</v>
      </c>
      <c r="M4169" t="n">
        <v>0</v>
      </c>
      <c r="N4169" t="n">
        <v>0</v>
      </c>
      <c r="O4169" t="n">
        <v>0</v>
      </c>
      <c r="P4169" t="n">
        <v>0</v>
      </c>
      <c r="Q4169" t="n">
        <v>0</v>
      </c>
      <c r="R4169" s="2" t="inlineStr"/>
    </row>
    <row r="4170" ht="15" customHeight="1">
      <c r="A4170" t="inlineStr">
        <is>
          <t>A 34175-2022</t>
        </is>
      </c>
      <c r="B4170" s="1" t="n">
        <v>44791</v>
      </c>
      <c r="C4170" s="1" t="n">
        <v>45911</v>
      </c>
      <c r="D4170" t="inlineStr">
        <is>
          <t>GÄVLEBORGS LÄN</t>
        </is>
      </c>
      <c r="E4170" t="inlineStr">
        <is>
          <t>BOLLNÄS</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62215-2022</t>
        </is>
      </c>
      <c r="B4171" s="1" t="n">
        <v>44922.65163194444</v>
      </c>
      <c r="C4171" s="1" t="n">
        <v>45911</v>
      </c>
      <c r="D4171" t="inlineStr">
        <is>
          <t>GÄVLEBORGS LÄN</t>
        </is>
      </c>
      <c r="E4171" t="inlineStr">
        <is>
          <t>OVANÅKER</t>
        </is>
      </c>
      <c r="G4171" t="n">
        <v>0.4</v>
      </c>
      <c r="H4171" t="n">
        <v>0</v>
      </c>
      <c r="I4171" t="n">
        <v>0</v>
      </c>
      <c r="J4171" t="n">
        <v>0</v>
      </c>
      <c r="K4171" t="n">
        <v>0</v>
      </c>
      <c r="L4171" t="n">
        <v>0</v>
      </c>
      <c r="M4171" t="n">
        <v>0</v>
      </c>
      <c r="N4171" t="n">
        <v>0</v>
      </c>
      <c r="O4171" t="n">
        <v>0</v>
      </c>
      <c r="P4171" t="n">
        <v>0</v>
      </c>
      <c r="Q4171" t="n">
        <v>0</v>
      </c>
      <c r="R4171" s="2" t="inlineStr"/>
    </row>
    <row r="4172" ht="15" customHeight="1">
      <c r="A4172" t="inlineStr">
        <is>
          <t>A 19498-2025</t>
        </is>
      </c>
      <c r="B4172" s="1" t="n">
        <v>45770.39714120371</v>
      </c>
      <c r="C4172" s="1" t="n">
        <v>45911</v>
      </c>
      <c r="D4172" t="inlineStr">
        <is>
          <t>GÄVLEBORGS LÄN</t>
        </is>
      </c>
      <c r="E4172" t="inlineStr">
        <is>
          <t>LJUSDAL</t>
        </is>
      </c>
      <c r="G4172" t="n">
        <v>6.4</v>
      </c>
      <c r="H4172" t="n">
        <v>0</v>
      </c>
      <c r="I4172" t="n">
        <v>0</v>
      </c>
      <c r="J4172" t="n">
        <v>0</v>
      </c>
      <c r="K4172" t="n">
        <v>0</v>
      </c>
      <c r="L4172" t="n">
        <v>0</v>
      </c>
      <c r="M4172" t="n">
        <v>0</v>
      </c>
      <c r="N4172" t="n">
        <v>0</v>
      </c>
      <c r="O4172" t="n">
        <v>0</v>
      </c>
      <c r="P4172" t="n">
        <v>0</v>
      </c>
      <c r="Q4172" t="n">
        <v>0</v>
      </c>
      <c r="R4172" s="2" t="inlineStr"/>
    </row>
    <row r="4173" ht="15" customHeight="1">
      <c r="A4173" t="inlineStr">
        <is>
          <t>A 7916-2022</t>
        </is>
      </c>
      <c r="B4173" s="1" t="n">
        <v>44608.68528935185</v>
      </c>
      <c r="C4173" s="1" t="n">
        <v>45911</v>
      </c>
      <c r="D4173" t="inlineStr">
        <is>
          <t>GÄVLEBORGS LÄN</t>
        </is>
      </c>
      <c r="E4173" t="inlineStr">
        <is>
          <t>NORDANSTIG</t>
        </is>
      </c>
      <c r="G4173" t="n">
        <v>2.7</v>
      </c>
      <c r="H4173" t="n">
        <v>0</v>
      </c>
      <c r="I4173" t="n">
        <v>0</v>
      </c>
      <c r="J4173" t="n">
        <v>0</v>
      </c>
      <c r="K4173" t="n">
        <v>0</v>
      </c>
      <c r="L4173" t="n">
        <v>0</v>
      </c>
      <c r="M4173" t="n">
        <v>0</v>
      </c>
      <c r="N4173" t="n">
        <v>0</v>
      </c>
      <c r="O4173" t="n">
        <v>0</v>
      </c>
      <c r="P4173" t="n">
        <v>0</v>
      </c>
      <c r="Q4173" t="n">
        <v>0</v>
      </c>
      <c r="R4173" s="2" t="inlineStr"/>
    </row>
    <row r="4174" ht="15" customHeight="1">
      <c r="A4174" t="inlineStr">
        <is>
          <t>A 61167-2022</t>
        </is>
      </c>
      <c r="B4174" s="1" t="n">
        <v>44915.48208333334</v>
      </c>
      <c r="C4174" s="1" t="n">
        <v>45911</v>
      </c>
      <c r="D4174" t="inlineStr">
        <is>
          <t>GÄVLEBORGS LÄN</t>
        </is>
      </c>
      <c r="E4174" t="inlineStr">
        <is>
          <t>SANDVIKEN</t>
        </is>
      </c>
      <c r="G4174" t="n">
        <v>4</v>
      </c>
      <c r="H4174" t="n">
        <v>0</v>
      </c>
      <c r="I4174" t="n">
        <v>0</v>
      </c>
      <c r="J4174" t="n">
        <v>0</v>
      </c>
      <c r="K4174" t="n">
        <v>0</v>
      </c>
      <c r="L4174" t="n">
        <v>0</v>
      </c>
      <c r="M4174" t="n">
        <v>0</v>
      </c>
      <c r="N4174" t="n">
        <v>0</v>
      </c>
      <c r="O4174" t="n">
        <v>0</v>
      </c>
      <c r="P4174" t="n">
        <v>0</v>
      </c>
      <c r="Q4174" t="n">
        <v>0</v>
      </c>
      <c r="R4174" s="2" t="inlineStr"/>
    </row>
    <row r="4175" ht="15" customHeight="1">
      <c r="A4175" t="inlineStr">
        <is>
          <t>A 17505-2025</t>
        </is>
      </c>
      <c r="B4175" s="1" t="n">
        <v>45757.55423611111</v>
      </c>
      <c r="C4175" s="1" t="n">
        <v>45911</v>
      </c>
      <c r="D4175" t="inlineStr">
        <is>
          <t>GÄVLEBORGS LÄN</t>
        </is>
      </c>
      <c r="E4175" t="inlineStr">
        <is>
          <t>NORDANSTIG</t>
        </is>
      </c>
      <c r="F4175" t="inlineStr">
        <is>
          <t>Holmen skog AB</t>
        </is>
      </c>
      <c r="G4175" t="n">
        <v>8.300000000000001</v>
      </c>
      <c r="H4175" t="n">
        <v>0</v>
      </c>
      <c r="I4175" t="n">
        <v>0</v>
      </c>
      <c r="J4175" t="n">
        <v>0</v>
      </c>
      <c r="K4175" t="n">
        <v>0</v>
      </c>
      <c r="L4175" t="n">
        <v>0</v>
      </c>
      <c r="M4175" t="n">
        <v>0</v>
      </c>
      <c r="N4175" t="n">
        <v>0</v>
      </c>
      <c r="O4175" t="n">
        <v>0</v>
      </c>
      <c r="P4175" t="n">
        <v>0</v>
      </c>
      <c r="Q4175" t="n">
        <v>0</v>
      </c>
      <c r="R4175" s="2" t="inlineStr"/>
    </row>
    <row r="4176" ht="15" customHeight="1">
      <c r="A4176" t="inlineStr">
        <is>
          <t>A 17517-2025</t>
        </is>
      </c>
      <c r="B4176" s="1" t="n">
        <v>45757.57515046297</v>
      </c>
      <c r="C4176" s="1" t="n">
        <v>45911</v>
      </c>
      <c r="D4176" t="inlineStr">
        <is>
          <t>GÄVLEBORGS LÄN</t>
        </is>
      </c>
      <c r="E4176" t="inlineStr">
        <is>
          <t>SÖDERHAMN</t>
        </is>
      </c>
      <c r="F4176" t="inlineStr">
        <is>
          <t>Kommuner</t>
        </is>
      </c>
      <c r="G4176" t="n">
        <v>3.6</v>
      </c>
      <c r="H4176" t="n">
        <v>0</v>
      </c>
      <c r="I4176" t="n">
        <v>0</v>
      </c>
      <c r="J4176" t="n">
        <v>0</v>
      </c>
      <c r="K4176" t="n">
        <v>0</v>
      </c>
      <c r="L4176" t="n">
        <v>0</v>
      </c>
      <c r="M4176" t="n">
        <v>0</v>
      </c>
      <c r="N4176" t="n">
        <v>0</v>
      </c>
      <c r="O4176" t="n">
        <v>0</v>
      </c>
      <c r="P4176" t="n">
        <v>0</v>
      </c>
      <c r="Q4176" t="n">
        <v>0</v>
      </c>
      <c r="R4176" s="2" t="inlineStr"/>
    </row>
    <row r="4177" ht="15" customHeight="1">
      <c r="A4177" t="inlineStr">
        <is>
          <t>A 29930-2025</t>
        </is>
      </c>
      <c r="B4177" s="1" t="n">
        <v>45826.43805555555</v>
      </c>
      <c r="C4177" s="1" t="n">
        <v>45911</v>
      </c>
      <c r="D4177" t="inlineStr">
        <is>
          <t>GÄVLEBORGS LÄN</t>
        </is>
      </c>
      <c r="E4177" t="inlineStr">
        <is>
          <t>BOLLNÄS</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29931-2025</t>
        </is>
      </c>
      <c r="B4178" s="1" t="n">
        <v>45826.43832175926</v>
      </c>
      <c r="C4178" s="1" t="n">
        <v>45911</v>
      </c>
      <c r="D4178" t="inlineStr">
        <is>
          <t>GÄVLEBORGS LÄN</t>
        </is>
      </c>
      <c r="E4178" t="inlineStr">
        <is>
          <t>OVANÅKER</t>
        </is>
      </c>
      <c r="F4178" t="inlineStr">
        <is>
          <t>Bergvik skog öst AB</t>
        </is>
      </c>
      <c r="G4178" t="n">
        <v>10</v>
      </c>
      <c r="H4178" t="n">
        <v>0</v>
      </c>
      <c r="I4178" t="n">
        <v>0</v>
      </c>
      <c r="J4178" t="n">
        <v>0</v>
      </c>
      <c r="K4178" t="n">
        <v>0</v>
      </c>
      <c r="L4178" t="n">
        <v>0</v>
      </c>
      <c r="M4178" t="n">
        <v>0</v>
      </c>
      <c r="N4178" t="n">
        <v>0</v>
      </c>
      <c r="O4178" t="n">
        <v>0</v>
      </c>
      <c r="P4178" t="n">
        <v>0</v>
      </c>
      <c r="Q4178" t="n">
        <v>0</v>
      </c>
      <c r="R4178" s="2" t="inlineStr"/>
    </row>
    <row r="4179" ht="15" customHeight="1">
      <c r="A4179" t="inlineStr">
        <is>
          <t>A 58791-2023</t>
        </is>
      </c>
      <c r="B4179" s="1" t="n">
        <v>45252.33528935185</v>
      </c>
      <c r="C4179" s="1" t="n">
        <v>45911</v>
      </c>
      <c r="D4179" t="inlineStr">
        <is>
          <t>GÄVLEBORGS LÄN</t>
        </is>
      </c>
      <c r="E4179" t="inlineStr">
        <is>
          <t>OVANÅKER</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29741-2025</t>
        </is>
      </c>
      <c r="B4180" s="1" t="n">
        <v>45825.59167824074</v>
      </c>
      <c r="C4180" s="1" t="n">
        <v>45911</v>
      </c>
      <c r="D4180" t="inlineStr">
        <is>
          <t>GÄVLEBORGS LÄN</t>
        </is>
      </c>
      <c r="E4180" t="inlineStr">
        <is>
          <t>NORDANSTIG</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36576-2022</t>
        </is>
      </c>
      <c r="B4181" s="1" t="n">
        <v>44804</v>
      </c>
      <c r="C4181" s="1" t="n">
        <v>45911</v>
      </c>
      <c r="D4181" t="inlineStr">
        <is>
          <t>GÄVLEBORGS LÄN</t>
        </is>
      </c>
      <c r="E4181" t="inlineStr">
        <is>
          <t>OVANÅKER</t>
        </is>
      </c>
      <c r="G4181" t="n">
        <v>4.9</v>
      </c>
      <c r="H4181" t="n">
        <v>0</v>
      </c>
      <c r="I4181" t="n">
        <v>0</v>
      </c>
      <c r="J4181" t="n">
        <v>0</v>
      </c>
      <c r="K4181" t="n">
        <v>0</v>
      </c>
      <c r="L4181" t="n">
        <v>0</v>
      </c>
      <c r="M4181" t="n">
        <v>0</v>
      </c>
      <c r="N4181" t="n">
        <v>0</v>
      </c>
      <c r="O4181" t="n">
        <v>0</v>
      </c>
      <c r="P4181" t="n">
        <v>0</v>
      </c>
      <c r="Q4181" t="n">
        <v>0</v>
      </c>
      <c r="R4181" s="2" t="inlineStr"/>
    </row>
    <row r="4182" ht="15" customHeight="1">
      <c r="A4182" t="inlineStr">
        <is>
          <t>A 29777-2025</t>
        </is>
      </c>
      <c r="B4182" s="1" t="n">
        <v>45825.64113425926</v>
      </c>
      <c r="C4182" s="1" t="n">
        <v>45911</v>
      </c>
      <c r="D4182" t="inlineStr">
        <is>
          <t>GÄVLEBORGS LÄN</t>
        </is>
      </c>
      <c r="E4182" t="inlineStr">
        <is>
          <t>BOLLNÄS</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19419-2025</t>
        </is>
      </c>
      <c r="B4183" s="1" t="n">
        <v>45769.74543981482</v>
      </c>
      <c r="C4183" s="1" t="n">
        <v>45911</v>
      </c>
      <c r="D4183" t="inlineStr">
        <is>
          <t>GÄVLEBORGS LÄN</t>
        </is>
      </c>
      <c r="E4183" t="inlineStr">
        <is>
          <t>SANDVIKEN</t>
        </is>
      </c>
      <c r="G4183" t="n">
        <v>3.4</v>
      </c>
      <c r="H4183" t="n">
        <v>0</v>
      </c>
      <c r="I4183" t="n">
        <v>0</v>
      </c>
      <c r="J4183" t="n">
        <v>0</v>
      </c>
      <c r="K4183" t="n">
        <v>0</v>
      </c>
      <c r="L4183" t="n">
        <v>0</v>
      </c>
      <c r="M4183" t="n">
        <v>0</v>
      </c>
      <c r="N4183" t="n">
        <v>0</v>
      </c>
      <c r="O4183" t="n">
        <v>0</v>
      </c>
      <c r="P4183" t="n">
        <v>0</v>
      </c>
      <c r="Q4183" t="n">
        <v>0</v>
      </c>
      <c r="R4183" s="2" t="inlineStr"/>
    </row>
    <row r="4184" ht="15" customHeight="1">
      <c r="A4184" t="inlineStr">
        <is>
          <t>A 19421-2025</t>
        </is>
      </c>
      <c r="B4184" s="1" t="n">
        <v>45769.74990740741</v>
      </c>
      <c r="C4184" s="1" t="n">
        <v>45911</v>
      </c>
      <c r="D4184" t="inlineStr">
        <is>
          <t>GÄVLEBORGS LÄN</t>
        </is>
      </c>
      <c r="E4184" t="inlineStr">
        <is>
          <t>SANDVIKEN</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34370-2022</t>
        </is>
      </c>
      <c r="B4185" s="1" t="n">
        <v>44792</v>
      </c>
      <c r="C4185" s="1" t="n">
        <v>45911</v>
      </c>
      <c r="D4185" t="inlineStr">
        <is>
          <t>GÄVLEBORGS LÄN</t>
        </is>
      </c>
      <c r="E4185" t="inlineStr">
        <is>
          <t>HUDIKSVALL</t>
        </is>
      </c>
      <c r="F4185" t="inlineStr">
        <is>
          <t>Holmen skog AB</t>
        </is>
      </c>
      <c r="G4185" t="n">
        <v>3.7</v>
      </c>
      <c r="H4185" t="n">
        <v>0</v>
      </c>
      <c r="I4185" t="n">
        <v>0</v>
      </c>
      <c r="J4185" t="n">
        <v>0</v>
      </c>
      <c r="K4185" t="n">
        <v>0</v>
      </c>
      <c r="L4185" t="n">
        <v>0</v>
      </c>
      <c r="M4185" t="n">
        <v>0</v>
      </c>
      <c r="N4185" t="n">
        <v>0</v>
      </c>
      <c r="O4185" t="n">
        <v>0</v>
      </c>
      <c r="P4185" t="n">
        <v>0</v>
      </c>
      <c r="Q4185" t="n">
        <v>0</v>
      </c>
      <c r="R4185" s="2" t="inlineStr"/>
    </row>
    <row r="4186" ht="15" customHeight="1">
      <c r="A4186" t="inlineStr">
        <is>
          <t>A 13632-2024</t>
        </is>
      </c>
      <c r="B4186" s="1" t="n">
        <v>45390.41961805556</v>
      </c>
      <c r="C4186" s="1" t="n">
        <v>45911</v>
      </c>
      <c r="D4186" t="inlineStr">
        <is>
          <t>GÄVLEBORGS LÄN</t>
        </is>
      </c>
      <c r="E4186" t="inlineStr">
        <is>
          <t>SANDVIKEN</t>
        </is>
      </c>
      <c r="F4186" t="inlineStr">
        <is>
          <t>Kyrkan</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23619-2022</t>
        </is>
      </c>
      <c r="B4187" s="1" t="n">
        <v>44721.62302083334</v>
      </c>
      <c r="C4187" s="1" t="n">
        <v>45911</v>
      </c>
      <c r="D4187" t="inlineStr">
        <is>
          <t>GÄVLEBORGS LÄN</t>
        </is>
      </c>
      <c r="E4187" t="inlineStr">
        <is>
          <t>LJUSDAL</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29575-2025</t>
        </is>
      </c>
      <c r="B4188" s="1" t="n">
        <v>45825.37327546296</v>
      </c>
      <c r="C4188" s="1" t="n">
        <v>45911</v>
      </c>
      <c r="D4188" t="inlineStr">
        <is>
          <t>GÄVLEBORGS LÄN</t>
        </is>
      </c>
      <c r="E4188" t="inlineStr">
        <is>
          <t>BOLLNÄS</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47359-2024</t>
        </is>
      </c>
      <c r="B4189" s="1" t="n">
        <v>45587.43547453704</v>
      </c>
      <c r="C4189" s="1" t="n">
        <v>45911</v>
      </c>
      <c r="D4189" t="inlineStr">
        <is>
          <t>GÄVLEBORGS LÄN</t>
        </is>
      </c>
      <c r="E4189" t="inlineStr">
        <is>
          <t>HOFORS</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48879-2023</t>
        </is>
      </c>
      <c r="B4190" s="1" t="n">
        <v>45209.46855324074</v>
      </c>
      <c r="C4190" s="1" t="n">
        <v>45911</v>
      </c>
      <c r="D4190" t="inlineStr">
        <is>
          <t>GÄVLEBORGS LÄN</t>
        </is>
      </c>
      <c r="E4190" t="inlineStr">
        <is>
          <t>LJUSDAL</t>
        </is>
      </c>
      <c r="F4190" t="inlineStr">
        <is>
          <t>Bergvik skog väst AB</t>
        </is>
      </c>
      <c r="G4190" t="n">
        <v>0.4</v>
      </c>
      <c r="H4190" t="n">
        <v>0</v>
      </c>
      <c r="I4190" t="n">
        <v>0</v>
      </c>
      <c r="J4190" t="n">
        <v>0</v>
      </c>
      <c r="K4190" t="n">
        <v>0</v>
      </c>
      <c r="L4190" t="n">
        <v>0</v>
      </c>
      <c r="M4190" t="n">
        <v>0</v>
      </c>
      <c r="N4190" t="n">
        <v>0</v>
      </c>
      <c r="O4190" t="n">
        <v>0</v>
      </c>
      <c r="P4190" t="n">
        <v>0</v>
      </c>
      <c r="Q4190" t="n">
        <v>0</v>
      </c>
      <c r="R4190" s="2" t="inlineStr"/>
    </row>
    <row r="4191" ht="15" customHeight="1">
      <c r="A4191" t="inlineStr">
        <is>
          <t>A 29920-2025</t>
        </is>
      </c>
      <c r="B4191" s="1" t="n">
        <v>45826.42377314815</v>
      </c>
      <c r="C4191" s="1" t="n">
        <v>45911</v>
      </c>
      <c r="D4191" t="inlineStr">
        <is>
          <t>GÄVLEBORGS LÄN</t>
        </is>
      </c>
      <c r="E4191" t="inlineStr">
        <is>
          <t>OVANÅKER</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16628-2025</t>
        </is>
      </c>
      <c r="B4192" s="1" t="n">
        <v>45754.35976851852</v>
      </c>
      <c r="C4192" s="1" t="n">
        <v>45911</v>
      </c>
      <c r="D4192" t="inlineStr">
        <is>
          <t>GÄVLEBORGS LÄN</t>
        </is>
      </c>
      <c r="E4192" t="inlineStr">
        <is>
          <t>BOLLNÄS</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47380-2024</t>
        </is>
      </c>
      <c r="B4193" s="1" t="n">
        <v>45587.45914351852</v>
      </c>
      <c r="C4193" s="1" t="n">
        <v>45911</v>
      </c>
      <c r="D4193" t="inlineStr">
        <is>
          <t>GÄVLEBORGS LÄN</t>
        </is>
      </c>
      <c r="E4193" t="inlineStr">
        <is>
          <t>OVANÅKER</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14575-2024</t>
        </is>
      </c>
      <c r="B4194" s="1" t="n">
        <v>45394</v>
      </c>
      <c r="C4194" s="1" t="n">
        <v>45911</v>
      </c>
      <c r="D4194" t="inlineStr">
        <is>
          <t>GÄVLEBORGS LÄN</t>
        </is>
      </c>
      <c r="E4194" t="inlineStr">
        <is>
          <t>OVANÅKER</t>
        </is>
      </c>
      <c r="G4194" t="n">
        <v>4.4</v>
      </c>
      <c r="H4194" t="n">
        <v>0</v>
      </c>
      <c r="I4194" t="n">
        <v>0</v>
      </c>
      <c r="J4194" t="n">
        <v>0</v>
      </c>
      <c r="K4194" t="n">
        <v>0</v>
      </c>
      <c r="L4194" t="n">
        <v>0</v>
      </c>
      <c r="M4194" t="n">
        <v>0</v>
      </c>
      <c r="N4194" t="n">
        <v>0</v>
      </c>
      <c r="O4194" t="n">
        <v>0</v>
      </c>
      <c r="P4194" t="n">
        <v>0</v>
      </c>
      <c r="Q4194" t="n">
        <v>0</v>
      </c>
      <c r="R4194" s="2" t="inlineStr"/>
    </row>
    <row r="4195" ht="15" customHeight="1">
      <c r="A4195" t="inlineStr">
        <is>
          <t>A 47314-2024</t>
        </is>
      </c>
      <c r="B4195" s="1" t="n">
        <v>45587.36900462963</v>
      </c>
      <c r="C4195" s="1" t="n">
        <v>45911</v>
      </c>
      <c r="D4195" t="inlineStr">
        <is>
          <t>GÄVLEBORGS LÄN</t>
        </is>
      </c>
      <c r="E4195" t="inlineStr">
        <is>
          <t>HUDIKSVALL</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36471-2025</t>
        </is>
      </c>
      <c r="B4196" s="1" t="n">
        <v>45869.4811574074</v>
      </c>
      <c r="C4196" s="1" t="n">
        <v>45911</v>
      </c>
      <c r="D4196" t="inlineStr">
        <is>
          <t>GÄVLEBORGS LÄN</t>
        </is>
      </c>
      <c r="E4196" t="inlineStr">
        <is>
          <t>BOLLNÄS</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36493-2025</t>
        </is>
      </c>
      <c r="B4197" s="1" t="n">
        <v>45869.54342592593</v>
      </c>
      <c r="C4197" s="1" t="n">
        <v>45911</v>
      </c>
      <c r="D4197" t="inlineStr">
        <is>
          <t>GÄVLEBORGS LÄN</t>
        </is>
      </c>
      <c r="E4197" t="inlineStr">
        <is>
          <t>GÄVLE</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36516-2025</t>
        </is>
      </c>
      <c r="B4198" s="1" t="n">
        <v>45869.58846064815</v>
      </c>
      <c r="C4198" s="1" t="n">
        <v>45911</v>
      </c>
      <c r="D4198" t="inlineStr">
        <is>
          <t>GÄVLEBORGS LÄN</t>
        </is>
      </c>
      <c r="E4198" t="inlineStr">
        <is>
          <t>GÄVLE</t>
        </is>
      </c>
      <c r="G4198" t="n">
        <v>0.4</v>
      </c>
      <c r="H4198" t="n">
        <v>0</v>
      </c>
      <c r="I4198" t="n">
        <v>0</v>
      </c>
      <c r="J4198" t="n">
        <v>0</v>
      </c>
      <c r="K4198" t="n">
        <v>0</v>
      </c>
      <c r="L4198" t="n">
        <v>0</v>
      </c>
      <c r="M4198" t="n">
        <v>0</v>
      </c>
      <c r="N4198" t="n">
        <v>0</v>
      </c>
      <c r="O4198" t="n">
        <v>0</v>
      </c>
      <c r="P4198" t="n">
        <v>0</v>
      </c>
      <c r="Q4198" t="n">
        <v>0</v>
      </c>
      <c r="R4198" s="2" t="inlineStr"/>
    </row>
    <row r="4199" ht="15" customHeight="1">
      <c r="A4199" t="inlineStr">
        <is>
          <t>A 30448-2025</t>
        </is>
      </c>
      <c r="B4199" s="1" t="n">
        <v>45827.65844907407</v>
      </c>
      <c r="C4199" s="1" t="n">
        <v>45911</v>
      </c>
      <c r="D4199" t="inlineStr">
        <is>
          <t>GÄVLEBORGS LÄN</t>
        </is>
      </c>
      <c r="E4199" t="inlineStr">
        <is>
          <t>NORDANSTIG</t>
        </is>
      </c>
      <c r="F4199" t="inlineStr">
        <is>
          <t>Holmen skog AB</t>
        </is>
      </c>
      <c r="G4199" t="n">
        <v>7.7</v>
      </c>
      <c r="H4199" t="n">
        <v>0</v>
      </c>
      <c r="I4199" t="n">
        <v>0</v>
      </c>
      <c r="J4199" t="n">
        <v>0</v>
      </c>
      <c r="K4199" t="n">
        <v>0</v>
      </c>
      <c r="L4199" t="n">
        <v>0</v>
      </c>
      <c r="M4199" t="n">
        <v>0</v>
      </c>
      <c r="N4199" t="n">
        <v>0</v>
      </c>
      <c r="O4199" t="n">
        <v>0</v>
      </c>
      <c r="P4199" t="n">
        <v>0</v>
      </c>
      <c r="Q4199" t="n">
        <v>0</v>
      </c>
      <c r="R4199" s="2" t="inlineStr"/>
    </row>
    <row r="4200" ht="15" customHeight="1">
      <c r="A4200" t="inlineStr">
        <is>
          <t>A 30455-2025</t>
        </is>
      </c>
      <c r="B4200" s="1" t="n">
        <v>45827</v>
      </c>
      <c r="C4200" s="1" t="n">
        <v>45911</v>
      </c>
      <c r="D4200" t="inlineStr">
        <is>
          <t>GÄVLEBORGS LÄN</t>
        </is>
      </c>
      <c r="E4200" t="inlineStr">
        <is>
          <t>BOLLNÄS</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42687-2024</t>
        </is>
      </c>
      <c r="B4201" s="1" t="n">
        <v>45566.39753472222</v>
      </c>
      <c r="C4201" s="1" t="n">
        <v>45911</v>
      </c>
      <c r="D4201" t="inlineStr">
        <is>
          <t>GÄVLEBORGS LÄN</t>
        </is>
      </c>
      <c r="E4201" t="inlineStr">
        <is>
          <t>HUDIKSVALL</t>
        </is>
      </c>
      <c r="F4201" t="inlineStr">
        <is>
          <t>Holmen skog AB</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56310-2021</t>
        </is>
      </c>
      <c r="B4202" s="1" t="n">
        <v>44477</v>
      </c>
      <c r="C4202" s="1" t="n">
        <v>45911</v>
      </c>
      <c r="D4202" t="inlineStr">
        <is>
          <t>GÄVLEBORGS LÄN</t>
        </is>
      </c>
      <c r="E4202" t="inlineStr">
        <is>
          <t>SANDVIKEN</t>
        </is>
      </c>
      <c r="F4202" t="inlineStr">
        <is>
          <t>Bergvik skog väst AB</t>
        </is>
      </c>
      <c r="G4202" t="n">
        <v>18.5</v>
      </c>
      <c r="H4202" t="n">
        <v>0</v>
      </c>
      <c r="I4202" t="n">
        <v>0</v>
      </c>
      <c r="J4202" t="n">
        <v>0</v>
      </c>
      <c r="K4202" t="n">
        <v>0</v>
      </c>
      <c r="L4202" t="n">
        <v>0</v>
      </c>
      <c r="M4202" t="n">
        <v>0</v>
      </c>
      <c r="N4202" t="n">
        <v>0</v>
      </c>
      <c r="O4202" t="n">
        <v>0</v>
      </c>
      <c r="P4202" t="n">
        <v>0</v>
      </c>
      <c r="Q4202" t="n">
        <v>0</v>
      </c>
      <c r="R4202" s="2" t="inlineStr"/>
    </row>
    <row r="4203" ht="15" customHeight="1">
      <c r="A4203" t="inlineStr">
        <is>
          <t>A 30481-2025</t>
        </is>
      </c>
      <c r="B4203" s="1" t="n">
        <v>45828.61712962963</v>
      </c>
      <c r="C4203" s="1" t="n">
        <v>45911</v>
      </c>
      <c r="D4203" t="inlineStr">
        <is>
          <t>GÄVLEBORGS LÄN</t>
        </is>
      </c>
      <c r="E4203" t="inlineStr">
        <is>
          <t>HUDIKSVALL</t>
        </is>
      </c>
      <c r="F4203" t="inlineStr">
        <is>
          <t>Holmen skog AB</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36584-2025</t>
        </is>
      </c>
      <c r="B4204" s="1" t="n">
        <v>45870.43672453704</v>
      </c>
      <c r="C4204" s="1" t="n">
        <v>45911</v>
      </c>
      <c r="D4204" t="inlineStr">
        <is>
          <t>GÄVLEBORGS LÄN</t>
        </is>
      </c>
      <c r="E4204" t="inlineStr">
        <is>
          <t>SANDVIKEN</t>
        </is>
      </c>
      <c r="F4204" t="inlineStr">
        <is>
          <t>Sveaskog</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30201-2025</t>
        </is>
      </c>
      <c r="B4205" s="1" t="n">
        <v>45827.3578125</v>
      </c>
      <c r="C4205" s="1" t="n">
        <v>45911</v>
      </c>
      <c r="D4205" t="inlineStr">
        <is>
          <t>GÄVLEBORGS LÄN</t>
        </is>
      </c>
      <c r="E4205" t="inlineStr">
        <is>
          <t>GÄVLE</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43384-2024</t>
        </is>
      </c>
      <c r="B4206" s="1" t="n">
        <v>45568.5949537037</v>
      </c>
      <c r="C4206" s="1" t="n">
        <v>45911</v>
      </c>
      <c r="D4206" t="inlineStr">
        <is>
          <t>GÄVLEBORGS LÄN</t>
        </is>
      </c>
      <c r="E4206" t="inlineStr">
        <is>
          <t>BOLLNÄS</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57784-2024</t>
        </is>
      </c>
      <c r="B4207" s="1" t="n">
        <v>45631</v>
      </c>
      <c r="C4207" s="1" t="n">
        <v>45911</v>
      </c>
      <c r="D4207" t="inlineStr">
        <is>
          <t>GÄVLEBORGS LÄN</t>
        </is>
      </c>
      <c r="E4207" t="inlineStr">
        <is>
          <t>LJUSDAL</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49401-2023</t>
        </is>
      </c>
      <c r="B4208" s="1" t="n">
        <v>45211.42238425926</v>
      </c>
      <c r="C4208" s="1" t="n">
        <v>45911</v>
      </c>
      <c r="D4208" t="inlineStr">
        <is>
          <t>GÄVLEBORGS LÄN</t>
        </is>
      </c>
      <c r="E4208" t="inlineStr">
        <is>
          <t>BOLLNÄS</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46207-2024</t>
        </is>
      </c>
      <c r="B4209" s="1" t="n">
        <v>45581.54894675926</v>
      </c>
      <c r="C4209" s="1" t="n">
        <v>45911</v>
      </c>
      <c r="D4209" t="inlineStr">
        <is>
          <t>GÄVLEBORGS LÄN</t>
        </is>
      </c>
      <c r="E4209" t="inlineStr">
        <is>
          <t>HUDIKSVALL</t>
        </is>
      </c>
      <c r="F4209" t="inlineStr">
        <is>
          <t>Holmen skog AB</t>
        </is>
      </c>
      <c r="G4209" t="n">
        <v>3</v>
      </c>
      <c r="H4209" t="n">
        <v>0</v>
      </c>
      <c r="I4209" t="n">
        <v>0</v>
      </c>
      <c r="J4209" t="n">
        <v>0</v>
      </c>
      <c r="K4209" t="n">
        <v>0</v>
      </c>
      <c r="L4209" t="n">
        <v>0</v>
      </c>
      <c r="M4209" t="n">
        <v>0</v>
      </c>
      <c r="N4209" t="n">
        <v>0</v>
      </c>
      <c r="O4209" t="n">
        <v>0</v>
      </c>
      <c r="P4209" t="n">
        <v>0</v>
      </c>
      <c r="Q4209" t="n">
        <v>0</v>
      </c>
      <c r="R4209" s="2" t="inlineStr"/>
    </row>
    <row r="4210" ht="15" customHeight="1">
      <c r="A4210" t="inlineStr">
        <is>
          <t>A 40280-2023</t>
        </is>
      </c>
      <c r="B4210" s="1" t="n">
        <v>45169.5669212963</v>
      </c>
      <c r="C4210" s="1" t="n">
        <v>45911</v>
      </c>
      <c r="D4210" t="inlineStr">
        <is>
          <t>GÄVLEBORGS LÄN</t>
        </is>
      </c>
      <c r="E4210" t="inlineStr">
        <is>
          <t>LJUSDAL</t>
        </is>
      </c>
      <c r="F4210" t="inlineStr">
        <is>
          <t>Sveaskog</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30292-2025</t>
        </is>
      </c>
      <c r="B4211" s="1" t="n">
        <v>45827.47149305556</v>
      </c>
      <c r="C4211" s="1" t="n">
        <v>45911</v>
      </c>
      <c r="D4211" t="inlineStr">
        <is>
          <t>GÄVLEBORGS LÄN</t>
        </is>
      </c>
      <c r="E4211" t="inlineStr">
        <is>
          <t>BOLLNÄS</t>
        </is>
      </c>
      <c r="G4211" t="n">
        <v>3.6</v>
      </c>
      <c r="H4211" t="n">
        <v>0</v>
      </c>
      <c r="I4211" t="n">
        <v>0</v>
      </c>
      <c r="J4211" t="n">
        <v>0</v>
      </c>
      <c r="K4211" t="n">
        <v>0</v>
      </c>
      <c r="L4211" t="n">
        <v>0</v>
      </c>
      <c r="M4211" t="n">
        <v>0</v>
      </c>
      <c r="N4211" t="n">
        <v>0</v>
      </c>
      <c r="O4211" t="n">
        <v>0</v>
      </c>
      <c r="P4211" t="n">
        <v>0</v>
      </c>
      <c r="Q4211" t="n">
        <v>0</v>
      </c>
      <c r="R4211" s="2" t="inlineStr"/>
    </row>
    <row r="4212" ht="15" customHeight="1">
      <c r="A4212" t="inlineStr">
        <is>
          <t>A 3628-2023</t>
        </is>
      </c>
      <c r="B4212" s="1" t="n">
        <v>44950.64807870371</v>
      </c>
      <c r="C4212" s="1" t="n">
        <v>45911</v>
      </c>
      <c r="D4212" t="inlineStr">
        <is>
          <t>GÄVLEBORGS LÄN</t>
        </is>
      </c>
      <c r="E4212" t="inlineStr">
        <is>
          <t>OCKELBO</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23355-2024</t>
        </is>
      </c>
      <c r="B4213" s="1" t="n">
        <v>45453</v>
      </c>
      <c r="C4213" s="1" t="n">
        <v>45911</v>
      </c>
      <c r="D4213" t="inlineStr">
        <is>
          <t>GÄVLEBORGS LÄN</t>
        </is>
      </c>
      <c r="E4213" t="inlineStr">
        <is>
          <t>HOFORS</t>
        </is>
      </c>
      <c r="F4213" t="inlineStr">
        <is>
          <t>Sveaskog</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30277-2025</t>
        </is>
      </c>
      <c r="B4214" s="1" t="n">
        <v>45827.45482638889</v>
      </c>
      <c r="C4214" s="1" t="n">
        <v>45911</v>
      </c>
      <c r="D4214" t="inlineStr">
        <is>
          <t>GÄVLEBORGS LÄN</t>
        </is>
      </c>
      <c r="E4214" t="inlineStr">
        <is>
          <t>GÄVLE</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30303-2025</t>
        </is>
      </c>
      <c r="B4215" s="1" t="n">
        <v>45827.48033564815</v>
      </c>
      <c r="C4215" s="1" t="n">
        <v>45911</v>
      </c>
      <c r="D4215" t="inlineStr">
        <is>
          <t>GÄVLEBORGS LÄN</t>
        </is>
      </c>
      <c r="E4215" t="inlineStr">
        <is>
          <t>BOLLNÄS</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30331-2025</t>
        </is>
      </c>
      <c r="B4216" s="1" t="n">
        <v>45827.50730324074</v>
      </c>
      <c r="C4216" s="1" t="n">
        <v>45911</v>
      </c>
      <c r="D4216" t="inlineStr">
        <is>
          <t>GÄVLEBORGS LÄN</t>
        </is>
      </c>
      <c r="E4216" t="inlineStr">
        <is>
          <t>OCKELBO</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30149-2025</t>
        </is>
      </c>
      <c r="B4217" s="1" t="n">
        <v>45827.31229166667</v>
      </c>
      <c r="C4217" s="1" t="n">
        <v>45911</v>
      </c>
      <c r="D4217" t="inlineStr">
        <is>
          <t>GÄVLEBORGS LÄN</t>
        </is>
      </c>
      <c r="E4217" t="inlineStr">
        <is>
          <t>OVANÅKER</t>
        </is>
      </c>
      <c r="F4217" t="inlineStr">
        <is>
          <t>Bergvik skog väst AB</t>
        </is>
      </c>
      <c r="G4217" t="n">
        <v>12.1</v>
      </c>
      <c r="H4217" t="n">
        <v>0</v>
      </c>
      <c r="I4217" t="n">
        <v>0</v>
      </c>
      <c r="J4217" t="n">
        <v>0</v>
      </c>
      <c r="K4217" t="n">
        <v>0</v>
      </c>
      <c r="L4217" t="n">
        <v>0</v>
      </c>
      <c r="M4217" t="n">
        <v>0</v>
      </c>
      <c r="N4217" t="n">
        <v>0</v>
      </c>
      <c r="O4217" t="n">
        <v>0</v>
      </c>
      <c r="P4217" t="n">
        <v>0</v>
      </c>
      <c r="Q4217" t="n">
        <v>0</v>
      </c>
      <c r="R4217" s="2" t="inlineStr"/>
    </row>
    <row r="4218" ht="15" customHeight="1">
      <c r="A4218" t="inlineStr">
        <is>
          <t>A 23369-2022</t>
        </is>
      </c>
      <c r="B4218" s="1" t="n">
        <v>44720.60880787037</v>
      </c>
      <c r="C4218" s="1" t="n">
        <v>45911</v>
      </c>
      <c r="D4218" t="inlineStr">
        <is>
          <t>GÄVLEBORGS LÄN</t>
        </is>
      </c>
      <c r="E4218" t="inlineStr">
        <is>
          <t>NORDANSTIG</t>
        </is>
      </c>
      <c r="G4218" t="n">
        <v>5.3</v>
      </c>
      <c r="H4218" t="n">
        <v>0</v>
      </c>
      <c r="I4218" t="n">
        <v>0</v>
      </c>
      <c r="J4218" t="n">
        <v>0</v>
      </c>
      <c r="K4218" t="n">
        <v>0</v>
      </c>
      <c r="L4218" t="n">
        <v>0</v>
      </c>
      <c r="M4218" t="n">
        <v>0</v>
      </c>
      <c r="N4218" t="n">
        <v>0</v>
      </c>
      <c r="O4218" t="n">
        <v>0</v>
      </c>
      <c r="P4218" t="n">
        <v>0</v>
      </c>
      <c r="Q4218" t="n">
        <v>0</v>
      </c>
      <c r="R4218" s="2" t="inlineStr"/>
    </row>
    <row r="4219" ht="15" customHeight="1">
      <c r="A4219" t="inlineStr">
        <is>
          <t>A 46115-2024</t>
        </is>
      </c>
      <c r="B4219" s="1" t="n">
        <v>45581</v>
      </c>
      <c r="C4219" s="1" t="n">
        <v>45911</v>
      </c>
      <c r="D4219" t="inlineStr">
        <is>
          <t>GÄVLEBORGS LÄN</t>
        </is>
      </c>
      <c r="E4219" t="inlineStr">
        <is>
          <t>GÄVLE</t>
        </is>
      </c>
      <c r="F4219" t="inlineStr">
        <is>
          <t>Kyrkan</t>
        </is>
      </c>
      <c r="G4219" t="n">
        <v>4.4</v>
      </c>
      <c r="H4219" t="n">
        <v>0</v>
      </c>
      <c r="I4219" t="n">
        <v>0</v>
      </c>
      <c r="J4219" t="n">
        <v>0</v>
      </c>
      <c r="K4219" t="n">
        <v>0</v>
      </c>
      <c r="L4219" t="n">
        <v>0</v>
      </c>
      <c r="M4219" t="n">
        <v>0</v>
      </c>
      <c r="N4219" t="n">
        <v>0</v>
      </c>
      <c r="O4219" t="n">
        <v>0</v>
      </c>
      <c r="P4219" t="n">
        <v>0</v>
      </c>
      <c r="Q4219" t="n">
        <v>0</v>
      </c>
      <c r="R4219" s="2" t="inlineStr"/>
    </row>
    <row r="4220" ht="15" customHeight="1">
      <c r="A4220" t="inlineStr">
        <is>
          <t>A 40269-2023</t>
        </is>
      </c>
      <c r="B4220" s="1" t="n">
        <v>45169.54965277778</v>
      </c>
      <c r="C4220" s="1" t="n">
        <v>45911</v>
      </c>
      <c r="D4220" t="inlineStr">
        <is>
          <t>GÄVLEBORGS LÄN</t>
        </is>
      </c>
      <c r="E4220" t="inlineStr">
        <is>
          <t>NORDANSTIG</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40276-2023</t>
        </is>
      </c>
      <c r="B4221" s="1" t="n">
        <v>45169.56296296296</v>
      </c>
      <c r="C4221" s="1" t="n">
        <v>45911</v>
      </c>
      <c r="D4221" t="inlineStr">
        <is>
          <t>GÄVLEBORGS LÄN</t>
        </is>
      </c>
      <c r="E4221" t="inlineStr">
        <is>
          <t>LJUSDAL</t>
        </is>
      </c>
      <c r="F4221" t="inlineStr">
        <is>
          <t>Sveaskog</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36452-2025</t>
        </is>
      </c>
      <c r="B4222" s="1" t="n">
        <v>45869.42978009259</v>
      </c>
      <c r="C4222" s="1" t="n">
        <v>45911</v>
      </c>
      <c r="D4222" t="inlineStr">
        <is>
          <t>GÄVLEBORGS LÄN</t>
        </is>
      </c>
      <c r="E4222" t="inlineStr">
        <is>
          <t>GÄVLE</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36449-2025</t>
        </is>
      </c>
      <c r="B4223" s="1" t="n">
        <v>45869.42247685185</v>
      </c>
      <c r="C4223" s="1" t="n">
        <v>45911</v>
      </c>
      <c r="D4223" t="inlineStr">
        <is>
          <t>GÄVLEBORGS LÄN</t>
        </is>
      </c>
      <c r="E4223" t="inlineStr">
        <is>
          <t>GÄVLE</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36474-2025</t>
        </is>
      </c>
      <c r="B4224" s="1" t="n">
        <v>45869.48569444445</v>
      </c>
      <c r="C4224" s="1" t="n">
        <v>45911</v>
      </c>
      <c r="D4224" t="inlineStr">
        <is>
          <t>GÄVLEBORGS LÄN</t>
        </is>
      </c>
      <c r="E4224" t="inlineStr">
        <is>
          <t>BOLLNÄS</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69206-2020</t>
        </is>
      </c>
      <c r="B4225" s="1" t="n">
        <v>44191</v>
      </c>
      <c r="C4225" s="1" t="n">
        <v>45911</v>
      </c>
      <c r="D4225" t="inlineStr">
        <is>
          <t>GÄVLEBORGS LÄN</t>
        </is>
      </c>
      <c r="E4225" t="inlineStr">
        <is>
          <t>GÄVLE</t>
        </is>
      </c>
      <c r="F4225" t="inlineStr">
        <is>
          <t>Kommuner</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45557-2023</t>
        </is>
      </c>
      <c r="B4226" s="1" t="n">
        <v>45194.58666666667</v>
      </c>
      <c r="C4226" s="1" t="n">
        <v>45911</v>
      </c>
      <c r="D4226" t="inlineStr">
        <is>
          <t>GÄVLEBORGS LÄN</t>
        </is>
      </c>
      <c r="E4226" t="inlineStr">
        <is>
          <t>BOLLNÄS</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28983-2022</t>
        </is>
      </c>
      <c r="B4227" s="1" t="n">
        <v>44749.65376157407</v>
      </c>
      <c r="C4227" s="1" t="n">
        <v>45911</v>
      </c>
      <c r="D4227" t="inlineStr">
        <is>
          <t>GÄVLEBORGS LÄN</t>
        </is>
      </c>
      <c r="E4227" t="inlineStr">
        <is>
          <t>BOLLNÄS</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36061-2024</t>
        </is>
      </c>
      <c r="B4228" s="1" t="n">
        <v>45533.63870370371</v>
      </c>
      <c r="C4228" s="1" t="n">
        <v>45911</v>
      </c>
      <c r="D4228" t="inlineStr">
        <is>
          <t>GÄVLEBORGS LÄN</t>
        </is>
      </c>
      <c r="E4228" t="inlineStr">
        <is>
          <t>LJUSDAL</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22641-2024</t>
        </is>
      </c>
      <c r="B4229" s="1" t="n">
        <v>45447</v>
      </c>
      <c r="C4229" s="1" t="n">
        <v>45911</v>
      </c>
      <c r="D4229" t="inlineStr">
        <is>
          <t>GÄVLEBORGS LÄN</t>
        </is>
      </c>
      <c r="E4229" t="inlineStr">
        <is>
          <t>HUDIKSVALL</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12216-2025</t>
        </is>
      </c>
      <c r="B4230" s="1" t="n">
        <v>45729.53565972222</v>
      </c>
      <c r="C4230" s="1" t="n">
        <v>45911</v>
      </c>
      <c r="D4230" t="inlineStr">
        <is>
          <t>GÄVLEBORGS LÄN</t>
        </is>
      </c>
      <c r="E4230" t="inlineStr">
        <is>
          <t>NORDANSTIG</t>
        </is>
      </c>
      <c r="G4230" t="n">
        <v>3.3</v>
      </c>
      <c r="H4230" t="n">
        <v>0</v>
      </c>
      <c r="I4230" t="n">
        <v>0</v>
      </c>
      <c r="J4230" t="n">
        <v>0</v>
      </c>
      <c r="K4230" t="n">
        <v>0</v>
      </c>
      <c r="L4230" t="n">
        <v>0</v>
      </c>
      <c r="M4230" t="n">
        <v>0</v>
      </c>
      <c r="N4230" t="n">
        <v>0</v>
      </c>
      <c r="O4230" t="n">
        <v>0</v>
      </c>
      <c r="P4230" t="n">
        <v>0</v>
      </c>
      <c r="Q4230" t="n">
        <v>0</v>
      </c>
      <c r="R4230" s="2" t="inlineStr"/>
    </row>
    <row r="4231" ht="15" customHeight="1">
      <c r="A4231" t="inlineStr">
        <is>
          <t>A 51261-2023</t>
        </is>
      </c>
      <c r="B4231" s="1" t="n">
        <v>45219</v>
      </c>
      <c r="C4231" s="1" t="n">
        <v>45911</v>
      </c>
      <c r="D4231" t="inlineStr">
        <is>
          <t>GÄVLEBORGS LÄN</t>
        </is>
      </c>
      <c r="E4231" t="inlineStr">
        <is>
          <t>BOLLNÄS</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12224-2025</t>
        </is>
      </c>
      <c r="B4232" s="1" t="n">
        <v>45729.55165509259</v>
      </c>
      <c r="C4232" s="1" t="n">
        <v>45911</v>
      </c>
      <c r="D4232" t="inlineStr">
        <is>
          <t>GÄVLEBORGS LÄN</t>
        </is>
      </c>
      <c r="E4232" t="inlineStr">
        <is>
          <t>LJUSDAL</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30300-2025</t>
        </is>
      </c>
      <c r="B4233" s="1" t="n">
        <v>45827.47604166667</v>
      </c>
      <c r="C4233" s="1" t="n">
        <v>45911</v>
      </c>
      <c r="D4233" t="inlineStr">
        <is>
          <t>GÄVLEBORGS LÄN</t>
        </is>
      </c>
      <c r="E4233" t="inlineStr">
        <is>
          <t>GÄVLE</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30304-2025</t>
        </is>
      </c>
      <c r="B4234" s="1" t="n">
        <v>45827.480625</v>
      </c>
      <c r="C4234" s="1" t="n">
        <v>45911</v>
      </c>
      <c r="D4234" t="inlineStr">
        <is>
          <t>GÄVLEBORGS LÄN</t>
        </is>
      </c>
      <c r="E4234" t="inlineStr">
        <is>
          <t>GÄVLE</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30308-2025</t>
        </is>
      </c>
      <c r="B4235" s="1" t="n">
        <v>45827.4880787037</v>
      </c>
      <c r="C4235" s="1" t="n">
        <v>45911</v>
      </c>
      <c r="D4235" t="inlineStr">
        <is>
          <t>GÄVLEBORGS LÄN</t>
        </is>
      </c>
      <c r="E4235" t="inlineStr">
        <is>
          <t>BOLLNÄS</t>
        </is>
      </c>
      <c r="G4235" t="n">
        <v>3.4</v>
      </c>
      <c r="H4235" t="n">
        <v>0</v>
      </c>
      <c r="I4235" t="n">
        <v>0</v>
      </c>
      <c r="J4235" t="n">
        <v>0</v>
      </c>
      <c r="K4235" t="n">
        <v>0</v>
      </c>
      <c r="L4235" t="n">
        <v>0</v>
      </c>
      <c r="M4235" t="n">
        <v>0</v>
      </c>
      <c r="N4235" t="n">
        <v>0</v>
      </c>
      <c r="O4235" t="n">
        <v>0</v>
      </c>
      <c r="P4235" t="n">
        <v>0</v>
      </c>
      <c r="Q4235" t="n">
        <v>0</v>
      </c>
      <c r="R4235" s="2" t="inlineStr"/>
    </row>
    <row r="4236" ht="15" customHeight="1">
      <c r="A4236" t="inlineStr">
        <is>
          <t>A 8035-2025</t>
        </is>
      </c>
      <c r="B4236" s="1" t="n">
        <v>45707.59410879629</v>
      </c>
      <c r="C4236" s="1" t="n">
        <v>45911</v>
      </c>
      <c r="D4236" t="inlineStr">
        <is>
          <t>GÄVLEBORGS LÄN</t>
        </is>
      </c>
      <c r="E4236" t="inlineStr">
        <is>
          <t>BOLLNÄS</t>
        </is>
      </c>
      <c r="F4236" t="inlineStr">
        <is>
          <t>Bergvik skog väst AB</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63862-2023</t>
        </is>
      </c>
      <c r="B4237" s="1" t="n">
        <v>45278.49693287037</v>
      </c>
      <c r="C4237" s="1" t="n">
        <v>45911</v>
      </c>
      <c r="D4237" t="inlineStr">
        <is>
          <t>GÄVLEBORGS LÄN</t>
        </is>
      </c>
      <c r="E4237" t="inlineStr">
        <is>
          <t>BOLLNÄS</t>
        </is>
      </c>
      <c r="G4237" t="n">
        <v>2.7</v>
      </c>
      <c r="H4237" t="n">
        <v>0</v>
      </c>
      <c r="I4237" t="n">
        <v>0</v>
      </c>
      <c r="J4237" t="n">
        <v>0</v>
      </c>
      <c r="K4237" t="n">
        <v>0</v>
      </c>
      <c r="L4237" t="n">
        <v>0</v>
      </c>
      <c r="M4237" t="n">
        <v>0</v>
      </c>
      <c r="N4237" t="n">
        <v>0</v>
      </c>
      <c r="O4237" t="n">
        <v>0</v>
      </c>
      <c r="P4237" t="n">
        <v>0</v>
      </c>
      <c r="Q4237" t="n">
        <v>0</v>
      </c>
      <c r="R4237" s="2" t="inlineStr"/>
    </row>
    <row r="4238" ht="15" customHeight="1">
      <c r="A4238" t="inlineStr">
        <is>
          <t>A 30456-2025</t>
        </is>
      </c>
      <c r="B4238" s="1" t="n">
        <v>45827</v>
      </c>
      <c r="C4238" s="1" t="n">
        <v>45911</v>
      </c>
      <c r="D4238" t="inlineStr">
        <is>
          <t>GÄVLEBORGS LÄN</t>
        </is>
      </c>
      <c r="E4238" t="inlineStr">
        <is>
          <t>BOLLNÄS</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30463-2025</t>
        </is>
      </c>
      <c r="B4239" s="1" t="n">
        <v>45827</v>
      </c>
      <c r="C4239" s="1" t="n">
        <v>45911</v>
      </c>
      <c r="D4239" t="inlineStr">
        <is>
          <t>GÄVLEBORGS LÄN</t>
        </is>
      </c>
      <c r="E4239" t="inlineStr">
        <is>
          <t>HUDIKSVALL</t>
        </is>
      </c>
      <c r="G4239" t="n">
        <v>9.800000000000001</v>
      </c>
      <c r="H4239" t="n">
        <v>0</v>
      </c>
      <c r="I4239" t="n">
        <v>0</v>
      </c>
      <c r="J4239" t="n">
        <v>0</v>
      </c>
      <c r="K4239" t="n">
        <v>0</v>
      </c>
      <c r="L4239" t="n">
        <v>0</v>
      </c>
      <c r="M4239" t="n">
        <v>0</v>
      </c>
      <c r="N4239" t="n">
        <v>0</v>
      </c>
      <c r="O4239" t="n">
        <v>0</v>
      </c>
      <c r="P4239" t="n">
        <v>0</v>
      </c>
      <c r="Q4239" t="n">
        <v>0</v>
      </c>
      <c r="R4239" s="2" t="inlineStr"/>
    </row>
    <row r="4240" ht="15" customHeight="1">
      <c r="A4240" t="inlineStr">
        <is>
          <t>A 30480-2025</t>
        </is>
      </c>
      <c r="B4240" s="1" t="n">
        <v>45828.60586805556</v>
      </c>
      <c r="C4240" s="1" t="n">
        <v>45911</v>
      </c>
      <c r="D4240" t="inlineStr">
        <is>
          <t>GÄVLEBORGS LÄN</t>
        </is>
      </c>
      <c r="E4240" t="inlineStr">
        <is>
          <t>HUDIKSVALL</t>
        </is>
      </c>
      <c r="F4240" t="inlineStr">
        <is>
          <t>Holmen skog AB</t>
        </is>
      </c>
      <c r="G4240" t="n">
        <v>4</v>
      </c>
      <c r="H4240" t="n">
        <v>0</v>
      </c>
      <c r="I4240" t="n">
        <v>0</v>
      </c>
      <c r="J4240" t="n">
        <v>0</v>
      </c>
      <c r="K4240" t="n">
        <v>0</v>
      </c>
      <c r="L4240" t="n">
        <v>0</v>
      </c>
      <c r="M4240" t="n">
        <v>0</v>
      </c>
      <c r="N4240" t="n">
        <v>0</v>
      </c>
      <c r="O4240" t="n">
        <v>0</v>
      </c>
      <c r="P4240" t="n">
        <v>0</v>
      </c>
      <c r="Q4240" t="n">
        <v>0</v>
      </c>
      <c r="R4240" s="2" t="inlineStr"/>
    </row>
    <row r="4241" ht="15" customHeight="1">
      <c r="A4241" t="inlineStr">
        <is>
          <t>A 30482-2025</t>
        </is>
      </c>
      <c r="B4241" s="1" t="n">
        <v>45828.64520833334</v>
      </c>
      <c r="C4241" s="1" t="n">
        <v>45911</v>
      </c>
      <c r="D4241" t="inlineStr">
        <is>
          <t>GÄVLEBORGS LÄN</t>
        </is>
      </c>
      <c r="E4241" t="inlineStr">
        <is>
          <t>HUDIKSVALL</t>
        </is>
      </c>
      <c r="F4241" t="inlineStr">
        <is>
          <t>Holmen skog AB</t>
        </is>
      </c>
      <c r="G4241" t="n">
        <v>4.5</v>
      </c>
      <c r="H4241" t="n">
        <v>0</v>
      </c>
      <c r="I4241" t="n">
        <v>0</v>
      </c>
      <c r="J4241" t="n">
        <v>0</v>
      </c>
      <c r="K4241" t="n">
        <v>0</v>
      </c>
      <c r="L4241" t="n">
        <v>0</v>
      </c>
      <c r="M4241" t="n">
        <v>0</v>
      </c>
      <c r="N4241" t="n">
        <v>0</v>
      </c>
      <c r="O4241" t="n">
        <v>0</v>
      </c>
      <c r="P4241" t="n">
        <v>0</v>
      </c>
      <c r="Q4241" t="n">
        <v>0</v>
      </c>
      <c r="R4241" s="2" t="inlineStr"/>
    </row>
    <row r="4242" ht="15" customHeight="1">
      <c r="A4242" t="inlineStr">
        <is>
          <t>A 54396-2023</t>
        </is>
      </c>
      <c r="B4242" s="1" t="n">
        <v>45233.3717824074</v>
      </c>
      <c r="C4242" s="1" t="n">
        <v>45911</v>
      </c>
      <c r="D4242" t="inlineStr">
        <is>
          <t>GÄVLEBORGS LÄN</t>
        </is>
      </c>
      <c r="E4242" t="inlineStr">
        <is>
          <t>NORDANSTIG</t>
        </is>
      </c>
      <c r="F4242" t="inlineStr">
        <is>
          <t>Holmen skog AB</t>
        </is>
      </c>
      <c r="G4242" t="n">
        <v>9.1</v>
      </c>
      <c r="H4242" t="n">
        <v>0</v>
      </c>
      <c r="I4242" t="n">
        <v>0</v>
      </c>
      <c r="J4242" t="n">
        <v>0</v>
      </c>
      <c r="K4242" t="n">
        <v>0</v>
      </c>
      <c r="L4242" t="n">
        <v>0</v>
      </c>
      <c r="M4242" t="n">
        <v>0</v>
      </c>
      <c r="N4242" t="n">
        <v>0</v>
      </c>
      <c r="O4242" t="n">
        <v>0</v>
      </c>
      <c r="P4242" t="n">
        <v>0</v>
      </c>
      <c r="Q4242" t="n">
        <v>0</v>
      </c>
      <c r="R4242" s="2" t="inlineStr"/>
    </row>
    <row r="4243" ht="15" customHeight="1">
      <c r="A4243" t="inlineStr">
        <is>
          <t>A 35523-2022</t>
        </is>
      </c>
      <c r="B4243" s="1" t="n">
        <v>44799</v>
      </c>
      <c r="C4243" s="1" t="n">
        <v>45911</v>
      </c>
      <c r="D4243" t="inlineStr">
        <is>
          <t>GÄVLEBORGS LÄN</t>
        </is>
      </c>
      <c r="E4243" t="inlineStr">
        <is>
          <t>SANDVIKEN</t>
        </is>
      </c>
      <c r="G4243" t="n">
        <v>2.1</v>
      </c>
      <c r="H4243" t="n">
        <v>0</v>
      </c>
      <c r="I4243" t="n">
        <v>0</v>
      </c>
      <c r="J4243" t="n">
        <v>0</v>
      </c>
      <c r="K4243" t="n">
        <v>0</v>
      </c>
      <c r="L4243" t="n">
        <v>0</v>
      </c>
      <c r="M4243" t="n">
        <v>0</v>
      </c>
      <c r="N4243" t="n">
        <v>0</v>
      </c>
      <c r="O4243" t="n">
        <v>0</v>
      </c>
      <c r="P4243" t="n">
        <v>0</v>
      </c>
      <c r="Q4243" t="n">
        <v>0</v>
      </c>
      <c r="R4243" s="2" t="inlineStr"/>
      <c r="U4243">
        <f>HYPERLINK("https://klasma.github.io/Logging_2181/knärot/A 35523-2022 karta knärot.png", "A 35523-2022")</f>
        <v/>
      </c>
      <c r="V4243">
        <f>HYPERLINK("https://klasma.github.io/Logging_2181/klagomål/A 35523-2022 FSC-klagomål.docx", "A 35523-2022")</f>
        <v/>
      </c>
      <c r="W4243">
        <f>HYPERLINK("https://klasma.github.io/Logging_2181/klagomålsmail/A 35523-2022 FSC-klagomål mail.docx", "A 35523-2022")</f>
        <v/>
      </c>
      <c r="X4243">
        <f>HYPERLINK("https://klasma.github.io/Logging_2181/tillsyn/A 35523-2022 tillsynsbegäran.docx", "A 35523-2022")</f>
        <v/>
      </c>
      <c r="Y4243">
        <f>HYPERLINK("https://klasma.github.io/Logging_2181/tillsynsmail/A 35523-2022 tillsynsbegäran mail.docx", "A 35523-2022")</f>
        <v/>
      </c>
    </row>
    <row r="4244" ht="15" customHeight="1">
      <c r="A4244" t="inlineStr">
        <is>
          <t>A 17345-2024</t>
        </is>
      </c>
      <c r="B4244" s="1" t="n">
        <v>45414</v>
      </c>
      <c r="C4244" s="1" t="n">
        <v>45911</v>
      </c>
      <c r="D4244" t="inlineStr">
        <is>
          <t>GÄVLEBORGS LÄN</t>
        </is>
      </c>
      <c r="E4244" t="inlineStr">
        <is>
          <t>HUDIKSVALL</t>
        </is>
      </c>
      <c r="G4244" t="n">
        <v>3.2</v>
      </c>
      <c r="H4244" t="n">
        <v>0</v>
      </c>
      <c r="I4244" t="n">
        <v>0</v>
      </c>
      <c r="J4244" t="n">
        <v>0</v>
      </c>
      <c r="K4244" t="n">
        <v>0</v>
      </c>
      <c r="L4244" t="n">
        <v>0</v>
      </c>
      <c r="M4244" t="n">
        <v>0</v>
      </c>
      <c r="N4244" t="n">
        <v>0</v>
      </c>
      <c r="O4244" t="n">
        <v>0</v>
      </c>
      <c r="P4244" t="n">
        <v>0</v>
      </c>
      <c r="Q4244" t="n">
        <v>0</v>
      </c>
      <c r="R4244" s="2" t="inlineStr"/>
    </row>
    <row r="4245" ht="15" customHeight="1">
      <c r="A4245" t="inlineStr">
        <is>
          <t>A 36646-2022</t>
        </is>
      </c>
      <c r="B4245" s="1" t="n">
        <v>44804.74767361111</v>
      </c>
      <c r="C4245" s="1" t="n">
        <v>45911</v>
      </c>
      <c r="D4245" t="inlineStr">
        <is>
          <t>GÄVLEBORGS LÄN</t>
        </is>
      </c>
      <c r="E4245" t="inlineStr">
        <is>
          <t>SANDVIKEN</t>
        </is>
      </c>
      <c r="G4245" t="n">
        <v>9.199999999999999</v>
      </c>
      <c r="H4245" t="n">
        <v>0</v>
      </c>
      <c r="I4245" t="n">
        <v>0</v>
      </c>
      <c r="J4245" t="n">
        <v>0</v>
      </c>
      <c r="K4245" t="n">
        <v>0</v>
      </c>
      <c r="L4245" t="n">
        <v>0</v>
      </c>
      <c r="M4245" t="n">
        <v>0</v>
      </c>
      <c r="N4245" t="n">
        <v>0</v>
      </c>
      <c r="O4245" t="n">
        <v>0</v>
      </c>
      <c r="P4245" t="n">
        <v>0</v>
      </c>
      <c r="Q4245" t="n">
        <v>0</v>
      </c>
      <c r="R4245" s="2" t="inlineStr"/>
    </row>
    <row r="4246" ht="15" customHeight="1">
      <c r="A4246" t="inlineStr">
        <is>
          <t>A 47841-2023</t>
        </is>
      </c>
      <c r="B4246" s="1" t="n">
        <v>45204</v>
      </c>
      <c r="C4246" s="1" t="n">
        <v>45911</v>
      </c>
      <c r="D4246" t="inlineStr">
        <is>
          <t>GÄVLEBORGS LÄN</t>
        </is>
      </c>
      <c r="E4246" t="inlineStr">
        <is>
          <t>OCKELBO</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47852-2023</t>
        </is>
      </c>
      <c r="B4247" s="1" t="n">
        <v>45204</v>
      </c>
      <c r="C4247" s="1" t="n">
        <v>45911</v>
      </c>
      <c r="D4247" t="inlineStr">
        <is>
          <t>GÄVLEBORGS LÄN</t>
        </is>
      </c>
      <c r="E4247" t="inlineStr">
        <is>
          <t>BOLLNÄS</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18216-2024</t>
        </is>
      </c>
      <c r="B4248" s="1" t="n">
        <v>45420</v>
      </c>
      <c r="C4248" s="1" t="n">
        <v>45911</v>
      </c>
      <c r="D4248" t="inlineStr">
        <is>
          <t>GÄVLEBORGS LÄN</t>
        </is>
      </c>
      <c r="E4248" t="inlineStr">
        <is>
          <t>GÄVLE</t>
        </is>
      </c>
      <c r="F4248" t="inlineStr">
        <is>
          <t>Bergvik skog väst AB</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45554-2024</t>
        </is>
      </c>
      <c r="B4249" s="1" t="n">
        <v>45579.3487962963</v>
      </c>
      <c r="C4249" s="1" t="n">
        <v>45911</v>
      </c>
      <c r="D4249" t="inlineStr">
        <is>
          <t>GÄVLEBORGS LÄN</t>
        </is>
      </c>
      <c r="E4249" t="inlineStr">
        <is>
          <t>BOLLNÄS</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32151-2023</t>
        </is>
      </c>
      <c r="B4250" s="1" t="n">
        <v>45119.70157407408</v>
      </c>
      <c r="C4250" s="1" t="n">
        <v>45911</v>
      </c>
      <c r="D4250" t="inlineStr">
        <is>
          <t>GÄVLEBORGS LÄN</t>
        </is>
      </c>
      <c r="E4250" t="inlineStr">
        <is>
          <t>LJUSDAL</t>
        </is>
      </c>
      <c r="F4250" t="inlineStr">
        <is>
          <t>Bergvik skog väst AB</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55423-2023</t>
        </is>
      </c>
      <c r="B4251" s="1" t="n">
        <v>45238.4189699074</v>
      </c>
      <c r="C4251" s="1" t="n">
        <v>45911</v>
      </c>
      <c r="D4251" t="inlineStr">
        <is>
          <t>GÄVLEBORGS LÄN</t>
        </is>
      </c>
      <c r="E4251" t="inlineStr">
        <is>
          <t>OVANÅKER</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41729-2023</t>
        </is>
      </c>
      <c r="B4252" s="1" t="n">
        <v>45176</v>
      </c>
      <c r="C4252" s="1" t="n">
        <v>45911</v>
      </c>
      <c r="D4252" t="inlineStr">
        <is>
          <t>GÄVLEBORGS LÄN</t>
        </is>
      </c>
      <c r="E4252" t="inlineStr">
        <is>
          <t>NORDANSTIG</t>
        </is>
      </c>
      <c r="F4252" t="inlineStr">
        <is>
          <t>Holmen skog AB</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30280-2025</t>
        </is>
      </c>
      <c r="B4253" s="1" t="n">
        <v>45827.45775462963</v>
      </c>
      <c r="C4253" s="1" t="n">
        <v>45911</v>
      </c>
      <c r="D4253" t="inlineStr">
        <is>
          <t>GÄVLEBORGS LÄN</t>
        </is>
      </c>
      <c r="E4253" t="inlineStr">
        <is>
          <t>OCKELBO</t>
        </is>
      </c>
      <c r="F4253" t="inlineStr">
        <is>
          <t>Kyrkan</t>
        </is>
      </c>
      <c r="G4253" t="n">
        <v>5.2</v>
      </c>
      <c r="H4253" t="n">
        <v>0</v>
      </c>
      <c r="I4253" t="n">
        <v>0</v>
      </c>
      <c r="J4253" t="n">
        <v>0</v>
      </c>
      <c r="K4253" t="n">
        <v>0</v>
      </c>
      <c r="L4253" t="n">
        <v>0</v>
      </c>
      <c r="M4253" t="n">
        <v>0</v>
      </c>
      <c r="N4253" t="n">
        <v>0</v>
      </c>
      <c r="O4253" t="n">
        <v>0</v>
      </c>
      <c r="P4253" t="n">
        <v>0</v>
      </c>
      <c r="Q4253" t="n">
        <v>0</v>
      </c>
      <c r="R4253" s="2" t="inlineStr"/>
    </row>
    <row r="4254" ht="15" customHeight="1">
      <c r="A4254" t="inlineStr">
        <is>
          <t>A 30301-2025</t>
        </is>
      </c>
      <c r="B4254" s="1" t="n">
        <v>45827.47753472222</v>
      </c>
      <c r="C4254" s="1" t="n">
        <v>45911</v>
      </c>
      <c r="D4254" t="inlineStr">
        <is>
          <t>GÄVLEBORGS LÄN</t>
        </is>
      </c>
      <c r="E4254" t="inlineStr">
        <is>
          <t>GÄVLE</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30302-2025</t>
        </is>
      </c>
      <c r="B4255" s="1" t="n">
        <v>45827.47875</v>
      </c>
      <c r="C4255" s="1" t="n">
        <v>45911</v>
      </c>
      <c r="D4255" t="inlineStr">
        <is>
          <t>GÄVLEBORGS LÄN</t>
        </is>
      </c>
      <c r="E4255" t="inlineStr">
        <is>
          <t>GÄVLE</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30400-2025</t>
        </is>
      </c>
      <c r="B4256" s="1" t="n">
        <v>45827.58907407407</v>
      </c>
      <c r="C4256" s="1" t="n">
        <v>45911</v>
      </c>
      <c r="D4256" t="inlineStr">
        <is>
          <t>GÄVLEBORGS LÄN</t>
        </is>
      </c>
      <c r="E4256" t="inlineStr">
        <is>
          <t>NORDANSTIG</t>
        </is>
      </c>
      <c r="F4256" t="inlineStr">
        <is>
          <t>Holmen skog AB</t>
        </is>
      </c>
      <c r="G4256" t="n">
        <v>8</v>
      </c>
      <c r="H4256" t="n">
        <v>0</v>
      </c>
      <c r="I4256" t="n">
        <v>0</v>
      </c>
      <c r="J4256" t="n">
        <v>0</v>
      </c>
      <c r="K4256" t="n">
        <v>0</v>
      </c>
      <c r="L4256" t="n">
        <v>0</v>
      </c>
      <c r="M4256" t="n">
        <v>0</v>
      </c>
      <c r="N4256" t="n">
        <v>0</v>
      </c>
      <c r="O4256" t="n">
        <v>0</v>
      </c>
      <c r="P4256" t="n">
        <v>0</v>
      </c>
      <c r="Q4256" t="n">
        <v>0</v>
      </c>
      <c r="R4256" s="2" t="inlineStr"/>
    </row>
    <row r="4257" ht="15" customHeight="1">
      <c r="A4257" t="inlineStr">
        <is>
          <t>A 30450-2025</t>
        </is>
      </c>
      <c r="B4257" s="1" t="n">
        <v>45827</v>
      </c>
      <c r="C4257" s="1" t="n">
        <v>45911</v>
      </c>
      <c r="D4257" t="inlineStr">
        <is>
          <t>GÄVLEBORGS LÄN</t>
        </is>
      </c>
      <c r="E4257" t="inlineStr">
        <is>
          <t>HUDIKSVALL</t>
        </is>
      </c>
      <c r="G4257" t="n">
        <v>14.4</v>
      </c>
      <c r="H4257" t="n">
        <v>0</v>
      </c>
      <c r="I4257" t="n">
        <v>0</v>
      </c>
      <c r="J4257" t="n">
        <v>0</v>
      </c>
      <c r="K4257" t="n">
        <v>0</v>
      </c>
      <c r="L4257" t="n">
        <v>0</v>
      </c>
      <c r="M4257" t="n">
        <v>0</v>
      </c>
      <c r="N4257" t="n">
        <v>0</v>
      </c>
      <c r="O4257" t="n">
        <v>0</v>
      </c>
      <c r="P4257" t="n">
        <v>0</v>
      </c>
      <c r="Q4257" t="n">
        <v>0</v>
      </c>
      <c r="R4257" s="2" t="inlineStr"/>
    </row>
    <row r="4258" ht="15" customHeight="1">
      <c r="A4258" t="inlineStr">
        <is>
          <t>A 30458-2025</t>
        </is>
      </c>
      <c r="B4258" s="1" t="n">
        <v>45827</v>
      </c>
      <c r="C4258" s="1" t="n">
        <v>45911</v>
      </c>
      <c r="D4258" t="inlineStr">
        <is>
          <t>GÄVLEBORGS LÄN</t>
        </is>
      </c>
      <c r="E4258" t="inlineStr">
        <is>
          <t>BOLLNÄS</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36465-2025</t>
        </is>
      </c>
      <c r="B4259" s="1" t="n">
        <v>45869.46657407407</v>
      </c>
      <c r="C4259" s="1" t="n">
        <v>45911</v>
      </c>
      <c r="D4259" t="inlineStr">
        <is>
          <t>GÄVLEBORGS LÄN</t>
        </is>
      </c>
      <c r="E4259" t="inlineStr">
        <is>
          <t>GÄVLE</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36482-2025</t>
        </is>
      </c>
      <c r="B4260" s="1" t="n">
        <v>45869.5053587963</v>
      </c>
      <c r="C4260" s="1" t="n">
        <v>45911</v>
      </c>
      <c r="D4260" t="inlineStr">
        <is>
          <t>GÄVLEBORGS LÄN</t>
        </is>
      </c>
      <c r="E4260" t="inlineStr">
        <is>
          <t>BOLLNÄS</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33985-2023</t>
        </is>
      </c>
      <c r="B4261" s="1" t="n">
        <v>45134.82828703704</v>
      </c>
      <c r="C4261" s="1" t="n">
        <v>45911</v>
      </c>
      <c r="D4261" t="inlineStr">
        <is>
          <t>GÄVLEBORGS LÄN</t>
        </is>
      </c>
      <c r="E4261" t="inlineStr">
        <is>
          <t>OCKELBO</t>
        </is>
      </c>
      <c r="F4261" t="inlineStr">
        <is>
          <t>Bergvik skog väst AB</t>
        </is>
      </c>
      <c r="G4261" t="n">
        <v>4</v>
      </c>
      <c r="H4261" t="n">
        <v>0</v>
      </c>
      <c r="I4261" t="n">
        <v>0</v>
      </c>
      <c r="J4261" t="n">
        <v>0</v>
      </c>
      <c r="K4261" t="n">
        <v>0</v>
      </c>
      <c r="L4261" t="n">
        <v>0</v>
      </c>
      <c r="M4261" t="n">
        <v>0</v>
      </c>
      <c r="N4261" t="n">
        <v>0</v>
      </c>
      <c r="O4261" t="n">
        <v>0</v>
      </c>
      <c r="P4261" t="n">
        <v>0</v>
      </c>
      <c r="Q4261" t="n">
        <v>0</v>
      </c>
      <c r="R4261" s="2" t="inlineStr"/>
    </row>
    <row r="4262" ht="15" customHeight="1">
      <c r="A4262" t="inlineStr">
        <is>
          <t>A 30442-2025</t>
        </is>
      </c>
      <c r="B4262" s="1" t="n">
        <v>45827.64628472222</v>
      </c>
      <c r="C4262" s="1" t="n">
        <v>45911</v>
      </c>
      <c r="D4262" t="inlineStr">
        <is>
          <t>GÄVLEBORGS LÄN</t>
        </is>
      </c>
      <c r="E4262" t="inlineStr">
        <is>
          <t>HUDIKSVALL</t>
        </is>
      </c>
      <c r="F4262" t="inlineStr">
        <is>
          <t>Holmen skog AB</t>
        </is>
      </c>
      <c r="G4262" t="n">
        <v>48.3</v>
      </c>
      <c r="H4262" t="n">
        <v>0</v>
      </c>
      <c r="I4262" t="n">
        <v>0</v>
      </c>
      <c r="J4262" t="n">
        <v>0</v>
      </c>
      <c r="K4262" t="n">
        <v>0</v>
      </c>
      <c r="L4262" t="n">
        <v>0</v>
      </c>
      <c r="M4262" t="n">
        <v>0</v>
      </c>
      <c r="N4262" t="n">
        <v>0</v>
      </c>
      <c r="O4262" t="n">
        <v>0</v>
      </c>
      <c r="P4262" t="n">
        <v>0</v>
      </c>
      <c r="Q4262" t="n">
        <v>0</v>
      </c>
      <c r="R4262" s="2" t="inlineStr"/>
    </row>
    <row r="4263" ht="15" customHeight="1">
      <c r="A4263" t="inlineStr">
        <is>
          <t>A 30445-2025</t>
        </is>
      </c>
      <c r="B4263" s="1" t="n">
        <v>45827.64987268519</v>
      </c>
      <c r="C4263" s="1" t="n">
        <v>45911</v>
      </c>
      <c r="D4263" t="inlineStr">
        <is>
          <t>GÄVLEBORGS LÄN</t>
        </is>
      </c>
      <c r="E4263" t="inlineStr">
        <is>
          <t>NORDANSTIG</t>
        </is>
      </c>
      <c r="F4263" t="inlineStr">
        <is>
          <t>Holmen skog AB</t>
        </is>
      </c>
      <c r="G4263" t="n">
        <v>7.8</v>
      </c>
      <c r="H4263" t="n">
        <v>0</v>
      </c>
      <c r="I4263" t="n">
        <v>0</v>
      </c>
      <c r="J4263" t="n">
        <v>0</v>
      </c>
      <c r="K4263" t="n">
        <v>0</v>
      </c>
      <c r="L4263" t="n">
        <v>0</v>
      </c>
      <c r="M4263" t="n">
        <v>0</v>
      </c>
      <c r="N4263" t="n">
        <v>0</v>
      </c>
      <c r="O4263" t="n">
        <v>0</v>
      </c>
      <c r="P4263" t="n">
        <v>0</v>
      </c>
      <c r="Q4263" t="n">
        <v>0</v>
      </c>
      <c r="R4263" s="2" t="inlineStr"/>
    </row>
    <row r="4264" ht="15" customHeight="1">
      <c r="A4264" t="inlineStr">
        <is>
          <t>A 30454-2025</t>
        </is>
      </c>
      <c r="B4264" s="1" t="n">
        <v>45827</v>
      </c>
      <c r="C4264" s="1" t="n">
        <v>45911</v>
      </c>
      <c r="D4264" t="inlineStr">
        <is>
          <t>GÄVLEBORGS LÄN</t>
        </is>
      </c>
      <c r="E4264" t="inlineStr">
        <is>
          <t>BOLLNÄS</t>
        </is>
      </c>
      <c r="G4264" t="n">
        <v>3.9</v>
      </c>
      <c r="H4264" t="n">
        <v>0</v>
      </c>
      <c r="I4264" t="n">
        <v>0</v>
      </c>
      <c r="J4264" t="n">
        <v>0</v>
      </c>
      <c r="K4264" t="n">
        <v>0</v>
      </c>
      <c r="L4264" t="n">
        <v>0</v>
      </c>
      <c r="M4264" t="n">
        <v>0</v>
      </c>
      <c r="N4264" t="n">
        <v>0</v>
      </c>
      <c r="O4264" t="n">
        <v>0</v>
      </c>
      <c r="P4264" t="n">
        <v>0</v>
      </c>
      <c r="Q4264" t="n">
        <v>0</v>
      </c>
      <c r="R4264" s="2" t="inlineStr"/>
    </row>
    <row r="4265" ht="15" customHeight="1">
      <c r="A4265" t="inlineStr">
        <is>
          <t>A 43665-2023</t>
        </is>
      </c>
      <c r="B4265" s="1" t="n">
        <v>45187.36105324074</v>
      </c>
      <c r="C4265" s="1" t="n">
        <v>45911</v>
      </c>
      <c r="D4265" t="inlineStr">
        <is>
          <t>GÄVLEBORGS LÄN</t>
        </is>
      </c>
      <c r="E4265" t="inlineStr">
        <is>
          <t>HUDIKSVALL</t>
        </is>
      </c>
      <c r="F4265" t="inlineStr">
        <is>
          <t>Holmen skog AB</t>
        </is>
      </c>
      <c r="G4265" t="n">
        <v>8</v>
      </c>
      <c r="H4265" t="n">
        <v>0</v>
      </c>
      <c r="I4265" t="n">
        <v>0</v>
      </c>
      <c r="J4265" t="n">
        <v>0</v>
      </c>
      <c r="K4265" t="n">
        <v>0</v>
      </c>
      <c r="L4265" t="n">
        <v>0</v>
      </c>
      <c r="M4265" t="n">
        <v>0</v>
      </c>
      <c r="N4265" t="n">
        <v>0</v>
      </c>
      <c r="O4265" t="n">
        <v>0</v>
      </c>
      <c r="P4265" t="n">
        <v>0</v>
      </c>
      <c r="Q4265" t="n">
        <v>0</v>
      </c>
      <c r="R4265" s="2" t="inlineStr"/>
    </row>
    <row r="4266" ht="15" customHeight="1">
      <c r="A4266" t="inlineStr">
        <is>
          <t>A 42685-2022</t>
        </is>
      </c>
      <c r="B4266" s="1" t="n">
        <v>44832.34842592593</v>
      </c>
      <c r="C4266" s="1" t="n">
        <v>45911</v>
      </c>
      <c r="D4266" t="inlineStr">
        <is>
          <t>GÄVLEBORGS LÄN</t>
        </is>
      </c>
      <c r="E4266" t="inlineStr">
        <is>
          <t>OVANÅKER</t>
        </is>
      </c>
      <c r="G4266" t="n">
        <v>7.2</v>
      </c>
      <c r="H4266" t="n">
        <v>0</v>
      </c>
      <c r="I4266" t="n">
        <v>0</v>
      </c>
      <c r="J4266" t="n">
        <v>0</v>
      </c>
      <c r="K4266" t="n">
        <v>0</v>
      </c>
      <c r="L4266" t="n">
        <v>0</v>
      </c>
      <c r="M4266" t="n">
        <v>0</v>
      </c>
      <c r="N4266" t="n">
        <v>0</v>
      </c>
      <c r="O4266" t="n">
        <v>0</v>
      </c>
      <c r="P4266" t="n">
        <v>0</v>
      </c>
      <c r="Q4266" t="n">
        <v>0</v>
      </c>
      <c r="R4266" s="2" t="inlineStr"/>
    </row>
    <row r="4267" ht="15" customHeight="1">
      <c r="A4267" t="inlineStr">
        <is>
          <t>A 35002-2023</t>
        </is>
      </c>
      <c r="B4267" s="1" t="n">
        <v>45142</v>
      </c>
      <c r="C4267" s="1" t="n">
        <v>45911</v>
      </c>
      <c r="D4267" t="inlineStr">
        <is>
          <t>GÄVLEBORGS LÄN</t>
        </is>
      </c>
      <c r="E4267" t="inlineStr">
        <is>
          <t>HUDIKSVALL</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39916-2021</t>
        </is>
      </c>
      <c r="B4268" s="1" t="n">
        <v>44417.84194444444</v>
      </c>
      <c r="C4268" s="1" t="n">
        <v>45911</v>
      </c>
      <c r="D4268" t="inlineStr">
        <is>
          <t>GÄVLEBORGS LÄN</t>
        </is>
      </c>
      <c r="E4268" t="inlineStr">
        <is>
          <t>SÖDERHAMN</t>
        </is>
      </c>
      <c r="G4268" t="n">
        <v>3.1</v>
      </c>
      <c r="H4268" t="n">
        <v>0</v>
      </c>
      <c r="I4268" t="n">
        <v>0</v>
      </c>
      <c r="J4268" t="n">
        <v>0</v>
      </c>
      <c r="K4268" t="n">
        <v>0</v>
      </c>
      <c r="L4268" t="n">
        <v>0</v>
      </c>
      <c r="M4268" t="n">
        <v>0</v>
      </c>
      <c r="N4268" t="n">
        <v>0</v>
      </c>
      <c r="O4268" t="n">
        <v>0</v>
      </c>
      <c r="P4268" t="n">
        <v>0</v>
      </c>
      <c r="Q4268" t="n">
        <v>0</v>
      </c>
      <c r="R4268" s="2" t="inlineStr"/>
    </row>
    <row r="4269" ht="15" customHeight="1">
      <c r="A4269" t="inlineStr">
        <is>
          <t>A 30234-2025</t>
        </is>
      </c>
      <c r="B4269" s="1" t="n">
        <v>45827.38854166667</v>
      </c>
      <c r="C4269" s="1" t="n">
        <v>45911</v>
      </c>
      <c r="D4269" t="inlineStr">
        <is>
          <t>GÄVLEBORGS LÄN</t>
        </is>
      </c>
      <c r="E4269" t="inlineStr">
        <is>
          <t>HUDIKSVALL</t>
        </is>
      </c>
      <c r="G4269" t="n">
        <v>8.300000000000001</v>
      </c>
      <c r="H4269" t="n">
        <v>0</v>
      </c>
      <c r="I4269" t="n">
        <v>0</v>
      </c>
      <c r="J4269" t="n">
        <v>0</v>
      </c>
      <c r="K4269" t="n">
        <v>0</v>
      </c>
      <c r="L4269" t="n">
        <v>0</v>
      </c>
      <c r="M4269" t="n">
        <v>0</v>
      </c>
      <c r="N4269" t="n">
        <v>0</v>
      </c>
      <c r="O4269" t="n">
        <v>0</v>
      </c>
      <c r="P4269" t="n">
        <v>0</v>
      </c>
      <c r="Q4269" t="n">
        <v>0</v>
      </c>
      <c r="R4269" s="2" t="inlineStr"/>
    </row>
    <row r="4270" ht="15" customHeight="1">
      <c r="A4270" t="inlineStr">
        <is>
          <t>A 59783-2023</t>
        </is>
      </c>
      <c r="B4270" s="1" t="n">
        <v>45257.44179398148</v>
      </c>
      <c r="C4270" s="1" t="n">
        <v>45911</v>
      </c>
      <c r="D4270" t="inlineStr">
        <is>
          <t>GÄVLEBORGS LÄN</t>
        </is>
      </c>
      <c r="E4270" t="inlineStr">
        <is>
          <t>SÖDERHAMN</t>
        </is>
      </c>
      <c r="G4270" t="n">
        <v>3.1</v>
      </c>
      <c r="H4270" t="n">
        <v>0</v>
      </c>
      <c r="I4270" t="n">
        <v>0</v>
      </c>
      <c r="J4270" t="n">
        <v>0</v>
      </c>
      <c r="K4270" t="n">
        <v>0</v>
      </c>
      <c r="L4270" t="n">
        <v>0</v>
      </c>
      <c r="M4270" t="n">
        <v>0</v>
      </c>
      <c r="N4270" t="n">
        <v>0</v>
      </c>
      <c r="O4270" t="n">
        <v>0</v>
      </c>
      <c r="P4270" t="n">
        <v>0</v>
      </c>
      <c r="Q4270" t="n">
        <v>0</v>
      </c>
      <c r="R4270" s="2" t="inlineStr"/>
    </row>
    <row r="4271" ht="15" customHeight="1">
      <c r="A4271" t="inlineStr">
        <is>
          <t>A 59796-2023</t>
        </is>
      </c>
      <c r="B4271" s="1" t="n">
        <v>45257.46166666667</v>
      </c>
      <c r="C4271" s="1" t="n">
        <v>45911</v>
      </c>
      <c r="D4271" t="inlineStr">
        <is>
          <t>GÄVLEBORGS LÄN</t>
        </is>
      </c>
      <c r="E4271" t="inlineStr">
        <is>
          <t>SÖDERHAMN</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43718-2023</t>
        </is>
      </c>
      <c r="B4272" s="1" t="n">
        <v>45187.44440972222</v>
      </c>
      <c r="C4272" s="1" t="n">
        <v>45911</v>
      </c>
      <c r="D4272" t="inlineStr">
        <is>
          <t>GÄVLEBORGS LÄN</t>
        </is>
      </c>
      <c r="E4272" t="inlineStr">
        <is>
          <t>LJUSDAL</t>
        </is>
      </c>
      <c r="F4272" t="inlineStr">
        <is>
          <t>Sveaskog</t>
        </is>
      </c>
      <c r="G4272" t="n">
        <v>4.4</v>
      </c>
      <c r="H4272" t="n">
        <v>0</v>
      </c>
      <c r="I4272" t="n">
        <v>0</v>
      </c>
      <c r="J4272" t="n">
        <v>0</v>
      </c>
      <c r="K4272" t="n">
        <v>0</v>
      </c>
      <c r="L4272" t="n">
        <v>0</v>
      </c>
      <c r="M4272" t="n">
        <v>0</v>
      </c>
      <c r="N4272" t="n">
        <v>0</v>
      </c>
      <c r="O4272" t="n">
        <v>0</v>
      </c>
      <c r="P4272" t="n">
        <v>0</v>
      </c>
      <c r="Q4272" t="n">
        <v>0</v>
      </c>
      <c r="R4272" s="2" t="inlineStr"/>
    </row>
    <row r="4273" ht="15" customHeight="1">
      <c r="A4273" t="inlineStr">
        <is>
          <t>A 10796-2025</t>
        </is>
      </c>
      <c r="B4273" s="1" t="n">
        <v>45722.50196759259</v>
      </c>
      <c r="C4273" s="1" t="n">
        <v>45911</v>
      </c>
      <c r="D4273" t="inlineStr">
        <is>
          <t>GÄVLEBORGS LÄN</t>
        </is>
      </c>
      <c r="E4273" t="inlineStr">
        <is>
          <t>NORDANSTIG</t>
        </is>
      </c>
      <c r="F4273" t="inlineStr">
        <is>
          <t>Holmen skog AB</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30276-2025</t>
        </is>
      </c>
      <c r="B4274" s="1" t="n">
        <v>45827.45482638889</v>
      </c>
      <c r="C4274" s="1" t="n">
        <v>45911</v>
      </c>
      <c r="D4274" t="inlineStr">
        <is>
          <t>GÄVLEBORGS LÄN</t>
        </is>
      </c>
      <c r="E4274" t="inlineStr">
        <is>
          <t>OVANÅKER</t>
        </is>
      </c>
      <c r="G4274" t="n">
        <v>6</v>
      </c>
      <c r="H4274" t="n">
        <v>0</v>
      </c>
      <c r="I4274" t="n">
        <v>0</v>
      </c>
      <c r="J4274" t="n">
        <v>0</v>
      </c>
      <c r="K4274" t="n">
        <v>0</v>
      </c>
      <c r="L4274" t="n">
        <v>0</v>
      </c>
      <c r="M4274" t="n">
        <v>0</v>
      </c>
      <c r="N4274" t="n">
        <v>0</v>
      </c>
      <c r="O4274" t="n">
        <v>0</v>
      </c>
      <c r="P4274" t="n">
        <v>0</v>
      </c>
      <c r="Q4274" t="n">
        <v>0</v>
      </c>
      <c r="R4274" s="2" t="inlineStr"/>
    </row>
    <row r="4275" ht="15" customHeight="1">
      <c r="A4275" t="inlineStr">
        <is>
          <t>A 6013-2025</t>
        </is>
      </c>
      <c r="B4275" s="1" t="n">
        <v>45695</v>
      </c>
      <c r="C4275" s="1" t="n">
        <v>45911</v>
      </c>
      <c r="D4275" t="inlineStr">
        <is>
          <t>GÄVLEBORGS LÄN</t>
        </is>
      </c>
      <c r="E4275" t="inlineStr">
        <is>
          <t>LJUSDAL</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6019-2025</t>
        </is>
      </c>
      <c r="B4276" s="1" t="n">
        <v>45695</v>
      </c>
      <c r="C4276" s="1" t="n">
        <v>45911</v>
      </c>
      <c r="D4276" t="inlineStr">
        <is>
          <t>GÄVLEBORGS LÄN</t>
        </is>
      </c>
      <c r="E4276" t="inlineStr">
        <is>
          <t>HUDIKSVALL</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55367-2023</t>
        </is>
      </c>
      <c r="B4277" s="1" t="n">
        <v>45238.34386574074</v>
      </c>
      <c r="C4277" s="1" t="n">
        <v>45911</v>
      </c>
      <c r="D4277" t="inlineStr">
        <is>
          <t>GÄVLEBORGS LÄN</t>
        </is>
      </c>
      <c r="E4277" t="inlineStr">
        <is>
          <t>BOLLNÄS</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30479-2025</t>
        </is>
      </c>
      <c r="B4278" s="1" t="n">
        <v>45828.53508101852</v>
      </c>
      <c r="C4278" s="1" t="n">
        <v>45911</v>
      </c>
      <c r="D4278" t="inlineStr">
        <is>
          <t>GÄVLEBORGS LÄN</t>
        </is>
      </c>
      <c r="E4278" t="inlineStr">
        <is>
          <t>HUDIKSVALL</t>
        </is>
      </c>
      <c r="F4278" t="inlineStr">
        <is>
          <t>Holmen skog AB</t>
        </is>
      </c>
      <c r="G4278" t="n">
        <v>13.5</v>
      </c>
      <c r="H4278" t="n">
        <v>0</v>
      </c>
      <c r="I4278" t="n">
        <v>0</v>
      </c>
      <c r="J4278" t="n">
        <v>0</v>
      </c>
      <c r="K4278" t="n">
        <v>0</v>
      </c>
      <c r="L4278" t="n">
        <v>0</v>
      </c>
      <c r="M4278" t="n">
        <v>0</v>
      </c>
      <c r="N4278" t="n">
        <v>0</v>
      </c>
      <c r="O4278" t="n">
        <v>0</v>
      </c>
      <c r="P4278" t="n">
        <v>0</v>
      </c>
      <c r="Q4278" t="n">
        <v>0</v>
      </c>
      <c r="R4278" s="2" t="inlineStr"/>
    </row>
    <row r="4279" ht="15" customHeight="1">
      <c r="A4279" t="inlineStr">
        <is>
          <t>A 36551-2025</t>
        </is>
      </c>
      <c r="B4279" s="1" t="n">
        <v>45870.32935185185</v>
      </c>
      <c r="C4279" s="1" t="n">
        <v>45911</v>
      </c>
      <c r="D4279" t="inlineStr">
        <is>
          <t>GÄVLEBORGS LÄN</t>
        </is>
      </c>
      <c r="E4279" t="inlineStr">
        <is>
          <t>OVANÅKER</t>
        </is>
      </c>
      <c r="G4279" t="n">
        <v>8.699999999999999</v>
      </c>
      <c r="H4279" t="n">
        <v>0</v>
      </c>
      <c r="I4279" t="n">
        <v>0</v>
      </c>
      <c r="J4279" t="n">
        <v>0</v>
      </c>
      <c r="K4279" t="n">
        <v>0</v>
      </c>
      <c r="L4279" t="n">
        <v>0</v>
      </c>
      <c r="M4279" t="n">
        <v>0</v>
      </c>
      <c r="N4279" t="n">
        <v>0</v>
      </c>
      <c r="O4279" t="n">
        <v>0</v>
      </c>
      <c r="P4279" t="n">
        <v>0</v>
      </c>
      <c r="Q4279" t="n">
        <v>0</v>
      </c>
      <c r="R4279" s="2" t="inlineStr"/>
    </row>
    <row r="4280" ht="15" customHeight="1">
      <c r="A4280" t="inlineStr">
        <is>
          <t>A 60938-2023</t>
        </is>
      </c>
      <c r="B4280" s="1" t="n">
        <v>45261.43436342593</v>
      </c>
      <c r="C4280" s="1" t="n">
        <v>45911</v>
      </c>
      <c r="D4280" t="inlineStr">
        <is>
          <t>GÄVLEBORGS LÄN</t>
        </is>
      </c>
      <c r="E4280" t="inlineStr">
        <is>
          <t>HUDIKSVALL</t>
        </is>
      </c>
      <c r="F4280" t="inlineStr">
        <is>
          <t>Holmen skog AB</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47762-2021</t>
        </is>
      </c>
      <c r="B4281" s="1" t="n">
        <v>44448</v>
      </c>
      <c r="C4281" s="1" t="n">
        <v>45911</v>
      </c>
      <c r="D4281" t="inlineStr">
        <is>
          <t>GÄVLEBORGS LÄN</t>
        </is>
      </c>
      <c r="E4281" t="inlineStr">
        <is>
          <t>NORDANSTIG</t>
        </is>
      </c>
      <c r="F4281" t="inlineStr">
        <is>
          <t>Holmen skog AB</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53434-2023</t>
        </is>
      </c>
      <c r="B4282" s="1" t="n">
        <v>45229</v>
      </c>
      <c r="C4282" s="1" t="n">
        <v>45911</v>
      </c>
      <c r="D4282" t="inlineStr">
        <is>
          <t>GÄVLEBORGS LÄN</t>
        </is>
      </c>
      <c r="E4282" t="inlineStr">
        <is>
          <t>HUDIKSVALL</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18763-2025</t>
        </is>
      </c>
      <c r="B4283" s="1" t="n">
        <v>45764.29385416667</v>
      </c>
      <c r="C4283" s="1" t="n">
        <v>45911</v>
      </c>
      <c r="D4283" t="inlineStr">
        <is>
          <t>GÄVLEBORGS LÄN</t>
        </is>
      </c>
      <c r="E4283" t="inlineStr">
        <is>
          <t>LJUSDAL</t>
        </is>
      </c>
      <c r="G4283" t="n">
        <v>2.9</v>
      </c>
      <c r="H4283" t="n">
        <v>0</v>
      </c>
      <c r="I4283" t="n">
        <v>0</v>
      </c>
      <c r="J4283" t="n">
        <v>0</v>
      </c>
      <c r="K4283" t="n">
        <v>0</v>
      </c>
      <c r="L4283" t="n">
        <v>0</v>
      </c>
      <c r="M4283" t="n">
        <v>0</v>
      </c>
      <c r="N4283" t="n">
        <v>0</v>
      </c>
      <c r="O4283" t="n">
        <v>0</v>
      </c>
      <c r="P4283" t="n">
        <v>0</v>
      </c>
      <c r="Q4283" t="n">
        <v>0</v>
      </c>
      <c r="R4283" s="2" t="inlineStr"/>
    </row>
    <row r="4284" ht="15" customHeight="1">
      <c r="A4284" t="inlineStr">
        <is>
          <t>A 7294-2025</t>
        </is>
      </c>
      <c r="B4284" s="1" t="n">
        <v>45702.64712962963</v>
      </c>
      <c r="C4284" s="1" t="n">
        <v>45911</v>
      </c>
      <c r="D4284" t="inlineStr">
        <is>
          <t>GÄVLEBORGS LÄN</t>
        </is>
      </c>
      <c r="E4284" t="inlineStr">
        <is>
          <t>GÄVLE</t>
        </is>
      </c>
      <c r="F4284" t="inlineStr">
        <is>
          <t>Bergvik skog öst AB</t>
        </is>
      </c>
      <c r="G4284" t="n">
        <v>8.9</v>
      </c>
      <c r="H4284" t="n">
        <v>0</v>
      </c>
      <c r="I4284" t="n">
        <v>0</v>
      </c>
      <c r="J4284" t="n">
        <v>0</v>
      </c>
      <c r="K4284" t="n">
        <v>0</v>
      </c>
      <c r="L4284" t="n">
        <v>0</v>
      </c>
      <c r="M4284" t="n">
        <v>0</v>
      </c>
      <c r="N4284" t="n">
        <v>0</v>
      </c>
      <c r="O4284" t="n">
        <v>0</v>
      </c>
      <c r="P4284" t="n">
        <v>0</v>
      </c>
      <c r="Q4284" t="n">
        <v>0</v>
      </c>
      <c r="R4284" s="2" t="inlineStr"/>
    </row>
    <row r="4285" ht="15" customHeight="1">
      <c r="A4285" t="inlineStr">
        <is>
          <t>A 7296-2025</t>
        </is>
      </c>
      <c r="B4285" s="1" t="n">
        <v>45702.64880787037</v>
      </c>
      <c r="C4285" s="1" t="n">
        <v>45911</v>
      </c>
      <c r="D4285" t="inlineStr">
        <is>
          <t>GÄVLEBORGS LÄN</t>
        </is>
      </c>
      <c r="E4285" t="inlineStr">
        <is>
          <t>GÄVLE</t>
        </is>
      </c>
      <c r="F4285" t="inlineStr">
        <is>
          <t>Bergvik skog öst AB</t>
        </is>
      </c>
      <c r="G4285" t="n">
        <v>3.5</v>
      </c>
      <c r="H4285" t="n">
        <v>0</v>
      </c>
      <c r="I4285" t="n">
        <v>0</v>
      </c>
      <c r="J4285" t="n">
        <v>0</v>
      </c>
      <c r="K4285" t="n">
        <v>0</v>
      </c>
      <c r="L4285" t="n">
        <v>0</v>
      </c>
      <c r="M4285" t="n">
        <v>0</v>
      </c>
      <c r="N4285" t="n">
        <v>0</v>
      </c>
      <c r="O4285" t="n">
        <v>0</v>
      </c>
      <c r="P4285" t="n">
        <v>0</v>
      </c>
      <c r="Q4285" t="n">
        <v>0</v>
      </c>
      <c r="R4285" s="2" t="inlineStr"/>
    </row>
    <row r="4286" ht="15" customHeight="1">
      <c r="A4286" t="inlineStr">
        <is>
          <t>A 32969-2024</t>
        </is>
      </c>
      <c r="B4286" s="1" t="n">
        <v>45517.40537037037</v>
      </c>
      <c r="C4286" s="1" t="n">
        <v>45911</v>
      </c>
      <c r="D4286" t="inlineStr">
        <is>
          <t>GÄVLEBORGS LÄN</t>
        </is>
      </c>
      <c r="E4286" t="inlineStr">
        <is>
          <t>OVANÅKER</t>
        </is>
      </c>
      <c r="F4286" t="inlineStr">
        <is>
          <t>Bergvik skog väst AB</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30229-2025</t>
        </is>
      </c>
      <c r="B4287" s="1" t="n">
        <v>45827.3822337963</v>
      </c>
      <c r="C4287" s="1" t="n">
        <v>45911</v>
      </c>
      <c r="D4287" t="inlineStr">
        <is>
          <t>GÄVLEBORGS LÄN</t>
        </is>
      </c>
      <c r="E4287" t="inlineStr">
        <is>
          <t>OCKELBO</t>
        </is>
      </c>
      <c r="F4287" t="inlineStr">
        <is>
          <t>Bergvik skog väst AB</t>
        </is>
      </c>
      <c r="G4287" t="n">
        <v>5.3</v>
      </c>
      <c r="H4287" t="n">
        <v>0</v>
      </c>
      <c r="I4287" t="n">
        <v>0</v>
      </c>
      <c r="J4287" t="n">
        <v>0</v>
      </c>
      <c r="K4287" t="n">
        <v>0</v>
      </c>
      <c r="L4287" t="n">
        <v>0</v>
      </c>
      <c r="M4287" t="n">
        <v>0</v>
      </c>
      <c r="N4287" t="n">
        <v>0</v>
      </c>
      <c r="O4287" t="n">
        <v>0</v>
      </c>
      <c r="P4287" t="n">
        <v>0</v>
      </c>
      <c r="Q4287" t="n">
        <v>0</v>
      </c>
      <c r="R4287" s="2" t="inlineStr"/>
    </row>
    <row r="4288" ht="15" customHeight="1">
      <c r="A4288" t="inlineStr">
        <is>
          <t>A 16683-2024</t>
        </is>
      </c>
      <c r="B4288" s="1" t="n">
        <v>45408</v>
      </c>
      <c r="C4288" s="1" t="n">
        <v>45911</v>
      </c>
      <c r="D4288" t="inlineStr">
        <is>
          <t>GÄVLEBORGS LÄN</t>
        </is>
      </c>
      <c r="E4288" t="inlineStr">
        <is>
          <t>SANDVIKEN</t>
        </is>
      </c>
      <c r="F4288" t="inlineStr">
        <is>
          <t>Bergvik skog väst AB</t>
        </is>
      </c>
      <c r="G4288" t="n">
        <v>14.2</v>
      </c>
      <c r="H4288" t="n">
        <v>0</v>
      </c>
      <c r="I4288" t="n">
        <v>0</v>
      </c>
      <c r="J4288" t="n">
        <v>0</v>
      </c>
      <c r="K4288" t="n">
        <v>0</v>
      </c>
      <c r="L4288" t="n">
        <v>0</v>
      </c>
      <c r="M4288" t="n">
        <v>0</v>
      </c>
      <c r="N4288" t="n">
        <v>0</v>
      </c>
      <c r="O4288" t="n">
        <v>0</v>
      </c>
      <c r="P4288" t="n">
        <v>0</v>
      </c>
      <c r="Q4288" t="n">
        <v>0</v>
      </c>
      <c r="R4288" s="2" t="inlineStr"/>
    </row>
    <row r="4289" ht="15" customHeight="1">
      <c r="A4289" t="inlineStr">
        <is>
          <t>A 32879-2022</t>
        </is>
      </c>
      <c r="B4289" s="1" t="n">
        <v>44784.54256944444</v>
      </c>
      <c r="C4289" s="1" t="n">
        <v>45911</v>
      </c>
      <c r="D4289" t="inlineStr">
        <is>
          <t>GÄVLEBORGS LÄN</t>
        </is>
      </c>
      <c r="E4289" t="inlineStr">
        <is>
          <t>LJUSDAL</t>
        </is>
      </c>
      <c r="F4289" t="inlineStr">
        <is>
          <t>Bergvik skog väst AB</t>
        </is>
      </c>
      <c r="G4289" t="n">
        <v>4.3</v>
      </c>
      <c r="H4289" t="n">
        <v>0</v>
      </c>
      <c r="I4289" t="n">
        <v>0</v>
      </c>
      <c r="J4289" t="n">
        <v>0</v>
      </c>
      <c r="K4289" t="n">
        <v>0</v>
      </c>
      <c r="L4289" t="n">
        <v>0</v>
      </c>
      <c r="M4289" t="n">
        <v>0</v>
      </c>
      <c r="N4289" t="n">
        <v>0</v>
      </c>
      <c r="O4289" t="n">
        <v>0</v>
      </c>
      <c r="P4289" t="n">
        <v>0</v>
      </c>
      <c r="Q4289" t="n">
        <v>0</v>
      </c>
      <c r="R4289" s="2" t="inlineStr"/>
    </row>
    <row r="4290" ht="15" customHeight="1">
      <c r="A4290" t="inlineStr">
        <is>
          <t>A 10416-2025</t>
        </is>
      </c>
      <c r="B4290" s="1" t="n">
        <v>45720.63462962963</v>
      </c>
      <c r="C4290" s="1" t="n">
        <v>45911</v>
      </c>
      <c r="D4290" t="inlineStr">
        <is>
          <t>GÄVLEBORGS LÄN</t>
        </is>
      </c>
      <c r="E4290" t="inlineStr">
        <is>
          <t>LJUSDAL</t>
        </is>
      </c>
      <c r="G4290" t="n">
        <v>3.4</v>
      </c>
      <c r="H4290" t="n">
        <v>0</v>
      </c>
      <c r="I4290" t="n">
        <v>0</v>
      </c>
      <c r="J4290" t="n">
        <v>0</v>
      </c>
      <c r="K4290" t="n">
        <v>0</v>
      </c>
      <c r="L4290" t="n">
        <v>0</v>
      </c>
      <c r="M4290" t="n">
        <v>0</v>
      </c>
      <c r="N4290" t="n">
        <v>0</v>
      </c>
      <c r="O4290" t="n">
        <v>0</v>
      </c>
      <c r="P4290" t="n">
        <v>0</v>
      </c>
      <c r="Q4290" t="n">
        <v>0</v>
      </c>
      <c r="R4290" s="2" t="inlineStr"/>
    </row>
    <row r="4291" ht="15" customHeight="1">
      <c r="A4291" t="inlineStr">
        <is>
          <t>A 30155-2025</t>
        </is>
      </c>
      <c r="B4291" s="1" t="n">
        <v>45827.31878472222</v>
      </c>
      <c r="C4291" s="1" t="n">
        <v>45911</v>
      </c>
      <c r="D4291" t="inlineStr">
        <is>
          <t>GÄVLEBORGS LÄN</t>
        </is>
      </c>
      <c r="E4291" t="inlineStr">
        <is>
          <t>HUDIKSVALL</t>
        </is>
      </c>
      <c r="F4291" t="inlineStr">
        <is>
          <t>Sveaskog</t>
        </is>
      </c>
      <c r="G4291" t="n">
        <v>11.7</v>
      </c>
      <c r="H4291" t="n">
        <v>0</v>
      </c>
      <c r="I4291" t="n">
        <v>0</v>
      </c>
      <c r="J4291" t="n">
        <v>0</v>
      </c>
      <c r="K4291" t="n">
        <v>0</v>
      </c>
      <c r="L4291" t="n">
        <v>0</v>
      </c>
      <c r="M4291" t="n">
        <v>0</v>
      </c>
      <c r="N4291" t="n">
        <v>0</v>
      </c>
      <c r="O4291" t="n">
        <v>0</v>
      </c>
      <c r="P4291" t="n">
        <v>0</v>
      </c>
      <c r="Q4291" t="n">
        <v>0</v>
      </c>
      <c r="R4291" s="2" t="inlineStr"/>
    </row>
    <row r="4292" ht="15" customHeight="1">
      <c r="A4292" t="inlineStr">
        <is>
          <t>A 30158-2025</t>
        </is>
      </c>
      <c r="B4292" s="1" t="n">
        <v>45827.32184027778</v>
      </c>
      <c r="C4292" s="1" t="n">
        <v>45911</v>
      </c>
      <c r="D4292" t="inlineStr">
        <is>
          <t>GÄVLEBORGS LÄN</t>
        </is>
      </c>
      <c r="E4292" t="inlineStr">
        <is>
          <t>HUDIKSVALL</t>
        </is>
      </c>
      <c r="F4292" t="inlineStr">
        <is>
          <t>Sveaskog</t>
        </is>
      </c>
      <c r="G4292" t="n">
        <v>7.2</v>
      </c>
      <c r="H4292" t="n">
        <v>0</v>
      </c>
      <c r="I4292" t="n">
        <v>0</v>
      </c>
      <c r="J4292" t="n">
        <v>0</v>
      </c>
      <c r="K4292" t="n">
        <v>0</v>
      </c>
      <c r="L4292" t="n">
        <v>0</v>
      </c>
      <c r="M4292" t="n">
        <v>0</v>
      </c>
      <c r="N4292" t="n">
        <v>0</v>
      </c>
      <c r="O4292" t="n">
        <v>0</v>
      </c>
      <c r="P4292" t="n">
        <v>0</v>
      </c>
      <c r="Q4292" t="n">
        <v>0</v>
      </c>
      <c r="R4292" s="2" t="inlineStr"/>
    </row>
    <row r="4293" ht="15" customHeight="1">
      <c r="A4293" t="inlineStr">
        <is>
          <t>A 30156-2025</t>
        </is>
      </c>
      <c r="B4293" s="1" t="n">
        <v>45827.31972222222</v>
      </c>
      <c r="C4293" s="1" t="n">
        <v>45911</v>
      </c>
      <c r="D4293" t="inlineStr">
        <is>
          <t>GÄVLEBORGS LÄN</t>
        </is>
      </c>
      <c r="E4293" t="inlineStr">
        <is>
          <t>OVANÅKER</t>
        </is>
      </c>
      <c r="F4293" t="inlineStr">
        <is>
          <t>Holmen skog AB</t>
        </is>
      </c>
      <c r="G4293" t="n">
        <v>29.1</v>
      </c>
      <c r="H4293" t="n">
        <v>0</v>
      </c>
      <c r="I4293" t="n">
        <v>0</v>
      </c>
      <c r="J4293" t="n">
        <v>0</v>
      </c>
      <c r="K4293" t="n">
        <v>0</v>
      </c>
      <c r="L4293" t="n">
        <v>0</v>
      </c>
      <c r="M4293" t="n">
        <v>0</v>
      </c>
      <c r="N4293" t="n">
        <v>0</v>
      </c>
      <c r="O4293" t="n">
        <v>0</v>
      </c>
      <c r="P4293" t="n">
        <v>0</v>
      </c>
      <c r="Q4293" t="n">
        <v>0</v>
      </c>
      <c r="R4293" s="2" t="inlineStr"/>
    </row>
    <row r="4294" ht="15" customHeight="1">
      <c r="A4294" t="inlineStr">
        <is>
          <t>A 45096-2023</t>
        </is>
      </c>
      <c r="B4294" s="1" t="n">
        <v>45191.42413194444</v>
      </c>
      <c r="C4294" s="1" t="n">
        <v>45911</v>
      </c>
      <c r="D4294" t="inlineStr">
        <is>
          <t>GÄVLEBORGS LÄN</t>
        </is>
      </c>
      <c r="E4294" t="inlineStr">
        <is>
          <t>HUDIKSVALL</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36506-2025</t>
        </is>
      </c>
      <c r="B4295" s="1" t="n">
        <v>45869.57229166666</v>
      </c>
      <c r="C4295" s="1" t="n">
        <v>45911</v>
      </c>
      <c r="D4295" t="inlineStr">
        <is>
          <t>GÄVLEBORGS LÄN</t>
        </is>
      </c>
      <c r="E4295" t="inlineStr">
        <is>
          <t>GÄVLE</t>
        </is>
      </c>
      <c r="F4295" t="inlineStr">
        <is>
          <t>Bergvik skog väst AB</t>
        </is>
      </c>
      <c r="G4295" t="n">
        <v>4.9</v>
      </c>
      <c r="H4295" t="n">
        <v>0</v>
      </c>
      <c r="I4295" t="n">
        <v>0</v>
      </c>
      <c r="J4295" t="n">
        <v>0</v>
      </c>
      <c r="K4295" t="n">
        <v>0</v>
      </c>
      <c r="L4295" t="n">
        <v>0</v>
      </c>
      <c r="M4295" t="n">
        <v>0</v>
      </c>
      <c r="N4295" t="n">
        <v>0</v>
      </c>
      <c r="O4295" t="n">
        <v>0</v>
      </c>
      <c r="P4295" t="n">
        <v>0</v>
      </c>
      <c r="Q4295" t="n">
        <v>0</v>
      </c>
      <c r="R4295" s="2" t="inlineStr"/>
    </row>
    <row r="4296" ht="15" customHeight="1">
      <c r="A4296" t="inlineStr">
        <is>
          <t>A 16633-2024</t>
        </is>
      </c>
      <c r="B4296" s="1" t="n">
        <v>45408.59158564815</v>
      </c>
      <c r="C4296" s="1" t="n">
        <v>45911</v>
      </c>
      <c r="D4296" t="inlineStr">
        <is>
          <t>GÄVLEBORGS LÄN</t>
        </is>
      </c>
      <c r="E4296" t="inlineStr">
        <is>
          <t>HUDIKSVALL</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1820-2024</t>
        </is>
      </c>
      <c r="B4297" s="1" t="n">
        <v>45307</v>
      </c>
      <c r="C4297" s="1" t="n">
        <v>45911</v>
      </c>
      <c r="D4297" t="inlineStr">
        <is>
          <t>GÄVLEBORGS LÄN</t>
        </is>
      </c>
      <c r="E4297" t="inlineStr">
        <is>
          <t>LJUSDAL</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16666-2024</t>
        </is>
      </c>
      <c r="B4298" s="1" t="n">
        <v>45408</v>
      </c>
      <c r="C4298" s="1" t="n">
        <v>45911</v>
      </c>
      <c r="D4298" t="inlineStr">
        <is>
          <t>GÄVLEBORGS LÄN</t>
        </is>
      </c>
      <c r="E4298" t="inlineStr">
        <is>
          <t>LJUSDAL</t>
        </is>
      </c>
      <c r="G4298" t="n">
        <v>22.8</v>
      </c>
      <c r="H4298" t="n">
        <v>0</v>
      </c>
      <c r="I4298" t="n">
        <v>0</v>
      </c>
      <c r="J4298" t="n">
        <v>0</v>
      </c>
      <c r="K4298" t="n">
        <v>0</v>
      </c>
      <c r="L4298" t="n">
        <v>0</v>
      </c>
      <c r="M4298" t="n">
        <v>0</v>
      </c>
      <c r="N4298" t="n">
        <v>0</v>
      </c>
      <c r="O4298" t="n">
        <v>0</v>
      </c>
      <c r="P4298" t="n">
        <v>0</v>
      </c>
      <c r="Q4298" t="n">
        <v>0</v>
      </c>
      <c r="R4298" s="2" t="inlineStr"/>
    </row>
    <row r="4299" ht="15" customHeight="1">
      <c r="A4299" t="inlineStr">
        <is>
          <t>A 30196-2025</t>
        </is>
      </c>
      <c r="B4299" s="1" t="n">
        <v>45827.35413194444</v>
      </c>
      <c r="C4299" s="1" t="n">
        <v>45911</v>
      </c>
      <c r="D4299" t="inlineStr">
        <is>
          <t>GÄVLEBORGS LÄN</t>
        </is>
      </c>
      <c r="E4299" t="inlineStr">
        <is>
          <t>OVANÅKER</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36610-2025</t>
        </is>
      </c>
      <c r="B4300" s="1" t="n">
        <v>45870.58332175926</v>
      </c>
      <c r="C4300" s="1" t="n">
        <v>45911</v>
      </c>
      <c r="D4300" t="inlineStr">
        <is>
          <t>GÄVLEBORGS LÄN</t>
        </is>
      </c>
      <c r="E4300" t="inlineStr">
        <is>
          <t>BOLLNÄS</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5833-2023</t>
        </is>
      </c>
      <c r="B4301" s="1" t="n">
        <v>44963</v>
      </c>
      <c r="C4301" s="1" t="n">
        <v>45911</v>
      </c>
      <c r="D4301" t="inlineStr">
        <is>
          <t>GÄVLEBORGS LÄN</t>
        </is>
      </c>
      <c r="E4301" t="inlineStr">
        <is>
          <t>LJUSDAL</t>
        </is>
      </c>
      <c r="G4301" t="n">
        <v>8.9</v>
      </c>
      <c r="H4301" t="n">
        <v>0</v>
      </c>
      <c r="I4301" t="n">
        <v>0</v>
      </c>
      <c r="J4301" t="n">
        <v>0</v>
      </c>
      <c r="K4301" t="n">
        <v>0</v>
      </c>
      <c r="L4301" t="n">
        <v>0</v>
      </c>
      <c r="M4301" t="n">
        <v>0</v>
      </c>
      <c r="N4301" t="n">
        <v>0</v>
      </c>
      <c r="O4301" t="n">
        <v>0</v>
      </c>
      <c r="P4301" t="n">
        <v>0</v>
      </c>
      <c r="Q4301" t="n">
        <v>0</v>
      </c>
      <c r="R4301" s="2" t="inlineStr"/>
    </row>
    <row r="4302" ht="15" customHeight="1">
      <c r="A4302" t="inlineStr">
        <is>
          <t>A 27182-2022</t>
        </is>
      </c>
      <c r="B4302" s="1" t="n">
        <v>44741.57295138889</v>
      </c>
      <c r="C4302" s="1" t="n">
        <v>45911</v>
      </c>
      <c r="D4302" t="inlineStr">
        <is>
          <t>GÄVLEBORGS LÄN</t>
        </is>
      </c>
      <c r="E4302" t="inlineStr">
        <is>
          <t>GÄVLE</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30382-2025</t>
        </is>
      </c>
      <c r="B4303" s="1" t="n">
        <v>45827.57060185185</v>
      </c>
      <c r="C4303" s="1" t="n">
        <v>45911</v>
      </c>
      <c r="D4303" t="inlineStr">
        <is>
          <t>GÄVLEBORGS LÄN</t>
        </is>
      </c>
      <c r="E4303" t="inlineStr">
        <is>
          <t>OVANÅKER</t>
        </is>
      </c>
      <c r="F4303" t="inlineStr">
        <is>
          <t>Holmen skog AB</t>
        </is>
      </c>
      <c r="G4303" t="n">
        <v>6.4</v>
      </c>
      <c r="H4303" t="n">
        <v>0</v>
      </c>
      <c r="I4303" t="n">
        <v>0</v>
      </c>
      <c r="J4303" t="n">
        <v>0</v>
      </c>
      <c r="K4303" t="n">
        <v>0</v>
      </c>
      <c r="L4303" t="n">
        <v>0</v>
      </c>
      <c r="M4303" t="n">
        <v>0</v>
      </c>
      <c r="N4303" t="n">
        <v>0</v>
      </c>
      <c r="O4303" t="n">
        <v>0</v>
      </c>
      <c r="P4303" t="n">
        <v>0</v>
      </c>
      <c r="Q4303" t="n">
        <v>0</v>
      </c>
      <c r="R4303" s="2" t="inlineStr"/>
    </row>
    <row r="4304" ht="15" customHeight="1">
      <c r="A4304" t="inlineStr">
        <is>
          <t>A 12555-2023</t>
        </is>
      </c>
      <c r="B4304" s="1" t="n">
        <v>45000.354375</v>
      </c>
      <c r="C4304" s="1" t="n">
        <v>45911</v>
      </c>
      <c r="D4304" t="inlineStr">
        <is>
          <t>GÄVLEBORGS LÄN</t>
        </is>
      </c>
      <c r="E4304" t="inlineStr">
        <is>
          <t>LJUSDAL</t>
        </is>
      </c>
      <c r="G4304" t="n">
        <v>8.4</v>
      </c>
      <c r="H4304" t="n">
        <v>0</v>
      </c>
      <c r="I4304" t="n">
        <v>0</v>
      </c>
      <c r="J4304" t="n">
        <v>0</v>
      </c>
      <c r="K4304" t="n">
        <v>0</v>
      </c>
      <c r="L4304" t="n">
        <v>0</v>
      </c>
      <c r="M4304" t="n">
        <v>0</v>
      </c>
      <c r="N4304" t="n">
        <v>0</v>
      </c>
      <c r="O4304" t="n">
        <v>0</v>
      </c>
      <c r="P4304" t="n">
        <v>0</v>
      </c>
      <c r="Q4304" t="n">
        <v>0</v>
      </c>
      <c r="R4304" s="2" t="inlineStr"/>
    </row>
    <row r="4305" ht="15" customHeight="1">
      <c r="A4305" t="inlineStr">
        <is>
          <t>A 36478-2025</t>
        </is>
      </c>
      <c r="B4305" s="1" t="n">
        <v>45869.49104166667</v>
      </c>
      <c r="C4305" s="1" t="n">
        <v>45911</v>
      </c>
      <c r="D4305" t="inlineStr">
        <is>
          <t>GÄVLEBORGS LÄN</t>
        </is>
      </c>
      <c r="E4305" t="inlineStr">
        <is>
          <t>OVANÅKER</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14700-2024</t>
        </is>
      </c>
      <c r="B4306" s="1" t="n">
        <v>45397</v>
      </c>
      <c r="C4306" s="1" t="n">
        <v>45911</v>
      </c>
      <c r="D4306" t="inlineStr">
        <is>
          <t>GÄVLEBORGS LÄN</t>
        </is>
      </c>
      <c r="E4306" t="inlineStr">
        <is>
          <t>HUDIKSVALL</t>
        </is>
      </c>
      <c r="G4306" t="n">
        <v>3.8</v>
      </c>
      <c r="H4306" t="n">
        <v>0</v>
      </c>
      <c r="I4306" t="n">
        <v>0</v>
      </c>
      <c r="J4306" t="n">
        <v>0</v>
      </c>
      <c r="K4306" t="n">
        <v>0</v>
      </c>
      <c r="L4306" t="n">
        <v>0</v>
      </c>
      <c r="M4306" t="n">
        <v>0</v>
      </c>
      <c r="N4306" t="n">
        <v>0</v>
      </c>
      <c r="O4306" t="n">
        <v>0</v>
      </c>
      <c r="P4306" t="n">
        <v>0</v>
      </c>
      <c r="Q4306" t="n">
        <v>0</v>
      </c>
      <c r="R4306" s="2" t="inlineStr"/>
    </row>
    <row r="4307" ht="15" customHeight="1">
      <c r="A4307" t="inlineStr">
        <is>
          <t>A 10127-2025</t>
        </is>
      </c>
      <c r="B4307" s="1" t="n">
        <v>45719</v>
      </c>
      <c r="C4307" s="1" t="n">
        <v>45911</v>
      </c>
      <c r="D4307" t="inlineStr">
        <is>
          <t>GÄVLEBORGS LÄN</t>
        </is>
      </c>
      <c r="E4307" t="inlineStr">
        <is>
          <t>SANDVIKEN</t>
        </is>
      </c>
      <c r="G4307" t="n">
        <v>4.9</v>
      </c>
      <c r="H4307" t="n">
        <v>0</v>
      </c>
      <c r="I4307" t="n">
        <v>0</v>
      </c>
      <c r="J4307" t="n">
        <v>0</v>
      </c>
      <c r="K4307" t="n">
        <v>0</v>
      </c>
      <c r="L4307" t="n">
        <v>0</v>
      </c>
      <c r="M4307" t="n">
        <v>0</v>
      </c>
      <c r="N4307" t="n">
        <v>0</v>
      </c>
      <c r="O4307" t="n">
        <v>0</v>
      </c>
      <c r="P4307" t="n">
        <v>0</v>
      </c>
      <c r="Q4307" t="n">
        <v>0</v>
      </c>
      <c r="R4307" s="2" t="inlineStr"/>
    </row>
    <row r="4308" ht="15" customHeight="1">
      <c r="A4308" t="inlineStr">
        <is>
          <t>A 10130-2025</t>
        </is>
      </c>
      <c r="B4308" s="1" t="n">
        <v>45719.60837962963</v>
      </c>
      <c r="C4308" s="1" t="n">
        <v>45911</v>
      </c>
      <c r="D4308" t="inlineStr">
        <is>
          <t>GÄVLEBORGS LÄN</t>
        </is>
      </c>
      <c r="E4308" t="inlineStr">
        <is>
          <t>HUDIKSVALL</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51149-2023</t>
        </is>
      </c>
      <c r="B4309" s="1" t="n">
        <v>45212</v>
      </c>
      <c r="C4309" s="1" t="n">
        <v>45911</v>
      </c>
      <c r="D4309" t="inlineStr">
        <is>
          <t>GÄVLEBORGS LÄN</t>
        </is>
      </c>
      <c r="E4309" t="inlineStr">
        <is>
          <t>BOLLNÄS</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21795-2022</t>
        </is>
      </c>
      <c r="B4310" s="1" t="n">
        <v>44708</v>
      </c>
      <c r="C4310" s="1" t="n">
        <v>45911</v>
      </c>
      <c r="D4310" t="inlineStr">
        <is>
          <t>GÄVLEBORGS LÄN</t>
        </is>
      </c>
      <c r="E4310" t="inlineStr">
        <is>
          <t>GÄVLE</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1259-2023</t>
        </is>
      </c>
      <c r="B4311" s="1" t="n">
        <v>44936.38371527778</v>
      </c>
      <c r="C4311" s="1" t="n">
        <v>45911</v>
      </c>
      <c r="D4311" t="inlineStr">
        <is>
          <t>GÄVLEBORGS LÄN</t>
        </is>
      </c>
      <c r="E4311" t="inlineStr">
        <is>
          <t>LJUSDAL</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36615-2025</t>
        </is>
      </c>
      <c r="B4312" s="1" t="n">
        <v>45870.62204861111</v>
      </c>
      <c r="C4312" s="1" t="n">
        <v>45911</v>
      </c>
      <c r="D4312" t="inlineStr">
        <is>
          <t>GÄVLEBORGS LÄN</t>
        </is>
      </c>
      <c r="E4312" t="inlineStr">
        <is>
          <t>HUDIKSVALL</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6367-2025</t>
        </is>
      </c>
      <c r="B4313" s="1" t="n">
        <v>45699.3866087963</v>
      </c>
      <c r="C4313" s="1" t="n">
        <v>45911</v>
      </c>
      <c r="D4313" t="inlineStr">
        <is>
          <t>GÄVLEBORGS LÄN</t>
        </is>
      </c>
      <c r="E4313" t="inlineStr">
        <is>
          <t>GÄVLE</t>
        </is>
      </c>
      <c r="G4313" t="n">
        <v>3.5</v>
      </c>
      <c r="H4313" t="n">
        <v>0</v>
      </c>
      <c r="I4313" t="n">
        <v>0</v>
      </c>
      <c r="J4313" t="n">
        <v>0</v>
      </c>
      <c r="K4313" t="n">
        <v>0</v>
      </c>
      <c r="L4313" t="n">
        <v>0</v>
      </c>
      <c r="M4313" t="n">
        <v>0</v>
      </c>
      <c r="N4313" t="n">
        <v>0</v>
      </c>
      <c r="O4313" t="n">
        <v>0</v>
      </c>
      <c r="P4313" t="n">
        <v>0</v>
      </c>
      <c r="Q4313" t="n">
        <v>0</v>
      </c>
      <c r="R4313" s="2" t="inlineStr"/>
    </row>
    <row r="4314" ht="15" customHeight="1">
      <c r="A4314" t="inlineStr">
        <is>
          <t>A 30202-2025</t>
        </is>
      </c>
      <c r="B4314" s="1" t="n">
        <v>45827</v>
      </c>
      <c r="C4314" s="1" t="n">
        <v>45911</v>
      </c>
      <c r="D4314" t="inlineStr">
        <is>
          <t>GÄVLEBORGS LÄN</t>
        </is>
      </c>
      <c r="E4314" t="inlineStr">
        <is>
          <t>GÄVLE</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30152-2025</t>
        </is>
      </c>
      <c r="B4315" s="1" t="n">
        <v>45827.3172337963</v>
      </c>
      <c r="C4315" s="1" t="n">
        <v>45911</v>
      </c>
      <c r="D4315" t="inlineStr">
        <is>
          <t>GÄVLEBORGS LÄN</t>
        </is>
      </c>
      <c r="E4315" t="inlineStr">
        <is>
          <t>OCKELBO</t>
        </is>
      </c>
      <c r="F4315" t="inlineStr">
        <is>
          <t>Bergvik skog väst AB</t>
        </is>
      </c>
      <c r="G4315" t="n">
        <v>6.5</v>
      </c>
      <c r="H4315" t="n">
        <v>0</v>
      </c>
      <c r="I4315" t="n">
        <v>0</v>
      </c>
      <c r="J4315" t="n">
        <v>0</v>
      </c>
      <c r="K4315" t="n">
        <v>0</v>
      </c>
      <c r="L4315" t="n">
        <v>0</v>
      </c>
      <c r="M4315" t="n">
        <v>0</v>
      </c>
      <c r="N4315" t="n">
        <v>0</v>
      </c>
      <c r="O4315" t="n">
        <v>0</v>
      </c>
      <c r="P4315" t="n">
        <v>0</v>
      </c>
      <c r="Q4315" t="n">
        <v>0</v>
      </c>
      <c r="R4315" s="2" t="inlineStr"/>
    </row>
    <row r="4316" ht="15" customHeight="1">
      <c r="A4316" t="inlineStr">
        <is>
          <t>A 36604-2025</t>
        </is>
      </c>
      <c r="B4316" s="1" t="n">
        <v>45870</v>
      </c>
      <c r="C4316" s="1" t="n">
        <v>45911</v>
      </c>
      <c r="D4316" t="inlineStr">
        <is>
          <t>GÄVLEBORGS LÄN</t>
        </is>
      </c>
      <c r="E4316" t="inlineStr">
        <is>
          <t>OCKELBO</t>
        </is>
      </c>
      <c r="G4316" t="n">
        <v>2.8</v>
      </c>
      <c r="H4316" t="n">
        <v>0</v>
      </c>
      <c r="I4316" t="n">
        <v>0</v>
      </c>
      <c r="J4316" t="n">
        <v>0</v>
      </c>
      <c r="K4316" t="n">
        <v>0</v>
      </c>
      <c r="L4316" t="n">
        <v>0</v>
      </c>
      <c r="M4316" t="n">
        <v>0</v>
      </c>
      <c r="N4316" t="n">
        <v>0</v>
      </c>
      <c r="O4316" t="n">
        <v>0</v>
      </c>
      <c r="P4316" t="n">
        <v>0</v>
      </c>
      <c r="Q4316" t="n">
        <v>0</v>
      </c>
      <c r="R4316" s="2" t="inlineStr"/>
    </row>
    <row r="4317" ht="15" customHeight="1">
      <c r="A4317" t="inlineStr">
        <is>
          <t>A 12023-2024</t>
        </is>
      </c>
      <c r="B4317" s="1" t="n">
        <v>45377.3715625</v>
      </c>
      <c r="C4317" s="1" t="n">
        <v>45911</v>
      </c>
      <c r="D4317" t="inlineStr">
        <is>
          <t>GÄVLEBORGS LÄN</t>
        </is>
      </c>
      <c r="E4317" t="inlineStr">
        <is>
          <t>BOLLNÄS</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30123-2025</t>
        </is>
      </c>
      <c r="B4318" s="1" t="n">
        <v>45826.7700462963</v>
      </c>
      <c r="C4318" s="1" t="n">
        <v>45911</v>
      </c>
      <c r="D4318" t="inlineStr">
        <is>
          <t>GÄVLEBORGS LÄN</t>
        </is>
      </c>
      <c r="E4318" t="inlineStr">
        <is>
          <t>OVANÅKER</t>
        </is>
      </c>
      <c r="F4318" t="inlineStr">
        <is>
          <t>Bergvik skog väst AB</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30179-2025</t>
        </is>
      </c>
      <c r="B4319" s="1" t="n">
        <v>45827.34570601852</v>
      </c>
      <c r="C4319" s="1" t="n">
        <v>45911</v>
      </c>
      <c r="D4319" t="inlineStr">
        <is>
          <t>GÄVLEBORGS LÄN</t>
        </is>
      </c>
      <c r="E4319" t="inlineStr">
        <is>
          <t>OCKELBO</t>
        </is>
      </c>
      <c r="F4319" t="inlineStr">
        <is>
          <t>Bergvik skog väst AB</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30203-2025</t>
        </is>
      </c>
      <c r="B4320" s="1" t="n">
        <v>45827.35971064815</v>
      </c>
      <c r="C4320" s="1" t="n">
        <v>45911</v>
      </c>
      <c r="D4320" t="inlineStr">
        <is>
          <t>GÄVLEBORGS LÄN</t>
        </is>
      </c>
      <c r="E4320" t="inlineStr">
        <is>
          <t>SANDVIKEN</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36511-2025</t>
        </is>
      </c>
      <c r="B4321" s="1" t="n">
        <v>45869.57623842593</v>
      </c>
      <c r="C4321" s="1" t="n">
        <v>45911</v>
      </c>
      <c r="D4321" t="inlineStr">
        <is>
          <t>GÄVLEBORGS LÄN</t>
        </is>
      </c>
      <c r="E4321" t="inlineStr">
        <is>
          <t>GÄVLE</t>
        </is>
      </c>
      <c r="F4321" t="inlineStr">
        <is>
          <t>Bergvik skog väst AB</t>
        </is>
      </c>
      <c r="G4321" t="n">
        <v>4.2</v>
      </c>
      <c r="H4321" t="n">
        <v>0</v>
      </c>
      <c r="I4321" t="n">
        <v>0</v>
      </c>
      <c r="J4321" t="n">
        <v>0</v>
      </c>
      <c r="K4321" t="n">
        <v>0</v>
      </c>
      <c r="L4321" t="n">
        <v>0</v>
      </c>
      <c r="M4321" t="n">
        <v>0</v>
      </c>
      <c r="N4321" t="n">
        <v>0</v>
      </c>
      <c r="O4321" t="n">
        <v>0</v>
      </c>
      <c r="P4321" t="n">
        <v>0</v>
      </c>
      <c r="Q4321" t="n">
        <v>0</v>
      </c>
      <c r="R4321" s="2" t="inlineStr"/>
    </row>
    <row r="4322" ht="15" customHeight="1">
      <c r="A4322" t="inlineStr">
        <is>
          <t>A 30291-2025</t>
        </is>
      </c>
      <c r="B4322" s="1" t="n">
        <v>45827.47054398148</v>
      </c>
      <c r="C4322" s="1" t="n">
        <v>45911</v>
      </c>
      <c r="D4322" t="inlineStr">
        <is>
          <t>GÄVLEBORGS LÄN</t>
        </is>
      </c>
      <c r="E4322" t="inlineStr">
        <is>
          <t>NORDANSTIG</t>
        </is>
      </c>
      <c r="F4322" t="inlineStr">
        <is>
          <t>Holmen skog AB</t>
        </is>
      </c>
      <c r="G4322" t="n">
        <v>11.2</v>
      </c>
      <c r="H4322" t="n">
        <v>0</v>
      </c>
      <c r="I4322" t="n">
        <v>0</v>
      </c>
      <c r="J4322" t="n">
        <v>0</v>
      </c>
      <c r="K4322" t="n">
        <v>0</v>
      </c>
      <c r="L4322" t="n">
        <v>0</v>
      </c>
      <c r="M4322" t="n">
        <v>0</v>
      </c>
      <c r="N4322" t="n">
        <v>0</v>
      </c>
      <c r="O4322" t="n">
        <v>0</v>
      </c>
      <c r="P4322" t="n">
        <v>0</v>
      </c>
      <c r="Q4322" t="n">
        <v>0</v>
      </c>
      <c r="R4322" s="2" t="inlineStr"/>
    </row>
    <row r="4323" ht="15" customHeight="1">
      <c r="A4323" t="inlineStr">
        <is>
          <t>A 10987-2025</t>
        </is>
      </c>
      <c r="B4323" s="1" t="n">
        <v>45723.42309027778</v>
      </c>
      <c r="C4323" s="1" t="n">
        <v>45911</v>
      </c>
      <c r="D4323" t="inlineStr">
        <is>
          <t>GÄVLEBORGS LÄN</t>
        </is>
      </c>
      <c r="E4323" t="inlineStr">
        <is>
          <t>SANDVIKEN</t>
        </is>
      </c>
      <c r="F4323" t="inlineStr">
        <is>
          <t>Bergvik skog öst AB</t>
        </is>
      </c>
      <c r="G4323" t="n">
        <v>4.5</v>
      </c>
      <c r="H4323" t="n">
        <v>0</v>
      </c>
      <c r="I4323" t="n">
        <v>0</v>
      </c>
      <c r="J4323" t="n">
        <v>0</v>
      </c>
      <c r="K4323" t="n">
        <v>0</v>
      </c>
      <c r="L4323" t="n">
        <v>0</v>
      </c>
      <c r="M4323" t="n">
        <v>0</v>
      </c>
      <c r="N4323" t="n">
        <v>0</v>
      </c>
      <c r="O4323" t="n">
        <v>0</v>
      </c>
      <c r="P4323" t="n">
        <v>0</v>
      </c>
      <c r="Q4323" t="n">
        <v>0</v>
      </c>
      <c r="R4323" s="2" t="inlineStr"/>
    </row>
    <row r="4324" ht="15" customHeight="1">
      <c r="A4324" t="inlineStr">
        <is>
          <t>A 30307-2025</t>
        </is>
      </c>
      <c r="B4324" s="1" t="n">
        <v>45827.48408564815</v>
      </c>
      <c r="C4324" s="1" t="n">
        <v>45911</v>
      </c>
      <c r="D4324" t="inlineStr">
        <is>
          <t>GÄVLEBORGS LÄN</t>
        </is>
      </c>
      <c r="E4324" t="inlineStr">
        <is>
          <t>HUDIKSVALL</t>
        </is>
      </c>
      <c r="G4324" t="n">
        <v>6</v>
      </c>
      <c r="H4324" t="n">
        <v>0</v>
      </c>
      <c r="I4324" t="n">
        <v>0</v>
      </c>
      <c r="J4324" t="n">
        <v>0</v>
      </c>
      <c r="K4324" t="n">
        <v>0</v>
      </c>
      <c r="L4324" t="n">
        <v>0</v>
      </c>
      <c r="M4324" t="n">
        <v>0</v>
      </c>
      <c r="N4324" t="n">
        <v>0</v>
      </c>
      <c r="O4324" t="n">
        <v>0</v>
      </c>
      <c r="P4324" t="n">
        <v>0</v>
      </c>
      <c r="Q4324" t="n">
        <v>0</v>
      </c>
      <c r="R4324" s="2" t="inlineStr"/>
    </row>
    <row r="4325" ht="15" customHeight="1">
      <c r="A4325" t="inlineStr">
        <is>
          <t>A 30309-2025</t>
        </is>
      </c>
      <c r="B4325" s="1" t="n">
        <v>45827.48891203704</v>
      </c>
      <c r="C4325" s="1" t="n">
        <v>45911</v>
      </c>
      <c r="D4325" t="inlineStr">
        <is>
          <t>GÄVLEBORGS LÄN</t>
        </is>
      </c>
      <c r="E4325" t="inlineStr">
        <is>
          <t>HUDIKSVALL</t>
        </is>
      </c>
      <c r="G4325" t="n">
        <v>5.7</v>
      </c>
      <c r="H4325" t="n">
        <v>0</v>
      </c>
      <c r="I4325" t="n">
        <v>0</v>
      </c>
      <c r="J4325" t="n">
        <v>0</v>
      </c>
      <c r="K4325" t="n">
        <v>0</v>
      </c>
      <c r="L4325" t="n">
        <v>0</v>
      </c>
      <c r="M4325" t="n">
        <v>0</v>
      </c>
      <c r="N4325" t="n">
        <v>0</v>
      </c>
      <c r="O4325" t="n">
        <v>0</v>
      </c>
      <c r="P4325" t="n">
        <v>0</v>
      </c>
      <c r="Q4325" t="n">
        <v>0</v>
      </c>
      <c r="R4325" s="2" t="inlineStr"/>
    </row>
    <row r="4326" ht="15" customHeight="1">
      <c r="A4326" t="inlineStr">
        <is>
          <t>A 11017-2025</t>
        </is>
      </c>
      <c r="B4326" s="1" t="n">
        <v>45723</v>
      </c>
      <c r="C4326" s="1" t="n">
        <v>45911</v>
      </c>
      <c r="D4326" t="inlineStr">
        <is>
          <t>GÄVLEBORGS LÄN</t>
        </is>
      </c>
      <c r="E4326" t="inlineStr">
        <is>
          <t>HUDIKSVALL</t>
        </is>
      </c>
      <c r="G4326" t="n">
        <v>6.8</v>
      </c>
      <c r="H4326" t="n">
        <v>0</v>
      </c>
      <c r="I4326" t="n">
        <v>0</v>
      </c>
      <c r="J4326" t="n">
        <v>0</v>
      </c>
      <c r="K4326" t="n">
        <v>0</v>
      </c>
      <c r="L4326" t="n">
        <v>0</v>
      </c>
      <c r="M4326" t="n">
        <v>0</v>
      </c>
      <c r="N4326" t="n">
        <v>0</v>
      </c>
      <c r="O4326" t="n">
        <v>0</v>
      </c>
      <c r="P4326" t="n">
        <v>0</v>
      </c>
      <c r="Q4326" t="n">
        <v>0</v>
      </c>
      <c r="R4326" s="2" t="inlineStr"/>
    </row>
    <row r="4327" ht="15" customHeight="1">
      <c r="A4327" t="inlineStr">
        <is>
          <t>A 36512-2025</t>
        </is>
      </c>
      <c r="B4327" s="1" t="n">
        <v>45869.57649305555</v>
      </c>
      <c r="C4327" s="1" t="n">
        <v>45911</v>
      </c>
      <c r="D4327" t="inlineStr">
        <is>
          <t>GÄVLEBORGS LÄN</t>
        </is>
      </c>
      <c r="E4327" t="inlineStr">
        <is>
          <t>GÄVLE</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26185-2023</t>
        </is>
      </c>
      <c r="B4328" s="1" t="n">
        <v>45091.53390046296</v>
      </c>
      <c r="C4328" s="1" t="n">
        <v>45911</v>
      </c>
      <c r="D4328" t="inlineStr">
        <is>
          <t>GÄVLEBORGS LÄN</t>
        </is>
      </c>
      <c r="E4328" t="inlineStr">
        <is>
          <t>LJUSDAL</t>
        </is>
      </c>
      <c r="F4328" t="inlineStr">
        <is>
          <t>Sveaskog</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26186-2023</t>
        </is>
      </c>
      <c r="B4329" s="1" t="n">
        <v>45091.53475694444</v>
      </c>
      <c r="C4329" s="1" t="n">
        <v>45911</v>
      </c>
      <c r="D4329" t="inlineStr">
        <is>
          <t>GÄVLEBORGS LÄN</t>
        </is>
      </c>
      <c r="E4329" t="inlineStr">
        <is>
          <t>LJUSDAL</t>
        </is>
      </c>
      <c r="F4329" t="inlineStr">
        <is>
          <t>Sveaskog</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51998-2023</t>
        </is>
      </c>
      <c r="B4330" s="1" t="n">
        <v>45223</v>
      </c>
      <c r="C4330" s="1" t="n">
        <v>45911</v>
      </c>
      <c r="D4330" t="inlineStr">
        <is>
          <t>GÄVLEBORGS LÄN</t>
        </is>
      </c>
      <c r="E4330" t="inlineStr">
        <is>
          <t>NORDANSTIG</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10131-2024</t>
        </is>
      </c>
      <c r="B4331" s="1" t="n">
        <v>45364</v>
      </c>
      <c r="C4331" s="1" t="n">
        <v>45911</v>
      </c>
      <c r="D4331" t="inlineStr">
        <is>
          <t>GÄVLEBORGS LÄN</t>
        </is>
      </c>
      <c r="E4331" t="inlineStr">
        <is>
          <t>HUDIKSVALL</t>
        </is>
      </c>
      <c r="G4331" t="n">
        <v>11.6</v>
      </c>
      <c r="H4331" t="n">
        <v>0</v>
      </c>
      <c r="I4331" t="n">
        <v>0</v>
      </c>
      <c r="J4331" t="n">
        <v>0</v>
      </c>
      <c r="K4331" t="n">
        <v>0</v>
      </c>
      <c r="L4331" t="n">
        <v>0</v>
      </c>
      <c r="M4331" t="n">
        <v>0</v>
      </c>
      <c r="N4331" t="n">
        <v>0</v>
      </c>
      <c r="O4331" t="n">
        <v>0</v>
      </c>
      <c r="P4331" t="n">
        <v>0</v>
      </c>
      <c r="Q4331" t="n">
        <v>0</v>
      </c>
      <c r="R4331" s="2" t="inlineStr"/>
    </row>
    <row r="4332" ht="15" customHeight="1">
      <c r="A4332" t="inlineStr">
        <is>
          <t>A 2370-2023</t>
        </is>
      </c>
      <c r="B4332" s="1" t="n">
        <v>44942</v>
      </c>
      <c r="C4332" s="1" t="n">
        <v>45911</v>
      </c>
      <c r="D4332" t="inlineStr">
        <is>
          <t>GÄVLEBORGS LÄN</t>
        </is>
      </c>
      <c r="E4332" t="inlineStr">
        <is>
          <t>LJUSDAL</t>
        </is>
      </c>
      <c r="G4332" t="n">
        <v>3.2</v>
      </c>
      <c r="H4332" t="n">
        <v>0</v>
      </c>
      <c r="I4332" t="n">
        <v>0</v>
      </c>
      <c r="J4332" t="n">
        <v>0</v>
      </c>
      <c r="K4332" t="n">
        <v>0</v>
      </c>
      <c r="L4332" t="n">
        <v>0</v>
      </c>
      <c r="M4332" t="n">
        <v>0</v>
      </c>
      <c r="N4332" t="n">
        <v>0</v>
      </c>
      <c r="O4332" t="n">
        <v>0</v>
      </c>
      <c r="P4332" t="n">
        <v>0</v>
      </c>
      <c r="Q4332" t="n">
        <v>0</v>
      </c>
      <c r="R4332" s="2" t="inlineStr"/>
    </row>
    <row r="4333" ht="15" customHeight="1">
      <c r="A4333" t="inlineStr">
        <is>
          <t>A 19441-2024</t>
        </is>
      </c>
      <c r="B4333" s="1" t="n">
        <v>45429</v>
      </c>
      <c r="C4333" s="1" t="n">
        <v>45911</v>
      </c>
      <c r="D4333" t="inlineStr">
        <is>
          <t>GÄVLEBORGS LÄN</t>
        </is>
      </c>
      <c r="E4333" t="inlineStr">
        <is>
          <t>SÖDERHAMN</t>
        </is>
      </c>
      <c r="G4333" t="n">
        <v>3.3</v>
      </c>
      <c r="H4333" t="n">
        <v>0</v>
      </c>
      <c r="I4333" t="n">
        <v>0</v>
      </c>
      <c r="J4333" t="n">
        <v>0</v>
      </c>
      <c r="K4333" t="n">
        <v>0</v>
      </c>
      <c r="L4333" t="n">
        <v>0</v>
      </c>
      <c r="M4333" t="n">
        <v>0</v>
      </c>
      <c r="N4333" t="n">
        <v>0</v>
      </c>
      <c r="O4333" t="n">
        <v>0</v>
      </c>
      <c r="P4333" t="n">
        <v>0</v>
      </c>
      <c r="Q4333" t="n">
        <v>0</v>
      </c>
      <c r="R4333" s="2" t="inlineStr"/>
    </row>
    <row r="4334" ht="15" customHeight="1">
      <c r="A4334" t="inlineStr">
        <is>
          <t>A 24659-2024</t>
        </is>
      </c>
      <c r="B4334" s="1" t="n">
        <v>45460.57925925926</v>
      </c>
      <c r="C4334" s="1" t="n">
        <v>45911</v>
      </c>
      <c r="D4334" t="inlineStr">
        <is>
          <t>GÄVLEBORGS LÄN</t>
        </is>
      </c>
      <c r="E4334" t="inlineStr">
        <is>
          <t>LJUSDAL</t>
        </is>
      </c>
      <c r="G4334" t="n">
        <v>8.199999999999999</v>
      </c>
      <c r="H4334" t="n">
        <v>0</v>
      </c>
      <c r="I4334" t="n">
        <v>0</v>
      </c>
      <c r="J4334" t="n">
        <v>0</v>
      </c>
      <c r="K4334" t="n">
        <v>0</v>
      </c>
      <c r="L4334" t="n">
        <v>0</v>
      </c>
      <c r="M4334" t="n">
        <v>0</v>
      </c>
      <c r="N4334" t="n">
        <v>0</v>
      </c>
      <c r="O4334" t="n">
        <v>0</v>
      </c>
      <c r="P4334" t="n">
        <v>0</v>
      </c>
      <c r="Q4334" t="n">
        <v>0</v>
      </c>
      <c r="R4334" s="2" t="inlineStr"/>
    </row>
    <row r="4335" ht="15" customHeight="1">
      <c r="A4335" t="inlineStr">
        <is>
          <t>A 41890-2023</t>
        </is>
      </c>
      <c r="B4335" s="1" t="n">
        <v>45176.71189814815</v>
      </c>
      <c r="C4335" s="1" t="n">
        <v>45911</v>
      </c>
      <c r="D4335" t="inlineStr">
        <is>
          <t>GÄVLEBORGS LÄN</t>
        </is>
      </c>
      <c r="E4335" t="inlineStr">
        <is>
          <t>SANDVIKEN</t>
        </is>
      </c>
      <c r="F4335" t="inlineStr">
        <is>
          <t>Sveaskog</t>
        </is>
      </c>
      <c r="G4335" t="n">
        <v>2.7</v>
      </c>
      <c r="H4335" t="n">
        <v>0</v>
      </c>
      <c r="I4335" t="n">
        <v>0</v>
      </c>
      <c r="J4335" t="n">
        <v>0</v>
      </c>
      <c r="K4335" t="n">
        <v>0</v>
      </c>
      <c r="L4335" t="n">
        <v>0</v>
      </c>
      <c r="M4335" t="n">
        <v>0</v>
      </c>
      <c r="N4335" t="n">
        <v>0</v>
      </c>
      <c r="O4335" t="n">
        <v>0</v>
      </c>
      <c r="P4335" t="n">
        <v>0</v>
      </c>
      <c r="Q4335" t="n">
        <v>0</v>
      </c>
      <c r="R4335" s="2" t="inlineStr"/>
    </row>
    <row r="4336" ht="15" customHeight="1">
      <c r="A4336" t="inlineStr">
        <is>
          <t>A 25349-2022</t>
        </is>
      </c>
      <c r="B4336" s="1" t="n">
        <v>44732.32744212963</v>
      </c>
      <c r="C4336" s="1" t="n">
        <v>45911</v>
      </c>
      <c r="D4336" t="inlineStr">
        <is>
          <t>GÄVLEBORGS LÄN</t>
        </is>
      </c>
      <c r="E4336" t="inlineStr">
        <is>
          <t>HUDIKSVALL</t>
        </is>
      </c>
      <c r="G4336" t="n">
        <v>5.4</v>
      </c>
      <c r="H4336" t="n">
        <v>0</v>
      </c>
      <c r="I4336" t="n">
        <v>0</v>
      </c>
      <c r="J4336" t="n">
        <v>0</v>
      </c>
      <c r="K4336" t="n">
        <v>0</v>
      </c>
      <c r="L4336" t="n">
        <v>0</v>
      </c>
      <c r="M4336" t="n">
        <v>0</v>
      </c>
      <c r="N4336" t="n">
        <v>0</v>
      </c>
      <c r="O4336" t="n">
        <v>0</v>
      </c>
      <c r="P4336" t="n">
        <v>0</v>
      </c>
      <c r="Q4336" t="n">
        <v>0</v>
      </c>
      <c r="R4336" s="2" t="inlineStr"/>
    </row>
    <row r="4337" ht="15" customHeight="1">
      <c r="A4337" t="inlineStr">
        <is>
          <t>A 30686-2025</t>
        </is>
      </c>
      <c r="B4337" s="1" t="n">
        <v>45831.53361111111</v>
      </c>
      <c r="C4337" s="1" t="n">
        <v>45911</v>
      </c>
      <c r="D4337" t="inlineStr">
        <is>
          <t>GÄVLEBORGS LÄN</t>
        </is>
      </c>
      <c r="E4337" t="inlineStr">
        <is>
          <t>LJUSDAL</t>
        </is>
      </c>
      <c r="F4337" t="inlineStr">
        <is>
          <t>Bergvik skog väst AB</t>
        </is>
      </c>
      <c r="G4337" t="n">
        <v>9.9</v>
      </c>
      <c r="H4337" t="n">
        <v>0</v>
      </c>
      <c r="I4337" t="n">
        <v>0</v>
      </c>
      <c r="J4337" t="n">
        <v>0</v>
      </c>
      <c r="K4337" t="n">
        <v>0</v>
      </c>
      <c r="L4337" t="n">
        <v>0</v>
      </c>
      <c r="M4337" t="n">
        <v>0</v>
      </c>
      <c r="N4337" t="n">
        <v>0</v>
      </c>
      <c r="O4337" t="n">
        <v>0</v>
      </c>
      <c r="P4337" t="n">
        <v>0</v>
      </c>
      <c r="Q4337" t="n">
        <v>0</v>
      </c>
      <c r="R4337" s="2" t="inlineStr"/>
    </row>
    <row r="4338" ht="15" customHeight="1">
      <c r="A4338" t="inlineStr">
        <is>
          <t>A 4461-2023</t>
        </is>
      </c>
      <c r="B4338" s="1" t="n">
        <v>44956</v>
      </c>
      <c r="C4338" s="1" t="n">
        <v>45911</v>
      </c>
      <c r="D4338" t="inlineStr">
        <is>
          <t>GÄVLEBORGS LÄN</t>
        </is>
      </c>
      <c r="E4338" t="inlineStr">
        <is>
          <t>SANDVIKEN</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4341-2021</t>
        </is>
      </c>
      <c r="B4339" s="1" t="n">
        <v>44223</v>
      </c>
      <c r="C4339" s="1" t="n">
        <v>45911</v>
      </c>
      <c r="D4339" t="inlineStr">
        <is>
          <t>GÄVLEBORGS LÄN</t>
        </is>
      </c>
      <c r="E4339" t="inlineStr">
        <is>
          <t>LJUSDAL</t>
        </is>
      </c>
      <c r="F4339" t="inlineStr">
        <is>
          <t>Kommuner</t>
        </is>
      </c>
      <c r="G4339" t="n">
        <v>7.9</v>
      </c>
      <c r="H4339" t="n">
        <v>0</v>
      </c>
      <c r="I4339" t="n">
        <v>0</v>
      </c>
      <c r="J4339" t="n">
        <v>0</v>
      </c>
      <c r="K4339" t="n">
        <v>0</v>
      </c>
      <c r="L4339" t="n">
        <v>0</v>
      </c>
      <c r="M4339" t="n">
        <v>0</v>
      </c>
      <c r="N4339" t="n">
        <v>0</v>
      </c>
      <c r="O4339" t="n">
        <v>0</v>
      </c>
      <c r="P4339" t="n">
        <v>0</v>
      </c>
      <c r="Q4339" t="n">
        <v>0</v>
      </c>
      <c r="R4339" s="2" t="inlineStr"/>
    </row>
    <row r="4340" ht="15" customHeight="1">
      <c r="A4340" t="inlineStr">
        <is>
          <t>A 30665-2025</t>
        </is>
      </c>
      <c r="B4340" s="1" t="n">
        <v>45831.51395833334</v>
      </c>
      <c r="C4340" s="1" t="n">
        <v>45911</v>
      </c>
      <c r="D4340" t="inlineStr">
        <is>
          <t>GÄVLEBORGS LÄN</t>
        </is>
      </c>
      <c r="E4340" t="inlineStr">
        <is>
          <t>LJUSDAL</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30673-2025</t>
        </is>
      </c>
      <c r="B4341" s="1" t="n">
        <v>45831.51881944444</v>
      </c>
      <c r="C4341" s="1" t="n">
        <v>45911</v>
      </c>
      <c r="D4341" t="inlineStr">
        <is>
          <t>GÄVLEBORGS LÄN</t>
        </is>
      </c>
      <c r="E4341" t="inlineStr">
        <is>
          <t>LJUSDAL</t>
        </is>
      </c>
      <c r="G4341" t="n">
        <v>3.9</v>
      </c>
      <c r="H4341" t="n">
        <v>0</v>
      </c>
      <c r="I4341" t="n">
        <v>0</v>
      </c>
      <c r="J4341" t="n">
        <v>0</v>
      </c>
      <c r="K4341" t="n">
        <v>0</v>
      </c>
      <c r="L4341" t="n">
        <v>0</v>
      </c>
      <c r="M4341" t="n">
        <v>0</v>
      </c>
      <c r="N4341" t="n">
        <v>0</v>
      </c>
      <c r="O4341" t="n">
        <v>0</v>
      </c>
      <c r="P4341" t="n">
        <v>0</v>
      </c>
      <c r="Q4341" t="n">
        <v>0</v>
      </c>
      <c r="R4341" s="2" t="inlineStr"/>
    </row>
    <row r="4342" ht="15" customHeight="1">
      <c r="A4342" t="inlineStr">
        <is>
          <t>A 30677-2025</t>
        </is>
      </c>
      <c r="B4342" s="1" t="n">
        <v>45831.52335648148</v>
      </c>
      <c r="C4342" s="1" t="n">
        <v>45911</v>
      </c>
      <c r="D4342" t="inlineStr">
        <is>
          <t>GÄVLEBORGS LÄN</t>
        </is>
      </c>
      <c r="E4342" t="inlineStr">
        <is>
          <t>LJUSDAL</t>
        </is>
      </c>
      <c r="G4342" t="n">
        <v>5.4</v>
      </c>
      <c r="H4342" t="n">
        <v>0</v>
      </c>
      <c r="I4342" t="n">
        <v>0</v>
      </c>
      <c r="J4342" t="n">
        <v>0</v>
      </c>
      <c r="K4342" t="n">
        <v>0</v>
      </c>
      <c r="L4342" t="n">
        <v>0</v>
      </c>
      <c r="M4342" t="n">
        <v>0</v>
      </c>
      <c r="N4342" t="n">
        <v>0</v>
      </c>
      <c r="O4342" t="n">
        <v>0</v>
      </c>
      <c r="P4342" t="n">
        <v>0</v>
      </c>
      <c r="Q4342" t="n">
        <v>0</v>
      </c>
      <c r="R4342" s="2" t="inlineStr"/>
    </row>
    <row r="4343" ht="15" customHeight="1">
      <c r="A4343" t="inlineStr">
        <is>
          <t>A 30681-2025</t>
        </is>
      </c>
      <c r="B4343" s="1" t="n">
        <v>45831.52996527778</v>
      </c>
      <c r="C4343" s="1" t="n">
        <v>45911</v>
      </c>
      <c r="D4343" t="inlineStr">
        <is>
          <t>GÄVLEBORGS LÄN</t>
        </is>
      </c>
      <c r="E4343" t="inlineStr">
        <is>
          <t>LJUSDAL</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30953-2025</t>
        </is>
      </c>
      <c r="B4344" s="1" t="n">
        <v>45832.43494212963</v>
      </c>
      <c r="C4344" s="1" t="n">
        <v>45911</v>
      </c>
      <c r="D4344" t="inlineStr">
        <is>
          <t>GÄVLEBORGS LÄN</t>
        </is>
      </c>
      <c r="E4344" t="inlineStr">
        <is>
          <t>OVANÅKER</t>
        </is>
      </c>
      <c r="G4344" t="n">
        <v>15.3</v>
      </c>
      <c r="H4344" t="n">
        <v>0</v>
      </c>
      <c r="I4344" t="n">
        <v>0</v>
      </c>
      <c r="J4344" t="n">
        <v>0</v>
      </c>
      <c r="K4344" t="n">
        <v>0</v>
      </c>
      <c r="L4344" t="n">
        <v>0</v>
      </c>
      <c r="M4344" t="n">
        <v>0</v>
      </c>
      <c r="N4344" t="n">
        <v>0</v>
      </c>
      <c r="O4344" t="n">
        <v>0</v>
      </c>
      <c r="P4344" t="n">
        <v>0</v>
      </c>
      <c r="Q4344" t="n">
        <v>0</v>
      </c>
      <c r="R4344" s="2" t="inlineStr"/>
    </row>
    <row r="4345" ht="15" customHeight="1">
      <c r="A4345" t="inlineStr">
        <is>
          <t>A 31012-2025</t>
        </is>
      </c>
      <c r="B4345" s="1" t="n">
        <v>45832.50887731482</v>
      </c>
      <c r="C4345" s="1" t="n">
        <v>45911</v>
      </c>
      <c r="D4345" t="inlineStr">
        <is>
          <t>GÄVLEBORGS LÄN</t>
        </is>
      </c>
      <c r="E4345" t="inlineStr">
        <is>
          <t>HUDIKSVALL</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31123-2025</t>
        </is>
      </c>
      <c r="B4346" s="1" t="n">
        <v>45832.62681712963</v>
      </c>
      <c r="C4346" s="1" t="n">
        <v>45911</v>
      </c>
      <c r="D4346" t="inlineStr">
        <is>
          <t>GÄVLEBORGS LÄN</t>
        </is>
      </c>
      <c r="E4346" t="inlineStr">
        <is>
          <t>LJUSDAL</t>
        </is>
      </c>
      <c r="F4346" t="inlineStr">
        <is>
          <t>Sveaskog</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17990-2025</t>
        </is>
      </c>
      <c r="B4347" s="1" t="n">
        <v>45761.40454861111</v>
      </c>
      <c r="C4347" s="1" t="n">
        <v>45911</v>
      </c>
      <c r="D4347" t="inlineStr">
        <is>
          <t>GÄVLEBORGS LÄN</t>
        </is>
      </c>
      <c r="E4347" t="inlineStr">
        <is>
          <t>OVANÅKER</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24741-2024</t>
        </is>
      </c>
      <c r="B4348" s="1" t="n">
        <v>45460.66142361111</v>
      </c>
      <c r="C4348" s="1" t="n">
        <v>45911</v>
      </c>
      <c r="D4348" t="inlineStr">
        <is>
          <t>GÄVLEBORGS LÄN</t>
        </is>
      </c>
      <c r="E4348" t="inlineStr">
        <is>
          <t>BOLLNÄS</t>
        </is>
      </c>
      <c r="G4348" t="n">
        <v>3.3</v>
      </c>
      <c r="H4348" t="n">
        <v>0</v>
      </c>
      <c r="I4348" t="n">
        <v>0</v>
      </c>
      <c r="J4348" t="n">
        <v>0</v>
      </c>
      <c r="K4348" t="n">
        <v>0</v>
      </c>
      <c r="L4348" t="n">
        <v>0</v>
      </c>
      <c r="M4348" t="n">
        <v>0</v>
      </c>
      <c r="N4348" t="n">
        <v>0</v>
      </c>
      <c r="O4348" t="n">
        <v>0</v>
      </c>
      <c r="P4348" t="n">
        <v>0</v>
      </c>
      <c r="Q4348" t="n">
        <v>0</v>
      </c>
      <c r="R4348" s="2" t="inlineStr"/>
    </row>
    <row r="4349" ht="15" customHeight="1">
      <c r="A4349" t="inlineStr">
        <is>
          <t>A 18008-2025</t>
        </is>
      </c>
      <c r="B4349" s="1" t="n">
        <v>45761.42759259259</v>
      </c>
      <c r="C4349" s="1" t="n">
        <v>45911</v>
      </c>
      <c r="D4349" t="inlineStr">
        <is>
          <t>GÄVLEBORGS LÄN</t>
        </is>
      </c>
      <c r="E4349" t="inlineStr">
        <is>
          <t>LJUSDAL</t>
        </is>
      </c>
      <c r="G4349" t="n">
        <v>4.5</v>
      </c>
      <c r="H4349" t="n">
        <v>0</v>
      </c>
      <c r="I4349" t="n">
        <v>0</v>
      </c>
      <c r="J4349" t="n">
        <v>0</v>
      </c>
      <c r="K4349" t="n">
        <v>0</v>
      </c>
      <c r="L4349" t="n">
        <v>0</v>
      </c>
      <c r="M4349" t="n">
        <v>0</v>
      </c>
      <c r="N4349" t="n">
        <v>0</v>
      </c>
      <c r="O4349" t="n">
        <v>0</v>
      </c>
      <c r="P4349" t="n">
        <v>0</v>
      </c>
      <c r="Q4349" t="n">
        <v>0</v>
      </c>
      <c r="R4349" s="2" t="inlineStr"/>
    </row>
    <row r="4350" ht="15" customHeight="1">
      <c r="A4350" t="inlineStr">
        <is>
          <t>A 18025-2025</t>
        </is>
      </c>
      <c r="B4350" s="1" t="n">
        <v>45761.44814814815</v>
      </c>
      <c r="C4350" s="1" t="n">
        <v>45911</v>
      </c>
      <c r="D4350" t="inlineStr">
        <is>
          <t>GÄVLEBORGS LÄN</t>
        </is>
      </c>
      <c r="E4350" t="inlineStr">
        <is>
          <t>LJUSDAL</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2760-2024</t>
        </is>
      </c>
      <c r="B4351" s="1" t="n">
        <v>45314.59423611111</v>
      </c>
      <c r="C4351" s="1" t="n">
        <v>45911</v>
      </c>
      <c r="D4351" t="inlineStr">
        <is>
          <t>GÄVLEBORGS LÄN</t>
        </is>
      </c>
      <c r="E4351" t="inlineStr">
        <is>
          <t>HUDIKSVALL</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50797-2023</t>
        </is>
      </c>
      <c r="B4352" s="1" t="n">
        <v>45217.65972222222</v>
      </c>
      <c r="C4352" s="1" t="n">
        <v>45911</v>
      </c>
      <c r="D4352" t="inlineStr">
        <is>
          <t>GÄVLEBORGS LÄN</t>
        </is>
      </c>
      <c r="E4352" t="inlineStr">
        <is>
          <t>SANDVIKEN</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5029-2021</t>
        </is>
      </c>
      <c r="B4353" s="1" t="n">
        <v>44228</v>
      </c>
      <c r="C4353" s="1" t="n">
        <v>45911</v>
      </c>
      <c r="D4353" t="inlineStr">
        <is>
          <t>GÄVLEBORGS LÄN</t>
        </is>
      </c>
      <c r="E4353" t="inlineStr">
        <is>
          <t>LJUSDAL</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26384-2024</t>
        </is>
      </c>
      <c r="B4354" s="1" t="n">
        <v>45469.42591435185</v>
      </c>
      <c r="C4354" s="1" t="n">
        <v>45911</v>
      </c>
      <c r="D4354" t="inlineStr">
        <is>
          <t>GÄVLEBORGS LÄN</t>
        </is>
      </c>
      <c r="E4354" t="inlineStr">
        <is>
          <t>LJUSDAL</t>
        </is>
      </c>
      <c r="F4354" t="inlineStr">
        <is>
          <t>Sveaskog</t>
        </is>
      </c>
      <c r="G4354" t="n">
        <v>6</v>
      </c>
      <c r="H4354" t="n">
        <v>0</v>
      </c>
      <c r="I4354" t="n">
        <v>0</v>
      </c>
      <c r="J4354" t="n">
        <v>0</v>
      </c>
      <c r="K4354" t="n">
        <v>0</v>
      </c>
      <c r="L4354" t="n">
        <v>0</v>
      </c>
      <c r="M4354" t="n">
        <v>0</v>
      </c>
      <c r="N4354" t="n">
        <v>0</v>
      </c>
      <c r="O4354" t="n">
        <v>0</v>
      </c>
      <c r="P4354" t="n">
        <v>0</v>
      </c>
      <c r="Q4354" t="n">
        <v>0</v>
      </c>
      <c r="R4354" s="2" t="inlineStr"/>
    </row>
    <row r="4355" ht="15" customHeight="1">
      <c r="A4355" t="inlineStr">
        <is>
          <t>A 35761-2022</t>
        </is>
      </c>
      <c r="B4355" s="1" t="n">
        <v>44800</v>
      </c>
      <c r="C4355" s="1" t="n">
        <v>45911</v>
      </c>
      <c r="D4355" t="inlineStr">
        <is>
          <t>GÄVLEBORGS LÄN</t>
        </is>
      </c>
      <c r="E4355" t="inlineStr">
        <is>
          <t>GÄVLE</t>
        </is>
      </c>
      <c r="G4355" t="n">
        <v>8.199999999999999</v>
      </c>
      <c r="H4355" t="n">
        <v>0</v>
      </c>
      <c r="I4355" t="n">
        <v>0</v>
      </c>
      <c r="J4355" t="n">
        <v>0</v>
      </c>
      <c r="K4355" t="n">
        <v>0</v>
      </c>
      <c r="L4355" t="n">
        <v>0</v>
      </c>
      <c r="M4355" t="n">
        <v>0</v>
      </c>
      <c r="N4355" t="n">
        <v>0</v>
      </c>
      <c r="O4355" t="n">
        <v>0</v>
      </c>
      <c r="P4355" t="n">
        <v>0</v>
      </c>
      <c r="Q4355" t="n">
        <v>0</v>
      </c>
      <c r="R4355" s="2" t="inlineStr"/>
    </row>
    <row r="4356" ht="15" customHeight="1">
      <c r="A4356" t="inlineStr">
        <is>
          <t>A 34284-2024</t>
        </is>
      </c>
      <c r="B4356" s="1" t="n">
        <v>45524.62756944444</v>
      </c>
      <c r="C4356" s="1" t="n">
        <v>45911</v>
      </c>
      <c r="D4356" t="inlineStr">
        <is>
          <t>GÄVLEBORGS LÄN</t>
        </is>
      </c>
      <c r="E4356" t="inlineStr">
        <is>
          <t>HUDIKSVALL</t>
        </is>
      </c>
      <c r="F4356" t="inlineStr">
        <is>
          <t>Holmen skog AB</t>
        </is>
      </c>
      <c r="G4356" t="n">
        <v>4.6</v>
      </c>
      <c r="H4356" t="n">
        <v>0</v>
      </c>
      <c r="I4356" t="n">
        <v>0</v>
      </c>
      <c r="J4356" t="n">
        <v>0</v>
      </c>
      <c r="K4356" t="n">
        <v>0</v>
      </c>
      <c r="L4356" t="n">
        <v>0</v>
      </c>
      <c r="M4356" t="n">
        <v>0</v>
      </c>
      <c r="N4356" t="n">
        <v>0</v>
      </c>
      <c r="O4356" t="n">
        <v>0</v>
      </c>
      <c r="P4356" t="n">
        <v>0</v>
      </c>
      <c r="Q4356" t="n">
        <v>0</v>
      </c>
      <c r="R4356" s="2" t="inlineStr"/>
    </row>
    <row r="4357" ht="15" customHeight="1">
      <c r="A4357" t="inlineStr">
        <is>
          <t>A 41620-2023</t>
        </is>
      </c>
      <c r="B4357" s="1" t="n">
        <v>45175.67440972223</v>
      </c>
      <c r="C4357" s="1" t="n">
        <v>45911</v>
      </c>
      <c r="D4357" t="inlineStr">
        <is>
          <t>GÄVLEBORGS LÄN</t>
        </is>
      </c>
      <c r="E4357" t="inlineStr">
        <is>
          <t>NORDANSTIG</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20577-2025</t>
        </is>
      </c>
      <c r="B4358" s="1" t="n">
        <v>45775.67856481481</v>
      </c>
      <c r="C4358" s="1" t="n">
        <v>45911</v>
      </c>
      <c r="D4358" t="inlineStr">
        <is>
          <t>GÄVLEBORGS LÄN</t>
        </is>
      </c>
      <c r="E4358" t="inlineStr">
        <is>
          <t>NORDANSTIG</t>
        </is>
      </c>
      <c r="F4358" t="inlineStr">
        <is>
          <t>Holmen skog AB</t>
        </is>
      </c>
      <c r="G4358" t="n">
        <v>3.3</v>
      </c>
      <c r="H4358" t="n">
        <v>0</v>
      </c>
      <c r="I4358" t="n">
        <v>0</v>
      </c>
      <c r="J4358" t="n">
        <v>0</v>
      </c>
      <c r="K4358" t="n">
        <v>0</v>
      </c>
      <c r="L4358" t="n">
        <v>0</v>
      </c>
      <c r="M4358" t="n">
        <v>0</v>
      </c>
      <c r="N4358" t="n">
        <v>0</v>
      </c>
      <c r="O4358" t="n">
        <v>0</v>
      </c>
      <c r="P4358" t="n">
        <v>0</v>
      </c>
      <c r="Q4358" t="n">
        <v>0</v>
      </c>
      <c r="R4358" s="2" t="inlineStr"/>
    </row>
    <row r="4359" ht="15" customHeight="1">
      <c r="A4359" t="inlineStr">
        <is>
          <t>A 20660-2022</t>
        </is>
      </c>
      <c r="B4359" s="1" t="n">
        <v>44700.6490162037</v>
      </c>
      <c r="C4359" s="1" t="n">
        <v>45911</v>
      </c>
      <c r="D4359" t="inlineStr">
        <is>
          <t>GÄVLEBORGS LÄN</t>
        </is>
      </c>
      <c r="E4359" t="inlineStr">
        <is>
          <t>OCKELBO</t>
        </is>
      </c>
      <c r="F4359" t="inlineStr">
        <is>
          <t>Bergvik skog väst AB</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14850-2024</t>
        </is>
      </c>
      <c r="B4360" s="1" t="n">
        <v>45398.43495370371</v>
      </c>
      <c r="C4360" s="1" t="n">
        <v>45911</v>
      </c>
      <c r="D4360" t="inlineStr">
        <is>
          <t>GÄVLEBORGS LÄN</t>
        </is>
      </c>
      <c r="E4360" t="inlineStr">
        <is>
          <t>SÖDERHAMN</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14863-2024</t>
        </is>
      </c>
      <c r="B4361" s="1" t="n">
        <v>45398.46366898148</v>
      </c>
      <c r="C4361" s="1" t="n">
        <v>45911</v>
      </c>
      <c r="D4361" t="inlineStr">
        <is>
          <t>GÄVLEBORGS LÄN</t>
        </is>
      </c>
      <c r="E4361" t="inlineStr">
        <is>
          <t>HUDIKSVALL</t>
        </is>
      </c>
      <c r="F4361" t="inlineStr">
        <is>
          <t>Holmen skog AB</t>
        </is>
      </c>
      <c r="G4361" t="n">
        <v>2.9</v>
      </c>
      <c r="H4361" t="n">
        <v>0</v>
      </c>
      <c r="I4361" t="n">
        <v>0</v>
      </c>
      <c r="J4361" t="n">
        <v>0</v>
      </c>
      <c r="K4361" t="n">
        <v>0</v>
      </c>
      <c r="L4361" t="n">
        <v>0</v>
      </c>
      <c r="M4361" t="n">
        <v>0</v>
      </c>
      <c r="N4361" t="n">
        <v>0</v>
      </c>
      <c r="O4361" t="n">
        <v>0</v>
      </c>
      <c r="P4361" t="n">
        <v>0</v>
      </c>
      <c r="Q4361" t="n">
        <v>0</v>
      </c>
      <c r="R4361" s="2" t="inlineStr"/>
    </row>
    <row r="4362" ht="15" customHeight="1">
      <c r="A4362" t="inlineStr">
        <is>
          <t>A 34094-2023</t>
        </is>
      </c>
      <c r="B4362" s="1" t="n">
        <v>45135.5841087963</v>
      </c>
      <c r="C4362" s="1" t="n">
        <v>45911</v>
      </c>
      <c r="D4362" t="inlineStr">
        <is>
          <t>GÄVLEBORGS LÄN</t>
        </is>
      </c>
      <c r="E4362" t="inlineStr">
        <is>
          <t>LJUSDAL</t>
        </is>
      </c>
      <c r="F4362" t="inlineStr">
        <is>
          <t>Holmen skog AB</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14937-2024</t>
        </is>
      </c>
      <c r="B4363" s="1" t="n">
        <v>45398.67929398148</v>
      </c>
      <c r="C4363" s="1" t="n">
        <v>45911</v>
      </c>
      <c r="D4363" t="inlineStr">
        <is>
          <t>GÄVLEBORGS LÄN</t>
        </is>
      </c>
      <c r="E4363" t="inlineStr">
        <is>
          <t>OCKELBO</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14960-2024</t>
        </is>
      </c>
      <c r="B4364" s="1" t="n">
        <v>45398</v>
      </c>
      <c r="C4364" s="1" t="n">
        <v>45911</v>
      </c>
      <c r="D4364" t="inlineStr">
        <is>
          <t>GÄVLEBORGS LÄN</t>
        </is>
      </c>
      <c r="E4364" t="inlineStr">
        <is>
          <t>SÖDERHAMN</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24445-2023</t>
        </is>
      </c>
      <c r="B4365" s="1" t="n">
        <v>45082.541875</v>
      </c>
      <c r="C4365" s="1" t="n">
        <v>45911</v>
      </c>
      <c r="D4365" t="inlineStr">
        <is>
          <t>GÄVLEBORGS LÄN</t>
        </is>
      </c>
      <c r="E4365" t="inlineStr">
        <is>
          <t>HUDIKSVALL</t>
        </is>
      </c>
      <c r="F4365" t="inlineStr">
        <is>
          <t>Holmen skog AB</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24465-2023</t>
        </is>
      </c>
      <c r="B4366" s="1" t="n">
        <v>45082.5808912037</v>
      </c>
      <c r="C4366" s="1" t="n">
        <v>45911</v>
      </c>
      <c r="D4366" t="inlineStr">
        <is>
          <t>GÄVLEBORGS LÄN</t>
        </is>
      </c>
      <c r="E4366" t="inlineStr">
        <is>
          <t>SANDVIKEN</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24478-2023</t>
        </is>
      </c>
      <c r="B4367" s="1" t="n">
        <v>45082</v>
      </c>
      <c r="C4367" s="1" t="n">
        <v>45911</v>
      </c>
      <c r="D4367" t="inlineStr">
        <is>
          <t>GÄVLEBORGS LÄN</t>
        </is>
      </c>
      <c r="E4367" t="inlineStr">
        <is>
          <t>GÄVLE</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50613-2024</t>
        </is>
      </c>
      <c r="B4368" s="1" t="n">
        <v>45601.63219907408</v>
      </c>
      <c r="C4368" s="1" t="n">
        <v>45911</v>
      </c>
      <c r="D4368" t="inlineStr">
        <is>
          <t>GÄVLEBORGS LÄN</t>
        </is>
      </c>
      <c r="E4368" t="inlineStr">
        <is>
          <t>LJUSDAL</t>
        </is>
      </c>
      <c r="F4368" t="inlineStr">
        <is>
          <t>Bergvik skog väst AB</t>
        </is>
      </c>
      <c r="G4368" t="n">
        <v>6.6</v>
      </c>
      <c r="H4368" t="n">
        <v>0</v>
      </c>
      <c r="I4368" t="n">
        <v>0</v>
      </c>
      <c r="J4368" t="n">
        <v>0</v>
      </c>
      <c r="K4368" t="n">
        <v>0</v>
      </c>
      <c r="L4368" t="n">
        <v>0</v>
      </c>
      <c r="M4368" t="n">
        <v>0</v>
      </c>
      <c r="N4368" t="n">
        <v>0</v>
      </c>
      <c r="O4368" t="n">
        <v>0</v>
      </c>
      <c r="P4368" t="n">
        <v>0</v>
      </c>
      <c r="Q4368" t="n">
        <v>0</v>
      </c>
      <c r="R4368" s="2" t="inlineStr"/>
    </row>
    <row r="4369" ht="15" customHeight="1">
      <c r="A4369" t="inlineStr">
        <is>
          <t>A 44736-2024</t>
        </is>
      </c>
      <c r="B4369" s="1" t="n">
        <v>45574.59299768518</v>
      </c>
      <c r="C4369" s="1" t="n">
        <v>45911</v>
      </c>
      <c r="D4369" t="inlineStr">
        <is>
          <t>GÄVLEBORGS LÄN</t>
        </is>
      </c>
      <c r="E4369" t="inlineStr">
        <is>
          <t>HUDIKSVALL</t>
        </is>
      </c>
      <c r="G4369" t="n">
        <v>43.7</v>
      </c>
      <c r="H4369" t="n">
        <v>0</v>
      </c>
      <c r="I4369" t="n">
        <v>0</v>
      </c>
      <c r="J4369" t="n">
        <v>0</v>
      </c>
      <c r="K4369" t="n">
        <v>0</v>
      </c>
      <c r="L4369" t="n">
        <v>0</v>
      </c>
      <c r="M4369" t="n">
        <v>0</v>
      </c>
      <c r="N4369" t="n">
        <v>0</v>
      </c>
      <c r="O4369" t="n">
        <v>0</v>
      </c>
      <c r="P4369" t="n">
        <v>0</v>
      </c>
      <c r="Q4369" t="n">
        <v>0</v>
      </c>
      <c r="R4369" s="2" t="inlineStr"/>
    </row>
    <row r="4370" ht="15" customHeight="1">
      <c r="A4370" t="inlineStr">
        <is>
          <t>A 51806-2024</t>
        </is>
      </c>
      <c r="B4370" s="1" t="n">
        <v>45607.47730324074</v>
      </c>
      <c r="C4370" s="1" t="n">
        <v>45911</v>
      </c>
      <c r="D4370" t="inlineStr">
        <is>
          <t>GÄVLEBORGS LÄN</t>
        </is>
      </c>
      <c r="E4370" t="inlineStr">
        <is>
          <t>NORDANSTIG</t>
        </is>
      </c>
      <c r="F4370" t="inlineStr">
        <is>
          <t>Holmen skog AB</t>
        </is>
      </c>
      <c r="G4370" t="n">
        <v>10</v>
      </c>
      <c r="H4370" t="n">
        <v>0</v>
      </c>
      <c r="I4370" t="n">
        <v>0</v>
      </c>
      <c r="J4370" t="n">
        <v>0</v>
      </c>
      <c r="K4370" t="n">
        <v>0</v>
      </c>
      <c r="L4370" t="n">
        <v>0</v>
      </c>
      <c r="M4370" t="n">
        <v>0</v>
      </c>
      <c r="N4370" t="n">
        <v>0</v>
      </c>
      <c r="O4370" t="n">
        <v>0</v>
      </c>
      <c r="P4370" t="n">
        <v>0</v>
      </c>
      <c r="Q4370" t="n">
        <v>0</v>
      </c>
      <c r="R4370" s="2" t="inlineStr"/>
    </row>
    <row r="4371" ht="15" customHeight="1">
      <c r="A4371" t="inlineStr">
        <is>
          <t>A 51821-2024</t>
        </is>
      </c>
      <c r="B4371" s="1" t="n">
        <v>45607.49569444444</v>
      </c>
      <c r="C4371" s="1" t="n">
        <v>45911</v>
      </c>
      <c r="D4371" t="inlineStr">
        <is>
          <t>GÄVLEBORGS LÄN</t>
        </is>
      </c>
      <c r="E4371" t="inlineStr">
        <is>
          <t>NORDANSTIG</t>
        </is>
      </c>
      <c r="F4371" t="inlineStr">
        <is>
          <t>Holmen skog AB</t>
        </is>
      </c>
      <c r="G4371" t="n">
        <v>5.7</v>
      </c>
      <c r="H4371" t="n">
        <v>0</v>
      </c>
      <c r="I4371" t="n">
        <v>0</v>
      </c>
      <c r="J4371" t="n">
        <v>0</v>
      </c>
      <c r="K4371" t="n">
        <v>0</v>
      </c>
      <c r="L4371" t="n">
        <v>0</v>
      </c>
      <c r="M4371" t="n">
        <v>0</v>
      </c>
      <c r="N4371" t="n">
        <v>0</v>
      </c>
      <c r="O4371" t="n">
        <v>0</v>
      </c>
      <c r="P4371" t="n">
        <v>0</v>
      </c>
      <c r="Q4371" t="n">
        <v>0</v>
      </c>
      <c r="R4371" s="2" t="inlineStr"/>
    </row>
    <row r="4372" ht="15" customHeight="1">
      <c r="A4372" t="inlineStr">
        <is>
          <t>A 22824-2024</t>
        </is>
      </c>
      <c r="B4372" s="1" t="n">
        <v>45448</v>
      </c>
      <c r="C4372" s="1" t="n">
        <v>45911</v>
      </c>
      <c r="D4372" t="inlineStr">
        <is>
          <t>GÄVLEBORGS LÄN</t>
        </is>
      </c>
      <c r="E4372" t="inlineStr">
        <is>
          <t>OCKELBO</t>
        </is>
      </c>
      <c r="F4372" t="inlineStr">
        <is>
          <t>Bergvik skog väst AB</t>
        </is>
      </c>
      <c r="G4372" t="n">
        <v>0.1</v>
      </c>
      <c r="H4372" t="n">
        <v>0</v>
      </c>
      <c r="I4372" t="n">
        <v>0</v>
      </c>
      <c r="J4372" t="n">
        <v>0</v>
      </c>
      <c r="K4372" t="n">
        <v>0</v>
      </c>
      <c r="L4372" t="n">
        <v>0</v>
      </c>
      <c r="M4372" t="n">
        <v>0</v>
      </c>
      <c r="N4372" t="n">
        <v>0</v>
      </c>
      <c r="O4372" t="n">
        <v>0</v>
      </c>
      <c r="P4372" t="n">
        <v>0</v>
      </c>
      <c r="Q4372" t="n">
        <v>0</v>
      </c>
      <c r="R4372" s="2" t="inlineStr"/>
    </row>
    <row r="4373" ht="15" customHeight="1">
      <c r="A4373" t="inlineStr">
        <is>
          <t>A 61750-2023</t>
        </is>
      </c>
      <c r="B4373" s="1" t="n">
        <v>45265.79518518518</v>
      </c>
      <c r="C4373" s="1" t="n">
        <v>45911</v>
      </c>
      <c r="D4373" t="inlineStr">
        <is>
          <t>GÄVLEBORGS LÄN</t>
        </is>
      </c>
      <c r="E4373" t="inlineStr">
        <is>
          <t>OCKELBO</t>
        </is>
      </c>
      <c r="G4373" t="n">
        <v>11.2</v>
      </c>
      <c r="H4373" t="n">
        <v>0</v>
      </c>
      <c r="I4373" t="n">
        <v>0</v>
      </c>
      <c r="J4373" t="n">
        <v>0</v>
      </c>
      <c r="K4373" t="n">
        <v>0</v>
      </c>
      <c r="L4373" t="n">
        <v>0</v>
      </c>
      <c r="M4373" t="n">
        <v>0</v>
      </c>
      <c r="N4373" t="n">
        <v>0</v>
      </c>
      <c r="O4373" t="n">
        <v>0</v>
      </c>
      <c r="P4373" t="n">
        <v>0</v>
      </c>
      <c r="Q4373" t="n">
        <v>0</v>
      </c>
      <c r="R4373" s="2" t="inlineStr"/>
    </row>
    <row r="4374" ht="15" customHeight="1">
      <c r="A4374" t="inlineStr">
        <is>
          <t>A 21009-2022</t>
        </is>
      </c>
      <c r="B4374" s="1" t="n">
        <v>44704.34877314815</v>
      </c>
      <c r="C4374" s="1" t="n">
        <v>45911</v>
      </c>
      <c r="D4374" t="inlineStr">
        <is>
          <t>GÄVLEBORGS LÄN</t>
        </is>
      </c>
      <c r="E4374" t="inlineStr">
        <is>
          <t>BOLLNÄS</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18445-2025</t>
        </is>
      </c>
      <c r="B4375" s="1" t="n">
        <v>45762.6605787037</v>
      </c>
      <c r="C4375" s="1" t="n">
        <v>45911</v>
      </c>
      <c r="D4375" t="inlineStr">
        <is>
          <t>GÄVLEBORGS LÄN</t>
        </is>
      </c>
      <c r="E4375" t="inlineStr">
        <is>
          <t>NORDANSTIG</t>
        </is>
      </c>
      <c r="F4375" t="inlineStr">
        <is>
          <t>Holmen skog AB</t>
        </is>
      </c>
      <c r="G4375" t="n">
        <v>5.2</v>
      </c>
      <c r="H4375" t="n">
        <v>0</v>
      </c>
      <c r="I4375" t="n">
        <v>0</v>
      </c>
      <c r="J4375" t="n">
        <v>0</v>
      </c>
      <c r="K4375" t="n">
        <v>0</v>
      </c>
      <c r="L4375" t="n">
        <v>0</v>
      </c>
      <c r="M4375" t="n">
        <v>0</v>
      </c>
      <c r="N4375" t="n">
        <v>0</v>
      </c>
      <c r="O4375" t="n">
        <v>0</v>
      </c>
      <c r="P4375" t="n">
        <v>0</v>
      </c>
      <c r="Q4375" t="n">
        <v>0</v>
      </c>
      <c r="R4375" s="2" t="inlineStr"/>
    </row>
    <row r="4376" ht="15" customHeight="1">
      <c r="A4376" t="inlineStr">
        <is>
          <t>A 5388-2024</t>
        </is>
      </c>
      <c r="B4376" s="1" t="n">
        <v>45331</v>
      </c>
      <c r="C4376" s="1" t="n">
        <v>45911</v>
      </c>
      <c r="D4376" t="inlineStr">
        <is>
          <t>GÄVLEBORGS LÄN</t>
        </is>
      </c>
      <c r="E4376" t="inlineStr">
        <is>
          <t>BOLLNÄS</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53861-2024</t>
        </is>
      </c>
      <c r="B4377" s="1" t="n">
        <v>45615.64052083333</v>
      </c>
      <c r="C4377" s="1" t="n">
        <v>45911</v>
      </c>
      <c r="D4377" t="inlineStr">
        <is>
          <t>GÄVLEBORGS LÄN</t>
        </is>
      </c>
      <c r="E4377" t="inlineStr">
        <is>
          <t>SANDVIKEN</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22835-2024</t>
        </is>
      </c>
      <c r="B4378" s="1" t="n">
        <v>45448</v>
      </c>
      <c r="C4378" s="1" t="n">
        <v>45911</v>
      </c>
      <c r="D4378" t="inlineStr">
        <is>
          <t>GÄVLEBORGS LÄN</t>
        </is>
      </c>
      <c r="E4378" t="inlineStr">
        <is>
          <t>BOLLNÄS</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22842-2024</t>
        </is>
      </c>
      <c r="B4379" s="1" t="n">
        <v>45448</v>
      </c>
      <c r="C4379" s="1" t="n">
        <v>45911</v>
      </c>
      <c r="D4379" t="inlineStr">
        <is>
          <t>GÄVLEBORGS LÄN</t>
        </is>
      </c>
      <c r="E4379" t="inlineStr">
        <is>
          <t>NORDANSTIG</t>
        </is>
      </c>
      <c r="F4379" t="inlineStr">
        <is>
          <t>Holmen skog AB</t>
        </is>
      </c>
      <c r="G4379" t="n">
        <v>3.8</v>
      </c>
      <c r="H4379" t="n">
        <v>0</v>
      </c>
      <c r="I4379" t="n">
        <v>0</v>
      </c>
      <c r="J4379" t="n">
        <v>0</v>
      </c>
      <c r="K4379" t="n">
        <v>0</v>
      </c>
      <c r="L4379" t="n">
        <v>0</v>
      </c>
      <c r="M4379" t="n">
        <v>0</v>
      </c>
      <c r="N4379" t="n">
        <v>0</v>
      </c>
      <c r="O4379" t="n">
        <v>0</v>
      </c>
      <c r="P4379" t="n">
        <v>0</v>
      </c>
      <c r="Q4379" t="n">
        <v>0</v>
      </c>
      <c r="R4379" s="2" t="inlineStr"/>
    </row>
    <row r="4380" ht="15" customHeight="1">
      <c r="A4380" t="inlineStr">
        <is>
          <t>A 2707-2024</t>
        </is>
      </c>
      <c r="B4380" s="1" t="n">
        <v>45314</v>
      </c>
      <c r="C4380" s="1" t="n">
        <v>45911</v>
      </c>
      <c r="D4380" t="inlineStr">
        <is>
          <t>GÄVLEBORGS LÄN</t>
        </is>
      </c>
      <c r="E4380" t="inlineStr">
        <is>
          <t>HUDIKSVALL</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1297-2024</t>
        </is>
      </c>
      <c r="B4381" s="1" t="n">
        <v>45303</v>
      </c>
      <c r="C4381" s="1" t="n">
        <v>45911</v>
      </c>
      <c r="D4381" t="inlineStr">
        <is>
          <t>GÄVLEBORGS LÄN</t>
        </is>
      </c>
      <c r="E4381" t="inlineStr">
        <is>
          <t>HUDIKSVALL</t>
        </is>
      </c>
      <c r="F4381" t="inlineStr">
        <is>
          <t>Holmen skog AB</t>
        </is>
      </c>
      <c r="G4381" t="n">
        <v>0.3</v>
      </c>
      <c r="H4381" t="n">
        <v>0</v>
      </c>
      <c r="I4381" t="n">
        <v>0</v>
      </c>
      <c r="J4381" t="n">
        <v>0</v>
      </c>
      <c r="K4381" t="n">
        <v>0</v>
      </c>
      <c r="L4381" t="n">
        <v>0</v>
      </c>
      <c r="M4381" t="n">
        <v>0</v>
      </c>
      <c r="N4381" t="n">
        <v>0</v>
      </c>
      <c r="O4381" t="n">
        <v>0</v>
      </c>
      <c r="P4381" t="n">
        <v>0</v>
      </c>
      <c r="Q4381" t="n">
        <v>0</v>
      </c>
      <c r="R4381" s="2" t="inlineStr"/>
    </row>
    <row r="4382" ht="15" customHeight="1">
      <c r="A4382" t="inlineStr">
        <is>
          <t>A 38596-2022</t>
        </is>
      </c>
      <c r="B4382" s="1" t="n">
        <v>44813.58180555556</v>
      </c>
      <c r="C4382" s="1" t="n">
        <v>45911</v>
      </c>
      <c r="D4382" t="inlineStr">
        <is>
          <t>GÄVLEBORGS LÄN</t>
        </is>
      </c>
      <c r="E4382" t="inlineStr">
        <is>
          <t>LJUSDAL</t>
        </is>
      </c>
      <c r="G4382" t="n">
        <v>3.1</v>
      </c>
      <c r="H4382" t="n">
        <v>0</v>
      </c>
      <c r="I4382" t="n">
        <v>0</v>
      </c>
      <c r="J4382" t="n">
        <v>0</v>
      </c>
      <c r="K4382" t="n">
        <v>0</v>
      </c>
      <c r="L4382" t="n">
        <v>0</v>
      </c>
      <c r="M4382" t="n">
        <v>0</v>
      </c>
      <c r="N4382" t="n">
        <v>0</v>
      </c>
      <c r="O4382" t="n">
        <v>0</v>
      </c>
      <c r="P4382" t="n">
        <v>0</v>
      </c>
      <c r="Q4382" t="n">
        <v>0</v>
      </c>
      <c r="R4382" s="2" t="inlineStr"/>
    </row>
    <row r="4383" ht="15" customHeight="1">
      <c r="A4383" t="inlineStr">
        <is>
          <t>A 11080-2025</t>
        </is>
      </c>
      <c r="B4383" s="1" t="n">
        <v>45723.56122685185</v>
      </c>
      <c r="C4383" s="1" t="n">
        <v>45911</v>
      </c>
      <c r="D4383" t="inlineStr">
        <is>
          <t>GÄVLEBORGS LÄN</t>
        </is>
      </c>
      <c r="E4383" t="inlineStr">
        <is>
          <t>GÄVLE</t>
        </is>
      </c>
      <c r="G4383" t="n">
        <v>18.3</v>
      </c>
      <c r="H4383" t="n">
        <v>0</v>
      </c>
      <c r="I4383" t="n">
        <v>0</v>
      </c>
      <c r="J4383" t="n">
        <v>0</v>
      </c>
      <c r="K4383" t="n">
        <v>0</v>
      </c>
      <c r="L4383" t="n">
        <v>0</v>
      </c>
      <c r="M4383" t="n">
        <v>0</v>
      </c>
      <c r="N4383" t="n">
        <v>0</v>
      </c>
      <c r="O4383" t="n">
        <v>0</v>
      </c>
      <c r="P4383" t="n">
        <v>0</v>
      </c>
      <c r="Q4383" t="n">
        <v>0</v>
      </c>
      <c r="R4383" s="2" t="inlineStr"/>
    </row>
    <row r="4384" ht="15" customHeight="1">
      <c r="A4384" t="inlineStr">
        <is>
          <t>A 62339-2023</t>
        </is>
      </c>
      <c r="B4384" s="1" t="n">
        <v>45267.92671296297</v>
      </c>
      <c r="C4384" s="1" t="n">
        <v>45911</v>
      </c>
      <c r="D4384" t="inlineStr">
        <is>
          <t>GÄVLEBORGS LÄN</t>
        </is>
      </c>
      <c r="E4384" t="inlineStr">
        <is>
          <t>SÖDERHAMN</t>
        </is>
      </c>
      <c r="G4384" t="n">
        <v>2.9</v>
      </c>
      <c r="H4384" t="n">
        <v>0</v>
      </c>
      <c r="I4384" t="n">
        <v>0</v>
      </c>
      <c r="J4384" t="n">
        <v>0</v>
      </c>
      <c r="K4384" t="n">
        <v>0</v>
      </c>
      <c r="L4384" t="n">
        <v>0</v>
      </c>
      <c r="M4384" t="n">
        <v>0</v>
      </c>
      <c r="N4384" t="n">
        <v>0</v>
      </c>
      <c r="O4384" t="n">
        <v>0</v>
      </c>
      <c r="P4384" t="n">
        <v>0</v>
      </c>
      <c r="Q4384" t="n">
        <v>0</v>
      </c>
      <c r="R4384" s="2" t="inlineStr"/>
    </row>
    <row r="4385" ht="15" customHeight="1">
      <c r="A4385" t="inlineStr">
        <is>
          <t>A 11093-2025</t>
        </is>
      </c>
      <c r="B4385" s="1" t="n">
        <v>45723.57983796296</v>
      </c>
      <c r="C4385" s="1" t="n">
        <v>45911</v>
      </c>
      <c r="D4385" t="inlineStr">
        <is>
          <t>GÄVLEBORGS LÄN</t>
        </is>
      </c>
      <c r="E4385" t="inlineStr">
        <is>
          <t>HUDIKSVALL</t>
        </is>
      </c>
      <c r="F4385" t="inlineStr">
        <is>
          <t>Holmen skog AB</t>
        </is>
      </c>
      <c r="G4385" t="n">
        <v>6.1</v>
      </c>
      <c r="H4385" t="n">
        <v>0</v>
      </c>
      <c r="I4385" t="n">
        <v>0</v>
      </c>
      <c r="J4385" t="n">
        <v>0</v>
      </c>
      <c r="K4385" t="n">
        <v>0</v>
      </c>
      <c r="L4385" t="n">
        <v>0</v>
      </c>
      <c r="M4385" t="n">
        <v>0</v>
      </c>
      <c r="N4385" t="n">
        <v>0</v>
      </c>
      <c r="O4385" t="n">
        <v>0</v>
      </c>
      <c r="P4385" t="n">
        <v>0</v>
      </c>
      <c r="Q4385" t="n">
        <v>0</v>
      </c>
      <c r="R4385" s="2" t="inlineStr"/>
    </row>
    <row r="4386" ht="15" customHeight="1">
      <c r="A4386" t="inlineStr">
        <is>
          <t>A 38598-2022</t>
        </is>
      </c>
      <c r="B4386" s="1" t="n">
        <v>44813</v>
      </c>
      <c r="C4386" s="1" t="n">
        <v>45911</v>
      </c>
      <c r="D4386" t="inlineStr">
        <is>
          <t>GÄVLEBORGS LÄN</t>
        </is>
      </c>
      <c r="E4386" t="inlineStr">
        <is>
          <t>LJUSDAL</t>
        </is>
      </c>
      <c r="G4386" t="n">
        <v>3.5</v>
      </c>
      <c r="H4386" t="n">
        <v>0</v>
      </c>
      <c r="I4386" t="n">
        <v>0</v>
      </c>
      <c r="J4386" t="n">
        <v>0</v>
      </c>
      <c r="K4386" t="n">
        <v>0</v>
      </c>
      <c r="L4386" t="n">
        <v>0</v>
      </c>
      <c r="M4386" t="n">
        <v>0</v>
      </c>
      <c r="N4386" t="n">
        <v>0</v>
      </c>
      <c r="O4386" t="n">
        <v>0</v>
      </c>
      <c r="P4386" t="n">
        <v>0</v>
      </c>
      <c r="Q4386" t="n">
        <v>0</v>
      </c>
      <c r="R4386" s="2" t="inlineStr"/>
    </row>
    <row r="4387" ht="15" customHeight="1">
      <c r="A4387" t="inlineStr">
        <is>
          <t>A 43580-2024</t>
        </is>
      </c>
      <c r="B4387" s="1" t="n">
        <v>45569.42083333333</v>
      </c>
      <c r="C4387" s="1" t="n">
        <v>45911</v>
      </c>
      <c r="D4387" t="inlineStr">
        <is>
          <t>GÄVLEBORGS LÄN</t>
        </is>
      </c>
      <c r="E4387" t="inlineStr">
        <is>
          <t>LJUSDAL</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34752-2024</t>
        </is>
      </c>
      <c r="B4388" s="1" t="n">
        <v>45526</v>
      </c>
      <c r="C4388" s="1" t="n">
        <v>45911</v>
      </c>
      <c r="D4388" t="inlineStr">
        <is>
          <t>GÄVLEBORGS LÄN</t>
        </is>
      </c>
      <c r="E4388" t="inlineStr">
        <is>
          <t>SÖDERHAMN</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48212-2024</t>
        </is>
      </c>
      <c r="B4389" s="1" t="n">
        <v>45590.34556712963</v>
      </c>
      <c r="C4389" s="1" t="n">
        <v>45911</v>
      </c>
      <c r="D4389" t="inlineStr">
        <is>
          <t>GÄVLEBORGS LÄN</t>
        </is>
      </c>
      <c r="E4389" t="inlineStr">
        <is>
          <t>NORDANSTIG</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48221-2024</t>
        </is>
      </c>
      <c r="B4390" s="1" t="n">
        <v>45590.36142361111</v>
      </c>
      <c r="C4390" s="1" t="n">
        <v>45911</v>
      </c>
      <c r="D4390" t="inlineStr">
        <is>
          <t>GÄVLEBORGS LÄN</t>
        </is>
      </c>
      <c r="E4390" t="inlineStr">
        <is>
          <t>OCKELBO</t>
        </is>
      </c>
      <c r="F4390" t="inlineStr">
        <is>
          <t>Bergvik skog väst AB</t>
        </is>
      </c>
      <c r="G4390" t="n">
        <v>5.5</v>
      </c>
      <c r="H4390" t="n">
        <v>0</v>
      </c>
      <c r="I4390" t="n">
        <v>0</v>
      </c>
      <c r="J4390" t="n">
        <v>0</v>
      </c>
      <c r="K4390" t="n">
        <v>0</v>
      </c>
      <c r="L4390" t="n">
        <v>0</v>
      </c>
      <c r="M4390" t="n">
        <v>0</v>
      </c>
      <c r="N4390" t="n">
        <v>0</v>
      </c>
      <c r="O4390" t="n">
        <v>0</v>
      </c>
      <c r="P4390" t="n">
        <v>0</v>
      </c>
      <c r="Q4390" t="n">
        <v>0</v>
      </c>
      <c r="R4390" s="2" t="inlineStr"/>
    </row>
    <row r="4391" ht="15" customHeight="1">
      <c r="A4391" t="inlineStr">
        <is>
          <t>A 56464-2023</t>
        </is>
      </c>
      <c r="B4391" s="1" t="n">
        <v>45243.4821875</v>
      </c>
      <c r="C4391" s="1" t="n">
        <v>45911</v>
      </c>
      <c r="D4391" t="inlineStr">
        <is>
          <t>GÄVLEBORGS LÄN</t>
        </is>
      </c>
      <c r="E4391" t="inlineStr">
        <is>
          <t>LJUSDAL</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4137-2021</t>
        </is>
      </c>
      <c r="B4392" s="1" t="n">
        <v>44223</v>
      </c>
      <c r="C4392" s="1" t="n">
        <v>45911</v>
      </c>
      <c r="D4392" t="inlineStr">
        <is>
          <t>GÄVLEBORGS LÄN</t>
        </is>
      </c>
      <c r="E4392" t="inlineStr">
        <is>
          <t>HUDIKSVALL</t>
        </is>
      </c>
      <c r="G4392" t="n">
        <v>2.5</v>
      </c>
      <c r="H4392" t="n">
        <v>0</v>
      </c>
      <c r="I4392" t="n">
        <v>0</v>
      </c>
      <c r="J4392" t="n">
        <v>0</v>
      </c>
      <c r="K4392" t="n">
        <v>0</v>
      </c>
      <c r="L4392" t="n">
        <v>0</v>
      </c>
      <c r="M4392" t="n">
        <v>0</v>
      </c>
      <c r="N4392" t="n">
        <v>0</v>
      </c>
      <c r="O4392" t="n">
        <v>0</v>
      </c>
      <c r="P4392" t="n">
        <v>0</v>
      </c>
      <c r="Q4392" t="n">
        <v>0</v>
      </c>
      <c r="R4392" s="2" t="inlineStr"/>
    </row>
    <row r="4393" ht="15" customHeight="1">
      <c r="A4393" t="inlineStr">
        <is>
          <t>A 26930-2023</t>
        </is>
      </c>
      <c r="B4393" s="1" t="n">
        <v>45093.62233796297</v>
      </c>
      <c r="C4393" s="1" t="n">
        <v>45911</v>
      </c>
      <c r="D4393" t="inlineStr">
        <is>
          <t>GÄVLEBORGS LÄN</t>
        </is>
      </c>
      <c r="E4393" t="inlineStr">
        <is>
          <t>SÖDERHAMN</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30577-2025</t>
        </is>
      </c>
      <c r="B4394" s="1" t="n">
        <v>45831.41457175926</v>
      </c>
      <c r="C4394" s="1" t="n">
        <v>45911</v>
      </c>
      <c r="D4394" t="inlineStr">
        <is>
          <t>GÄVLEBORGS LÄN</t>
        </is>
      </c>
      <c r="E4394" t="inlineStr">
        <is>
          <t>LJUSDAL</t>
        </is>
      </c>
      <c r="F4394" t="inlineStr">
        <is>
          <t>Sveaskog</t>
        </is>
      </c>
      <c r="G4394" t="n">
        <v>4.5</v>
      </c>
      <c r="H4394" t="n">
        <v>0</v>
      </c>
      <c r="I4394" t="n">
        <v>0</v>
      </c>
      <c r="J4394" t="n">
        <v>0</v>
      </c>
      <c r="K4394" t="n">
        <v>0</v>
      </c>
      <c r="L4394" t="n">
        <v>0</v>
      </c>
      <c r="M4394" t="n">
        <v>0</v>
      </c>
      <c r="N4394" t="n">
        <v>0</v>
      </c>
      <c r="O4394" t="n">
        <v>0</v>
      </c>
      <c r="P4394" t="n">
        <v>0</v>
      </c>
      <c r="Q4394" t="n">
        <v>0</v>
      </c>
      <c r="R4394" s="2" t="inlineStr"/>
    </row>
    <row r="4395" ht="15" customHeight="1">
      <c r="A4395" t="inlineStr">
        <is>
          <t>A 36784-2025</t>
        </is>
      </c>
      <c r="B4395" s="1" t="n">
        <v>45873.6207175926</v>
      </c>
      <c r="C4395" s="1" t="n">
        <v>45911</v>
      </c>
      <c r="D4395" t="inlineStr">
        <is>
          <t>GÄVLEBORGS LÄN</t>
        </is>
      </c>
      <c r="E4395" t="inlineStr">
        <is>
          <t>LJUSDAL</t>
        </is>
      </c>
      <c r="F4395" t="inlineStr">
        <is>
          <t>Bergvik skog väst AB</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59869-2023</t>
        </is>
      </c>
      <c r="B4396" s="1" t="n">
        <v>45257.58369212963</v>
      </c>
      <c r="C4396" s="1" t="n">
        <v>45911</v>
      </c>
      <c r="D4396" t="inlineStr">
        <is>
          <t>GÄVLEBORGS LÄN</t>
        </is>
      </c>
      <c r="E4396" t="inlineStr">
        <is>
          <t>SÖDERHAMN</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23429-2025</t>
        </is>
      </c>
      <c r="B4397" s="1" t="n">
        <v>45792</v>
      </c>
      <c r="C4397" s="1" t="n">
        <v>45911</v>
      </c>
      <c r="D4397" t="inlineStr">
        <is>
          <t>GÄVLEBORGS LÄN</t>
        </is>
      </c>
      <c r="E4397" t="inlineStr">
        <is>
          <t>LJUSDAL</t>
        </is>
      </c>
      <c r="F4397" t="inlineStr">
        <is>
          <t>SCA</t>
        </is>
      </c>
      <c r="G4397" t="n">
        <v>4.9</v>
      </c>
      <c r="H4397" t="n">
        <v>0</v>
      </c>
      <c r="I4397" t="n">
        <v>0</v>
      </c>
      <c r="J4397" t="n">
        <v>0</v>
      </c>
      <c r="K4397" t="n">
        <v>0</v>
      </c>
      <c r="L4397" t="n">
        <v>0</v>
      </c>
      <c r="M4397" t="n">
        <v>0</v>
      </c>
      <c r="N4397" t="n">
        <v>0</v>
      </c>
      <c r="O4397" t="n">
        <v>0</v>
      </c>
      <c r="P4397" t="n">
        <v>0</v>
      </c>
      <c r="Q4397" t="n">
        <v>0</v>
      </c>
      <c r="R4397" s="2" t="inlineStr"/>
    </row>
    <row r="4398" ht="15" customHeight="1">
      <c r="A4398" t="inlineStr">
        <is>
          <t>A 21561-2022</t>
        </is>
      </c>
      <c r="B4398" s="1" t="n">
        <v>44706</v>
      </c>
      <c r="C4398" s="1" t="n">
        <v>45911</v>
      </c>
      <c r="D4398" t="inlineStr">
        <is>
          <t>GÄVLEBORGS LÄN</t>
        </is>
      </c>
      <c r="E4398" t="inlineStr">
        <is>
          <t>HUDIKSVALL</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44446-2023</t>
        </is>
      </c>
      <c r="B4399" s="1" t="n">
        <v>45189.378125</v>
      </c>
      <c r="C4399" s="1" t="n">
        <v>45911</v>
      </c>
      <c r="D4399" t="inlineStr">
        <is>
          <t>GÄVLEBORGS LÄN</t>
        </is>
      </c>
      <c r="E4399" t="inlineStr">
        <is>
          <t>NORDANSTIG</t>
        </is>
      </c>
      <c r="F4399" t="inlineStr">
        <is>
          <t>Holmen skog AB</t>
        </is>
      </c>
      <c r="G4399" t="n">
        <v>4.9</v>
      </c>
      <c r="H4399" t="n">
        <v>0</v>
      </c>
      <c r="I4399" t="n">
        <v>0</v>
      </c>
      <c r="J4399" t="n">
        <v>0</v>
      </c>
      <c r="K4399" t="n">
        <v>0</v>
      </c>
      <c r="L4399" t="n">
        <v>0</v>
      </c>
      <c r="M4399" t="n">
        <v>0</v>
      </c>
      <c r="N4399" t="n">
        <v>0</v>
      </c>
      <c r="O4399" t="n">
        <v>0</v>
      </c>
      <c r="P4399" t="n">
        <v>0</v>
      </c>
      <c r="Q4399" t="n">
        <v>0</v>
      </c>
      <c r="R4399" s="2" t="inlineStr"/>
    </row>
    <row r="4400" ht="15" customHeight="1">
      <c r="A4400" t="inlineStr">
        <is>
          <t>A 30826-2025</t>
        </is>
      </c>
      <c r="B4400" s="1" t="n">
        <v>45831.67693287037</v>
      </c>
      <c r="C4400" s="1" t="n">
        <v>45911</v>
      </c>
      <c r="D4400" t="inlineStr">
        <is>
          <t>GÄVLEBORGS LÄN</t>
        </is>
      </c>
      <c r="E4400" t="inlineStr">
        <is>
          <t>OVANÅKER</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30938-2025</t>
        </is>
      </c>
      <c r="B4401" s="1" t="n">
        <v>45832.40675925926</v>
      </c>
      <c r="C4401" s="1" t="n">
        <v>45911</v>
      </c>
      <c r="D4401" t="inlineStr">
        <is>
          <t>GÄVLEBORGS LÄN</t>
        </is>
      </c>
      <c r="E4401" t="inlineStr">
        <is>
          <t>LJUSDAL</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15247-2025</t>
        </is>
      </c>
      <c r="B4402" s="1" t="n">
        <v>45744.62528935185</v>
      </c>
      <c r="C4402" s="1" t="n">
        <v>45911</v>
      </c>
      <c r="D4402" t="inlineStr">
        <is>
          <t>GÄVLEBORGS LÄN</t>
        </is>
      </c>
      <c r="E4402" t="inlineStr">
        <is>
          <t>OCKELBO</t>
        </is>
      </c>
      <c r="F4402" t="inlineStr">
        <is>
          <t>Bergvik skog väst AB</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264-2024</t>
        </is>
      </c>
      <c r="B4403" s="1" t="n">
        <v>45295</v>
      </c>
      <c r="C4403" s="1" t="n">
        <v>45911</v>
      </c>
      <c r="D4403" t="inlineStr">
        <is>
          <t>GÄVLEBORGS LÄN</t>
        </is>
      </c>
      <c r="E4403" t="inlineStr">
        <is>
          <t>LJUSDAL</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64015-2023</t>
        </is>
      </c>
      <c r="B4404" s="1" t="n">
        <v>45278</v>
      </c>
      <c r="C4404" s="1" t="n">
        <v>45911</v>
      </c>
      <c r="D4404" t="inlineStr">
        <is>
          <t>GÄVLEBORGS LÄN</t>
        </is>
      </c>
      <c r="E4404" t="inlineStr">
        <is>
          <t>HUDIKSVALL</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31356-2022</t>
        </is>
      </c>
      <c r="B4405" s="1" t="n">
        <v>44774.57127314815</v>
      </c>
      <c r="C4405" s="1" t="n">
        <v>45911</v>
      </c>
      <c r="D4405" t="inlineStr">
        <is>
          <t>GÄVLEBORGS LÄN</t>
        </is>
      </c>
      <c r="E4405" t="inlineStr">
        <is>
          <t>OVANÅKER</t>
        </is>
      </c>
      <c r="F4405" t="inlineStr">
        <is>
          <t>Bergvik skog väst AB</t>
        </is>
      </c>
      <c r="G4405" t="n">
        <v>5.8</v>
      </c>
      <c r="H4405" t="n">
        <v>0</v>
      </c>
      <c r="I4405" t="n">
        <v>0</v>
      </c>
      <c r="J4405" t="n">
        <v>0</v>
      </c>
      <c r="K4405" t="n">
        <v>0</v>
      </c>
      <c r="L4405" t="n">
        <v>0</v>
      </c>
      <c r="M4405" t="n">
        <v>0</v>
      </c>
      <c r="N4405" t="n">
        <v>0</v>
      </c>
      <c r="O4405" t="n">
        <v>0</v>
      </c>
      <c r="P4405" t="n">
        <v>0</v>
      </c>
      <c r="Q4405" t="n">
        <v>0</v>
      </c>
      <c r="R4405" s="2" t="inlineStr"/>
    </row>
    <row r="4406" ht="15" customHeight="1">
      <c r="A4406" t="inlineStr">
        <is>
          <t>A 31434-2022</t>
        </is>
      </c>
      <c r="B4406" s="1" t="n">
        <v>44774.92517361111</v>
      </c>
      <c r="C4406" s="1" t="n">
        <v>45911</v>
      </c>
      <c r="D4406" t="inlineStr">
        <is>
          <t>GÄVLEBORGS LÄN</t>
        </is>
      </c>
      <c r="E4406" t="inlineStr">
        <is>
          <t>BOLLNÄS</t>
        </is>
      </c>
      <c r="G4406" t="n">
        <v>3</v>
      </c>
      <c r="H4406" t="n">
        <v>0</v>
      </c>
      <c r="I4406" t="n">
        <v>0</v>
      </c>
      <c r="J4406" t="n">
        <v>0</v>
      </c>
      <c r="K4406" t="n">
        <v>0</v>
      </c>
      <c r="L4406" t="n">
        <v>0</v>
      </c>
      <c r="M4406" t="n">
        <v>0</v>
      </c>
      <c r="N4406" t="n">
        <v>0</v>
      </c>
      <c r="O4406" t="n">
        <v>0</v>
      </c>
      <c r="P4406" t="n">
        <v>0</v>
      </c>
      <c r="Q4406" t="n">
        <v>0</v>
      </c>
      <c r="R4406" s="2" t="inlineStr"/>
    </row>
    <row r="4407" ht="15" customHeight="1">
      <c r="A4407" t="inlineStr">
        <is>
          <t>A 57546-2023</t>
        </is>
      </c>
      <c r="B4407" s="1" t="n">
        <v>45246</v>
      </c>
      <c r="C4407" s="1" t="n">
        <v>45911</v>
      </c>
      <c r="D4407" t="inlineStr">
        <is>
          <t>GÄVLEBORGS LÄN</t>
        </is>
      </c>
      <c r="E4407" t="inlineStr">
        <is>
          <t>BOLLNÄS</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40388-2022</t>
        </is>
      </c>
      <c r="B4408" s="1" t="n">
        <v>44823</v>
      </c>
      <c r="C4408" s="1" t="n">
        <v>45911</v>
      </c>
      <c r="D4408" t="inlineStr">
        <is>
          <t>GÄVLEBORGS LÄN</t>
        </is>
      </c>
      <c r="E4408" t="inlineStr">
        <is>
          <t>NORDANSTIG</t>
        </is>
      </c>
      <c r="F4408" t="inlineStr">
        <is>
          <t>Holmen skog AB</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59322-2022</t>
        </is>
      </c>
      <c r="B4409" s="1" t="n">
        <v>44904.63638888889</v>
      </c>
      <c r="C4409" s="1" t="n">
        <v>45911</v>
      </c>
      <c r="D4409" t="inlineStr">
        <is>
          <t>GÄVLEBORGS LÄN</t>
        </is>
      </c>
      <c r="E4409" t="inlineStr">
        <is>
          <t>GÄVLE</t>
        </is>
      </c>
      <c r="F4409" t="inlineStr">
        <is>
          <t>Bergvik skog öst AB</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32847-2022</t>
        </is>
      </c>
      <c r="B4410" s="1" t="n">
        <v>44784.46349537037</v>
      </c>
      <c r="C4410" s="1" t="n">
        <v>45911</v>
      </c>
      <c r="D4410" t="inlineStr">
        <is>
          <t>GÄVLEBORGS LÄN</t>
        </is>
      </c>
      <c r="E4410" t="inlineStr">
        <is>
          <t>SANDVIKEN</t>
        </is>
      </c>
      <c r="G4410" t="n">
        <v>3.4</v>
      </c>
      <c r="H4410" t="n">
        <v>0</v>
      </c>
      <c r="I4410" t="n">
        <v>0</v>
      </c>
      <c r="J4410" t="n">
        <v>0</v>
      </c>
      <c r="K4410" t="n">
        <v>0</v>
      </c>
      <c r="L4410" t="n">
        <v>0</v>
      </c>
      <c r="M4410" t="n">
        <v>0</v>
      </c>
      <c r="N4410" t="n">
        <v>0</v>
      </c>
      <c r="O4410" t="n">
        <v>0</v>
      </c>
      <c r="P4410" t="n">
        <v>0</v>
      </c>
      <c r="Q4410" t="n">
        <v>0</v>
      </c>
      <c r="R4410" s="2" t="inlineStr"/>
    </row>
    <row r="4411" ht="15" customHeight="1">
      <c r="A4411" t="inlineStr">
        <is>
          <t>A 36717-2025</t>
        </is>
      </c>
      <c r="B4411" s="1" t="n">
        <v>45873.46980324074</v>
      </c>
      <c r="C4411" s="1" t="n">
        <v>45911</v>
      </c>
      <c r="D4411" t="inlineStr">
        <is>
          <t>GÄVLEBORGS LÄN</t>
        </is>
      </c>
      <c r="E4411" t="inlineStr">
        <is>
          <t>OVANÅKER</t>
        </is>
      </c>
      <c r="F4411" t="inlineStr">
        <is>
          <t>Bergvik skog väst AB</t>
        </is>
      </c>
      <c r="G4411" t="n">
        <v>8.1</v>
      </c>
      <c r="H4411" t="n">
        <v>0</v>
      </c>
      <c r="I4411" t="n">
        <v>0</v>
      </c>
      <c r="J4411" t="n">
        <v>0</v>
      </c>
      <c r="K4411" t="n">
        <v>0</v>
      </c>
      <c r="L4411" t="n">
        <v>0</v>
      </c>
      <c r="M4411" t="n">
        <v>0</v>
      </c>
      <c r="N4411" t="n">
        <v>0</v>
      </c>
      <c r="O4411" t="n">
        <v>0</v>
      </c>
      <c r="P4411" t="n">
        <v>0</v>
      </c>
      <c r="Q4411" t="n">
        <v>0</v>
      </c>
      <c r="R4411" s="2" t="inlineStr"/>
    </row>
    <row r="4412" ht="15" customHeight="1">
      <c r="A4412" t="inlineStr">
        <is>
          <t>A 50065-2024</t>
        </is>
      </c>
      <c r="B4412" s="1" t="n">
        <v>45600</v>
      </c>
      <c r="C4412" s="1" t="n">
        <v>45911</v>
      </c>
      <c r="D4412" t="inlineStr">
        <is>
          <t>GÄVLEBORGS LÄN</t>
        </is>
      </c>
      <c r="E4412" t="inlineStr">
        <is>
          <t>HUDIKSVALL</t>
        </is>
      </c>
      <c r="G4412" t="n">
        <v>2.9</v>
      </c>
      <c r="H4412" t="n">
        <v>0</v>
      </c>
      <c r="I4412" t="n">
        <v>0</v>
      </c>
      <c r="J4412" t="n">
        <v>0</v>
      </c>
      <c r="K4412" t="n">
        <v>0</v>
      </c>
      <c r="L4412" t="n">
        <v>0</v>
      </c>
      <c r="M4412" t="n">
        <v>0</v>
      </c>
      <c r="N4412" t="n">
        <v>0</v>
      </c>
      <c r="O4412" t="n">
        <v>0</v>
      </c>
      <c r="P4412" t="n">
        <v>0</v>
      </c>
      <c r="Q4412" t="n">
        <v>0</v>
      </c>
      <c r="R4412" s="2" t="inlineStr"/>
    </row>
    <row r="4413" ht="15" customHeight="1">
      <c r="A4413" t="inlineStr">
        <is>
          <t>A 17871-2025</t>
        </is>
      </c>
      <c r="B4413" s="1" t="n">
        <v>45758.63956018518</v>
      </c>
      <c r="C4413" s="1" t="n">
        <v>45911</v>
      </c>
      <c r="D4413" t="inlineStr">
        <is>
          <t>GÄVLEBORGS LÄN</t>
        </is>
      </c>
      <c r="E4413" t="inlineStr">
        <is>
          <t>SÖDERHAMN</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18433-2025</t>
        </is>
      </c>
      <c r="B4414" s="1" t="n">
        <v>45762.63892361111</v>
      </c>
      <c r="C4414" s="1" t="n">
        <v>45911</v>
      </c>
      <c r="D4414" t="inlineStr">
        <is>
          <t>GÄVLEBORGS LÄN</t>
        </is>
      </c>
      <c r="E4414" t="inlineStr">
        <is>
          <t>NORDANSTIG</t>
        </is>
      </c>
      <c r="F4414" t="inlineStr">
        <is>
          <t>Holmen skog AB</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36703-2025</t>
        </is>
      </c>
      <c r="B4415" s="1" t="n">
        <v>45873.45009259259</v>
      </c>
      <c r="C4415" s="1" t="n">
        <v>45911</v>
      </c>
      <c r="D4415" t="inlineStr">
        <is>
          <t>GÄVLEBORGS LÄN</t>
        </is>
      </c>
      <c r="E4415" t="inlineStr">
        <is>
          <t>OVANÅKER</t>
        </is>
      </c>
      <c r="F4415" t="inlineStr">
        <is>
          <t>Bergvik skog väst AB</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36684-2025</t>
        </is>
      </c>
      <c r="B4416" s="1" t="n">
        <v>45873.41694444444</v>
      </c>
      <c r="C4416" s="1" t="n">
        <v>45911</v>
      </c>
      <c r="D4416" t="inlineStr">
        <is>
          <t>GÄVLEBORGS LÄN</t>
        </is>
      </c>
      <c r="E4416" t="inlineStr">
        <is>
          <t>OVANÅKER</t>
        </is>
      </c>
      <c r="F4416" t="inlineStr">
        <is>
          <t>Bergvik skog väst AB</t>
        </is>
      </c>
      <c r="G4416" t="n">
        <v>4.8</v>
      </c>
      <c r="H4416" t="n">
        <v>0</v>
      </c>
      <c r="I4416" t="n">
        <v>0</v>
      </c>
      <c r="J4416" t="n">
        <v>0</v>
      </c>
      <c r="K4416" t="n">
        <v>0</v>
      </c>
      <c r="L4416" t="n">
        <v>0</v>
      </c>
      <c r="M4416" t="n">
        <v>0</v>
      </c>
      <c r="N4416" t="n">
        <v>0</v>
      </c>
      <c r="O4416" t="n">
        <v>0</v>
      </c>
      <c r="P4416" t="n">
        <v>0</v>
      </c>
      <c r="Q4416" t="n">
        <v>0</v>
      </c>
      <c r="R4416" s="2" t="inlineStr"/>
    </row>
    <row r="4417" ht="15" customHeight="1">
      <c r="A4417" t="inlineStr">
        <is>
          <t>A 8960-2025</t>
        </is>
      </c>
      <c r="B4417" s="1" t="n">
        <v>45713.47555555555</v>
      </c>
      <c r="C4417" s="1" t="n">
        <v>45911</v>
      </c>
      <c r="D4417" t="inlineStr">
        <is>
          <t>GÄVLEBORGS LÄN</t>
        </is>
      </c>
      <c r="E4417" t="inlineStr">
        <is>
          <t>BOLLNÄS</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9002-2025</t>
        </is>
      </c>
      <c r="B4418" s="1" t="n">
        <v>45713.56700231481</v>
      </c>
      <c r="C4418" s="1" t="n">
        <v>45911</v>
      </c>
      <c r="D4418" t="inlineStr">
        <is>
          <t>GÄVLEBORGS LÄN</t>
        </is>
      </c>
      <c r="E4418" t="inlineStr">
        <is>
          <t>BOLLNÄS</t>
        </is>
      </c>
      <c r="G4418" t="n">
        <v>2.7</v>
      </c>
      <c r="H4418" t="n">
        <v>0</v>
      </c>
      <c r="I4418" t="n">
        <v>0</v>
      </c>
      <c r="J4418" t="n">
        <v>0</v>
      </c>
      <c r="K4418" t="n">
        <v>0</v>
      </c>
      <c r="L4418" t="n">
        <v>0</v>
      </c>
      <c r="M4418" t="n">
        <v>0</v>
      </c>
      <c r="N4418" t="n">
        <v>0</v>
      </c>
      <c r="O4418" t="n">
        <v>0</v>
      </c>
      <c r="P4418" t="n">
        <v>0</v>
      </c>
      <c r="Q4418" t="n">
        <v>0</v>
      </c>
      <c r="R4418" s="2" t="inlineStr"/>
    </row>
    <row r="4419" ht="15" customHeight="1">
      <c r="A4419" t="inlineStr">
        <is>
          <t>A 22459-2023</t>
        </is>
      </c>
      <c r="B4419" s="1" t="n">
        <v>45070</v>
      </c>
      <c r="C4419" s="1" t="n">
        <v>45911</v>
      </c>
      <c r="D4419" t="inlineStr">
        <is>
          <t>GÄVLEBORGS LÄN</t>
        </is>
      </c>
      <c r="E4419" t="inlineStr">
        <is>
          <t>NORDANSTIG</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16047-2025</t>
        </is>
      </c>
      <c r="B4420" s="1" t="n">
        <v>45749.63763888889</v>
      </c>
      <c r="C4420" s="1" t="n">
        <v>45911</v>
      </c>
      <c r="D4420" t="inlineStr">
        <is>
          <t>GÄVLEBORGS LÄN</t>
        </is>
      </c>
      <c r="E4420" t="inlineStr">
        <is>
          <t>OCKELBO</t>
        </is>
      </c>
      <c r="G4420" t="n">
        <v>13.5</v>
      </c>
      <c r="H4420" t="n">
        <v>0</v>
      </c>
      <c r="I4420" t="n">
        <v>0</v>
      </c>
      <c r="J4420" t="n">
        <v>0</v>
      </c>
      <c r="K4420" t="n">
        <v>0</v>
      </c>
      <c r="L4420" t="n">
        <v>0</v>
      </c>
      <c r="M4420" t="n">
        <v>0</v>
      </c>
      <c r="N4420" t="n">
        <v>0</v>
      </c>
      <c r="O4420" t="n">
        <v>0</v>
      </c>
      <c r="P4420" t="n">
        <v>0</v>
      </c>
      <c r="Q4420" t="n">
        <v>0</v>
      </c>
      <c r="R4420" s="2" t="inlineStr"/>
    </row>
    <row r="4421" ht="15" customHeight="1">
      <c r="A4421" t="inlineStr">
        <is>
          <t>A 53179-2024</t>
        </is>
      </c>
      <c r="B4421" s="1" t="n">
        <v>45611.66996527778</v>
      </c>
      <c r="C4421" s="1" t="n">
        <v>45911</v>
      </c>
      <c r="D4421" t="inlineStr">
        <is>
          <t>GÄVLEBORGS LÄN</t>
        </is>
      </c>
      <c r="E4421" t="inlineStr">
        <is>
          <t>NORDANSTIG</t>
        </is>
      </c>
      <c r="F4421" t="inlineStr">
        <is>
          <t>Holmen skog AB</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36836-2025</t>
        </is>
      </c>
      <c r="B4422" s="1" t="n">
        <v>45874.36065972222</v>
      </c>
      <c r="C4422" s="1" t="n">
        <v>45911</v>
      </c>
      <c r="D4422" t="inlineStr">
        <is>
          <t>GÄVLEBORGS LÄN</t>
        </is>
      </c>
      <c r="E4422" t="inlineStr">
        <is>
          <t>OVANÅKER</t>
        </is>
      </c>
      <c r="G4422" t="n">
        <v>4.5</v>
      </c>
      <c r="H4422" t="n">
        <v>0</v>
      </c>
      <c r="I4422" t="n">
        <v>0</v>
      </c>
      <c r="J4422" t="n">
        <v>0</v>
      </c>
      <c r="K4422" t="n">
        <v>0</v>
      </c>
      <c r="L4422" t="n">
        <v>0</v>
      </c>
      <c r="M4422" t="n">
        <v>0</v>
      </c>
      <c r="N4422" t="n">
        <v>0</v>
      </c>
      <c r="O4422" t="n">
        <v>0</v>
      </c>
      <c r="P4422" t="n">
        <v>0</v>
      </c>
      <c r="Q4422" t="n">
        <v>0</v>
      </c>
      <c r="R4422" s="2" t="inlineStr"/>
    </row>
    <row r="4423" ht="15" customHeight="1">
      <c r="A4423" t="inlineStr">
        <is>
          <t>A 56028-2024</t>
        </is>
      </c>
      <c r="B4423" s="1" t="n">
        <v>45624.30975694444</v>
      </c>
      <c r="C4423" s="1" t="n">
        <v>45911</v>
      </c>
      <c r="D4423" t="inlineStr">
        <is>
          <t>GÄVLEBORGS LÄN</t>
        </is>
      </c>
      <c r="E4423" t="inlineStr">
        <is>
          <t>NORDANSTIG</t>
        </is>
      </c>
      <c r="F4423" t="inlineStr">
        <is>
          <t>Holmen skog AB</t>
        </is>
      </c>
      <c r="G4423" t="n">
        <v>18.8</v>
      </c>
      <c r="H4423" t="n">
        <v>0</v>
      </c>
      <c r="I4423" t="n">
        <v>0</v>
      </c>
      <c r="J4423" t="n">
        <v>0</v>
      </c>
      <c r="K4423" t="n">
        <v>0</v>
      </c>
      <c r="L4423" t="n">
        <v>0</v>
      </c>
      <c r="M4423" t="n">
        <v>0</v>
      </c>
      <c r="N4423" t="n">
        <v>0</v>
      </c>
      <c r="O4423" t="n">
        <v>0</v>
      </c>
      <c r="P4423" t="n">
        <v>0</v>
      </c>
      <c r="Q4423" t="n">
        <v>0</v>
      </c>
      <c r="R4423" s="2" t="inlineStr"/>
    </row>
    <row r="4424" ht="15" customHeight="1">
      <c r="A4424" t="inlineStr">
        <is>
          <t>A 30496-2025</t>
        </is>
      </c>
      <c r="B4424" s="1" t="n">
        <v>45830.71666666667</v>
      </c>
      <c r="C4424" s="1" t="n">
        <v>45911</v>
      </c>
      <c r="D4424" t="inlineStr">
        <is>
          <t>GÄVLEBORGS LÄN</t>
        </is>
      </c>
      <c r="E4424" t="inlineStr">
        <is>
          <t>LJUSDAL</t>
        </is>
      </c>
      <c r="G4424" t="n">
        <v>7.8</v>
      </c>
      <c r="H4424" t="n">
        <v>0</v>
      </c>
      <c r="I4424" t="n">
        <v>0</v>
      </c>
      <c r="J4424" t="n">
        <v>0</v>
      </c>
      <c r="K4424" t="n">
        <v>0</v>
      </c>
      <c r="L4424" t="n">
        <v>0</v>
      </c>
      <c r="M4424" t="n">
        <v>0</v>
      </c>
      <c r="N4424" t="n">
        <v>0</v>
      </c>
      <c r="O4424" t="n">
        <v>0</v>
      </c>
      <c r="P4424" t="n">
        <v>0</v>
      </c>
      <c r="Q4424" t="n">
        <v>0</v>
      </c>
      <c r="R4424" s="2" t="inlineStr"/>
    </row>
    <row r="4425" ht="15" customHeight="1">
      <c r="A4425" t="inlineStr">
        <is>
          <t>A 30937-2025</t>
        </is>
      </c>
      <c r="B4425" s="1" t="n">
        <v>45832.40670138889</v>
      </c>
      <c r="C4425" s="1" t="n">
        <v>45911</v>
      </c>
      <c r="D4425" t="inlineStr">
        <is>
          <t>GÄVLEBORGS LÄN</t>
        </is>
      </c>
      <c r="E4425" t="inlineStr">
        <is>
          <t>LJUSDAL</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62439-2023</t>
        </is>
      </c>
      <c r="B4426" s="1" t="n">
        <v>45268.4574074074</v>
      </c>
      <c r="C4426" s="1" t="n">
        <v>45911</v>
      </c>
      <c r="D4426" t="inlineStr">
        <is>
          <t>GÄVLEBORGS LÄN</t>
        </is>
      </c>
      <c r="E4426" t="inlineStr">
        <is>
          <t>HUDIKSVALL</t>
        </is>
      </c>
      <c r="G4426" t="n">
        <v>13.3</v>
      </c>
      <c r="H4426" t="n">
        <v>0</v>
      </c>
      <c r="I4426" t="n">
        <v>0</v>
      </c>
      <c r="J4426" t="n">
        <v>0</v>
      </c>
      <c r="K4426" t="n">
        <v>0</v>
      </c>
      <c r="L4426" t="n">
        <v>0</v>
      </c>
      <c r="M4426" t="n">
        <v>0</v>
      </c>
      <c r="N4426" t="n">
        <v>0</v>
      </c>
      <c r="O4426" t="n">
        <v>0</v>
      </c>
      <c r="P4426" t="n">
        <v>0</v>
      </c>
      <c r="Q4426" t="n">
        <v>0</v>
      </c>
      <c r="R4426" s="2" t="inlineStr"/>
    </row>
    <row r="4427" ht="15" customHeight="1">
      <c r="A4427" t="inlineStr">
        <is>
          <t>A 62458-2023</t>
        </is>
      </c>
      <c r="B4427" s="1" t="n">
        <v>45268.51303240741</v>
      </c>
      <c r="C4427" s="1" t="n">
        <v>45911</v>
      </c>
      <c r="D4427" t="inlineStr">
        <is>
          <t>GÄVLEBORGS LÄN</t>
        </is>
      </c>
      <c r="E4427" t="inlineStr">
        <is>
          <t>NORDANSTIG</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16773-2025</t>
        </is>
      </c>
      <c r="B4428" s="1" t="n">
        <v>45754.58219907407</v>
      </c>
      <c r="C4428" s="1" t="n">
        <v>45911</v>
      </c>
      <c r="D4428" t="inlineStr">
        <is>
          <t>GÄVLEBORGS LÄN</t>
        </is>
      </c>
      <c r="E4428" t="inlineStr">
        <is>
          <t>OCKELBO</t>
        </is>
      </c>
      <c r="G4428" t="n">
        <v>3.8</v>
      </c>
      <c r="H4428" t="n">
        <v>0</v>
      </c>
      <c r="I4428" t="n">
        <v>0</v>
      </c>
      <c r="J4428" t="n">
        <v>0</v>
      </c>
      <c r="K4428" t="n">
        <v>0</v>
      </c>
      <c r="L4428" t="n">
        <v>0</v>
      </c>
      <c r="M4428" t="n">
        <v>0</v>
      </c>
      <c r="N4428" t="n">
        <v>0</v>
      </c>
      <c r="O4428" t="n">
        <v>0</v>
      </c>
      <c r="P4428" t="n">
        <v>0</v>
      </c>
      <c r="Q4428" t="n">
        <v>0</v>
      </c>
      <c r="R4428" s="2" t="inlineStr"/>
    </row>
    <row r="4429" ht="15" customHeight="1">
      <c r="A4429" t="inlineStr">
        <is>
          <t>A 16819-2025</t>
        </is>
      </c>
      <c r="B4429" s="1" t="n">
        <v>45754.64091435185</v>
      </c>
      <c r="C4429" s="1" t="n">
        <v>45911</v>
      </c>
      <c r="D4429" t="inlineStr">
        <is>
          <t>GÄVLEBORGS LÄN</t>
        </is>
      </c>
      <c r="E4429" t="inlineStr">
        <is>
          <t>SANDVIKEN</t>
        </is>
      </c>
      <c r="G4429" t="n">
        <v>3.5</v>
      </c>
      <c r="H4429" t="n">
        <v>0</v>
      </c>
      <c r="I4429" t="n">
        <v>0</v>
      </c>
      <c r="J4429" t="n">
        <v>0</v>
      </c>
      <c r="K4429" t="n">
        <v>0</v>
      </c>
      <c r="L4429" t="n">
        <v>0</v>
      </c>
      <c r="M4429" t="n">
        <v>0</v>
      </c>
      <c r="N4429" t="n">
        <v>0</v>
      </c>
      <c r="O4429" t="n">
        <v>0</v>
      </c>
      <c r="P4429" t="n">
        <v>0</v>
      </c>
      <c r="Q4429" t="n">
        <v>0</v>
      </c>
      <c r="R4429" s="2" t="inlineStr"/>
    </row>
    <row r="4430" ht="15" customHeight="1">
      <c r="A4430" t="inlineStr">
        <is>
          <t>A 27051-2022</t>
        </is>
      </c>
      <c r="B4430" s="1" t="n">
        <v>44741.34873842593</v>
      </c>
      <c r="C4430" s="1" t="n">
        <v>45911</v>
      </c>
      <c r="D4430" t="inlineStr">
        <is>
          <t>GÄVLEBORGS LÄN</t>
        </is>
      </c>
      <c r="E4430" t="inlineStr">
        <is>
          <t>HUDIKSVALL</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49762-2024</t>
        </is>
      </c>
      <c r="B4431" s="1" t="n">
        <v>45597.33159722222</v>
      </c>
      <c r="C4431" s="1" t="n">
        <v>45911</v>
      </c>
      <c r="D4431" t="inlineStr">
        <is>
          <t>GÄVLEBORGS LÄN</t>
        </is>
      </c>
      <c r="E4431" t="inlineStr">
        <is>
          <t>SÖDERHAMN</t>
        </is>
      </c>
      <c r="G4431" t="n">
        <v>3.2</v>
      </c>
      <c r="H4431" t="n">
        <v>0</v>
      </c>
      <c r="I4431" t="n">
        <v>0</v>
      </c>
      <c r="J4431" t="n">
        <v>0</v>
      </c>
      <c r="K4431" t="n">
        <v>0</v>
      </c>
      <c r="L4431" t="n">
        <v>0</v>
      </c>
      <c r="M4431" t="n">
        <v>0</v>
      </c>
      <c r="N4431" t="n">
        <v>0</v>
      </c>
      <c r="O4431" t="n">
        <v>0</v>
      </c>
      <c r="P4431" t="n">
        <v>0</v>
      </c>
      <c r="Q4431" t="n">
        <v>0</v>
      </c>
      <c r="R4431" s="2" t="inlineStr"/>
    </row>
    <row r="4432" ht="15" customHeight="1">
      <c r="A4432" t="inlineStr">
        <is>
          <t>A 57013-2022</t>
        </is>
      </c>
      <c r="B4432" s="1" t="n">
        <v>44894</v>
      </c>
      <c r="C4432" s="1" t="n">
        <v>45911</v>
      </c>
      <c r="D4432" t="inlineStr">
        <is>
          <t>GÄVLEBORGS LÄN</t>
        </is>
      </c>
      <c r="E4432" t="inlineStr">
        <is>
          <t>NORDANSTIG</t>
        </is>
      </c>
      <c r="F4432" t="inlineStr">
        <is>
          <t>SCA</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7461-2021</t>
        </is>
      </c>
      <c r="B4433" s="1" t="n">
        <v>44239</v>
      </c>
      <c r="C4433" s="1" t="n">
        <v>45911</v>
      </c>
      <c r="D4433" t="inlineStr">
        <is>
          <t>GÄVLEBORGS LÄN</t>
        </is>
      </c>
      <c r="E4433" t="inlineStr">
        <is>
          <t>BOLLNÄS</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19605-2025</t>
        </is>
      </c>
      <c r="B4434" s="1" t="n">
        <v>45770.59724537037</v>
      </c>
      <c r="C4434" s="1" t="n">
        <v>45911</v>
      </c>
      <c r="D4434" t="inlineStr">
        <is>
          <t>GÄVLEBORGS LÄN</t>
        </is>
      </c>
      <c r="E4434" t="inlineStr">
        <is>
          <t>HUDIKSVALL</t>
        </is>
      </c>
      <c r="F4434" t="inlineStr">
        <is>
          <t>Holmen skog AB</t>
        </is>
      </c>
      <c r="G4434" t="n">
        <v>9.5</v>
      </c>
      <c r="H4434" t="n">
        <v>0</v>
      </c>
      <c r="I4434" t="n">
        <v>0</v>
      </c>
      <c r="J4434" t="n">
        <v>0</v>
      </c>
      <c r="K4434" t="n">
        <v>0</v>
      </c>
      <c r="L4434" t="n">
        <v>0</v>
      </c>
      <c r="M4434" t="n">
        <v>0</v>
      </c>
      <c r="N4434" t="n">
        <v>0</v>
      </c>
      <c r="O4434" t="n">
        <v>0</v>
      </c>
      <c r="P4434" t="n">
        <v>0</v>
      </c>
      <c r="Q4434" t="n">
        <v>0</v>
      </c>
      <c r="R4434" s="2" t="inlineStr"/>
    </row>
    <row r="4435" ht="15" customHeight="1">
      <c r="A4435" t="inlineStr">
        <is>
          <t>A 18924-2025</t>
        </is>
      </c>
      <c r="B4435" s="1" t="n">
        <v>45764.48153935185</v>
      </c>
      <c r="C4435" s="1" t="n">
        <v>45911</v>
      </c>
      <c r="D4435" t="inlineStr">
        <is>
          <t>GÄVLEBORGS LÄN</t>
        </is>
      </c>
      <c r="E4435" t="inlineStr">
        <is>
          <t>SÖDERHAMN</t>
        </is>
      </c>
      <c r="F4435" t="inlineStr">
        <is>
          <t>Kommuner</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18950-2025</t>
        </is>
      </c>
      <c r="B4436" s="1" t="n">
        <v>45764</v>
      </c>
      <c r="C4436" s="1" t="n">
        <v>45911</v>
      </c>
      <c r="D4436" t="inlineStr">
        <is>
          <t>GÄVLEBORGS LÄN</t>
        </is>
      </c>
      <c r="E4436" t="inlineStr">
        <is>
          <t>GÄVLE</t>
        </is>
      </c>
      <c r="F4436" t="inlineStr">
        <is>
          <t>Bergvik skog väst AB</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31004-2025</t>
        </is>
      </c>
      <c r="B4437" s="1" t="n">
        <v>45832.49621527778</v>
      </c>
      <c r="C4437" s="1" t="n">
        <v>45911</v>
      </c>
      <c r="D4437" t="inlineStr">
        <is>
          <t>GÄVLEBORGS LÄN</t>
        </is>
      </c>
      <c r="E4437" t="inlineStr">
        <is>
          <t>GÄVLE</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31028-2025</t>
        </is>
      </c>
      <c r="B4438" s="1" t="n">
        <v>45832.53422453703</v>
      </c>
      <c r="C4438" s="1" t="n">
        <v>45911</v>
      </c>
      <c r="D4438" t="inlineStr">
        <is>
          <t>GÄVLEBORGS LÄN</t>
        </is>
      </c>
      <c r="E4438" t="inlineStr">
        <is>
          <t>LJUSDAL</t>
        </is>
      </c>
      <c r="G4438" t="n">
        <v>20.5</v>
      </c>
      <c r="H4438" t="n">
        <v>0</v>
      </c>
      <c r="I4438" t="n">
        <v>0</v>
      </c>
      <c r="J4438" t="n">
        <v>0</v>
      </c>
      <c r="K4438" t="n">
        <v>0</v>
      </c>
      <c r="L4438" t="n">
        <v>0</v>
      </c>
      <c r="M4438" t="n">
        <v>0</v>
      </c>
      <c r="N4438" t="n">
        <v>0</v>
      </c>
      <c r="O4438" t="n">
        <v>0</v>
      </c>
      <c r="P4438" t="n">
        <v>0</v>
      </c>
      <c r="Q4438" t="n">
        <v>0</v>
      </c>
      <c r="R4438" s="2" t="inlineStr"/>
    </row>
    <row r="4439" ht="15" customHeight="1">
      <c r="A4439" t="inlineStr">
        <is>
          <t>A 43730-2023</t>
        </is>
      </c>
      <c r="B4439" s="1" t="n">
        <v>45187</v>
      </c>
      <c r="C4439" s="1" t="n">
        <v>45911</v>
      </c>
      <c r="D4439" t="inlineStr">
        <is>
          <t>GÄVLEBORGS LÄN</t>
        </is>
      </c>
      <c r="E4439" t="inlineStr">
        <is>
          <t>HOFORS</t>
        </is>
      </c>
      <c r="F4439" t="inlineStr">
        <is>
          <t>Sveaskog</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31140-2025</t>
        </is>
      </c>
      <c r="B4440" s="1" t="n">
        <v>45832.63648148148</v>
      </c>
      <c r="C4440" s="1" t="n">
        <v>45911</v>
      </c>
      <c r="D4440" t="inlineStr">
        <is>
          <t>GÄVLEBORGS LÄN</t>
        </is>
      </c>
      <c r="E4440" t="inlineStr">
        <is>
          <t>LJUSDAL</t>
        </is>
      </c>
      <c r="F4440" t="inlineStr">
        <is>
          <t>SCA</t>
        </is>
      </c>
      <c r="G4440" t="n">
        <v>3.9</v>
      </c>
      <c r="H4440" t="n">
        <v>0</v>
      </c>
      <c r="I4440" t="n">
        <v>0</v>
      </c>
      <c r="J4440" t="n">
        <v>0</v>
      </c>
      <c r="K4440" t="n">
        <v>0</v>
      </c>
      <c r="L4440" t="n">
        <v>0</v>
      </c>
      <c r="M4440" t="n">
        <v>0</v>
      </c>
      <c r="N4440" t="n">
        <v>0</v>
      </c>
      <c r="O4440" t="n">
        <v>0</v>
      </c>
      <c r="P4440" t="n">
        <v>0</v>
      </c>
      <c r="Q4440" t="n">
        <v>0</v>
      </c>
      <c r="R4440" s="2" t="inlineStr"/>
    </row>
    <row r="4441" ht="15" customHeight="1">
      <c r="A4441" t="inlineStr">
        <is>
          <t>A 17179-2025</t>
        </is>
      </c>
      <c r="B4441" s="1" t="n">
        <v>45755</v>
      </c>
      <c r="C4441" s="1" t="n">
        <v>45911</v>
      </c>
      <c r="D4441" t="inlineStr">
        <is>
          <t>GÄVLEBORGS LÄN</t>
        </is>
      </c>
      <c r="E4441" t="inlineStr">
        <is>
          <t>HOFORS</t>
        </is>
      </c>
      <c r="F4441" t="inlineStr">
        <is>
          <t>Bergvik skog väst AB</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17184-2025</t>
        </is>
      </c>
      <c r="B4442" s="1" t="n">
        <v>45756.38564814815</v>
      </c>
      <c r="C4442" s="1" t="n">
        <v>45911</v>
      </c>
      <c r="D4442" t="inlineStr">
        <is>
          <t>GÄVLEBORGS LÄN</t>
        </is>
      </c>
      <c r="E4442" t="inlineStr">
        <is>
          <t>OCKELBO</t>
        </is>
      </c>
      <c r="G4442" t="n">
        <v>2.8</v>
      </c>
      <c r="H4442" t="n">
        <v>0</v>
      </c>
      <c r="I4442" t="n">
        <v>0</v>
      </c>
      <c r="J4442" t="n">
        <v>0</v>
      </c>
      <c r="K4442" t="n">
        <v>0</v>
      </c>
      <c r="L4442" t="n">
        <v>0</v>
      </c>
      <c r="M4442" t="n">
        <v>0</v>
      </c>
      <c r="N4442" t="n">
        <v>0</v>
      </c>
      <c r="O4442" t="n">
        <v>0</v>
      </c>
      <c r="P4442" t="n">
        <v>0</v>
      </c>
      <c r="Q4442" t="n">
        <v>0</v>
      </c>
      <c r="R4442" s="2" t="inlineStr"/>
    </row>
    <row r="4443" ht="15" customHeight="1">
      <c r="A4443" t="inlineStr">
        <is>
          <t>A 17202-2025</t>
        </is>
      </c>
      <c r="B4443" s="1" t="n">
        <v>45756.42116898148</v>
      </c>
      <c r="C4443" s="1" t="n">
        <v>45911</v>
      </c>
      <c r="D4443" t="inlineStr">
        <is>
          <t>GÄVLEBORGS LÄN</t>
        </is>
      </c>
      <c r="E4443" t="inlineStr">
        <is>
          <t>OCKELBO</t>
        </is>
      </c>
      <c r="G4443" t="n">
        <v>3.1</v>
      </c>
      <c r="H4443" t="n">
        <v>0</v>
      </c>
      <c r="I4443" t="n">
        <v>0</v>
      </c>
      <c r="J4443" t="n">
        <v>0</v>
      </c>
      <c r="K4443" t="n">
        <v>0</v>
      </c>
      <c r="L4443" t="n">
        <v>0</v>
      </c>
      <c r="M4443" t="n">
        <v>0</v>
      </c>
      <c r="N4443" t="n">
        <v>0</v>
      </c>
      <c r="O4443" t="n">
        <v>0</v>
      </c>
      <c r="P4443" t="n">
        <v>0</v>
      </c>
      <c r="Q4443" t="n">
        <v>0</v>
      </c>
      <c r="R4443" s="2" t="inlineStr"/>
    </row>
    <row r="4444" ht="15" customHeight="1">
      <c r="A4444" t="inlineStr">
        <is>
          <t>A 50268-2024</t>
        </is>
      </c>
      <c r="B4444" s="1" t="n">
        <v>45600.58967592593</v>
      </c>
      <c r="C4444" s="1" t="n">
        <v>45911</v>
      </c>
      <c r="D4444" t="inlineStr">
        <is>
          <t>GÄVLEBORGS LÄN</t>
        </is>
      </c>
      <c r="E4444" t="inlineStr">
        <is>
          <t>SÖDERHAMN</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26849-2024</t>
        </is>
      </c>
      <c r="B4445" s="1" t="n">
        <v>45470</v>
      </c>
      <c r="C4445" s="1" t="n">
        <v>45911</v>
      </c>
      <c r="D4445" t="inlineStr">
        <is>
          <t>GÄVLEBORGS LÄN</t>
        </is>
      </c>
      <c r="E4445" t="inlineStr">
        <is>
          <t>LJUSDAL</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17287-2025</t>
        </is>
      </c>
      <c r="B4446" s="1" t="n">
        <v>45756</v>
      </c>
      <c r="C4446" s="1" t="n">
        <v>45911</v>
      </c>
      <c r="D4446" t="inlineStr">
        <is>
          <t>GÄVLEBORGS LÄN</t>
        </is>
      </c>
      <c r="E4446" t="inlineStr">
        <is>
          <t>SÖDERHAMN</t>
        </is>
      </c>
      <c r="F4446" t="inlineStr">
        <is>
          <t>Bergvik skog väst AB</t>
        </is>
      </c>
      <c r="G4446" t="n">
        <v>7.2</v>
      </c>
      <c r="H4446" t="n">
        <v>0</v>
      </c>
      <c r="I4446" t="n">
        <v>0</v>
      </c>
      <c r="J4446" t="n">
        <v>0</v>
      </c>
      <c r="K4446" t="n">
        <v>0</v>
      </c>
      <c r="L4446" t="n">
        <v>0</v>
      </c>
      <c r="M4446" t="n">
        <v>0</v>
      </c>
      <c r="N4446" t="n">
        <v>0</v>
      </c>
      <c r="O4446" t="n">
        <v>0</v>
      </c>
      <c r="P4446" t="n">
        <v>0</v>
      </c>
      <c r="Q4446" t="n">
        <v>0</v>
      </c>
      <c r="R4446" s="2" t="inlineStr"/>
    </row>
    <row r="4447" ht="15" customHeight="1">
      <c r="A4447" t="inlineStr">
        <is>
          <t>A 12886-2025</t>
        </is>
      </c>
      <c r="B4447" s="1" t="n">
        <v>45733.69862268519</v>
      </c>
      <c r="C4447" s="1" t="n">
        <v>45911</v>
      </c>
      <c r="D4447" t="inlineStr">
        <is>
          <t>GÄVLEBORGS LÄN</t>
        </is>
      </c>
      <c r="E4447" t="inlineStr">
        <is>
          <t>LJUSDAL</t>
        </is>
      </c>
      <c r="F4447" t="inlineStr">
        <is>
          <t>SCA</t>
        </is>
      </c>
      <c r="G4447" t="n">
        <v>9.199999999999999</v>
      </c>
      <c r="H4447" t="n">
        <v>0</v>
      </c>
      <c r="I4447" t="n">
        <v>0</v>
      </c>
      <c r="J4447" t="n">
        <v>0</v>
      </c>
      <c r="K4447" t="n">
        <v>0</v>
      </c>
      <c r="L4447" t="n">
        <v>0</v>
      </c>
      <c r="M4447" t="n">
        <v>0</v>
      </c>
      <c r="N4447" t="n">
        <v>0</v>
      </c>
      <c r="O4447" t="n">
        <v>0</v>
      </c>
      <c r="P4447" t="n">
        <v>0</v>
      </c>
      <c r="Q4447" t="n">
        <v>0</v>
      </c>
      <c r="R4447" s="2" t="inlineStr"/>
    </row>
    <row r="4448" ht="15" customHeight="1">
      <c r="A4448" t="inlineStr">
        <is>
          <t>A 30926-2025</t>
        </is>
      </c>
      <c r="B4448" s="1" t="n">
        <v>45832.38623842593</v>
      </c>
      <c r="C4448" s="1" t="n">
        <v>45911</v>
      </c>
      <c r="D4448" t="inlineStr">
        <is>
          <t>GÄVLEBORGS LÄN</t>
        </is>
      </c>
      <c r="E4448" t="inlineStr">
        <is>
          <t>LJUSDAL</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27804-2024</t>
        </is>
      </c>
      <c r="B4449" s="1" t="n">
        <v>45475.5766087963</v>
      </c>
      <c r="C4449" s="1" t="n">
        <v>45911</v>
      </c>
      <c r="D4449" t="inlineStr">
        <is>
          <t>GÄVLEBORGS LÄN</t>
        </is>
      </c>
      <c r="E4449" t="inlineStr">
        <is>
          <t>BOLLNÄS</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30749-2025</t>
        </is>
      </c>
      <c r="B4450" s="1" t="n">
        <v>45831.58878472223</v>
      </c>
      <c r="C4450" s="1" t="n">
        <v>45911</v>
      </c>
      <c r="D4450" t="inlineStr">
        <is>
          <t>GÄVLEBORGS LÄN</t>
        </is>
      </c>
      <c r="E4450" t="inlineStr">
        <is>
          <t>BOLLNÄS</t>
        </is>
      </c>
      <c r="F4450" t="inlineStr">
        <is>
          <t>Bergvik skog väst AB</t>
        </is>
      </c>
      <c r="G4450" t="n">
        <v>10.1</v>
      </c>
      <c r="H4450" t="n">
        <v>0</v>
      </c>
      <c r="I4450" t="n">
        <v>0</v>
      </c>
      <c r="J4450" t="n">
        <v>0</v>
      </c>
      <c r="K4450" t="n">
        <v>0</v>
      </c>
      <c r="L4450" t="n">
        <v>0</v>
      </c>
      <c r="M4450" t="n">
        <v>0</v>
      </c>
      <c r="N4450" t="n">
        <v>0</v>
      </c>
      <c r="O4450" t="n">
        <v>0</v>
      </c>
      <c r="P4450" t="n">
        <v>0</v>
      </c>
      <c r="Q4450" t="n">
        <v>0</v>
      </c>
      <c r="R4450" s="2" t="inlineStr"/>
    </row>
    <row r="4451" ht="15" customHeight="1">
      <c r="A4451" t="inlineStr">
        <is>
          <t>A 30589-2025</t>
        </is>
      </c>
      <c r="B4451" s="1" t="n">
        <v>45831.43140046296</v>
      </c>
      <c r="C4451" s="1" t="n">
        <v>45911</v>
      </c>
      <c r="D4451" t="inlineStr">
        <is>
          <t>GÄVLEBORGS LÄN</t>
        </is>
      </c>
      <c r="E4451" t="inlineStr">
        <is>
          <t>LJUSDAL</t>
        </is>
      </c>
      <c r="F4451" t="inlineStr">
        <is>
          <t>Holmen skog AB</t>
        </is>
      </c>
      <c r="G4451" t="n">
        <v>32.3</v>
      </c>
      <c r="H4451" t="n">
        <v>0</v>
      </c>
      <c r="I4451" t="n">
        <v>0</v>
      </c>
      <c r="J4451" t="n">
        <v>0</v>
      </c>
      <c r="K4451" t="n">
        <v>0</v>
      </c>
      <c r="L4451" t="n">
        <v>0</v>
      </c>
      <c r="M4451" t="n">
        <v>0</v>
      </c>
      <c r="N4451" t="n">
        <v>0</v>
      </c>
      <c r="O4451" t="n">
        <v>0</v>
      </c>
      <c r="P4451" t="n">
        <v>0</v>
      </c>
      <c r="Q4451" t="n">
        <v>0</v>
      </c>
      <c r="R4451" s="2" t="inlineStr"/>
    </row>
    <row r="4452" ht="15" customHeight="1">
      <c r="A4452" t="inlineStr">
        <is>
          <t>A 25276-2024</t>
        </is>
      </c>
      <c r="B4452" s="1" t="n">
        <v>45462.63016203704</v>
      </c>
      <c r="C4452" s="1" t="n">
        <v>45911</v>
      </c>
      <c r="D4452" t="inlineStr">
        <is>
          <t>GÄVLEBORGS LÄN</t>
        </is>
      </c>
      <c r="E4452" t="inlineStr">
        <is>
          <t>GÄVLE</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59740-2023</t>
        </is>
      </c>
      <c r="B4453" s="1" t="n">
        <v>45257</v>
      </c>
      <c r="C4453" s="1" t="n">
        <v>45911</v>
      </c>
      <c r="D4453" t="inlineStr">
        <is>
          <t>GÄVLEBORGS LÄN</t>
        </is>
      </c>
      <c r="E4453" t="inlineStr">
        <is>
          <t>BOLLNÄS</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36981-2025</t>
        </is>
      </c>
      <c r="B4454" s="1" t="n">
        <v>45874.64697916667</v>
      </c>
      <c r="C4454" s="1" t="n">
        <v>45911</v>
      </c>
      <c r="D4454" t="inlineStr">
        <is>
          <t>GÄVLEBORGS LÄN</t>
        </is>
      </c>
      <c r="E4454" t="inlineStr">
        <is>
          <t>LJUSDAL</t>
        </is>
      </c>
      <c r="F4454" t="inlineStr">
        <is>
          <t>Sveaskog</t>
        </is>
      </c>
      <c r="G4454" t="n">
        <v>6.2</v>
      </c>
      <c r="H4454" t="n">
        <v>0</v>
      </c>
      <c r="I4454" t="n">
        <v>0</v>
      </c>
      <c r="J4454" t="n">
        <v>0</v>
      </c>
      <c r="K4454" t="n">
        <v>0</v>
      </c>
      <c r="L4454" t="n">
        <v>0</v>
      </c>
      <c r="M4454" t="n">
        <v>0</v>
      </c>
      <c r="N4454" t="n">
        <v>0</v>
      </c>
      <c r="O4454" t="n">
        <v>0</v>
      </c>
      <c r="P4454" t="n">
        <v>0</v>
      </c>
      <c r="Q4454" t="n">
        <v>0</v>
      </c>
      <c r="R4454" s="2" t="inlineStr"/>
    </row>
    <row r="4455" ht="15" customHeight="1">
      <c r="A4455" t="inlineStr">
        <is>
          <t>A 57689-2022</t>
        </is>
      </c>
      <c r="B4455" s="1" t="n">
        <v>44897</v>
      </c>
      <c r="C4455" s="1" t="n">
        <v>45911</v>
      </c>
      <c r="D4455" t="inlineStr">
        <is>
          <t>GÄVLEBORGS LÄN</t>
        </is>
      </c>
      <c r="E4455" t="inlineStr">
        <is>
          <t>BOLLNÄS</t>
        </is>
      </c>
      <c r="G4455" t="n">
        <v>6.7</v>
      </c>
      <c r="H4455" t="n">
        <v>0</v>
      </c>
      <c r="I4455" t="n">
        <v>0</v>
      </c>
      <c r="J4455" t="n">
        <v>0</v>
      </c>
      <c r="K4455" t="n">
        <v>0</v>
      </c>
      <c r="L4455" t="n">
        <v>0</v>
      </c>
      <c r="M4455" t="n">
        <v>0</v>
      </c>
      <c r="N4455" t="n">
        <v>0</v>
      </c>
      <c r="O4455" t="n">
        <v>0</v>
      </c>
      <c r="P4455" t="n">
        <v>0</v>
      </c>
      <c r="Q4455" t="n">
        <v>0</v>
      </c>
      <c r="R4455" s="2" t="inlineStr"/>
    </row>
    <row r="4456" ht="15" customHeight="1">
      <c r="A4456" t="inlineStr">
        <is>
          <t>A 52842-2023</t>
        </is>
      </c>
      <c r="B4456" s="1" t="n">
        <v>45226.43016203704</v>
      </c>
      <c r="C4456" s="1" t="n">
        <v>45911</v>
      </c>
      <c r="D4456" t="inlineStr">
        <is>
          <t>GÄVLEBORGS LÄN</t>
        </is>
      </c>
      <c r="E4456" t="inlineStr">
        <is>
          <t>LJUSDAL</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18099-2025</t>
        </is>
      </c>
      <c r="B4457" s="1" t="n">
        <v>45761.55233796296</v>
      </c>
      <c r="C4457" s="1" t="n">
        <v>45911</v>
      </c>
      <c r="D4457" t="inlineStr">
        <is>
          <t>GÄVLEBORGS LÄN</t>
        </is>
      </c>
      <c r="E4457" t="inlineStr">
        <is>
          <t>HUDIKSVALL</t>
        </is>
      </c>
      <c r="G4457" t="n">
        <v>3.7</v>
      </c>
      <c r="H4457" t="n">
        <v>0</v>
      </c>
      <c r="I4457" t="n">
        <v>0</v>
      </c>
      <c r="J4457" t="n">
        <v>0</v>
      </c>
      <c r="K4457" t="n">
        <v>0</v>
      </c>
      <c r="L4457" t="n">
        <v>0</v>
      </c>
      <c r="M4457" t="n">
        <v>0</v>
      </c>
      <c r="N4457" t="n">
        <v>0</v>
      </c>
      <c r="O4457" t="n">
        <v>0</v>
      </c>
      <c r="P4457" t="n">
        <v>0</v>
      </c>
      <c r="Q4457" t="n">
        <v>0</v>
      </c>
      <c r="R4457" s="2" t="inlineStr"/>
    </row>
    <row r="4458" ht="15" customHeight="1">
      <c r="A4458" t="inlineStr">
        <is>
          <t>A 2912-2024</t>
        </is>
      </c>
      <c r="B4458" s="1" t="n">
        <v>45315.56210648148</v>
      </c>
      <c r="C4458" s="1" t="n">
        <v>45911</v>
      </c>
      <c r="D4458" t="inlineStr">
        <is>
          <t>GÄVLEBORGS LÄN</t>
        </is>
      </c>
      <c r="E4458" t="inlineStr">
        <is>
          <t>OVANÅKER</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4075-2025</t>
        </is>
      </c>
      <c r="B4459" s="1" t="n">
        <v>45684.64509259259</v>
      </c>
      <c r="C4459" s="1" t="n">
        <v>45911</v>
      </c>
      <c r="D4459" t="inlineStr">
        <is>
          <t>GÄVLEBORGS LÄN</t>
        </is>
      </c>
      <c r="E4459" t="inlineStr">
        <is>
          <t>HUDIKSVALL</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13884-2025</t>
        </is>
      </c>
      <c r="B4460" s="1" t="n">
        <v>45737.60386574074</v>
      </c>
      <c r="C4460" s="1" t="n">
        <v>45911</v>
      </c>
      <c r="D4460" t="inlineStr">
        <is>
          <t>GÄVLEBORGS LÄN</t>
        </is>
      </c>
      <c r="E4460" t="inlineStr">
        <is>
          <t>LJUSDAL</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13894-2025</t>
        </is>
      </c>
      <c r="B4461" s="1" t="n">
        <v>45737.62081018519</v>
      </c>
      <c r="C4461" s="1" t="n">
        <v>45911</v>
      </c>
      <c r="D4461" t="inlineStr">
        <is>
          <t>GÄVLEBORGS LÄN</t>
        </is>
      </c>
      <c r="E4461" t="inlineStr">
        <is>
          <t>LJUSDAL</t>
        </is>
      </c>
      <c r="G4461" t="n">
        <v>5.2</v>
      </c>
      <c r="H4461" t="n">
        <v>0</v>
      </c>
      <c r="I4461" t="n">
        <v>0</v>
      </c>
      <c r="J4461" t="n">
        <v>0</v>
      </c>
      <c r="K4461" t="n">
        <v>0</v>
      </c>
      <c r="L4461" t="n">
        <v>0</v>
      </c>
      <c r="M4461" t="n">
        <v>0</v>
      </c>
      <c r="N4461" t="n">
        <v>0</v>
      </c>
      <c r="O4461" t="n">
        <v>0</v>
      </c>
      <c r="P4461" t="n">
        <v>0</v>
      </c>
      <c r="Q4461" t="n">
        <v>0</v>
      </c>
      <c r="R4461" s="2" t="inlineStr"/>
    </row>
    <row r="4462" ht="15" customHeight="1">
      <c r="A4462" t="inlineStr">
        <is>
          <t>A 4110-2025</t>
        </is>
      </c>
      <c r="B4462" s="1" t="n">
        <v>45684.69658564815</v>
      </c>
      <c r="C4462" s="1" t="n">
        <v>45911</v>
      </c>
      <c r="D4462" t="inlineStr">
        <is>
          <t>GÄVLEBORGS LÄN</t>
        </is>
      </c>
      <c r="E4462" t="inlineStr">
        <is>
          <t>LJUSDAL</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27006-2023</t>
        </is>
      </c>
      <c r="B4463" s="1" t="n">
        <v>45094</v>
      </c>
      <c r="C4463" s="1" t="n">
        <v>45911</v>
      </c>
      <c r="D4463" t="inlineStr">
        <is>
          <t>GÄVLEBORGS LÄN</t>
        </is>
      </c>
      <c r="E4463" t="inlineStr">
        <is>
          <t>SANDVIKEN</t>
        </is>
      </c>
      <c r="F4463" t="inlineStr">
        <is>
          <t>Bergvik skog öst AB</t>
        </is>
      </c>
      <c r="G4463" t="n">
        <v>9.5</v>
      </c>
      <c r="H4463" t="n">
        <v>0</v>
      </c>
      <c r="I4463" t="n">
        <v>0</v>
      </c>
      <c r="J4463" t="n">
        <v>0</v>
      </c>
      <c r="K4463" t="n">
        <v>0</v>
      </c>
      <c r="L4463" t="n">
        <v>0</v>
      </c>
      <c r="M4463" t="n">
        <v>0</v>
      </c>
      <c r="N4463" t="n">
        <v>0</v>
      </c>
      <c r="O4463" t="n">
        <v>0</v>
      </c>
      <c r="P4463" t="n">
        <v>0</v>
      </c>
      <c r="Q4463" t="n">
        <v>0</v>
      </c>
      <c r="R4463" s="2" t="inlineStr"/>
    </row>
    <row r="4464" ht="15" customHeight="1">
      <c r="A4464" t="inlineStr">
        <is>
          <t>A 30661-2025</t>
        </is>
      </c>
      <c r="B4464" s="1" t="n">
        <v>45831.5102662037</v>
      </c>
      <c r="C4464" s="1" t="n">
        <v>45911</v>
      </c>
      <c r="D4464" t="inlineStr">
        <is>
          <t>GÄVLEBORGS LÄN</t>
        </is>
      </c>
      <c r="E4464" t="inlineStr">
        <is>
          <t>LJUSDAL</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43090-2023</t>
        </is>
      </c>
      <c r="B4465" s="1" t="n">
        <v>45182.90457175926</v>
      </c>
      <c r="C4465" s="1" t="n">
        <v>45911</v>
      </c>
      <c r="D4465" t="inlineStr">
        <is>
          <t>GÄVLEBORGS LÄN</t>
        </is>
      </c>
      <c r="E4465" t="inlineStr">
        <is>
          <t>SANDVIKEN</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19471-2025</t>
        </is>
      </c>
      <c r="B4466" s="1" t="n">
        <v>45770.38461805556</v>
      </c>
      <c r="C4466" s="1" t="n">
        <v>45911</v>
      </c>
      <c r="D4466" t="inlineStr">
        <is>
          <t>GÄVLEBORGS LÄN</t>
        </is>
      </c>
      <c r="E4466" t="inlineStr">
        <is>
          <t>LJUSDAL</t>
        </is>
      </c>
      <c r="G4466" t="n">
        <v>8</v>
      </c>
      <c r="H4466" t="n">
        <v>0</v>
      </c>
      <c r="I4466" t="n">
        <v>0</v>
      </c>
      <c r="J4466" t="n">
        <v>0</v>
      </c>
      <c r="K4466" t="n">
        <v>0</v>
      </c>
      <c r="L4466" t="n">
        <v>0</v>
      </c>
      <c r="M4466" t="n">
        <v>0</v>
      </c>
      <c r="N4466" t="n">
        <v>0</v>
      </c>
      <c r="O4466" t="n">
        <v>0</v>
      </c>
      <c r="P4466" t="n">
        <v>0</v>
      </c>
      <c r="Q4466" t="n">
        <v>0</v>
      </c>
      <c r="R4466" s="2" t="inlineStr"/>
    </row>
    <row r="4467" ht="15" customHeight="1">
      <c r="A4467" t="inlineStr">
        <is>
          <t>A 5901-2025</t>
        </is>
      </c>
      <c r="B4467" s="1" t="n">
        <v>45695.39758101852</v>
      </c>
      <c r="C4467" s="1" t="n">
        <v>45911</v>
      </c>
      <c r="D4467" t="inlineStr">
        <is>
          <t>GÄVLEBORGS LÄN</t>
        </is>
      </c>
      <c r="E4467" t="inlineStr">
        <is>
          <t>HUDIKSVALL</t>
        </is>
      </c>
      <c r="F4467" t="inlineStr">
        <is>
          <t>Holmen skog AB</t>
        </is>
      </c>
      <c r="G4467" t="n">
        <v>3.2</v>
      </c>
      <c r="H4467" t="n">
        <v>0</v>
      </c>
      <c r="I4467" t="n">
        <v>0</v>
      </c>
      <c r="J4467" t="n">
        <v>0</v>
      </c>
      <c r="K4467" t="n">
        <v>0</v>
      </c>
      <c r="L4467" t="n">
        <v>0</v>
      </c>
      <c r="M4467" t="n">
        <v>0</v>
      </c>
      <c r="N4467" t="n">
        <v>0</v>
      </c>
      <c r="O4467" t="n">
        <v>0</v>
      </c>
      <c r="P4467" t="n">
        <v>0</v>
      </c>
      <c r="Q4467" t="n">
        <v>0</v>
      </c>
      <c r="R4467" s="2" t="inlineStr"/>
    </row>
    <row r="4468" ht="15" customHeight="1">
      <c r="A4468" t="inlineStr">
        <is>
          <t>A 5908-2025</t>
        </is>
      </c>
      <c r="B4468" s="1" t="n">
        <v>45695.40526620371</v>
      </c>
      <c r="C4468" s="1" t="n">
        <v>45911</v>
      </c>
      <c r="D4468" t="inlineStr">
        <is>
          <t>GÄVLEBORGS LÄN</t>
        </is>
      </c>
      <c r="E4468" t="inlineStr">
        <is>
          <t>GÄVLE</t>
        </is>
      </c>
      <c r="F4468" t="inlineStr">
        <is>
          <t>Bergvik skog öst AB</t>
        </is>
      </c>
      <c r="G4468" t="n">
        <v>4</v>
      </c>
      <c r="H4468" t="n">
        <v>0</v>
      </c>
      <c r="I4468" t="n">
        <v>0</v>
      </c>
      <c r="J4468" t="n">
        <v>0</v>
      </c>
      <c r="K4468" t="n">
        <v>0</v>
      </c>
      <c r="L4468" t="n">
        <v>0</v>
      </c>
      <c r="M4468" t="n">
        <v>0</v>
      </c>
      <c r="N4468" t="n">
        <v>0</v>
      </c>
      <c r="O4468" t="n">
        <v>0</v>
      </c>
      <c r="P4468" t="n">
        <v>0</v>
      </c>
      <c r="Q4468" t="n">
        <v>0</v>
      </c>
      <c r="R4468" s="2" t="inlineStr"/>
    </row>
    <row r="4469" ht="15" customHeight="1">
      <c r="A4469" t="inlineStr">
        <is>
          <t>A 19490-2025</t>
        </is>
      </c>
      <c r="B4469" s="1" t="n">
        <v>45770.38850694444</v>
      </c>
      <c r="C4469" s="1" t="n">
        <v>45911</v>
      </c>
      <c r="D4469" t="inlineStr">
        <is>
          <t>GÄVLEBORGS LÄN</t>
        </is>
      </c>
      <c r="E4469" t="inlineStr">
        <is>
          <t>LJUSDAL</t>
        </is>
      </c>
      <c r="G4469" t="n">
        <v>4.3</v>
      </c>
      <c r="H4469" t="n">
        <v>0</v>
      </c>
      <c r="I4469" t="n">
        <v>0</v>
      </c>
      <c r="J4469" t="n">
        <v>0</v>
      </c>
      <c r="K4469" t="n">
        <v>0</v>
      </c>
      <c r="L4469" t="n">
        <v>0</v>
      </c>
      <c r="M4469" t="n">
        <v>0</v>
      </c>
      <c r="N4469" t="n">
        <v>0</v>
      </c>
      <c r="O4469" t="n">
        <v>0</v>
      </c>
      <c r="P4469" t="n">
        <v>0</v>
      </c>
      <c r="Q4469" t="n">
        <v>0</v>
      </c>
      <c r="R4469" s="2" t="inlineStr"/>
    </row>
    <row r="4470" ht="15" customHeight="1">
      <c r="A4470" t="inlineStr">
        <is>
          <t>A 19509-2025</t>
        </is>
      </c>
      <c r="B4470" s="1" t="n">
        <v>45770.41881944444</v>
      </c>
      <c r="C4470" s="1" t="n">
        <v>45911</v>
      </c>
      <c r="D4470" t="inlineStr">
        <is>
          <t>GÄVLEBORGS LÄN</t>
        </is>
      </c>
      <c r="E4470" t="inlineStr">
        <is>
          <t>HUDIKSVALL</t>
        </is>
      </c>
      <c r="G4470" t="n">
        <v>13.7</v>
      </c>
      <c r="H4470" t="n">
        <v>0</v>
      </c>
      <c r="I4470" t="n">
        <v>0</v>
      </c>
      <c r="J4470" t="n">
        <v>0</v>
      </c>
      <c r="K4470" t="n">
        <v>0</v>
      </c>
      <c r="L4470" t="n">
        <v>0</v>
      </c>
      <c r="M4470" t="n">
        <v>0</v>
      </c>
      <c r="N4470" t="n">
        <v>0</v>
      </c>
      <c r="O4470" t="n">
        <v>0</v>
      </c>
      <c r="P4470" t="n">
        <v>0</v>
      </c>
      <c r="Q4470" t="n">
        <v>0</v>
      </c>
      <c r="R4470" s="2" t="inlineStr"/>
    </row>
    <row r="4471" ht="15" customHeight="1">
      <c r="A4471" t="inlineStr">
        <is>
          <t>A 5912-2025</t>
        </is>
      </c>
      <c r="B4471" s="1" t="n">
        <v>45695</v>
      </c>
      <c r="C4471" s="1" t="n">
        <v>45911</v>
      </c>
      <c r="D4471" t="inlineStr">
        <is>
          <t>GÄVLEBORGS LÄN</t>
        </is>
      </c>
      <c r="E4471" t="inlineStr">
        <is>
          <t>GÄVLE</t>
        </is>
      </c>
      <c r="F4471" t="inlineStr">
        <is>
          <t>Bergvik skog öst AB</t>
        </is>
      </c>
      <c r="G4471" t="n">
        <v>3.3</v>
      </c>
      <c r="H4471" t="n">
        <v>0</v>
      </c>
      <c r="I4471" t="n">
        <v>0</v>
      </c>
      <c r="J4471" t="n">
        <v>0</v>
      </c>
      <c r="K4471" t="n">
        <v>0</v>
      </c>
      <c r="L4471" t="n">
        <v>0</v>
      </c>
      <c r="M4471" t="n">
        <v>0</v>
      </c>
      <c r="N4471" t="n">
        <v>0</v>
      </c>
      <c r="O4471" t="n">
        <v>0</v>
      </c>
      <c r="P4471" t="n">
        <v>0</v>
      </c>
      <c r="Q4471" t="n">
        <v>0</v>
      </c>
      <c r="R4471" s="2" t="inlineStr"/>
    </row>
    <row r="4472" ht="15" customHeight="1">
      <c r="A4472" t="inlineStr">
        <is>
          <t>A 5914-2025</t>
        </is>
      </c>
      <c r="B4472" s="1" t="n">
        <v>45695</v>
      </c>
      <c r="C4472" s="1" t="n">
        <v>45911</v>
      </c>
      <c r="D4472" t="inlineStr">
        <is>
          <t>GÄVLEBORGS LÄN</t>
        </is>
      </c>
      <c r="E4472" t="inlineStr">
        <is>
          <t>GÄVLE</t>
        </is>
      </c>
      <c r="F4472" t="inlineStr">
        <is>
          <t>Bergvik skog öst AB</t>
        </is>
      </c>
      <c r="G4472" t="n">
        <v>6.5</v>
      </c>
      <c r="H4472" t="n">
        <v>0</v>
      </c>
      <c r="I4472" t="n">
        <v>0</v>
      </c>
      <c r="J4472" t="n">
        <v>0</v>
      </c>
      <c r="K4472" t="n">
        <v>0</v>
      </c>
      <c r="L4472" t="n">
        <v>0</v>
      </c>
      <c r="M4472" t="n">
        <v>0</v>
      </c>
      <c r="N4472" t="n">
        <v>0</v>
      </c>
      <c r="O4472" t="n">
        <v>0</v>
      </c>
      <c r="P4472" t="n">
        <v>0</v>
      </c>
      <c r="Q4472" t="n">
        <v>0</v>
      </c>
      <c r="R4472" s="2" t="inlineStr"/>
    </row>
    <row r="4473" ht="15" customHeight="1">
      <c r="A4473" t="inlineStr">
        <is>
          <t>A 31163-2022</t>
        </is>
      </c>
      <c r="B4473" s="1" t="n">
        <v>44770.4959837963</v>
      </c>
      <c r="C4473" s="1" t="n">
        <v>45911</v>
      </c>
      <c r="D4473" t="inlineStr">
        <is>
          <t>GÄVLEBORGS LÄN</t>
        </is>
      </c>
      <c r="E4473" t="inlineStr">
        <is>
          <t>OVANÅKER</t>
        </is>
      </c>
      <c r="F4473" t="inlineStr">
        <is>
          <t>Bergvik skog öst AB</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5940-2025</t>
        </is>
      </c>
      <c r="B4474" s="1" t="n">
        <v>45695.46601851852</v>
      </c>
      <c r="C4474" s="1" t="n">
        <v>45911</v>
      </c>
      <c r="D4474" t="inlineStr">
        <is>
          <t>GÄVLEBORGS LÄN</t>
        </is>
      </c>
      <c r="E4474" t="inlineStr">
        <is>
          <t>HUDIKSVALL</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5946-2025</t>
        </is>
      </c>
      <c r="B4475" s="1" t="n">
        <v>45695.46989583333</v>
      </c>
      <c r="C4475" s="1" t="n">
        <v>45911</v>
      </c>
      <c r="D4475" t="inlineStr">
        <is>
          <t>GÄVLEBORGS LÄN</t>
        </is>
      </c>
      <c r="E4475" t="inlineStr">
        <is>
          <t>HUDIKSVALL</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58955-2023</t>
        </is>
      </c>
      <c r="B4476" s="1" t="n">
        <v>45252</v>
      </c>
      <c r="C4476" s="1" t="n">
        <v>45911</v>
      </c>
      <c r="D4476" t="inlineStr">
        <is>
          <t>GÄVLEBORGS LÄN</t>
        </is>
      </c>
      <c r="E4476" t="inlineStr">
        <is>
          <t>HOFORS</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31040-2025</t>
        </is>
      </c>
      <c r="B4477" s="1" t="n">
        <v>45832.55109953704</v>
      </c>
      <c r="C4477" s="1" t="n">
        <v>45911</v>
      </c>
      <c r="D4477" t="inlineStr">
        <is>
          <t>GÄVLEBORGS LÄN</t>
        </is>
      </c>
      <c r="E4477" t="inlineStr">
        <is>
          <t>LJUSDAL</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30870-2025</t>
        </is>
      </c>
      <c r="B4478" s="1" t="n">
        <v>45832.33273148148</v>
      </c>
      <c r="C4478" s="1" t="n">
        <v>45911</v>
      </c>
      <c r="D4478" t="inlineStr">
        <is>
          <t>GÄVLEBORGS LÄN</t>
        </is>
      </c>
      <c r="E4478" t="inlineStr">
        <is>
          <t>NORDANSTIG</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30590-2022</t>
        </is>
      </c>
      <c r="B4479" s="1" t="n">
        <v>44762</v>
      </c>
      <c r="C4479" s="1" t="n">
        <v>45911</v>
      </c>
      <c r="D4479" t="inlineStr">
        <is>
          <t>GÄVLEBORGS LÄN</t>
        </is>
      </c>
      <c r="E4479" t="inlineStr">
        <is>
          <t>HUDIKSVALL</t>
        </is>
      </c>
      <c r="F4479" t="inlineStr">
        <is>
          <t>Sveaskog</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51310-2023</t>
        </is>
      </c>
      <c r="B4480" s="1" t="n">
        <v>45219.56564814815</v>
      </c>
      <c r="C4480" s="1" t="n">
        <v>45911</v>
      </c>
      <c r="D4480" t="inlineStr">
        <is>
          <t>GÄVLEBORGS LÄN</t>
        </is>
      </c>
      <c r="E4480" t="inlineStr">
        <is>
          <t>BOLLNÄS</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31890-2022</t>
        </is>
      </c>
      <c r="B4481" s="1" t="n">
        <v>44777</v>
      </c>
      <c r="C4481" s="1" t="n">
        <v>45911</v>
      </c>
      <c r="D4481" t="inlineStr">
        <is>
          <t>GÄVLEBORGS LÄN</t>
        </is>
      </c>
      <c r="E4481" t="inlineStr">
        <is>
          <t>LJUSDAL</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58610-2023</t>
        </is>
      </c>
      <c r="B4482" s="1" t="n">
        <v>45251.49936342592</v>
      </c>
      <c r="C4482" s="1" t="n">
        <v>45911</v>
      </c>
      <c r="D4482" t="inlineStr">
        <is>
          <t>GÄVLEBORGS LÄN</t>
        </is>
      </c>
      <c r="E4482" t="inlineStr">
        <is>
          <t>SÖDERHAMN</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58626-2023</t>
        </is>
      </c>
      <c r="B4483" s="1" t="n">
        <v>45251.55770833333</v>
      </c>
      <c r="C4483" s="1" t="n">
        <v>45911</v>
      </c>
      <c r="D4483" t="inlineStr">
        <is>
          <t>GÄVLEBORGS LÄN</t>
        </is>
      </c>
      <c r="E4483" t="inlineStr">
        <is>
          <t>LJUSDAL</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13582-2021</t>
        </is>
      </c>
      <c r="B4484" s="1" t="n">
        <v>44274.30858796297</v>
      </c>
      <c r="C4484" s="1" t="n">
        <v>45911</v>
      </c>
      <c r="D4484" t="inlineStr">
        <is>
          <t>GÄVLEBORGS LÄN</t>
        </is>
      </c>
      <c r="E4484" t="inlineStr">
        <is>
          <t>SÖDERHAMN</t>
        </is>
      </c>
      <c r="F4484" t="inlineStr">
        <is>
          <t>Bergvik skog väst AB</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40060-2023</t>
        </is>
      </c>
      <c r="B4485" s="1" t="n">
        <v>45168.75980324074</v>
      </c>
      <c r="C4485" s="1" t="n">
        <v>45911</v>
      </c>
      <c r="D4485" t="inlineStr">
        <is>
          <t>GÄVLEBORGS LÄN</t>
        </is>
      </c>
      <c r="E4485" t="inlineStr">
        <is>
          <t>HUDIKSVALL</t>
        </is>
      </c>
      <c r="F4485" t="inlineStr">
        <is>
          <t>Holmen skog AB</t>
        </is>
      </c>
      <c r="G4485" t="n">
        <v>4.3</v>
      </c>
      <c r="H4485" t="n">
        <v>0</v>
      </c>
      <c r="I4485" t="n">
        <v>0</v>
      </c>
      <c r="J4485" t="n">
        <v>0</v>
      </c>
      <c r="K4485" t="n">
        <v>0</v>
      </c>
      <c r="L4485" t="n">
        <v>0</v>
      </c>
      <c r="M4485" t="n">
        <v>0</v>
      </c>
      <c r="N4485" t="n">
        <v>0</v>
      </c>
      <c r="O4485" t="n">
        <v>0</v>
      </c>
      <c r="P4485" t="n">
        <v>0</v>
      </c>
      <c r="Q4485" t="n">
        <v>0</v>
      </c>
      <c r="R4485" s="2" t="inlineStr"/>
    </row>
    <row r="4486" ht="15" customHeight="1">
      <c r="A4486" t="inlineStr">
        <is>
          <t>A 40793-2024</t>
        </is>
      </c>
      <c r="B4486" s="1" t="n">
        <v>45558</v>
      </c>
      <c r="C4486" s="1" t="n">
        <v>45911</v>
      </c>
      <c r="D4486" t="inlineStr">
        <is>
          <t>GÄVLEBORGS LÄN</t>
        </is>
      </c>
      <c r="E4486" t="inlineStr">
        <is>
          <t>SÖDERHAMN</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21616-2022</t>
        </is>
      </c>
      <c r="B4487" s="1" t="n">
        <v>44706</v>
      </c>
      <c r="C4487" s="1" t="n">
        <v>45911</v>
      </c>
      <c r="D4487" t="inlineStr">
        <is>
          <t>GÄVLEBORGS LÄN</t>
        </is>
      </c>
      <c r="E4487" t="inlineStr">
        <is>
          <t>BOLLNÄS</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25593-2024</t>
        </is>
      </c>
      <c r="B4488" s="1" t="n">
        <v>45463.6169212963</v>
      </c>
      <c r="C4488" s="1" t="n">
        <v>45911</v>
      </c>
      <c r="D4488" t="inlineStr">
        <is>
          <t>GÄVLEBORGS LÄN</t>
        </is>
      </c>
      <c r="E4488" t="inlineStr">
        <is>
          <t>GÄVLE</t>
        </is>
      </c>
      <c r="F4488" t="inlineStr">
        <is>
          <t>Bergvik skog öst AB</t>
        </is>
      </c>
      <c r="G4488" t="n">
        <v>0.4</v>
      </c>
      <c r="H4488" t="n">
        <v>0</v>
      </c>
      <c r="I4488" t="n">
        <v>0</v>
      </c>
      <c r="J4488" t="n">
        <v>0</v>
      </c>
      <c r="K4488" t="n">
        <v>0</v>
      </c>
      <c r="L4488" t="n">
        <v>0</v>
      </c>
      <c r="M4488" t="n">
        <v>0</v>
      </c>
      <c r="N4488" t="n">
        <v>0</v>
      </c>
      <c r="O4488" t="n">
        <v>0</v>
      </c>
      <c r="P4488" t="n">
        <v>0</v>
      </c>
      <c r="Q4488" t="n">
        <v>0</v>
      </c>
      <c r="R4488" s="2" t="inlineStr"/>
    </row>
    <row r="4489" ht="15" customHeight="1">
      <c r="A4489" t="inlineStr">
        <is>
          <t>A 27967-2022</t>
        </is>
      </c>
      <c r="B4489" s="1" t="n">
        <v>44744</v>
      </c>
      <c r="C4489" s="1" t="n">
        <v>45911</v>
      </c>
      <c r="D4489" t="inlineStr">
        <is>
          <t>GÄVLEBORGS LÄN</t>
        </is>
      </c>
      <c r="E4489" t="inlineStr">
        <is>
          <t>SANDVIKEN</t>
        </is>
      </c>
      <c r="G4489" t="n">
        <v>6.9</v>
      </c>
      <c r="H4489" t="n">
        <v>0</v>
      </c>
      <c r="I4489" t="n">
        <v>0</v>
      </c>
      <c r="J4489" t="n">
        <v>0</v>
      </c>
      <c r="K4489" t="n">
        <v>0</v>
      </c>
      <c r="L4489" t="n">
        <v>0</v>
      </c>
      <c r="M4489" t="n">
        <v>0</v>
      </c>
      <c r="N4489" t="n">
        <v>0</v>
      </c>
      <c r="O4489" t="n">
        <v>0</v>
      </c>
      <c r="P4489" t="n">
        <v>0</v>
      </c>
      <c r="Q4489" t="n">
        <v>0</v>
      </c>
      <c r="R4489" s="2" t="inlineStr"/>
    </row>
    <row r="4490" ht="15" customHeight="1">
      <c r="A4490" t="inlineStr">
        <is>
          <t>A 2645-2024</t>
        </is>
      </c>
      <c r="B4490" s="1" t="n">
        <v>45314.36574074074</v>
      </c>
      <c r="C4490" s="1" t="n">
        <v>45911</v>
      </c>
      <c r="D4490" t="inlineStr">
        <is>
          <t>GÄVLEBORGS LÄN</t>
        </is>
      </c>
      <c r="E4490" t="inlineStr">
        <is>
          <t>HUDIKSVALL</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2654-2024</t>
        </is>
      </c>
      <c r="B4491" s="1" t="n">
        <v>45314.37202546297</v>
      </c>
      <c r="C4491" s="1" t="n">
        <v>45911</v>
      </c>
      <c r="D4491" t="inlineStr">
        <is>
          <t>GÄVLEBORGS LÄN</t>
        </is>
      </c>
      <c r="E4491" t="inlineStr">
        <is>
          <t>HUDIKSVALL</t>
        </is>
      </c>
      <c r="F4491" t="inlineStr">
        <is>
          <t>Holmen skog AB</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18914-2024</t>
        </is>
      </c>
      <c r="B4492" s="1" t="n">
        <v>45427.383125</v>
      </c>
      <c r="C4492" s="1" t="n">
        <v>45911</v>
      </c>
      <c r="D4492" t="inlineStr">
        <is>
          <t>GÄVLEBORGS LÄN</t>
        </is>
      </c>
      <c r="E4492" t="inlineStr">
        <is>
          <t>LJUSDAL</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50704-2024</t>
        </is>
      </c>
      <c r="B4493" s="1" t="n">
        <v>45602.36324074074</v>
      </c>
      <c r="C4493" s="1" t="n">
        <v>45911</v>
      </c>
      <c r="D4493" t="inlineStr">
        <is>
          <t>GÄVLEBORGS LÄN</t>
        </is>
      </c>
      <c r="E4493" t="inlineStr">
        <is>
          <t>SANDVIKEN</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50712-2024</t>
        </is>
      </c>
      <c r="B4494" s="1" t="n">
        <v>45602.3834375</v>
      </c>
      <c r="C4494" s="1" t="n">
        <v>45911</v>
      </c>
      <c r="D4494" t="inlineStr">
        <is>
          <t>GÄVLEBORGS LÄN</t>
        </is>
      </c>
      <c r="E4494" t="inlineStr">
        <is>
          <t>LJUSDAL</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37012-2025</t>
        </is>
      </c>
      <c r="B4495" s="1" t="n">
        <v>45874.7066550926</v>
      </c>
      <c r="C4495" s="1" t="n">
        <v>45911</v>
      </c>
      <c r="D4495" t="inlineStr">
        <is>
          <t>GÄVLEBORGS LÄN</t>
        </is>
      </c>
      <c r="E4495" t="inlineStr">
        <is>
          <t>HOFORS</t>
        </is>
      </c>
      <c r="F4495" t="inlineStr">
        <is>
          <t>Sveaskog</t>
        </is>
      </c>
      <c r="G4495" t="n">
        <v>3.7</v>
      </c>
      <c r="H4495" t="n">
        <v>0</v>
      </c>
      <c r="I4495" t="n">
        <v>0</v>
      </c>
      <c r="J4495" t="n">
        <v>0</v>
      </c>
      <c r="K4495" t="n">
        <v>0</v>
      </c>
      <c r="L4495" t="n">
        <v>0</v>
      </c>
      <c r="M4495" t="n">
        <v>0</v>
      </c>
      <c r="N4495" t="n">
        <v>0</v>
      </c>
      <c r="O4495" t="n">
        <v>0</v>
      </c>
      <c r="P4495" t="n">
        <v>0</v>
      </c>
      <c r="Q4495" t="n">
        <v>0</v>
      </c>
      <c r="R4495" s="2" t="inlineStr"/>
    </row>
    <row r="4496" ht="15" customHeight="1">
      <c r="A4496" t="inlineStr">
        <is>
          <t>A 41254-2024</t>
        </is>
      </c>
      <c r="B4496" s="1" t="n">
        <v>45559.58112268519</v>
      </c>
      <c r="C4496" s="1" t="n">
        <v>45911</v>
      </c>
      <c r="D4496" t="inlineStr">
        <is>
          <t>GÄVLEBORGS LÄN</t>
        </is>
      </c>
      <c r="E4496" t="inlineStr">
        <is>
          <t>HUDIKSVALL</t>
        </is>
      </c>
      <c r="F4496" t="inlineStr">
        <is>
          <t>Holmen skog AB</t>
        </is>
      </c>
      <c r="G4496" t="n">
        <v>6.4</v>
      </c>
      <c r="H4496" t="n">
        <v>0</v>
      </c>
      <c r="I4496" t="n">
        <v>0</v>
      </c>
      <c r="J4496" t="n">
        <v>0</v>
      </c>
      <c r="K4496" t="n">
        <v>0</v>
      </c>
      <c r="L4496" t="n">
        <v>0</v>
      </c>
      <c r="M4496" t="n">
        <v>0</v>
      </c>
      <c r="N4496" t="n">
        <v>0</v>
      </c>
      <c r="O4496" t="n">
        <v>0</v>
      </c>
      <c r="P4496" t="n">
        <v>0</v>
      </c>
      <c r="Q4496" t="n">
        <v>0</v>
      </c>
      <c r="R4496" s="2" t="inlineStr"/>
    </row>
    <row r="4497" ht="15" customHeight="1">
      <c r="A4497" t="inlineStr">
        <is>
          <t>A 12140-2021</t>
        </is>
      </c>
      <c r="B4497" s="1" t="n">
        <v>44266.56907407408</v>
      </c>
      <c r="C4497" s="1" t="n">
        <v>45911</v>
      </c>
      <c r="D4497" t="inlineStr">
        <is>
          <t>GÄVLEBORGS LÄN</t>
        </is>
      </c>
      <c r="E4497" t="inlineStr">
        <is>
          <t>OVANÅKER</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30798-2025</t>
        </is>
      </c>
      <c r="B4498" s="1" t="n">
        <v>45831.65035879629</v>
      </c>
      <c r="C4498" s="1" t="n">
        <v>45911</v>
      </c>
      <c r="D4498" t="inlineStr">
        <is>
          <t>GÄVLEBORGS LÄN</t>
        </is>
      </c>
      <c r="E4498" t="inlineStr">
        <is>
          <t>SÖDERHAMN</t>
        </is>
      </c>
      <c r="G4498" t="n">
        <v>3.8</v>
      </c>
      <c r="H4498" t="n">
        <v>0</v>
      </c>
      <c r="I4498" t="n">
        <v>0</v>
      </c>
      <c r="J4498" t="n">
        <v>0</v>
      </c>
      <c r="K4498" t="n">
        <v>0</v>
      </c>
      <c r="L4498" t="n">
        <v>0</v>
      </c>
      <c r="M4498" t="n">
        <v>0</v>
      </c>
      <c r="N4498" t="n">
        <v>0</v>
      </c>
      <c r="O4498" t="n">
        <v>0</v>
      </c>
      <c r="P4498" t="n">
        <v>0</v>
      </c>
      <c r="Q4498" t="n">
        <v>0</v>
      </c>
      <c r="R4498" s="2" t="inlineStr"/>
    </row>
    <row r="4499" ht="15" customHeight="1">
      <c r="A4499" t="inlineStr">
        <is>
          <t>A 36931-2025</t>
        </is>
      </c>
      <c r="B4499" s="1" t="n">
        <v>45874.55706018519</v>
      </c>
      <c r="C4499" s="1" t="n">
        <v>45911</v>
      </c>
      <c r="D4499" t="inlineStr">
        <is>
          <t>GÄVLEBORGS LÄN</t>
        </is>
      </c>
      <c r="E4499" t="inlineStr">
        <is>
          <t>HUDIKSVALL</t>
        </is>
      </c>
      <c r="G4499" t="n">
        <v>3.2</v>
      </c>
      <c r="H4499" t="n">
        <v>0</v>
      </c>
      <c r="I4499" t="n">
        <v>0</v>
      </c>
      <c r="J4499" t="n">
        <v>0</v>
      </c>
      <c r="K4499" t="n">
        <v>0</v>
      </c>
      <c r="L4499" t="n">
        <v>0</v>
      </c>
      <c r="M4499" t="n">
        <v>0</v>
      </c>
      <c r="N4499" t="n">
        <v>0</v>
      </c>
      <c r="O4499" t="n">
        <v>0</v>
      </c>
      <c r="P4499" t="n">
        <v>0</v>
      </c>
      <c r="Q4499" t="n">
        <v>0</v>
      </c>
      <c r="R4499" s="2" t="inlineStr"/>
    </row>
    <row r="4500" ht="15" customHeight="1">
      <c r="A4500" t="inlineStr">
        <is>
          <t>A 55538-2024</t>
        </is>
      </c>
      <c r="B4500" s="1" t="n">
        <v>45622.49493055556</v>
      </c>
      <c r="C4500" s="1" t="n">
        <v>45911</v>
      </c>
      <c r="D4500" t="inlineStr">
        <is>
          <t>GÄVLEBORGS LÄN</t>
        </is>
      </c>
      <c r="E4500" t="inlineStr">
        <is>
          <t>NORDANSTIG</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55570-2024</t>
        </is>
      </c>
      <c r="B4501" s="1" t="n">
        <v>45622.5512037037</v>
      </c>
      <c r="C4501" s="1" t="n">
        <v>45911</v>
      </c>
      <c r="D4501" t="inlineStr">
        <is>
          <t>GÄVLEBORGS LÄN</t>
        </is>
      </c>
      <c r="E4501" t="inlineStr">
        <is>
          <t>BOLLNÄS</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17445-2024</t>
        </is>
      </c>
      <c r="B4502" s="1" t="n">
        <v>45415.37329861111</v>
      </c>
      <c r="C4502" s="1" t="n">
        <v>45911</v>
      </c>
      <c r="D4502" t="inlineStr">
        <is>
          <t>GÄVLEBORGS LÄN</t>
        </is>
      </c>
      <c r="E4502" t="inlineStr">
        <is>
          <t>SANDVIKEN</t>
        </is>
      </c>
      <c r="G4502" t="n">
        <v>2.9</v>
      </c>
      <c r="H4502" t="n">
        <v>0</v>
      </c>
      <c r="I4502" t="n">
        <v>0</v>
      </c>
      <c r="J4502" t="n">
        <v>0</v>
      </c>
      <c r="K4502" t="n">
        <v>0</v>
      </c>
      <c r="L4502" t="n">
        <v>0</v>
      </c>
      <c r="M4502" t="n">
        <v>0</v>
      </c>
      <c r="N4502" t="n">
        <v>0</v>
      </c>
      <c r="O4502" t="n">
        <v>0</v>
      </c>
      <c r="P4502" t="n">
        <v>0</v>
      </c>
      <c r="Q4502" t="n">
        <v>0</v>
      </c>
      <c r="R4502" s="2" t="inlineStr"/>
    </row>
    <row r="4503" ht="15" customHeight="1">
      <c r="A4503" t="inlineStr">
        <is>
          <t>A 30939-2025</t>
        </is>
      </c>
      <c r="B4503" s="1" t="n">
        <v>45832.40680555555</v>
      </c>
      <c r="C4503" s="1" t="n">
        <v>45911</v>
      </c>
      <c r="D4503" t="inlineStr">
        <is>
          <t>GÄVLEBORGS LÄN</t>
        </is>
      </c>
      <c r="E4503" t="inlineStr">
        <is>
          <t>HUDIKSVALL</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49856-2024</t>
        </is>
      </c>
      <c r="B4504" s="1" t="n">
        <v>45597.46902777778</v>
      </c>
      <c r="C4504" s="1" t="n">
        <v>45911</v>
      </c>
      <c r="D4504" t="inlineStr">
        <is>
          <t>GÄVLEBORGS LÄN</t>
        </is>
      </c>
      <c r="E4504" t="inlineStr">
        <is>
          <t>OVANÅKER</t>
        </is>
      </c>
      <c r="G4504" t="n">
        <v>3.4</v>
      </c>
      <c r="H4504" t="n">
        <v>0</v>
      </c>
      <c r="I4504" t="n">
        <v>0</v>
      </c>
      <c r="J4504" t="n">
        <v>0</v>
      </c>
      <c r="K4504" t="n">
        <v>0</v>
      </c>
      <c r="L4504" t="n">
        <v>0</v>
      </c>
      <c r="M4504" t="n">
        <v>0</v>
      </c>
      <c r="N4504" t="n">
        <v>0</v>
      </c>
      <c r="O4504" t="n">
        <v>0</v>
      </c>
      <c r="P4504" t="n">
        <v>0</v>
      </c>
      <c r="Q4504" t="n">
        <v>0</v>
      </c>
      <c r="R4504" s="2" t="inlineStr"/>
    </row>
    <row r="4505" ht="15" customHeight="1">
      <c r="A4505" t="inlineStr">
        <is>
          <t>A 49857-2024</t>
        </is>
      </c>
      <c r="B4505" s="1" t="n">
        <v>45597.46914351852</v>
      </c>
      <c r="C4505" s="1" t="n">
        <v>45911</v>
      </c>
      <c r="D4505" t="inlineStr">
        <is>
          <t>GÄVLEBORGS LÄN</t>
        </is>
      </c>
      <c r="E4505" t="inlineStr">
        <is>
          <t>OVANÅKER</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30961-2025</t>
        </is>
      </c>
      <c r="B4506" s="1" t="n">
        <v>45832.44423611111</v>
      </c>
      <c r="C4506" s="1" t="n">
        <v>45911</v>
      </c>
      <c r="D4506" t="inlineStr">
        <is>
          <t>GÄVLEBORGS LÄN</t>
        </is>
      </c>
      <c r="E4506" t="inlineStr">
        <is>
          <t>LJUSDAL</t>
        </is>
      </c>
      <c r="G4506" t="n">
        <v>3.2</v>
      </c>
      <c r="H4506" t="n">
        <v>0</v>
      </c>
      <c r="I4506" t="n">
        <v>0</v>
      </c>
      <c r="J4506" t="n">
        <v>0</v>
      </c>
      <c r="K4506" t="n">
        <v>0</v>
      </c>
      <c r="L4506" t="n">
        <v>0</v>
      </c>
      <c r="M4506" t="n">
        <v>0</v>
      </c>
      <c r="N4506" t="n">
        <v>0</v>
      </c>
      <c r="O4506" t="n">
        <v>0</v>
      </c>
      <c r="P4506" t="n">
        <v>0</v>
      </c>
      <c r="Q4506" t="n">
        <v>0</v>
      </c>
      <c r="R4506" s="2" t="inlineStr"/>
    </row>
    <row r="4507" ht="15" customHeight="1">
      <c r="A4507" t="inlineStr">
        <is>
          <t>A 31145-2025</t>
        </is>
      </c>
      <c r="B4507" s="1" t="n">
        <v>45832.63834490741</v>
      </c>
      <c r="C4507" s="1" t="n">
        <v>45911</v>
      </c>
      <c r="D4507" t="inlineStr">
        <is>
          <t>GÄVLEBORGS LÄN</t>
        </is>
      </c>
      <c r="E4507" t="inlineStr">
        <is>
          <t>SANDVIKEN</t>
        </is>
      </c>
      <c r="F4507" t="inlineStr">
        <is>
          <t>Bergvik skog öst AB</t>
        </is>
      </c>
      <c r="G4507" t="n">
        <v>5.8</v>
      </c>
      <c r="H4507" t="n">
        <v>0</v>
      </c>
      <c r="I4507" t="n">
        <v>0</v>
      </c>
      <c r="J4507" t="n">
        <v>0</v>
      </c>
      <c r="K4507" t="n">
        <v>0</v>
      </c>
      <c r="L4507" t="n">
        <v>0</v>
      </c>
      <c r="M4507" t="n">
        <v>0</v>
      </c>
      <c r="N4507" t="n">
        <v>0</v>
      </c>
      <c r="O4507" t="n">
        <v>0</v>
      </c>
      <c r="P4507" t="n">
        <v>0</v>
      </c>
      <c r="Q4507" t="n">
        <v>0</v>
      </c>
      <c r="R4507" s="2" t="inlineStr"/>
    </row>
    <row r="4508" ht="15" customHeight="1">
      <c r="A4508" t="inlineStr">
        <is>
          <t>A 50900-2024</t>
        </is>
      </c>
      <c r="B4508" s="1" t="n">
        <v>45602.68607638889</v>
      </c>
      <c r="C4508" s="1" t="n">
        <v>45911</v>
      </c>
      <c r="D4508" t="inlineStr">
        <is>
          <t>GÄVLEBORGS LÄN</t>
        </is>
      </c>
      <c r="E4508" t="inlineStr">
        <is>
          <t>SANDVIKEN</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31202-2025</t>
        </is>
      </c>
      <c r="B4509" s="1" t="n">
        <v>45832.69885416667</v>
      </c>
      <c r="C4509" s="1" t="n">
        <v>45911</v>
      </c>
      <c r="D4509" t="inlineStr">
        <is>
          <t>GÄVLEBORGS LÄN</t>
        </is>
      </c>
      <c r="E4509" t="inlineStr">
        <is>
          <t>SANDVIKEN</t>
        </is>
      </c>
      <c r="G4509" t="n">
        <v>2.6</v>
      </c>
      <c r="H4509" t="n">
        <v>0</v>
      </c>
      <c r="I4509" t="n">
        <v>0</v>
      </c>
      <c r="J4509" t="n">
        <v>0</v>
      </c>
      <c r="K4509" t="n">
        <v>0</v>
      </c>
      <c r="L4509" t="n">
        <v>0</v>
      </c>
      <c r="M4509" t="n">
        <v>0</v>
      </c>
      <c r="N4509" t="n">
        <v>0</v>
      </c>
      <c r="O4509" t="n">
        <v>0</v>
      </c>
      <c r="P4509" t="n">
        <v>0</v>
      </c>
      <c r="Q4509" t="n">
        <v>0</v>
      </c>
      <c r="R4509" s="2" t="inlineStr"/>
    </row>
    <row r="4510" ht="15" customHeight="1">
      <c r="A4510" t="inlineStr">
        <is>
          <t>A 56351-2024</t>
        </is>
      </c>
      <c r="B4510" s="1" t="n">
        <v>45624.91649305556</v>
      </c>
      <c r="C4510" s="1" t="n">
        <v>45911</v>
      </c>
      <c r="D4510" t="inlineStr">
        <is>
          <t>GÄVLEBORGS LÄN</t>
        </is>
      </c>
      <c r="E4510" t="inlineStr">
        <is>
          <t>NORDANSTIG</t>
        </is>
      </c>
      <c r="G4510" t="n">
        <v>4.2</v>
      </c>
      <c r="H4510" t="n">
        <v>0</v>
      </c>
      <c r="I4510" t="n">
        <v>0</v>
      </c>
      <c r="J4510" t="n">
        <v>0</v>
      </c>
      <c r="K4510" t="n">
        <v>0</v>
      </c>
      <c r="L4510" t="n">
        <v>0</v>
      </c>
      <c r="M4510" t="n">
        <v>0</v>
      </c>
      <c r="N4510" t="n">
        <v>0</v>
      </c>
      <c r="O4510" t="n">
        <v>0</v>
      </c>
      <c r="P4510" t="n">
        <v>0</v>
      </c>
      <c r="Q4510" t="n">
        <v>0</v>
      </c>
      <c r="R4510" s="2" t="inlineStr"/>
    </row>
    <row r="4511" ht="15" customHeight="1">
      <c r="A4511" t="inlineStr">
        <is>
          <t>A 30495-2025</t>
        </is>
      </c>
      <c r="B4511" s="1" t="n">
        <v>45830.63542824074</v>
      </c>
      <c r="C4511" s="1" t="n">
        <v>45911</v>
      </c>
      <c r="D4511" t="inlineStr">
        <is>
          <t>GÄVLEBORGS LÄN</t>
        </is>
      </c>
      <c r="E4511" t="inlineStr">
        <is>
          <t>HOFORS</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30650-2025</t>
        </is>
      </c>
      <c r="B4512" s="1" t="n">
        <v>45831.50133101852</v>
      </c>
      <c r="C4512" s="1" t="n">
        <v>45911</v>
      </c>
      <c r="D4512" t="inlineStr">
        <is>
          <t>GÄVLEBORGS LÄN</t>
        </is>
      </c>
      <c r="E4512" t="inlineStr">
        <is>
          <t>BOLLNÄS</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30915-2025</t>
        </is>
      </c>
      <c r="B4513" s="1" t="n">
        <v>45832.37814814815</v>
      </c>
      <c r="C4513" s="1" t="n">
        <v>45911</v>
      </c>
      <c r="D4513" t="inlineStr">
        <is>
          <t>GÄVLEBORGS LÄN</t>
        </is>
      </c>
      <c r="E4513" t="inlineStr">
        <is>
          <t>GÄVLE</t>
        </is>
      </c>
      <c r="G4513" t="n">
        <v>3.3</v>
      </c>
      <c r="H4513" t="n">
        <v>0</v>
      </c>
      <c r="I4513" t="n">
        <v>0</v>
      </c>
      <c r="J4513" t="n">
        <v>0</v>
      </c>
      <c r="K4513" t="n">
        <v>0</v>
      </c>
      <c r="L4513" t="n">
        <v>0</v>
      </c>
      <c r="M4513" t="n">
        <v>0</v>
      </c>
      <c r="N4513" t="n">
        <v>0</v>
      </c>
      <c r="O4513" t="n">
        <v>0</v>
      </c>
      <c r="P4513" t="n">
        <v>0</v>
      </c>
      <c r="Q4513" t="n">
        <v>0</v>
      </c>
      <c r="R4513" s="2" t="inlineStr"/>
    </row>
    <row r="4514" ht="15" customHeight="1">
      <c r="A4514" t="inlineStr">
        <is>
          <t>A 36680-2025</t>
        </is>
      </c>
      <c r="B4514" s="1" t="n">
        <v>45873.39840277778</v>
      </c>
      <c r="C4514" s="1" t="n">
        <v>45911</v>
      </c>
      <c r="D4514" t="inlineStr">
        <is>
          <t>GÄVLEBORGS LÄN</t>
        </is>
      </c>
      <c r="E4514" t="inlineStr">
        <is>
          <t>GÄVLE</t>
        </is>
      </c>
      <c r="F4514" t="inlineStr">
        <is>
          <t>Bergvik skog väst AB</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21061-2023</t>
        </is>
      </c>
      <c r="B4515" s="1" t="n">
        <v>45061</v>
      </c>
      <c r="C4515" s="1" t="n">
        <v>45911</v>
      </c>
      <c r="D4515" t="inlineStr">
        <is>
          <t>GÄVLEBORGS LÄN</t>
        </is>
      </c>
      <c r="E4515" t="inlineStr">
        <is>
          <t>BOLLNÄS</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36693-2025</t>
        </is>
      </c>
      <c r="B4516" s="1" t="n">
        <v>45873.43695601852</v>
      </c>
      <c r="C4516" s="1" t="n">
        <v>45911</v>
      </c>
      <c r="D4516" t="inlineStr">
        <is>
          <t>GÄVLEBORGS LÄN</t>
        </is>
      </c>
      <c r="E4516" t="inlineStr">
        <is>
          <t>SANDVIKEN</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14356-2025</t>
        </is>
      </c>
      <c r="B4517" s="1" t="n">
        <v>45741.36755787037</v>
      </c>
      <c r="C4517" s="1" t="n">
        <v>45911</v>
      </c>
      <c r="D4517" t="inlineStr">
        <is>
          <t>GÄVLEBORGS LÄN</t>
        </is>
      </c>
      <c r="E4517" t="inlineStr">
        <is>
          <t>SANDVIKEN</t>
        </is>
      </c>
      <c r="F4517" t="inlineStr">
        <is>
          <t>Bergvik skog öst AB</t>
        </is>
      </c>
      <c r="G4517" t="n">
        <v>7.1</v>
      </c>
      <c r="H4517" t="n">
        <v>0</v>
      </c>
      <c r="I4517" t="n">
        <v>0</v>
      </c>
      <c r="J4517" t="n">
        <v>0</v>
      </c>
      <c r="K4517" t="n">
        <v>0</v>
      </c>
      <c r="L4517" t="n">
        <v>0</v>
      </c>
      <c r="M4517" t="n">
        <v>0</v>
      </c>
      <c r="N4517" t="n">
        <v>0</v>
      </c>
      <c r="O4517" t="n">
        <v>0</v>
      </c>
      <c r="P4517" t="n">
        <v>0</v>
      </c>
      <c r="Q4517" t="n">
        <v>0</v>
      </c>
      <c r="R4517" s="2" t="inlineStr"/>
    </row>
    <row r="4518" ht="15" customHeight="1">
      <c r="A4518" t="inlineStr">
        <is>
          <t>A 13369-2021</t>
        </is>
      </c>
      <c r="B4518" s="1" t="n">
        <v>44273.39921296296</v>
      </c>
      <c r="C4518" s="1" t="n">
        <v>45911</v>
      </c>
      <c r="D4518" t="inlineStr">
        <is>
          <t>GÄVLEBORGS LÄN</t>
        </is>
      </c>
      <c r="E4518" t="inlineStr">
        <is>
          <t>LJUSDAL</t>
        </is>
      </c>
      <c r="G4518" t="n">
        <v>8.699999999999999</v>
      </c>
      <c r="H4518" t="n">
        <v>0</v>
      </c>
      <c r="I4518" t="n">
        <v>0</v>
      </c>
      <c r="J4518" t="n">
        <v>0</v>
      </c>
      <c r="K4518" t="n">
        <v>0</v>
      </c>
      <c r="L4518" t="n">
        <v>0</v>
      </c>
      <c r="M4518" t="n">
        <v>0</v>
      </c>
      <c r="N4518" t="n">
        <v>0</v>
      </c>
      <c r="O4518" t="n">
        <v>0</v>
      </c>
      <c r="P4518" t="n">
        <v>0</v>
      </c>
      <c r="Q4518" t="n">
        <v>0</v>
      </c>
      <c r="R4518" s="2" t="inlineStr"/>
    </row>
    <row r="4519" ht="15" customHeight="1">
      <c r="A4519" t="inlineStr">
        <is>
          <t>A 30979-2025</t>
        </is>
      </c>
      <c r="B4519" s="1" t="n">
        <v>45832.4678587963</v>
      </c>
      <c r="C4519" s="1" t="n">
        <v>45911</v>
      </c>
      <c r="D4519" t="inlineStr">
        <is>
          <t>GÄVLEBORGS LÄN</t>
        </is>
      </c>
      <c r="E4519" t="inlineStr">
        <is>
          <t>LJUSDAL</t>
        </is>
      </c>
      <c r="F4519" t="inlineStr">
        <is>
          <t>Holmen skog AB</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31072-2025</t>
        </is>
      </c>
      <c r="B4520" s="1" t="n">
        <v>45832.57938657407</v>
      </c>
      <c r="C4520" s="1" t="n">
        <v>45911</v>
      </c>
      <c r="D4520" t="inlineStr">
        <is>
          <t>GÄVLEBORGS LÄN</t>
        </is>
      </c>
      <c r="E4520" t="inlineStr">
        <is>
          <t>LJUSDAL</t>
        </is>
      </c>
      <c r="F4520" t="inlineStr">
        <is>
          <t>Holmen skog AB</t>
        </is>
      </c>
      <c r="G4520" t="n">
        <v>6.8</v>
      </c>
      <c r="H4520" t="n">
        <v>0</v>
      </c>
      <c r="I4520" t="n">
        <v>0</v>
      </c>
      <c r="J4520" t="n">
        <v>0</v>
      </c>
      <c r="K4520" t="n">
        <v>0</v>
      </c>
      <c r="L4520" t="n">
        <v>0</v>
      </c>
      <c r="M4520" t="n">
        <v>0</v>
      </c>
      <c r="N4520" t="n">
        <v>0</v>
      </c>
      <c r="O4520" t="n">
        <v>0</v>
      </c>
      <c r="P4520" t="n">
        <v>0</v>
      </c>
      <c r="Q4520" t="n">
        <v>0</v>
      </c>
      <c r="R4520" s="2" t="inlineStr"/>
    </row>
    <row r="4521" ht="15" customHeight="1">
      <c r="A4521" t="inlineStr">
        <is>
          <t>A 53250-2024</t>
        </is>
      </c>
      <c r="B4521" s="1" t="n">
        <v>45614.26361111111</v>
      </c>
      <c r="C4521" s="1" t="n">
        <v>45911</v>
      </c>
      <c r="D4521" t="inlineStr">
        <is>
          <t>GÄVLEBORGS LÄN</t>
        </is>
      </c>
      <c r="E4521" t="inlineStr">
        <is>
          <t>OVANÅKER</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53281-2024</t>
        </is>
      </c>
      <c r="B4522" s="1" t="n">
        <v>45614.37862268519</v>
      </c>
      <c r="C4522" s="1" t="n">
        <v>45911</v>
      </c>
      <c r="D4522" t="inlineStr">
        <is>
          <t>GÄVLEBORGS LÄN</t>
        </is>
      </c>
      <c r="E4522" t="inlineStr">
        <is>
          <t>GÄVLE</t>
        </is>
      </c>
      <c r="G4522" t="n">
        <v>6.5</v>
      </c>
      <c r="H4522" t="n">
        <v>0</v>
      </c>
      <c r="I4522" t="n">
        <v>0</v>
      </c>
      <c r="J4522" t="n">
        <v>0</v>
      </c>
      <c r="K4522" t="n">
        <v>0</v>
      </c>
      <c r="L4522" t="n">
        <v>0</v>
      </c>
      <c r="M4522" t="n">
        <v>0</v>
      </c>
      <c r="N4522" t="n">
        <v>0</v>
      </c>
      <c r="O4522" t="n">
        <v>0</v>
      </c>
      <c r="P4522" t="n">
        <v>0</v>
      </c>
      <c r="Q4522" t="n">
        <v>0</v>
      </c>
      <c r="R4522" s="2" t="inlineStr"/>
    </row>
    <row r="4523" ht="15" customHeight="1">
      <c r="A4523" t="inlineStr">
        <is>
          <t>A 30634-2025</t>
        </is>
      </c>
      <c r="B4523" s="1" t="n">
        <v>45831.48170138889</v>
      </c>
      <c r="C4523" s="1" t="n">
        <v>45911</v>
      </c>
      <c r="D4523" t="inlineStr">
        <is>
          <t>GÄVLEBORGS LÄN</t>
        </is>
      </c>
      <c r="E4523" t="inlineStr">
        <is>
          <t>HUDIKSVALL</t>
        </is>
      </c>
      <c r="F4523" t="inlineStr">
        <is>
          <t>Holmen skog AB</t>
        </is>
      </c>
      <c r="G4523" t="n">
        <v>5.7</v>
      </c>
      <c r="H4523" t="n">
        <v>0</v>
      </c>
      <c r="I4523" t="n">
        <v>0</v>
      </c>
      <c r="J4523" t="n">
        <v>0</v>
      </c>
      <c r="K4523" t="n">
        <v>0</v>
      </c>
      <c r="L4523" t="n">
        <v>0</v>
      </c>
      <c r="M4523" t="n">
        <v>0</v>
      </c>
      <c r="N4523" t="n">
        <v>0</v>
      </c>
      <c r="O4523" t="n">
        <v>0</v>
      </c>
      <c r="P4523" t="n">
        <v>0</v>
      </c>
      <c r="Q4523" t="n">
        <v>0</v>
      </c>
      <c r="R4523" s="2" t="inlineStr"/>
    </row>
    <row r="4524" ht="15" customHeight="1">
      <c r="A4524" t="inlineStr">
        <is>
          <t>A 30653-2025</t>
        </is>
      </c>
      <c r="B4524" s="1" t="n">
        <v>45831.50354166667</v>
      </c>
      <c r="C4524" s="1" t="n">
        <v>45911</v>
      </c>
      <c r="D4524" t="inlineStr">
        <is>
          <t>GÄVLEBORGS LÄN</t>
        </is>
      </c>
      <c r="E4524" t="inlineStr">
        <is>
          <t>BOLLNÄS</t>
        </is>
      </c>
      <c r="G4524" t="n">
        <v>3.1</v>
      </c>
      <c r="H4524" t="n">
        <v>0</v>
      </c>
      <c r="I4524" t="n">
        <v>0</v>
      </c>
      <c r="J4524" t="n">
        <v>0</v>
      </c>
      <c r="K4524" t="n">
        <v>0</v>
      </c>
      <c r="L4524" t="n">
        <v>0</v>
      </c>
      <c r="M4524" t="n">
        <v>0</v>
      </c>
      <c r="N4524" t="n">
        <v>0</v>
      </c>
      <c r="O4524" t="n">
        <v>0</v>
      </c>
      <c r="P4524" t="n">
        <v>0</v>
      </c>
      <c r="Q4524" t="n">
        <v>0</v>
      </c>
      <c r="R4524" s="2" t="inlineStr"/>
    </row>
    <row r="4525" ht="15" customHeight="1">
      <c r="A4525" t="inlineStr">
        <is>
          <t>A 29686-2023</t>
        </is>
      </c>
      <c r="B4525" s="1" t="n">
        <v>45107.38175925926</v>
      </c>
      <c r="C4525" s="1" t="n">
        <v>45911</v>
      </c>
      <c r="D4525" t="inlineStr">
        <is>
          <t>GÄVLEBORGS LÄN</t>
        </is>
      </c>
      <c r="E4525" t="inlineStr">
        <is>
          <t>LJUSDAL</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47291-2024</t>
        </is>
      </c>
      <c r="B4526" s="1" t="n">
        <v>45587.33782407407</v>
      </c>
      <c r="C4526" s="1" t="n">
        <v>45911</v>
      </c>
      <c r="D4526" t="inlineStr">
        <is>
          <t>GÄVLEBORGS LÄN</t>
        </is>
      </c>
      <c r="E4526" t="inlineStr">
        <is>
          <t>LJUSDAL</t>
        </is>
      </c>
      <c r="F4526" t="inlineStr">
        <is>
          <t>Holmen skog AB</t>
        </is>
      </c>
      <c r="G4526" t="n">
        <v>2.6</v>
      </c>
      <c r="H4526" t="n">
        <v>0</v>
      </c>
      <c r="I4526" t="n">
        <v>0</v>
      </c>
      <c r="J4526" t="n">
        <v>0</v>
      </c>
      <c r="K4526" t="n">
        <v>0</v>
      </c>
      <c r="L4526" t="n">
        <v>0</v>
      </c>
      <c r="M4526" t="n">
        <v>0</v>
      </c>
      <c r="N4526" t="n">
        <v>0</v>
      </c>
      <c r="O4526" t="n">
        <v>0</v>
      </c>
      <c r="P4526" t="n">
        <v>0</v>
      </c>
      <c r="Q4526" t="n">
        <v>0</v>
      </c>
      <c r="R4526" s="2" t="inlineStr"/>
    </row>
    <row r="4527" ht="15" customHeight="1">
      <c r="A4527" t="inlineStr">
        <is>
          <t>A 31031-2025</t>
        </is>
      </c>
      <c r="B4527" s="1" t="n">
        <v>45832.53875</v>
      </c>
      <c r="C4527" s="1" t="n">
        <v>45911</v>
      </c>
      <c r="D4527" t="inlineStr">
        <is>
          <t>GÄVLEBORGS LÄN</t>
        </is>
      </c>
      <c r="E4527" t="inlineStr">
        <is>
          <t>NORDANSTIG</t>
        </is>
      </c>
      <c r="F4527" t="inlineStr">
        <is>
          <t>Holmen skog AB</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31035-2025</t>
        </is>
      </c>
      <c r="B4528" s="1" t="n">
        <v>45832.544375</v>
      </c>
      <c r="C4528" s="1" t="n">
        <v>45911</v>
      </c>
      <c r="D4528" t="inlineStr">
        <is>
          <t>GÄVLEBORGS LÄN</t>
        </is>
      </c>
      <c r="E4528" t="inlineStr">
        <is>
          <t>LJUSDAL</t>
        </is>
      </c>
      <c r="G4528" t="n">
        <v>4.9</v>
      </c>
      <c r="H4528" t="n">
        <v>0</v>
      </c>
      <c r="I4528" t="n">
        <v>0</v>
      </c>
      <c r="J4528" t="n">
        <v>0</v>
      </c>
      <c r="K4528" t="n">
        <v>0</v>
      </c>
      <c r="L4528" t="n">
        <v>0</v>
      </c>
      <c r="M4528" t="n">
        <v>0</v>
      </c>
      <c r="N4528" t="n">
        <v>0</v>
      </c>
      <c r="O4528" t="n">
        <v>0</v>
      </c>
      <c r="P4528" t="n">
        <v>0</v>
      </c>
      <c r="Q4528" t="n">
        <v>0</v>
      </c>
      <c r="R4528" s="2" t="inlineStr"/>
    </row>
    <row r="4529" ht="15" customHeight="1">
      <c r="A4529" t="inlineStr">
        <is>
          <t>A 31126-2025</t>
        </is>
      </c>
      <c r="B4529" s="1" t="n">
        <v>45832.62875</v>
      </c>
      <c r="C4529" s="1" t="n">
        <v>45911</v>
      </c>
      <c r="D4529" t="inlineStr">
        <is>
          <t>GÄVLEBORGS LÄN</t>
        </is>
      </c>
      <c r="E4529" t="inlineStr">
        <is>
          <t>LJUSDAL</t>
        </is>
      </c>
      <c r="F4529" t="inlineStr">
        <is>
          <t>Sveaskog</t>
        </is>
      </c>
      <c r="G4529" t="n">
        <v>5</v>
      </c>
      <c r="H4529" t="n">
        <v>0</v>
      </c>
      <c r="I4529" t="n">
        <v>0</v>
      </c>
      <c r="J4529" t="n">
        <v>0</v>
      </c>
      <c r="K4529" t="n">
        <v>0</v>
      </c>
      <c r="L4529" t="n">
        <v>0</v>
      </c>
      <c r="M4529" t="n">
        <v>0</v>
      </c>
      <c r="N4529" t="n">
        <v>0</v>
      </c>
      <c r="O4529" t="n">
        <v>0</v>
      </c>
      <c r="P4529" t="n">
        <v>0</v>
      </c>
      <c r="Q4529" t="n">
        <v>0</v>
      </c>
      <c r="R4529" s="2" t="inlineStr"/>
    </row>
    <row r="4530" ht="15" customHeight="1">
      <c r="A4530" t="inlineStr">
        <is>
          <t>A 31130-2025</t>
        </is>
      </c>
      <c r="B4530" s="1" t="n">
        <v>45832.63040509259</v>
      </c>
      <c r="C4530" s="1" t="n">
        <v>45911</v>
      </c>
      <c r="D4530" t="inlineStr">
        <is>
          <t>GÄVLEBORGS LÄN</t>
        </is>
      </c>
      <c r="E4530" t="inlineStr">
        <is>
          <t>LJUSDAL</t>
        </is>
      </c>
      <c r="F4530" t="inlineStr">
        <is>
          <t>Sveaskog</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30757-2025</t>
        </is>
      </c>
      <c r="B4531" s="1" t="n">
        <v>45831.59650462963</v>
      </c>
      <c r="C4531" s="1" t="n">
        <v>45911</v>
      </c>
      <c r="D4531" t="inlineStr">
        <is>
          <t>GÄVLEBORGS LÄN</t>
        </is>
      </c>
      <c r="E4531" t="inlineStr">
        <is>
          <t>HUDIKSVALL</t>
        </is>
      </c>
      <c r="F4531" t="inlineStr">
        <is>
          <t>Holmen skog AB</t>
        </is>
      </c>
      <c r="G4531" t="n">
        <v>6.6</v>
      </c>
      <c r="H4531" t="n">
        <v>0</v>
      </c>
      <c r="I4531" t="n">
        <v>0</v>
      </c>
      <c r="J4531" t="n">
        <v>0</v>
      </c>
      <c r="K4531" t="n">
        <v>0</v>
      </c>
      <c r="L4531" t="n">
        <v>0</v>
      </c>
      <c r="M4531" t="n">
        <v>0</v>
      </c>
      <c r="N4531" t="n">
        <v>0</v>
      </c>
      <c r="O4531" t="n">
        <v>0</v>
      </c>
      <c r="P4531" t="n">
        <v>0</v>
      </c>
      <c r="Q4531" t="n">
        <v>0</v>
      </c>
      <c r="R4531" s="2" t="inlineStr"/>
    </row>
    <row r="4532" ht="15" customHeight="1">
      <c r="A4532" t="inlineStr">
        <is>
          <t>A 36753-2025</t>
        </is>
      </c>
      <c r="B4532" s="1" t="n">
        <v>45873.55734953703</v>
      </c>
      <c r="C4532" s="1" t="n">
        <v>45911</v>
      </c>
      <c r="D4532" t="inlineStr">
        <is>
          <t>GÄVLEBORGS LÄN</t>
        </is>
      </c>
      <c r="E4532" t="inlineStr">
        <is>
          <t>OVANÅKER</t>
        </is>
      </c>
      <c r="F4532" t="inlineStr">
        <is>
          <t>Bergvik skog väst AB</t>
        </is>
      </c>
      <c r="G4532" t="n">
        <v>6</v>
      </c>
      <c r="H4532" t="n">
        <v>0</v>
      </c>
      <c r="I4532" t="n">
        <v>0</v>
      </c>
      <c r="J4532" t="n">
        <v>0</v>
      </c>
      <c r="K4532" t="n">
        <v>0</v>
      </c>
      <c r="L4532" t="n">
        <v>0</v>
      </c>
      <c r="M4532" t="n">
        <v>0</v>
      </c>
      <c r="N4532" t="n">
        <v>0</v>
      </c>
      <c r="O4532" t="n">
        <v>0</v>
      </c>
      <c r="P4532" t="n">
        <v>0</v>
      </c>
      <c r="Q4532" t="n">
        <v>0</v>
      </c>
      <c r="R4532" s="2" t="inlineStr"/>
    </row>
    <row r="4533" ht="15" customHeight="1">
      <c r="A4533" t="inlineStr">
        <is>
          <t>A 30841-2025</t>
        </is>
      </c>
      <c r="B4533" s="1" t="n">
        <v>45831.75489583334</v>
      </c>
      <c r="C4533" s="1" t="n">
        <v>45911</v>
      </c>
      <c r="D4533" t="inlineStr">
        <is>
          <t>GÄVLEBORGS LÄN</t>
        </is>
      </c>
      <c r="E4533" t="inlineStr">
        <is>
          <t>HUDIKSVALL</t>
        </is>
      </c>
      <c r="G4533" t="n">
        <v>5.2</v>
      </c>
      <c r="H4533" t="n">
        <v>0</v>
      </c>
      <c r="I4533" t="n">
        <v>0</v>
      </c>
      <c r="J4533" t="n">
        <v>0</v>
      </c>
      <c r="K4533" t="n">
        <v>0</v>
      </c>
      <c r="L4533" t="n">
        <v>0</v>
      </c>
      <c r="M4533" t="n">
        <v>0</v>
      </c>
      <c r="N4533" t="n">
        <v>0</v>
      </c>
      <c r="O4533" t="n">
        <v>0</v>
      </c>
      <c r="P4533" t="n">
        <v>0</v>
      </c>
      <c r="Q4533" t="n">
        <v>0</v>
      </c>
      <c r="R4533" s="2" t="inlineStr"/>
    </row>
    <row r="4534" ht="15" customHeight="1">
      <c r="A4534" t="inlineStr">
        <is>
          <t>A 30843-2025</t>
        </is>
      </c>
      <c r="B4534" s="1" t="n">
        <v>45831.75673611111</v>
      </c>
      <c r="C4534" s="1" t="n">
        <v>45911</v>
      </c>
      <c r="D4534" t="inlineStr">
        <is>
          <t>GÄVLEBORGS LÄN</t>
        </is>
      </c>
      <c r="E4534" t="inlineStr">
        <is>
          <t>SANDVIKEN</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31197-2025</t>
        </is>
      </c>
      <c r="B4535" s="1" t="n">
        <v>45832.69053240741</v>
      </c>
      <c r="C4535" s="1" t="n">
        <v>45911</v>
      </c>
      <c r="D4535" t="inlineStr">
        <is>
          <t>GÄVLEBORGS LÄN</t>
        </is>
      </c>
      <c r="E4535" t="inlineStr">
        <is>
          <t>NORDANSTIG</t>
        </is>
      </c>
      <c r="F4535" t="inlineStr">
        <is>
          <t>Holmen skog AB</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36793-2025</t>
        </is>
      </c>
      <c r="B4536" s="1" t="n">
        <v>45873.64081018518</v>
      </c>
      <c r="C4536" s="1" t="n">
        <v>45911</v>
      </c>
      <c r="D4536" t="inlineStr">
        <is>
          <t>GÄVLEBORGS LÄN</t>
        </is>
      </c>
      <c r="E4536" t="inlineStr">
        <is>
          <t>SANDVIKEN</t>
        </is>
      </c>
      <c r="G4536" t="n">
        <v>4.2</v>
      </c>
      <c r="H4536" t="n">
        <v>0</v>
      </c>
      <c r="I4536" t="n">
        <v>0</v>
      </c>
      <c r="J4536" t="n">
        <v>0</v>
      </c>
      <c r="K4536" t="n">
        <v>0</v>
      </c>
      <c r="L4536" t="n">
        <v>0</v>
      </c>
      <c r="M4536" t="n">
        <v>0</v>
      </c>
      <c r="N4536" t="n">
        <v>0</v>
      </c>
      <c r="O4536" t="n">
        <v>0</v>
      </c>
      <c r="P4536" t="n">
        <v>0</v>
      </c>
      <c r="Q4536" t="n">
        <v>0</v>
      </c>
      <c r="R4536" s="2" t="inlineStr"/>
    </row>
    <row r="4537" ht="15" customHeight="1">
      <c r="A4537" t="inlineStr">
        <is>
          <t>A 36795-2025</t>
        </is>
      </c>
      <c r="B4537" s="1" t="n">
        <v>45873.64255787037</v>
      </c>
      <c r="C4537" s="1" t="n">
        <v>45911</v>
      </c>
      <c r="D4537" t="inlineStr">
        <is>
          <t>GÄVLEBORGS LÄN</t>
        </is>
      </c>
      <c r="E4537" t="inlineStr">
        <is>
          <t>SANDVIKEN</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31899-2022</t>
        </is>
      </c>
      <c r="B4538" s="1" t="n">
        <v>44777</v>
      </c>
      <c r="C4538" s="1" t="n">
        <v>45911</v>
      </c>
      <c r="D4538" t="inlineStr">
        <is>
          <t>GÄVLEBORGS LÄN</t>
        </is>
      </c>
      <c r="E4538" t="inlineStr">
        <is>
          <t>NORDANSTIG</t>
        </is>
      </c>
      <c r="F4538" t="inlineStr">
        <is>
          <t>Holmen skog AB</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24655-2024</t>
        </is>
      </c>
      <c r="B4539" s="1" t="n">
        <v>45460.57638888889</v>
      </c>
      <c r="C4539" s="1" t="n">
        <v>45911</v>
      </c>
      <c r="D4539" t="inlineStr">
        <is>
          <t>GÄVLEBORGS LÄN</t>
        </is>
      </c>
      <c r="E4539" t="inlineStr">
        <is>
          <t>LJUSDAL</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37295-2022</t>
        </is>
      </c>
      <c r="B4540" s="1" t="n">
        <v>44808</v>
      </c>
      <c r="C4540" s="1" t="n">
        <v>45911</v>
      </c>
      <c r="D4540" t="inlineStr">
        <is>
          <t>GÄVLEBORGS LÄN</t>
        </is>
      </c>
      <c r="E4540" t="inlineStr">
        <is>
          <t>NORDANSTIG</t>
        </is>
      </c>
      <c r="G4540" t="n">
        <v>0</v>
      </c>
      <c r="H4540" t="n">
        <v>0</v>
      </c>
      <c r="I4540" t="n">
        <v>0</v>
      </c>
      <c r="J4540" t="n">
        <v>0</v>
      </c>
      <c r="K4540" t="n">
        <v>0</v>
      </c>
      <c r="L4540" t="n">
        <v>0</v>
      </c>
      <c r="M4540" t="n">
        <v>0</v>
      </c>
      <c r="N4540" t="n">
        <v>0</v>
      </c>
      <c r="O4540" t="n">
        <v>0</v>
      </c>
      <c r="P4540" t="n">
        <v>0</v>
      </c>
      <c r="Q4540" t="n">
        <v>0</v>
      </c>
      <c r="R4540" s="2" t="inlineStr"/>
    </row>
    <row r="4541" ht="15" customHeight="1">
      <c r="A4541" t="inlineStr">
        <is>
          <t>A 23289-2024</t>
        </is>
      </c>
      <c r="B4541" s="1" t="n">
        <v>45453.42105324074</v>
      </c>
      <c r="C4541" s="1" t="n">
        <v>45911</v>
      </c>
      <c r="D4541" t="inlineStr">
        <is>
          <t>GÄVLEBORGS LÄN</t>
        </is>
      </c>
      <c r="E4541" t="inlineStr">
        <is>
          <t>SANDVIKEN</t>
        </is>
      </c>
      <c r="F4541" t="inlineStr">
        <is>
          <t>Kyrkan</t>
        </is>
      </c>
      <c r="G4541" t="n">
        <v>3.8</v>
      </c>
      <c r="H4541" t="n">
        <v>0</v>
      </c>
      <c r="I4541" t="n">
        <v>0</v>
      </c>
      <c r="J4541" t="n">
        <v>0</v>
      </c>
      <c r="K4541" t="n">
        <v>0</v>
      </c>
      <c r="L4541" t="n">
        <v>0</v>
      </c>
      <c r="M4541" t="n">
        <v>0</v>
      </c>
      <c r="N4541" t="n">
        <v>0</v>
      </c>
      <c r="O4541" t="n">
        <v>0</v>
      </c>
      <c r="P4541" t="n">
        <v>0</v>
      </c>
      <c r="Q4541" t="n">
        <v>0</v>
      </c>
      <c r="R4541" s="2" t="inlineStr"/>
    </row>
    <row r="4542" ht="15" customHeight="1">
      <c r="A4542" t="inlineStr">
        <is>
          <t>A 11393-2023</t>
        </is>
      </c>
      <c r="B4542" s="1" t="n">
        <v>44988</v>
      </c>
      <c r="C4542" s="1" t="n">
        <v>45911</v>
      </c>
      <c r="D4542" t="inlineStr">
        <is>
          <t>GÄVLEBORGS LÄN</t>
        </is>
      </c>
      <c r="E4542" t="inlineStr">
        <is>
          <t>SANDVIKEN</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11401-2023</t>
        </is>
      </c>
      <c r="B4543" s="1" t="n">
        <v>44988</v>
      </c>
      <c r="C4543" s="1" t="n">
        <v>45911</v>
      </c>
      <c r="D4543" t="inlineStr">
        <is>
          <t>GÄVLEBORGS LÄN</t>
        </is>
      </c>
      <c r="E4543" t="inlineStr">
        <is>
          <t>SANDVIKEN</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25297-2024</t>
        </is>
      </c>
      <c r="B4544" s="1" t="n">
        <v>45462.67136574074</v>
      </c>
      <c r="C4544" s="1" t="n">
        <v>45911</v>
      </c>
      <c r="D4544" t="inlineStr">
        <is>
          <t>GÄVLEBORGS LÄN</t>
        </is>
      </c>
      <c r="E4544" t="inlineStr">
        <is>
          <t>OVANÅKER</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25299-2024</t>
        </is>
      </c>
      <c r="B4545" s="1" t="n">
        <v>45462</v>
      </c>
      <c r="C4545" s="1" t="n">
        <v>45911</v>
      </c>
      <c r="D4545" t="inlineStr">
        <is>
          <t>GÄVLEBORGS LÄN</t>
        </is>
      </c>
      <c r="E4545" t="inlineStr">
        <is>
          <t>OVANÅKER</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64359-2023</t>
        </is>
      </c>
      <c r="B4546" s="1" t="n">
        <v>45280</v>
      </c>
      <c r="C4546" s="1" t="n">
        <v>45911</v>
      </c>
      <c r="D4546" t="inlineStr">
        <is>
          <t>GÄVLEBORGS LÄN</t>
        </is>
      </c>
      <c r="E4546" t="inlineStr">
        <is>
          <t>HOFORS</t>
        </is>
      </c>
      <c r="G4546" t="n">
        <v>4.7</v>
      </c>
      <c r="H4546" t="n">
        <v>0</v>
      </c>
      <c r="I4546" t="n">
        <v>0</v>
      </c>
      <c r="J4546" t="n">
        <v>0</v>
      </c>
      <c r="K4546" t="n">
        <v>0</v>
      </c>
      <c r="L4546" t="n">
        <v>0</v>
      </c>
      <c r="M4546" t="n">
        <v>0</v>
      </c>
      <c r="N4546" t="n">
        <v>0</v>
      </c>
      <c r="O4546" t="n">
        <v>0</v>
      </c>
      <c r="P4546" t="n">
        <v>0</v>
      </c>
      <c r="Q4546" t="n">
        <v>0</v>
      </c>
      <c r="R4546" s="2" t="inlineStr"/>
    </row>
    <row r="4547" ht="15" customHeight="1">
      <c r="A4547" t="inlineStr">
        <is>
          <t>A 8654-2025</t>
        </is>
      </c>
      <c r="B4547" s="1" t="n">
        <v>45712</v>
      </c>
      <c r="C4547" s="1" t="n">
        <v>45911</v>
      </c>
      <c r="D4547" t="inlineStr">
        <is>
          <t>GÄVLEBORGS LÄN</t>
        </is>
      </c>
      <c r="E4547" t="inlineStr">
        <is>
          <t>HUDIKSVALL</t>
        </is>
      </c>
      <c r="G4547" t="n">
        <v>3</v>
      </c>
      <c r="H4547" t="n">
        <v>0</v>
      </c>
      <c r="I4547" t="n">
        <v>0</v>
      </c>
      <c r="J4547" t="n">
        <v>0</v>
      </c>
      <c r="K4547" t="n">
        <v>0</v>
      </c>
      <c r="L4547" t="n">
        <v>0</v>
      </c>
      <c r="M4547" t="n">
        <v>0</v>
      </c>
      <c r="N4547" t="n">
        <v>0</v>
      </c>
      <c r="O4547" t="n">
        <v>0</v>
      </c>
      <c r="P4547" t="n">
        <v>0</v>
      </c>
      <c r="Q4547" t="n">
        <v>0</v>
      </c>
      <c r="R4547" s="2" t="inlineStr"/>
    </row>
    <row r="4548" ht="15" customHeight="1">
      <c r="A4548" t="inlineStr">
        <is>
          <t>A 8665-2025</t>
        </is>
      </c>
      <c r="B4548" s="1" t="n">
        <v>45712.40818287037</v>
      </c>
      <c r="C4548" s="1" t="n">
        <v>45911</v>
      </c>
      <c r="D4548" t="inlineStr">
        <is>
          <t>GÄVLEBORGS LÄN</t>
        </is>
      </c>
      <c r="E4548" t="inlineStr">
        <is>
          <t>BOLLNÄS</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35054-2022</t>
        </is>
      </c>
      <c r="B4549" s="1" t="n">
        <v>44797.3377662037</v>
      </c>
      <c r="C4549" s="1" t="n">
        <v>45911</v>
      </c>
      <c r="D4549" t="inlineStr">
        <is>
          <t>GÄVLEBORGS LÄN</t>
        </is>
      </c>
      <c r="E4549" t="inlineStr">
        <is>
          <t>OCKELBO</t>
        </is>
      </c>
      <c r="G4549" t="n">
        <v>3.6</v>
      </c>
      <c r="H4549" t="n">
        <v>0</v>
      </c>
      <c r="I4549" t="n">
        <v>0</v>
      </c>
      <c r="J4549" t="n">
        <v>0</v>
      </c>
      <c r="K4549" t="n">
        <v>0</v>
      </c>
      <c r="L4549" t="n">
        <v>0</v>
      </c>
      <c r="M4549" t="n">
        <v>0</v>
      </c>
      <c r="N4549" t="n">
        <v>0</v>
      </c>
      <c r="O4549" t="n">
        <v>0</v>
      </c>
      <c r="P4549" t="n">
        <v>0</v>
      </c>
      <c r="Q4549" t="n">
        <v>0</v>
      </c>
      <c r="R4549" s="2" t="inlineStr"/>
    </row>
    <row r="4550" ht="15" customHeight="1">
      <c r="A4550" t="inlineStr">
        <is>
          <t>A 11315-2025</t>
        </is>
      </c>
      <c r="B4550" s="1" t="n">
        <v>45726.45640046296</v>
      </c>
      <c r="C4550" s="1" t="n">
        <v>45911</v>
      </c>
      <c r="D4550" t="inlineStr">
        <is>
          <t>GÄVLEBORGS LÄN</t>
        </is>
      </c>
      <c r="E4550" t="inlineStr">
        <is>
          <t>HUDIKSVALL</t>
        </is>
      </c>
      <c r="F4550" t="inlineStr">
        <is>
          <t>Holmen skog AB</t>
        </is>
      </c>
      <c r="G4550" t="n">
        <v>9.6</v>
      </c>
      <c r="H4550" t="n">
        <v>0</v>
      </c>
      <c r="I4550" t="n">
        <v>0</v>
      </c>
      <c r="J4550" t="n">
        <v>0</v>
      </c>
      <c r="K4550" t="n">
        <v>0</v>
      </c>
      <c r="L4550" t="n">
        <v>0</v>
      </c>
      <c r="M4550" t="n">
        <v>0</v>
      </c>
      <c r="N4550" t="n">
        <v>0</v>
      </c>
      <c r="O4550" t="n">
        <v>0</v>
      </c>
      <c r="P4550" t="n">
        <v>0</v>
      </c>
      <c r="Q4550" t="n">
        <v>0</v>
      </c>
      <c r="R4550" s="2" t="inlineStr"/>
    </row>
    <row r="4551" ht="15" customHeight="1">
      <c r="A4551" t="inlineStr">
        <is>
          <t>A 10021-2025</t>
        </is>
      </c>
      <c r="B4551" s="1" t="n">
        <v>45719</v>
      </c>
      <c r="C4551" s="1" t="n">
        <v>45911</v>
      </c>
      <c r="D4551" t="inlineStr">
        <is>
          <t>GÄVLEBORGS LÄN</t>
        </is>
      </c>
      <c r="E4551" t="inlineStr">
        <is>
          <t>BOLLNÄS</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2280-2022</t>
        </is>
      </c>
      <c r="B4552" s="1" t="n">
        <v>44578</v>
      </c>
      <c r="C4552" s="1" t="n">
        <v>45911</v>
      </c>
      <c r="D4552" t="inlineStr">
        <is>
          <t>GÄVLEBORGS LÄN</t>
        </is>
      </c>
      <c r="E4552" t="inlineStr">
        <is>
          <t>HUDIKSVALL</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62674-2023</t>
        </is>
      </c>
      <c r="B4553" s="1" t="n">
        <v>45271</v>
      </c>
      <c r="C4553" s="1" t="n">
        <v>45911</v>
      </c>
      <c r="D4553" t="inlineStr">
        <is>
          <t>GÄVLEBORGS LÄN</t>
        </is>
      </c>
      <c r="E4553" t="inlineStr">
        <is>
          <t>HUDIKSVALL</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62685-2023</t>
        </is>
      </c>
      <c r="B4554" s="1" t="n">
        <v>45271.49274305555</v>
      </c>
      <c r="C4554" s="1" t="n">
        <v>45911</v>
      </c>
      <c r="D4554" t="inlineStr">
        <is>
          <t>GÄVLEBORGS LÄN</t>
        </is>
      </c>
      <c r="E4554" t="inlineStr">
        <is>
          <t>BOLLNÄS</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62206-2023</t>
        </is>
      </c>
      <c r="B4555" s="1" t="n">
        <v>45267.48489583333</v>
      </c>
      <c r="C4555" s="1" t="n">
        <v>45911</v>
      </c>
      <c r="D4555" t="inlineStr">
        <is>
          <t>GÄVLEBORGS LÄN</t>
        </is>
      </c>
      <c r="E4555" t="inlineStr">
        <is>
          <t>SÖDERHAMN</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62216-2023</t>
        </is>
      </c>
      <c r="B4556" s="1" t="n">
        <v>45267</v>
      </c>
      <c r="C4556" s="1" t="n">
        <v>45911</v>
      </c>
      <c r="D4556" t="inlineStr">
        <is>
          <t>GÄVLEBORGS LÄN</t>
        </is>
      </c>
      <c r="E4556" t="inlineStr">
        <is>
          <t>GÄVLE</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7065-2023</t>
        </is>
      </c>
      <c r="B4557" s="1" t="n">
        <v>44969</v>
      </c>
      <c r="C4557" s="1" t="n">
        <v>45911</v>
      </c>
      <c r="D4557" t="inlineStr">
        <is>
          <t>GÄVLEBORGS LÄN</t>
        </is>
      </c>
      <c r="E4557" t="inlineStr">
        <is>
          <t>HUDIKSVALL</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6344-2021</t>
        </is>
      </c>
      <c r="B4558" s="1" t="n">
        <v>44235</v>
      </c>
      <c r="C4558" s="1" t="n">
        <v>45911</v>
      </c>
      <c r="D4558" t="inlineStr">
        <is>
          <t>GÄVLEBORGS LÄN</t>
        </is>
      </c>
      <c r="E4558" t="inlineStr">
        <is>
          <t>NORDANSTIG</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64422-2023</t>
        </is>
      </c>
      <c r="B4559" s="1" t="n">
        <v>45280.65898148148</v>
      </c>
      <c r="C4559" s="1" t="n">
        <v>45911</v>
      </c>
      <c r="D4559" t="inlineStr">
        <is>
          <t>GÄVLEBORGS LÄN</t>
        </is>
      </c>
      <c r="E4559" t="inlineStr">
        <is>
          <t>BOLLNÄS</t>
        </is>
      </c>
      <c r="G4559" t="n">
        <v>6.2</v>
      </c>
      <c r="H4559" t="n">
        <v>0</v>
      </c>
      <c r="I4559" t="n">
        <v>0</v>
      </c>
      <c r="J4559" t="n">
        <v>0</v>
      </c>
      <c r="K4559" t="n">
        <v>0</v>
      </c>
      <c r="L4559" t="n">
        <v>0</v>
      </c>
      <c r="M4559" t="n">
        <v>0</v>
      </c>
      <c r="N4559" t="n">
        <v>0</v>
      </c>
      <c r="O4559" t="n">
        <v>0</v>
      </c>
      <c r="P4559" t="n">
        <v>0</v>
      </c>
      <c r="Q4559" t="n">
        <v>0</v>
      </c>
      <c r="R4559" s="2" t="inlineStr"/>
    </row>
    <row r="4560" ht="15" customHeight="1">
      <c r="A4560" t="inlineStr">
        <is>
          <t>A 11432-2023</t>
        </is>
      </c>
      <c r="B4560" s="1" t="n">
        <v>44993</v>
      </c>
      <c r="C4560" s="1" t="n">
        <v>45911</v>
      </c>
      <c r="D4560" t="inlineStr">
        <is>
          <t>GÄVLEBORGS LÄN</t>
        </is>
      </c>
      <c r="E4560" t="inlineStr">
        <is>
          <t>HUDIKSVALL</t>
        </is>
      </c>
      <c r="G4560" t="n">
        <v>6.3</v>
      </c>
      <c r="H4560" t="n">
        <v>0</v>
      </c>
      <c r="I4560" t="n">
        <v>0</v>
      </c>
      <c r="J4560" t="n">
        <v>0</v>
      </c>
      <c r="K4560" t="n">
        <v>0</v>
      </c>
      <c r="L4560" t="n">
        <v>0</v>
      </c>
      <c r="M4560" t="n">
        <v>0</v>
      </c>
      <c r="N4560" t="n">
        <v>0</v>
      </c>
      <c r="O4560" t="n">
        <v>0</v>
      </c>
      <c r="P4560" t="n">
        <v>0</v>
      </c>
      <c r="Q4560" t="n">
        <v>0</v>
      </c>
      <c r="R4560" s="2" t="inlineStr"/>
    </row>
    <row r="4561" ht="15" customHeight="1">
      <c r="A4561" t="inlineStr">
        <is>
          <t>A 4504-2024</t>
        </is>
      </c>
      <c r="B4561" s="1" t="n">
        <v>45327</v>
      </c>
      <c r="C4561" s="1" t="n">
        <v>45911</v>
      </c>
      <c r="D4561" t="inlineStr">
        <is>
          <t>GÄVLEBORGS LÄN</t>
        </is>
      </c>
      <c r="E4561" t="inlineStr">
        <is>
          <t>HUDIKSVALL</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11436-2023</t>
        </is>
      </c>
      <c r="B4562" s="1" t="n">
        <v>44988</v>
      </c>
      <c r="C4562" s="1" t="n">
        <v>45911</v>
      </c>
      <c r="D4562" t="inlineStr">
        <is>
          <t>GÄVLEBORGS LÄN</t>
        </is>
      </c>
      <c r="E4562" t="inlineStr">
        <is>
          <t>SANDVIKEN</t>
        </is>
      </c>
      <c r="G4562" t="n">
        <v>3.1</v>
      </c>
      <c r="H4562" t="n">
        <v>0</v>
      </c>
      <c r="I4562" t="n">
        <v>0</v>
      </c>
      <c r="J4562" t="n">
        <v>0</v>
      </c>
      <c r="K4562" t="n">
        <v>0</v>
      </c>
      <c r="L4562" t="n">
        <v>0</v>
      </c>
      <c r="M4562" t="n">
        <v>0</v>
      </c>
      <c r="N4562" t="n">
        <v>0</v>
      </c>
      <c r="O4562" t="n">
        <v>0</v>
      </c>
      <c r="P4562" t="n">
        <v>0</v>
      </c>
      <c r="Q4562" t="n">
        <v>0</v>
      </c>
      <c r="R4562" s="2" t="inlineStr"/>
    </row>
    <row r="4563" ht="15" customHeight="1">
      <c r="A4563" t="inlineStr">
        <is>
          <t>A 57384-2024</t>
        </is>
      </c>
      <c r="B4563" s="1" t="n">
        <v>45629.68210648148</v>
      </c>
      <c r="C4563" s="1" t="n">
        <v>45911</v>
      </c>
      <c r="D4563" t="inlineStr">
        <is>
          <t>GÄVLEBORGS LÄN</t>
        </is>
      </c>
      <c r="E4563" t="inlineStr">
        <is>
          <t>BOLLNÄS</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4582-2024</t>
        </is>
      </c>
      <c r="B4564" s="1" t="n">
        <v>45327</v>
      </c>
      <c r="C4564" s="1" t="n">
        <v>45911</v>
      </c>
      <c r="D4564" t="inlineStr">
        <is>
          <t>GÄVLEBORGS LÄN</t>
        </is>
      </c>
      <c r="E4564" t="inlineStr">
        <is>
          <t>LJUSDAL</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18218-2024</t>
        </is>
      </c>
      <c r="B4565" s="1" t="n">
        <v>45420</v>
      </c>
      <c r="C4565" s="1" t="n">
        <v>45911</v>
      </c>
      <c r="D4565" t="inlineStr">
        <is>
          <t>GÄVLEBORGS LÄN</t>
        </is>
      </c>
      <c r="E4565" t="inlineStr">
        <is>
          <t>GÄVLE</t>
        </is>
      </c>
      <c r="F4565" t="inlineStr">
        <is>
          <t>Bergvik skog väst AB</t>
        </is>
      </c>
      <c r="G4565" t="n">
        <v>13.1</v>
      </c>
      <c r="H4565" t="n">
        <v>0</v>
      </c>
      <c r="I4565" t="n">
        <v>0</v>
      </c>
      <c r="J4565" t="n">
        <v>0</v>
      </c>
      <c r="K4565" t="n">
        <v>0</v>
      </c>
      <c r="L4565" t="n">
        <v>0</v>
      </c>
      <c r="M4565" t="n">
        <v>0</v>
      </c>
      <c r="N4565" t="n">
        <v>0</v>
      </c>
      <c r="O4565" t="n">
        <v>0</v>
      </c>
      <c r="P4565" t="n">
        <v>0</v>
      </c>
      <c r="Q4565" t="n">
        <v>0</v>
      </c>
      <c r="R4565" s="2" t="inlineStr"/>
    </row>
    <row r="4566" ht="15" customHeight="1">
      <c r="A4566" t="inlineStr">
        <is>
          <t>A 9700-2025</t>
        </is>
      </c>
      <c r="B4566" s="1" t="n">
        <v>45716.37511574074</v>
      </c>
      <c r="C4566" s="1" t="n">
        <v>45911</v>
      </c>
      <c r="D4566" t="inlineStr">
        <is>
          <t>GÄVLEBORGS LÄN</t>
        </is>
      </c>
      <c r="E4566" t="inlineStr">
        <is>
          <t>BOLLNÄS</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3324-2024</t>
        </is>
      </c>
      <c r="B4567" s="1" t="n">
        <v>45317.53914351852</v>
      </c>
      <c r="C4567" s="1" t="n">
        <v>45911</v>
      </c>
      <c r="D4567" t="inlineStr">
        <is>
          <t>GÄVLEBORGS LÄN</t>
        </is>
      </c>
      <c r="E4567" t="inlineStr">
        <is>
          <t>OVANÅKER</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51788-2024</t>
        </is>
      </c>
      <c r="B4568" s="1" t="n">
        <v>45607.46204861111</v>
      </c>
      <c r="C4568" s="1" t="n">
        <v>45911</v>
      </c>
      <c r="D4568" t="inlineStr">
        <is>
          <t>GÄVLEBORGS LÄN</t>
        </is>
      </c>
      <c r="E4568" t="inlineStr">
        <is>
          <t>OVANÅKER</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24860-2025</t>
        </is>
      </c>
      <c r="B4569" s="1" t="n">
        <v>45799.47928240741</v>
      </c>
      <c r="C4569" s="1" t="n">
        <v>45911</v>
      </c>
      <c r="D4569" t="inlineStr">
        <is>
          <t>GÄVLEBORGS LÄN</t>
        </is>
      </c>
      <c r="E4569" t="inlineStr">
        <is>
          <t>OVANÅKER</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57609-2023</t>
        </is>
      </c>
      <c r="B4570" s="1" t="n">
        <v>45246.5606712963</v>
      </c>
      <c r="C4570" s="1" t="n">
        <v>45911</v>
      </c>
      <c r="D4570" t="inlineStr">
        <is>
          <t>GÄVLEBORGS LÄN</t>
        </is>
      </c>
      <c r="E4570" t="inlineStr">
        <is>
          <t>SANDVIKEN</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56754-2022</t>
        </is>
      </c>
      <c r="B4571" s="1" t="n">
        <v>44894</v>
      </c>
      <c r="C4571" s="1" t="n">
        <v>45911</v>
      </c>
      <c r="D4571" t="inlineStr">
        <is>
          <t>GÄVLEBORGS LÄN</t>
        </is>
      </c>
      <c r="E4571" t="inlineStr">
        <is>
          <t>HUDIKSVALL</t>
        </is>
      </c>
      <c r="F4571" t="inlineStr">
        <is>
          <t>Holmen skog AB</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36921-2025</t>
        </is>
      </c>
      <c r="B4572" s="1" t="n">
        <v>45874.53881944445</v>
      </c>
      <c r="C4572" s="1" t="n">
        <v>45911</v>
      </c>
      <c r="D4572" t="inlineStr">
        <is>
          <t>GÄVLEBORGS LÄN</t>
        </is>
      </c>
      <c r="E4572" t="inlineStr">
        <is>
          <t>HUDIKSVALL</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18453-2025</t>
        </is>
      </c>
      <c r="B4573" s="1" t="n">
        <v>45762.66689814815</v>
      </c>
      <c r="C4573" s="1" t="n">
        <v>45911</v>
      </c>
      <c r="D4573" t="inlineStr">
        <is>
          <t>GÄVLEBORGS LÄN</t>
        </is>
      </c>
      <c r="E4573" t="inlineStr">
        <is>
          <t>LJUSDAL</t>
        </is>
      </c>
      <c r="F4573" t="inlineStr">
        <is>
          <t>Kommuner</t>
        </is>
      </c>
      <c r="G4573" t="n">
        <v>5.5</v>
      </c>
      <c r="H4573" t="n">
        <v>0</v>
      </c>
      <c r="I4573" t="n">
        <v>0</v>
      </c>
      <c r="J4573" t="n">
        <v>0</v>
      </c>
      <c r="K4573" t="n">
        <v>0</v>
      </c>
      <c r="L4573" t="n">
        <v>0</v>
      </c>
      <c r="M4573" t="n">
        <v>0</v>
      </c>
      <c r="N4573" t="n">
        <v>0</v>
      </c>
      <c r="O4573" t="n">
        <v>0</v>
      </c>
      <c r="P4573" t="n">
        <v>0</v>
      </c>
      <c r="Q4573" t="n">
        <v>0</v>
      </c>
      <c r="R4573" s="2" t="inlineStr"/>
    </row>
    <row r="4574" ht="15" customHeight="1">
      <c r="A4574" t="inlineStr">
        <is>
          <t>A 18459-2025</t>
        </is>
      </c>
      <c r="B4574" s="1" t="n">
        <v>45762</v>
      </c>
      <c r="C4574" s="1" t="n">
        <v>45911</v>
      </c>
      <c r="D4574" t="inlineStr">
        <is>
          <t>GÄVLEBORGS LÄN</t>
        </is>
      </c>
      <c r="E4574" t="inlineStr">
        <is>
          <t>SÖDERHAMN</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19276-2025</t>
        </is>
      </c>
      <c r="B4575" s="1" t="n">
        <v>45769.5315625</v>
      </c>
      <c r="C4575" s="1" t="n">
        <v>45911</v>
      </c>
      <c r="D4575" t="inlineStr">
        <is>
          <t>GÄVLEBORGS LÄN</t>
        </is>
      </c>
      <c r="E4575" t="inlineStr">
        <is>
          <t>LJUSDAL</t>
        </is>
      </c>
      <c r="F4575" t="inlineStr">
        <is>
          <t>SCA</t>
        </is>
      </c>
      <c r="G4575" t="n">
        <v>5</v>
      </c>
      <c r="H4575" t="n">
        <v>0</v>
      </c>
      <c r="I4575" t="n">
        <v>0</v>
      </c>
      <c r="J4575" t="n">
        <v>0</v>
      </c>
      <c r="K4575" t="n">
        <v>0</v>
      </c>
      <c r="L4575" t="n">
        <v>0</v>
      </c>
      <c r="M4575" t="n">
        <v>0</v>
      </c>
      <c r="N4575" t="n">
        <v>0</v>
      </c>
      <c r="O4575" t="n">
        <v>0</v>
      </c>
      <c r="P4575" t="n">
        <v>0</v>
      </c>
      <c r="Q4575" t="n">
        <v>0</v>
      </c>
      <c r="R4575" s="2" t="inlineStr"/>
    </row>
    <row r="4576" ht="15" customHeight="1">
      <c r="A4576" t="inlineStr">
        <is>
          <t>A 31064-2025</t>
        </is>
      </c>
      <c r="B4576" s="1" t="n">
        <v>45832.57532407407</v>
      </c>
      <c r="C4576" s="1" t="n">
        <v>45911</v>
      </c>
      <c r="D4576" t="inlineStr">
        <is>
          <t>GÄVLEBORGS LÄN</t>
        </is>
      </c>
      <c r="E4576" t="inlineStr">
        <is>
          <t>LJUSDAL</t>
        </is>
      </c>
      <c r="F4576" t="inlineStr">
        <is>
          <t>Allmännings- och besparingsskogar</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64609-2023</t>
        </is>
      </c>
      <c r="B4577" s="1" t="n">
        <v>45281.50811342592</v>
      </c>
      <c r="C4577" s="1" t="n">
        <v>45911</v>
      </c>
      <c r="D4577" t="inlineStr">
        <is>
          <t>GÄVLEBORGS LÄN</t>
        </is>
      </c>
      <c r="E4577" t="inlineStr">
        <is>
          <t>OCKELBO</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36734-2025</t>
        </is>
      </c>
      <c r="B4578" s="1" t="n">
        <v>45873.52091435185</v>
      </c>
      <c r="C4578" s="1" t="n">
        <v>45911</v>
      </c>
      <c r="D4578" t="inlineStr">
        <is>
          <t>GÄVLEBORGS LÄN</t>
        </is>
      </c>
      <c r="E4578" t="inlineStr">
        <is>
          <t>BOLLNÄS</t>
        </is>
      </c>
      <c r="G4578" t="n">
        <v>10.6</v>
      </c>
      <c r="H4578" t="n">
        <v>0</v>
      </c>
      <c r="I4578" t="n">
        <v>0</v>
      </c>
      <c r="J4578" t="n">
        <v>0</v>
      </c>
      <c r="K4578" t="n">
        <v>0</v>
      </c>
      <c r="L4578" t="n">
        <v>0</v>
      </c>
      <c r="M4578" t="n">
        <v>0</v>
      </c>
      <c r="N4578" t="n">
        <v>0</v>
      </c>
      <c r="O4578" t="n">
        <v>0</v>
      </c>
      <c r="P4578" t="n">
        <v>0</v>
      </c>
      <c r="Q4578" t="n">
        <v>0</v>
      </c>
      <c r="R4578" s="2" t="inlineStr"/>
    </row>
    <row r="4579" ht="15" customHeight="1">
      <c r="A4579" t="inlineStr">
        <is>
          <t>A 22821-2024</t>
        </is>
      </c>
      <c r="B4579" s="1" t="n">
        <v>45448</v>
      </c>
      <c r="C4579" s="1" t="n">
        <v>45911</v>
      </c>
      <c r="D4579" t="inlineStr">
        <is>
          <t>GÄVLEBORGS LÄN</t>
        </is>
      </c>
      <c r="E4579" t="inlineStr">
        <is>
          <t>OCKELBO</t>
        </is>
      </c>
      <c r="F4579" t="inlineStr">
        <is>
          <t>Bergvik skog väst AB</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36744-2025</t>
        </is>
      </c>
      <c r="B4580" s="1" t="n">
        <v>45873.53833333333</v>
      </c>
      <c r="C4580" s="1" t="n">
        <v>45911</v>
      </c>
      <c r="D4580" t="inlineStr">
        <is>
          <t>GÄVLEBORGS LÄN</t>
        </is>
      </c>
      <c r="E4580" t="inlineStr">
        <is>
          <t>OVANÅKER</t>
        </is>
      </c>
      <c r="F4580" t="inlineStr">
        <is>
          <t>Bergvik skog väst AB</t>
        </is>
      </c>
      <c r="G4580" t="n">
        <v>18.7</v>
      </c>
      <c r="H4580" t="n">
        <v>0</v>
      </c>
      <c r="I4580" t="n">
        <v>0</v>
      </c>
      <c r="J4580" t="n">
        <v>0</v>
      </c>
      <c r="K4580" t="n">
        <v>0</v>
      </c>
      <c r="L4580" t="n">
        <v>0</v>
      </c>
      <c r="M4580" t="n">
        <v>0</v>
      </c>
      <c r="N4580" t="n">
        <v>0</v>
      </c>
      <c r="O4580" t="n">
        <v>0</v>
      </c>
      <c r="P4580" t="n">
        <v>0</v>
      </c>
      <c r="Q4580" t="n">
        <v>0</v>
      </c>
      <c r="R4580" s="2" t="inlineStr"/>
    </row>
    <row r="4581" ht="15" customHeight="1">
      <c r="A4581" t="inlineStr">
        <is>
          <t>A 36745-2025</t>
        </is>
      </c>
      <c r="B4581" s="1" t="n">
        <v>45873.54413194444</v>
      </c>
      <c r="C4581" s="1" t="n">
        <v>45911</v>
      </c>
      <c r="D4581" t="inlineStr">
        <is>
          <t>GÄVLEBORGS LÄN</t>
        </is>
      </c>
      <c r="E4581" t="inlineStr">
        <is>
          <t>LJUSDAL</t>
        </is>
      </c>
      <c r="F4581" t="inlineStr">
        <is>
          <t>Bergvik skog väst AB</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36749-2025</t>
        </is>
      </c>
      <c r="B4582" s="1" t="n">
        <v>45873.55201388889</v>
      </c>
      <c r="C4582" s="1" t="n">
        <v>45911</v>
      </c>
      <c r="D4582" t="inlineStr">
        <is>
          <t>GÄVLEBORGS LÄN</t>
        </is>
      </c>
      <c r="E4582" t="inlineStr">
        <is>
          <t>HUDIKSVALL</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61672-2023</t>
        </is>
      </c>
      <c r="B4583" s="1" t="n">
        <v>45265.62027777778</v>
      </c>
      <c r="C4583" s="1" t="n">
        <v>45911</v>
      </c>
      <c r="D4583" t="inlineStr">
        <is>
          <t>GÄVLEBORGS LÄN</t>
        </is>
      </c>
      <c r="E4583" t="inlineStr">
        <is>
          <t>GÄVLE</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9464-2025</t>
        </is>
      </c>
      <c r="B4584" s="1" t="n">
        <v>45715.4665625</v>
      </c>
      <c r="C4584" s="1" t="n">
        <v>45911</v>
      </c>
      <c r="D4584" t="inlineStr">
        <is>
          <t>GÄVLEBORGS LÄN</t>
        </is>
      </c>
      <c r="E4584" t="inlineStr">
        <is>
          <t>OCKELBO</t>
        </is>
      </c>
      <c r="F4584" t="inlineStr">
        <is>
          <t>Bergvik skog öst AB</t>
        </is>
      </c>
      <c r="G4584" t="n">
        <v>4.6</v>
      </c>
      <c r="H4584" t="n">
        <v>0</v>
      </c>
      <c r="I4584" t="n">
        <v>0</v>
      </c>
      <c r="J4584" t="n">
        <v>0</v>
      </c>
      <c r="K4584" t="n">
        <v>0</v>
      </c>
      <c r="L4584" t="n">
        <v>0</v>
      </c>
      <c r="M4584" t="n">
        <v>0</v>
      </c>
      <c r="N4584" t="n">
        <v>0</v>
      </c>
      <c r="O4584" t="n">
        <v>0</v>
      </c>
      <c r="P4584" t="n">
        <v>0</v>
      </c>
      <c r="Q4584" t="n">
        <v>0</v>
      </c>
      <c r="R4584" s="2" t="inlineStr"/>
    </row>
    <row r="4585" ht="15" customHeight="1">
      <c r="A4585" t="inlineStr">
        <is>
          <t>A 17538-2025</t>
        </is>
      </c>
      <c r="B4585" s="1" t="n">
        <v>45757.60380787037</v>
      </c>
      <c r="C4585" s="1" t="n">
        <v>45911</v>
      </c>
      <c r="D4585" t="inlineStr">
        <is>
          <t>GÄVLEBORGS LÄN</t>
        </is>
      </c>
      <c r="E4585" t="inlineStr">
        <is>
          <t>OCKELBO</t>
        </is>
      </c>
      <c r="F4585" t="inlineStr">
        <is>
          <t>Bergvik skog väst AB</t>
        </is>
      </c>
      <c r="G4585" t="n">
        <v>11.5</v>
      </c>
      <c r="H4585" t="n">
        <v>0</v>
      </c>
      <c r="I4585" t="n">
        <v>0</v>
      </c>
      <c r="J4585" t="n">
        <v>0</v>
      </c>
      <c r="K4585" t="n">
        <v>0</v>
      </c>
      <c r="L4585" t="n">
        <v>0</v>
      </c>
      <c r="M4585" t="n">
        <v>0</v>
      </c>
      <c r="N4585" t="n">
        <v>0</v>
      </c>
      <c r="O4585" t="n">
        <v>0</v>
      </c>
      <c r="P4585" t="n">
        <v>0</v>
      </c>
      <c r="Q4585" t="n">
        <v>0</v>
      </c>
      <c r="R4585" s="2" t="inlineStr"/>
    </row>
    <row r="4586" ht="15" customHeight="1">
      <c r="A4586" t="inlineStr">
        <is>
          <t>A 59851-2023</t>
        </is>
      </c>
      <c r="B4586" s="1" t="n">
        <v>45257.57197916666</v>
      </c>
      <c r="C4586" s="1" t="n">
        <v>45911</v>
      </c>
      <c r="D4586" t="inlineStr">
        <is>
          <t>GÄVLEBORGS LÄN</t>
        </is>
      </c>
      <c r="E4586" t="inlineStr">
        <is>
          <t>HUDIKSVALL</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17539-2025</t>
        </is>
      </c>
      <c r="B4587" s="1" t="n">
        <v>45757</v>
      </c>
      <c r="C4587" s="1" t="n">
        <v>45911</v>
      </c>
      <c r="D4587" t="inlineStr">
        <is>
          <t>GÄVLEBORGS LÄN</t>
        </is>
      </c>
      <c r="E4587" t="inlineStr">
        <is>
          <t>LJUSDAL</t>
        </is>
      </c>
      <c r="F4587" t="inlineStr">
        <is>
          <t>Sveaskog</t>
        </is>
      </c>
      <c r="G4587" t="n">
        <v>4.3</v>
      </c>
      <c r="H4587" t="n">
        <v>0</v>
      </c>
      <c r="I4587" t="n">
        <v>0</v>
      </c>
      <c r="J4587" t="n">
        <v>0</v>
      </c>
      <c r="K4587" t="n">
        <v>0</v>
      </c>
      <c r="L4587" t="n">
        <v>0</v>
      </c>
      <c r="M4587" t="n">
        <v>0</v>
      </c>
      <c r="N4587" t="n">
        <v>0</v>
      </c>
      <c r="O4587" t="n">
        <v>0</v>
      </c>
      <c r="P4587" t="n">
        <v>0</v>
      </c>
      <c r="Q4587" t="n">
        <v>0</v>
      </c>
      <c r="R4587" s="2" t="inlineStr"/>
    </row>
    <row r="4588" ht="15" customHeight="1">
      <c r="A4588" t="inlineStr">
        <is>
          <t>A 36732-2025</t>
        </is>
      </c>
      <c r="B4588" s="1" t="n">
        <v>45873.50310185185</v>
      </c>
      <c r="C4588" s="1" t="n">
        <v>45911</v>
      </c>
      <c r="D4588" t="inlineStr">
        <is>
          <t>GÄVLEBORGS LÄN</t>
        </is>
      </c>
      <c r="E4588" t="inlineStr">
        <is>
          <t>SANDVIKEN</t>
        </is>
      </c>
      <c r="G4588" t="n">
        <v>5.6</v>
      </c>
      <c r="H4588" t="n">
        <v>0</v>
      </c>
      <c r="I4588" t="n">
        <v>0</v>
      </c>
      <c r="J4588" t="n">
        <v>0</v>
      </c>
      <c r="K4588" t="n">
        <v>0</v>
      </c>
      <c r="L4588" t="n">
        <v>0</v>
      </c>
      <c r="M4588" t="n">
        <v>0</v>
      </c>
      <c r="N4588" t="n">
        <v>0</v>
      </c>
      <c r="O4588" t="n">
        <v>0</v>
      </c>
      <c r="P4588" t="n">
        <v>0</v>
      </c>
      <c r="Q4588" t="n">
        <v>0</v>
      </c>
      <c r="R4588" s="2" t="inlineStr"/>
    </row>
    <row r="4589" ht="15" customHeight="1">
      <c r="A4589" t="inlineStr">
        <is>
          <t>A 18241-2025</t>
        </is>
      </c>
      <c r="B4589" s="1" t="n">
        <v>45762.31237268518</v>
      </c>
      <c r="C4589" s="1" t="n">
        <v>45911</v>
      </c>
      <c r="D4589" t="inlineStr">
        <is>
          <t>GÄVLEBORGS LÄN</t>
        </is>
      </c>
      <c r="E4589" t="inlineStr">
        <is>
          <t>OCKELBO</t>
        </is>
      </c>
      <c r="F4589" t="inlineStr">
        <is>
          <t>Bergvik skog väst AB</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6929-2023</t>
        </is>
      </c>
      <c r="B4590" s="1" t="n">
        <v>44967</v>
      </c>
      <c r="C4590" s="1" t="n">
        <v>45911</v>
      </c>
      <c r="D4590" t="inlineStr">
        <is>
          <t>GÄVLEBORGS LÄN</t>
        </is>
      </c>
      <c r="E4590" t="inlineStr">
        <is>
          <t>HOFORS</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6935-2023</t>
        </is>
      </c>
      <c r="B4591" s="1" t="n">
        <v>44967</v>
      </c>
      <c r="C4591" s="1" t="n">
        <v>45911</v>
      </c>
      <c r="D4591" t="inlineStr">
        <is>
          <t>GÄVLEBORGS LÄN</t>
        </is>
      </c>
      <c r="E4591" t="inlineStr">
        <is>
          <t>GÄVLE</t>
        </is>
      </c>
      <c r="F4591" t="inlineStr">
        <is>
          <t>Bergvik skog öst AB</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17529-2024</t>
        </is>
      </c>
      <c r="B4592" s="1" t="n">
        <v>45415</v>
      </c>
      <c r="C4592" s="1" t="n">
        <v>45911</v>
      </c>
      <c r="D4592" t="inlineStr">
        <is>
          <t>GÄVLEBORGS LÄN</t>
        </is>
      </c>
      <c r="E4592" t="inlineStr">
        <is>
          <t>BOLLNÄS</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42350-2022</t>
        </is>
      </c>
      <c r="B4593" s="1" t="n">
        <v>44831.36085648148</v>
      </c>
      <c r="C4593" s="1" t="n">
        <v>45911</v>
      </c>
      <c r="D4593" t="inlineStr">
        <is>
          <t>GÄVLEBORGS LÄN</t>
        </is>
      </c>
      <c r="E4593" t="inlineStr">
        <is>
          <t>BOLLNÄS</t>
        </is>
      </c>
      <c r="G4593" t="n">
        <v>2.6</v>
      </c>
      <c r="H4593" t="n">
        <v>0</v>
      </c>
      <c r="I4593" t="n">
        <v>0</v>
      </c>
      <c r="J4593" t="n">
        <v>0</v>
      </c>
      <c r="K4593" t="n">
        <v>0</v>
      </c>
      <c r="L4593" t="n">
        <v>0</v>
      </c>
      <c r="M4593" t="n">
        <v>0</v>
      </c>
      <c r="N4593" t="n">
        <v>0</v>
      </c>
      <c r="O4593" t="n">
        <v>0</v>
      </c>
      <c r="P4593" t="n">
        <v>0</v>
      </c>
      <c r="Q4593" t="n">
        <v>0</v>
      </c>
      <c r="R4593" s="2" t="inlineStr"/>
    </row>
    <row r="4594" ht="15" customHeight="1">
      <c r="A4594" t="inlineStr">
        <is>
          <t>A 36658-2025</t>
        </is>
      </c>
      <c r="B4594" s="1" t="n">
        <v>45873.35398148148</v>
      </c>
      <c r="C4594" s="1" t="n">
        <v>45911</v>
      </c>
      <c r="D4594" t="inlineStr">
        <is>
          <t>GÄVLEBORGS LÄN</t>
        </is>
      </c>
      <c r="E4594" t="inlineStr">
        <is>
          <t>OVANÅKER</t>
        </is>
      </c>
      <c r="F4594" t="inlineStr">
        <is>
          <t>Bergvik skog väst AB</t>
        </is>
      </c>
      <c r="G4594" t="n">
        <v>3.1</v>
      </c>
      <c r="H4594" t="n">
        <v>0</v>
      </c>
      <c r="I4594" t="n">
        <v>0</v>
      </c>
      <c r="J4594" t="n">
        <v>0</v>
      </c>
      <c r="K4594" t="n">
        <v>0</v>
      </c>
      <c r="L4594" t="n">
        <v>0</v>
      </c>
      <c r="M4594" t="n">
        <v>0</v>
      </c>
      <c r="N4594" t="n">
        <v>0</v>
      </c>
      <c r="O4594" t="n">
        <v>0</v>
      </c>
      <c r="P4594" t="n">
        <v>0</v>
      </c>
      <c r="Q4594" t="n">
        <v>0</v>
      </c>
      <c r="R4594" s="2" t="inlineStr"/>
    </row>
    <row r="4595" ht="15" customHeight="1">
      <c r="A4595" t="inlineStr">
        <is>
          <t>A 36659-2025</t>
        </is>
      </c>
      <c r="B4595" s="1" t="n">
        <v>45873.35548611111</v>
      </c>
      <c r="C4595" s="1" t="n">
        <v>45911</v>
      </c>
      <c r="D4595" t="inlineStr">
        <is>
          <t>GÄVLEBORGS LÄN</t>
        </is>
      </c>
      <c r="E4595" t="inlineStr">
        <is>
          <t>OVANÅKER</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36660-2025</t>
        </is>
      </c>
      <c r="B4596" s="1" t="n">
        <v>45873.35680555556</v>
      </c>
      <c r="C4596" s="1" t="n">
        <v>45911</v>
      </c>
      <c r="D4596" t="inlineStr">
        <is>
          <t>GÄVLEBORGS LÄN</t>
        </is>
      </c>
      <c r="E4596" t="inlineStr">
        <is>
          <t>LJUSDAL</t>
        </is>
      </c>
      <c r="F4596" t="inlineStr">
        <is>
          <t>Bergvik skog väst AB</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36918-2025</t>
        </is>
      </c>
      <c r="B4597" s="1" t="n">
        <v>45874.51417824074</v>
      </c>
      <c r="C4597" s="1" t="n">
        <v>45911</v>
      </c>
      <c r="D4597" t="inlineStr">
        <is>
          <t>GÄVLEBORGS LÄN</t>
        </is>
      </c>
      <c r="E4597" t="inlineStr">
        <is>
          <t>HUDIKSVALL</t>
        </is>
      </c>
      <c r="G4597" t="n">
        <v>4</v>
      </c>
      <c r="H4597" t="n">
        <v>0</v>
      </c>
      <c r="I4597" t="n">
        <v>0</v>
      </c>
      <c r="J4597" t="n">
        <v>0</v>
      </c>
      <c r="K4597" t="n">
        <v>0</v>
      </c>
      <c r="L4597" t="n">
        <v>0</v>
      </c>
      <c r="M4597" t="n">
        <v>0</v>
      </c>
      <c r="N4597" t="n">
        <v>0</v>
      </c>
      <c r="O4597" t="n">
        <v>0</v>
      </c>
      <c r="P4597" t="n">
        <v>0</v>
      </c>
      <c r="Q4597" t="n">
        <v>0</v>
      </c>
      <c r="R4597" s="2" t="inlineStr"/>
    </row>
    <row r="4598" ht="15" customHeight="1">
      <c r="A4598" t="inlineStr">
        <is>
          <t>A 36957-2025</t>
        </is>
      </c>
      <c r="B4598" s="1" t="n">
        <v>45874.61475694444</v>
      </c>
      <c r="C4598" s="1" t="n">
        <v>45911</v>
      </c>
      <c r="D4598" t="inlineStr">
        <is>
          <t>GÄVLEBORGS LÄN</t>
        </is>
      </c>
      <c r="E4598" t="inlineStr">
        <is>
          <t>BOLLNÄS</t>
        </is>
      </c>
      <c r="F4598" t="inlineStr">
        <is>
          <t>Bergvik skog väst AB</t>
        </is>
      </c>
      <c r="G4598" t="n">
        <v>7.2</v>
      </c>
      <c r="H4598" t="n">
        <v>0</v>
      </c>
      <c r="I4598" t="n">
        <v>0</v>
      </c>
      <c r="J4598" t="n">
        <v>0</v>
      </c>
      <c r="K4598" t="n">
        <v>0</v>
      </c>
      <c r="L4598" t="n">
        <v>0</v>
      </c>
      <c r="M4598" t="n">
        <v>0</v>
      </c>
      <c r="N4598" t="n">
        <v>0</v>
      </c>
      <c r="O4598" t="n">
        <v>0</v>
      </c>
      <c r="P4598" t="n">
        <v>0</v>
      </c>
      <c r="Q4598" t="n">
        <v>0</v>
      </c>
      <c r="R4598" s="2" t="inlineStr"/>
    </row>
    <row r="4599" ht="15" customHeight="1">
      <c r="A4599" t="inlineStr">
        <is>
          <t>A 21941-2022</t>
        </is>
      </c>
      <c r="B4599" s="1" t="n">
        <v>44711.48230324074</v>
      </c>
      <c r="C4599" s="1" t="n">
        <v>45911</v>
      </c>
      <c r="D4599" t="inlineStr">
        <is>
          <t>GÄVLEBORGS LÄN</t>
        </is>
      </c>
      <c r="E4599" t="inlineStr">
        <is>
          <t>LJUSDAL</t>
        </is>
      </c>
      <c r="F4599" t="inlineStr">
        <is>
          <t>Bergvik skog väst AB</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51930-2023</t>
        </is>
      </c>
      <c r="B4600" s="1" t="n">
        <v>45223.495</v>
      </c>
      <c r="C4600" s="1" t="n">
        <v>45911</v>
      </c>
      <c r="D4600" t="inlineStr">
        <is>
          <t>GÄVLEBORGS LÄN</t>
        </is>
      </c>
      <c r="E4600" t="inlineStr">
        <is>
          <t>NORDANSTIG</t>
        </is>
      </c>
      <c r="F4600" t="inlineStr">
        <is>
          <t>Holmen skog AB</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51952-2023</t>
        </is>
      </c>
      <c r="B4601" s="1" t="n">
        <v>45223.53648148148</v>
      </c>
      <c r="C4601" s="1" t="n">
        <v>45911</v>
      </c>
      <c r="D4601" t="inlineStr">
        <is>
          <t>GÄVLEBORGS LÄN</t>
        </is>
      </c>
      <c r="E4601" t="inlineStr">
        <is>
          <t>BOLLNÄS</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328-2024</t>
        </is>
      </c>
      <c r="B4602" s="1" t="n">
        <v>45295</v>
      </c>
      <c r="C4602" s="1" t="n">
        <v>45911</v>
      </c>
      <c r="D4602" t="inlineStr">
        <is>
          <t>GÄVLEBORGS LÄN</t>
        </is>
      </c>
      <c r="E4602" t="inlineStr">
        <is>
          <t>LJUSDAL</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31595-2025</t>
        </is>
      </c>
      <c r="B4603" s="1" t="n">
        <v>45833.7067824074</v>
      </c>
      <c r="C4603" s="1" t="n">
        <v>45911</v>
      </c>
      <c r="D4603" t="inlineStr">
        <is>
          <t>GÄVLEBORGS LÄN</t>
        </is>
      </c>
      <c r="E4603" t="inlineStr">
        <is>
          <t>GÄVLE</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6498-2025</t>
        </is>
      </c>
      <c r="B4604" s="1" t="n">
        <v>45699.63789351852</v>
      </c>
      <c r="C4604" s="1" t="n">
        <v>45911</v>
      </c>
      <c r="D4604" t="inlineStr">
        <is>
          <t>GÄVLEBORGS LÄN</t>
        </is>
      </c>
      <c r="E4604" t="inlineStr">
        <is>
          <t>LJUSDAL</t>
        </is>
      </c>
      <c r="F4604" t="inlineStr">
        <is>
          <t>Holmen skog AB</t>
        </is>
      </c>
      <c r="G4604" t="n">
        <v>9.199999999999999</v>
      </c>
      <c r="H4604" t="n">
        <v>0</v>
      </c>
      <c r="I4604" t="n">
        <v>0</v>
      </c>
      <c r="J4604" t="n">
        <v>0</v>
      </c>
      <c r="K4604" t="n">
        <v>0</v>
      </c>
      <c r="L4604" t="n">
        <v>0</v>
      </c>
      <c r="M4604" t="n">
        <v>0</v>
      </c>
      <c r="N4604" t="n">
        <v>0</v>
      </c>
      <c r="O4604" t="n">
        <v>0</v>
      </c>
      <c r="P4604" t="n">
        <v>0</v>
      </c>
      <c r="Q4604" t="n">
        <v>0</v>
      </c>
      <c r="R4604" s="2" t="inlineStr"/>
    </row>
    <row r="4605" ht="15" customHeight="1">
      <c r="A4605" t="inlineStr">
        <is>
          <t>A 37055-2025</t>
        </is>
      </c>
      <c r="B4605" s="1" t="n">
        <v>45875.37060185185</v>
      </c>
      <c r="C4605" s="1" t="n">
        <v>45911</v>
      </c>
      <c r="D4605" t="inlineStr">
        <is>
          <t>GÄVLEBORGS LÄN</t>
        </is>
      </c>
      <c r="E4605" t="inlineStr">
        <is>
          <t>SÖDERHAMN</t>
        </is>
      </c>
      <c r="G4605" t="n">
        <v>2.8</v>
      </c>
      <c r="H4605" t="n">
        <v>0</v>
      </c>
      <c r="I4605" t="n">
        <v>0</v>
      </c>
      <c r="J4605" t="n">
        <v>0</v>
      </c>
      <c r="K4605" t="n">
        <v>0</v>
      </c>
      <c r="L4605" t="n">
        <v>0</v>
      </c>
      <c r="M4605" t="n">
        <v>0</v>
      </c>
      <c r="N4605" t="n">
        <v>0</v>
      </c>
      <c r="O4605" t="n">
        <v>0</v>
      </c>
      <c r="P4605" t="n">
        <v>0</v>
      </c>
      <c r="Q4605" t="n">
        <v>0</v>
      </c>
      <c r="R4605" s="2" t="inlineStr"/>
    </row>
    <row r="4606" ht="15" customHeight="1">
      <c r="A4606" t="inlineStr">
        <is>
          <t>A 3297-2024</t>
        </is>
      </c>
      <c r="B4606" s="1" t="n">
        <v>45317.4618287037</v>
      </c>
      <c r="C4606" s="1" t="n">
        <v>45911</v>
      </c>
      <c r="D4606" t="inlineStr">
        <is>
          <t>GÄVLEBORGS LÄN</t>
        </is>
      </c>
      <c r="E4606" t="inlineStr">
        <is>
          <t>HUDIKSVALL</t>
        </is>
      </c>
      <c r="G4606" t="n">
        <v>3</v>
      </c>
      <c r="H4606" t="n">
        <v>0</v>
      </c>
      <c r="I4606" t="n">
        <v>0</v>
      </c>
      <c r="J4606" t="n">
        <v>0</v>
      </c>
      <c r="K4606" t="n">
        <v>0</v>
      </c>
      <c r="L4606" t="n">
        <v>0</v>
      </c>
      <c r="M4606" t="n">
        <v>0</v>
      </c>
      <c r="N4606" t="n">
        <v>0</v>
      </c>
      <c r="O4606" t="n">
        <v>0</v>
      </c>
      <c r="P4606" t="n">
        <v>0</v>
      </c>
      <c r="Q4606" t="n">
        <v>0</v>
      </c>
      <c r="R4606" s="2" t="inlineStr"/>
    </row>
    <row r="4607" ht="15" customHeight="1">
      <c r="A4607" t="inlineStr">
        <is>
          <t>A 20025-2025</t>
        </is>
      </c>
      <c r="B4607" s="1" t="n">
        <v>45772.34452546296</v>
      </c>
      <c r="C4607" s="1" t="n">
        <v>45911</v>
      </c>
      <c r="D4607" t="inlineStr">
        <is>
          <t>GÄVLEBORGS LÄN</t>
        </is>
      </c>
      <c r="E4607" t="inlineStr">
        <is>
          <t>LJUSDAL</t>
        </is>
      </c>
      <c r="F4607" t="inlineStr">
        <is>
          <t>SCA</t>
        </is>
      </c>
      <c r="G4607" t="n">
        <v>11.5</v>
      </c>
      <c r="H4607" t="n">
        <v>0</v>
      </c>
      <c r="I4607" t="n">
        <v>0</v>
      </c>
      <c r="J4607" t="n">
        <v>0</v>
      </c>
      <c r="K4607" t="n">
        <v>0</v>
      </c>
      <c r="L4607" t="n">
        <v>0</v>
      </c>
      <c r="M4607" t="n">
        <v>0</v>
      </c>
      <c r="N4607" t="n">
        <v>0</v>
      </c>
      <c r="O4607" t="n">
        <v>0</v>
      </c>
      <c r="P4607" t="n">
        <v>0</v>
      </c>
      <c r="Q4607" t="n">
        <v>0</v>
      </c>
      <c r="R4607" s="2" t="inlineStr"/>
    </row>
    <row r="4608" ht="15" customHeight="1">
      <c r="A4608" t="inlineStr">
        <is>
          <t>A 3487-2025</t>
        </is>
      </c>
      <c r="B4608" s="1" t="n">
        <v>45680.5480787037</v>
      </c>
      <c r="C4608" s="1" t="n">
        <v>45911</v>
      </c>
      <c r="D4608" t="inlineStr">
        <is>
          <t>GÄVLEBORGS LÄN</t>
        </is>
      </c>
      <c r="E4608" t="inlineStr">
        <is>
          <t>SÖDERHAMN</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3474-2024</t>
        </is>
      </c>
      <c r="B4609" s="1" t="n">
        <v>45320</v>
      </c>
      <c r="C4609" s="1" t="n">
        <v>45911</v>
      </c>
      <c r="D4609" t="inlineStr">
        <is>
          <t>GÄVLEBORGS LÄN</t>
        </is>
      </c>
      <c r="E4609" t="inlineStr">
        <is>
          <t>NORDANSTIG</t>
        </is>
      </c>
      <c r="F4609" t="inlineStr">
        <is>
          <t>Holmen skog AB</t>
        </is>
      </c>
      <c r="G4609" t="n">
        <v>5.7</v>
      </c>
      <c r="H4609" t="n">
        <v>0</v>
      </c>
      <c r="I4609" t="n">
        <v>0</v>
      </c>
      <c r="J4609" t="n">
        <v>0</v>
      </c>
      <c r="K4609" t="n">
        <v>0</v>
      </c>
      <c r="L4609" t="n">
        <v>0</v>
      </c>
      <c r="M4609" t="n">
        <v>0</v>
      </c>
      <c r="N4609" t="n">
        <v>0</v>
      </c>
      <c r="O4609" t="n">
        <v>0</v>
      </c>
      <c r="P4609" t="n">
        <v>0</v>
      </c>
      <c r="Q4609" t="n">
        <v>0</v>
      </c>
      <c r="R4609" s="2" t="inlineStr"/>
    </row>
    <row r="4610" ht="15" customHeight="1">
      <c r="A4610" t="inlineStr">
        <is>
          <t>A 20059-2025</t>
        </is>
      </c>
      <c r="B4610" s="1" t="n">
        <v>45772.41228009259</v>
      </c>
      <c r="C4610" s="1" t="n">
        <v>45911</v>
      </c>
      <c r="D4610" t="inlineStr">
        <is>
          <t>GÄVLEBORGS LÄN</t>
        </is>
      </c>
      <c r="E4610" t="inlineStr">
        <is>
          <t>OCKELBO</t>
        </is>
      </c>
      <c r="G4610" t="n">
        <v>14.8</v>
      </c>
      <c r="H4610" t="n">
        <v>0</v>
      </c>
      <c r="I4610" t="n">
        <v>0</v>
      </c>
      <c r="J4610" t="n">
        <v>0</v>
      </c>
      <c r="K4610" t="n">
        <v>0</v>
      </c>
      <c r="L4610" t="n">
        <v>0</v>
      </c>
      <c r="M4610" t="n">
        <v>0</v>
      </c>
      <c r="N4610" t="n">
        <v>0</v>
      </c>
      <c r="O4610" t="n">
        <v>0</v>
      </c>
      <c r="P4610" t="n">
        <v>0</v>
      </c>
      <c r="Q4610" t="n">
        <v>0</v>
      </c>
      <c r="R4610" s="2" t="inlineStr"/>
    </row>
    <row r="4611" ht="15" customHeight="1">
      <c r="A4611" t="inlineStr">
        <is>
          <t>A 6718-2021</t>
        </is>
      </c>
      <c r="B4611" s="1" t="n">
        <v>44236</v>
      </c>
      <c r="C4611" s="1" t="n">
        <v>45911</v>
      </c>
      <c r="D4611" t="inlineStr">
        <is>
          <t>GÄVLEBORGS LÄN</t>
        </is>
      </c>
      <c r="E4611" t="inlineStr">
        <is>
          <t>NORDANSTIG</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25415-2022</t>
        </is>
      </c>
      <c r="B4612" s="1" t="n">
        <v>44732.45652777778</v>
      </c>
      <c r="C4612" s="1" t="n">
        <v>45911</v>
      </c>
      <c r="D4612" t="inlineStr">
        <is>
          <t>GÄVLEBORGS LÄN</t>
        </is>
      </c>
      <c r="E4612" t="inlineStr">
        <is>
          <t>LJUSDAL</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60789-2023</t>
        </is>
      </c>
      <c r="B4613" s="1" t="n">
        <v>45260</v>
      </c>
      <c r="C4613" s="1" t="n">
        <v>45911</v>
      </c>
      <c r="D4613" t="inlineStr">
        <is>
          <t>GÄVLEBORGS LÄN</t>
        </is>
      </c>
      <c r="E4613" t="inlineStr">
        <is>
          <t>HUDIKSVALL</t>
        </is>
      </c>
      <c r="G4613" t="n">
        <v>4.8</v>
      </c>
      <c r="H4613" t="n">
        <v>0</v>
      </c>
      <c r="I4613" t="n">
        <v>0</v>
      </c>
      <c r="J4613" t="n">
        <v>0</v>
      </c>
      <c r="K4613" t="n">
        <v>0</v>
      </c>
      <c r="L4613" t="n">
        <v>0</v>
      </c>
      <c r="M4613" t="n">
        <v>0</v>
      </c>
      <c r="N4613" t="n">
        <v>0</v>
      </c>
      <c r="O4613" t="n">
        <v>0</v>
      </c>
      <c r="P4613" t="n">
        <v>0</v>
      </c>
      <c r="Q4613" t="n">
        <v>0</v>
      </c>
      <c r="R4613" s="2" t="inlineStr"/>
    </row>
    <row r="4614" ht="15" customHeight="1">
      <c r="A4614" t="inlineStr">
        <is>
          <t>A 60891-2023</t>
        </is>
      </c>
      <c r="B4614" s="1" t="n">
        <v>45261.34476851852</v>
      </c>
      <c r="C4614" s="1" t="n">
        <v>45911</v>
      </c>
      <c r="D4614" t="inlineStr">
        <is>
          <t>GÄVLEBORGS LÄN</t>
        </is>
      </c>
      <c r="E4614" t="inlineStr">
        <is>
          <t>SANDVIKEN</t>
        </is>
      </c>
      <c r="G4614" t="n">
        <v>3.3</v>
      </c>
      <c r="H4614" t="n">
        <v>0</v>
      </c>
      <c r="I4614" t="n">
        <v>0</v>
      </c>
      <c r="J4614" t="n">
        <v>0</v>
      </c>
      <c r="K4614" t="n">
        <v>0</v>
      </c>
      <c r="L4614" t="n">
        <v>0</v>
      </c>
      <c r="M4614" t="n">
        <v>0</v>
      </c>
      <c r="N4614" t="n">
        <v>0</v>
      </c>
      <c r="O4614" t="n">
        <v>0</v>
      </c>
      <c r="P4614" t="n">
        <v>0</v>
      </c>
      <c r="Q4614" t="n">
        <v>0</v>
      </c>
      <c r="R4614" s="2" t="inlineStr"/>
    </row>
    <row r="4615" ht="15" customHeight="1">
      <c r="A4615" t="inlineStr">
        <is>
          <t>A 60897-2023</t>
        </is>
      </c>
      <c r="B4615" s="1" t="n">
        <v>45261</v>
      </c>
      <c r="C4615" s="1" t="n">
        <v>45911</v>
      </c>
      <c r="D4615" t="inlineStr">
        <is>
          <t>GÄVLEBORGS LÄN</t>
        </is>
      </c>
      <c r="E4615" t="inlineStr">
        <is>
          <t>SANDVIKEN</t>
        </is>
      </c>
      <c r="G4615" t="n">
        <v>2.7</v>
      </c>
      <c r="H4615" t="n">
        <v>0</v>
      </c>
      <c r="I4615" t="n">
        <v>0</v>
      </c>
      <c r="J4615" t="n">
        <v>0</v>
      </c>
      <c r="K4615" t="n">
        <v>0</v>
      </c>
      <c r="L4615" t="n">
        <v>0</v>
      </c>
      <c r="M4615" t="n">
        <v>0</v>
      </c>
      <c r="N4615" t="n">
        <v>0</v>
      </c>
      <c r="O4615" t="n">
        <v>0</v>
      </c>
      <c r="P4615" t="n">
        <v>0</v>
      </c>
      <c r="Q4615" t="n">
        <v>0</v>
      </c>
      <c r="R4615" s="2" t="inlineStr"/>
    </row>
    <row r="4616" ht="15" customHeight="1">
      <c r="A4616" t="inlineStr">
        <is>
          <t>A 18926-2022</t>
        </is>
      </c>
      <c r="B4616" s="1" t="n">
        <v>44690.64179398148</v>
      </c>
      <c r="C4616" s="1" t="n">
        <v>45911</v>
      </c>
      <c r="D4616" t="inlineStr">
        <is>
          <t>GÄVLEBORGS LÄN</t>
        </is>
      </c>
      <c r="E4616" t="inlineStr">
        <is>
          <t>NORDANSTIG</t>
        </is>
      </c>
      <c r="F4616" t="inlineStr">
        <is>
          <t>Holmen skog AB</t>
        </is>
      </c>
      <c r="G4616" t="n">
        <v>11.4</v>
      </c>
      <c r="H4616" t="n">
        <v>0</v>
      </c>
      <c r="I4616" t="n">
        <v>0</v>
      </c>
      <c r="J4616" t="n">
        <v>0</v>
      </c>
      <c r="K4616" t="n">
        <v>0</v>
      </c>
      <c r="L4616" t="n">
        <v>0</v>
      </c>
      <c r="M4616" t="n">
        <v>0</v>
      </c>
      <c r="N4616" t="n">
        <v>0</v>
      </c>
      <c r="O4616" t="n">
        <v>0</v>
      </c>
      <c r="P4616" t="n">
        <v>0</v>
      </c>
      <c r="Q4616" t="n">
        <v>0</v>
      </c>
      <c r="R4616" s="2" t="inlineStr"/>
    </row>
    <row r="4617" ht="15" customHeight="1">
      <c r="A4617" t="inlineStr">
        <is>
          <t>A 31679-2025</t>
        </is>
      </c>
      <c r="B4617" s="1" t="n">
        <v>45834.38021990741</v>
      </c>
      <c r="C4617" s="1" t="n">
        <v>45911</v>
      </c>
      <c r="D4617" t="inlineStr">
        <is>
          <t>GÄVLEBORGS LÄN</t>
        </is>
      </c>
      <c r="E4617" t="inlineStr">
        <is>
          <t>LJUSDAL</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63108-2021</t>
        </is>
      </c>
      <c r="B4618" s="1" t="n">
        <v>44505</v>
      </c>
      <c r="C4618" s="1" t="n">
        <v>45911</v>
      </c>
      <c r="D4618" t="inlineStr">
        <is>
          <t>GÄVLEBORGS LÄN</t>
        </is>
      </c>
      <c r="E4618" t="inlineStr">
        <is>
          <t>BOLLNÄS</t>
        </is>
      </c>
      <c r="F4618" t="inlineStr">
        <is>
          <t>Bergvik skog väst AB</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30875-2022</t>
        </is>
      </c>
      <c r="B4619" s="1" t="n">
        <v>44767.55229166667</v>
      </c>
      <c r="C4619" s="1" t="n">
        <v>45911</v>
      </c>
      <c r="D4619" t="inlineStr">
        <is>
          <t>GÄVLEBORGS LÄN</t>
        </is>
      </c>
      <c r="E4619" t="inlineStr">
        <is>
          <t>GÄVLE</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19314-2025</t>
        </is>
      </c>
      <c r="B4620" s="1" t="n">
        <v>45769.57359953703</v>
      </c>
      <c r="C4620" s="1" t="n">
        <v>45911</v>
      </c>
      <c r="D4620" t="inlineStr">
        <is>
          <t>GÄVLEBORGS LÄN</t>
        </is>
      </c>
      <c r="E4620" t="inlineStr">
        <is>
          <t>LJUSDAL</t>
        </is>
      </c>
      <c r="F4620" t="inlineStr">
        <is>
          <t>SCA</t>
        </is>
      </c>
      <c r="G4620" t="n">
        <v>6.6</v>
      </c>
      <c r="H4620" t="n">
        <v>0</v>
      </c>
      <c r="I4620" t="n">
        <v>0</v>
      </c>
      <c r="J4620" t="n">
        <v>0</v>
      </c>
      <c r="K4620" t="n">
        <v>0</v>
      </c>
      <c r="L4620" t="n">
        <v>0</v>
      </c>
      <c r="M4620" t="n">
        <v>0</v>
      </c>
      <c r="N4620" t="n">
        <v>0</v>
      </c>
      <c r="O4620" t="n">
        <v>0</v>
      </c>
      <c r="P4620" t="n">
        <v>0</v>
      </c>
      <c r="Q4620" t="n">
        <v>0</v>
      </c>
      <c r="R4620" s="2" t="inlineStr"/>
    </row>
    <row r="4621" ht="15" customHeight="1">
      <c r="A4621" t="inlineStr">
        <is>
          <t>A 65363-2021</t>
        </is>
      </c>
      <c r="B4621" s="1" t="n">
        <v>44515.67112268518</v>
      </c>
      <c r="C4621" s="1" t="n">
        <v>45911</v>
      </c>
      <c r="D4621" t="inlineStr">
        <is>
          <t>GÄVLEBORGS LÄN</t>
        </is>
      </c>
      <c r="E4621" t="inlineStr">
        <is>
          <t>HUDIKSVALL</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19327-2025</t>
        </is>
      </c>
      <c r="B4622" s="1" t="n">
        <v>45769.58416666667</v>
      </c>
      <c r="C4622" s="1" t="n">
        <v>45911</v>
      </c>
      <c r="D4622" t="inlineStr">
        <is>
          <t>GÄVLEBORGS LÄN</t>
        </is>
      </c>
      <c r="E4622" t="inlineStr">
        <is>
          <t>GÄVLE</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31573-2024</t>
        </is>
      </c>
      <c r="B4623" s="1" t="n">
        <v>45506.34135416667</v>
      </c>
      <c r="C4623" s="1" t="n">
        <v>45911</v>
      </c>
      <c r="D4623" t="inlineStr">
        <is>
          <t>GÄVLEBORGS LÄN</t>
        </is>
      </c>
      <c r="E4623" t="inlineStr">
        <is>
          <t>BOLLNÄS</t>
        </is>
      </c>
      <c r="F4623" t="inlineStr">
        <is>
          <t>Sveaskog</t>
        </is>
      </c>
      <c r="G4623" t="n">
        <v>10.8</v>
      </c>
      <c r="H4623" t="n">
        <v>0</v>
      </c>
      <c r="I4623" t="n">
        <v>0</v>
      </c>
      <c r="J4623" t="n">
        <v>0</v>
      </c>
      <c r="K4623" t="n">
        <v>0</v>
      </c>
      <c r="L4623" t="n">
        <v>0</v>
      </c>
      <c r="M4623" t="n">
        <v>0</v>
      </c>
      <c r="N4623" t="n">
        <v>0</v>
      </c>
      <c r="O4623" t="n">
        <v>0</v>
      </c>
      <c r="P4623" t="n">
        <v>0</v>
      </c>
      <c r="Q4623" t="n">
        <v>0</v>
      </c>
      <c r="R4623" s="2" t="inlineStr"/>
    </row>
    <row r="4624" ht="15" customHeight="1">
      <c r="A4624" t="inlineStr">
        <is>
          <t>A 62126-2023</t>
        </is>
      </c>
      <c r="B4624" s="1" t="n">
        <v>45267</v>
      </c>
      <c r="C4624" s="1" t="n">
        <v>45911</v>
      </c>
      <c r="D4624" t="inlineStr">
        <is>
          <t>GÄVLEBORGS LÄN</t>
        </is>
      </c>
      <c r="E4624" t="inlineStr">
        <is>
          <t>OVANÅKER</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31851-2025</t>
        </is>
      </c>
      <c r="B4625" s="1" t="n">
        <v>45834.60839120371</v>
      </c>
      <c r="C4625" s="1" t="n">
        <v>45911</v>
      </c>
      <c r="D4625" t="inlineStr">
        <is>
          <t>GÄVLEBORGS LÄN</t>
        </is>
      </c>
      <c r="E4625" t="inlineStr">
        <is>
          <t>BOLLNÄS</t>
        </is>
      </c>
      <c r="G4625" t="n">
        <v>10.2</v>
      </c>
      <c r="H4625" t="n">
        <v>0</v>
      </c>
      <c r="I4625" t="n">
        <v>0</v>
      </c>
      <c r="J4625" t="n">
        <v>0</v>
      </c>
      <c r="K4625" t="n">
        <v>0</v>
      </c>
      <c r="L4625" t="n">
        <v>0</v>
      </c>
      <c r="M4625" t="n">
        <v>0</v>
      </c>
      <c r="N4625" t="n">
        <v>0</v>
      </c>
      <c r="O4625" t="n">
        <v>0</v>
      </c>
      <c r="P4625" t="n">
        <v>0</v>
      </c>
      <c r="Q4625" t="n">
        <v>0</v>
      </c>
      <c r="R4625" s="2" t="inlineStr"/>
    </row>
    <row r="4626" ht="15" customHeight="1">
      <c r="A4626" t="inlineStr">
        <is>
          <t>A 31798-2025</t>
        </is>
      </c>
      <c r="B4626" s="1" t="n">
        <v>45834.5515162037</v>
      </c>
      <c r="C4626" s="1" t="n">
        <v>45911</v>
      </c>
      <c r="D4626" t="inlineStr">
        <is>
          <t>GÄVLEBORGS LÄN</t>
        </is>
      </c>
      <c r="E4626" t="inlineStr">
        <is>
          <t>HUDIKSVALL</t>
        </is>
      </c>
      <c r="G4626" t="n">
        <v>4.4</v>
      </c>
      <c r="H4626" t="n">
        <v>0</v>
      </c>
      <c r="I4626" t="n">
        <v>0</v>
      </c>
      <c r="J4626" t="n">
        <v>0</v>
      </c>
      <c r="K4626" t="n">
        <v>0</v>
      </c>
      <c r="L4626" t="n">
        <v>0</v>
      </c>
      <c r="M4626" t="n">
        <v>0</v>
      </c>
      <c r="N4626" t="n">
        <v>0</v>
      </c>
      <c r="O4626" t="n">
        <v>0</v>
      </c>
      <c r="P4626" t="n">
        <v>0</v>
      </c>
      <c r="Q4626" t="n">
        <v>0</v>
      </c>
      <c r="R4626" s="2" t="inlineStr"/>
    </row>
    <row r="4627" ht="15" customHeight="1">
      <c r="A4627" t="inlineStr">
        <is>
          <t>A 46075-2024</t>
        </is>
      </c>
      <c r="B4627" s="1" t="n">
        <v>45581.32696759259</v>
      </c>
      <c r="C4627" s="1" t="n">
        <v>45911</v>
      </c>
      <c r="D4627" t="inlineStr">
        <is>
          <t>GÄVLEBORGS LÄN</t>
        </is>
      </c>
      <c r="E4627" t="inlineStr">
        <is>
          <t>LJUSDAL</t>
        </is>
      </c>
      <c r="F4627" t="inlineStr">
        <is>
          <t>Bergvik skog väst AB</t>
        </is>
      </c>
      <c r="G4627" t="n">
        <v>0.4</v>
      </c>
      <c r="H4627" t="n">
        <v>0</v>
      </c>
      <c r="I4627" t="n">
        <v>0</v>
      </c>
      <c r="J4627" t="n">
        <v>0</v>
      </c>
      <c r="K4627" t="n">
        <v>0</v>
      </c>
      <c r="L4627" t="n">
        <v>0</v>
      </c>
      <c r="M4627" t="n">
        <v>0</v>
      </c>
      <c r="N4627" t="n">
        <v>0</v>
      </c>
      <c r="O4627" t="n">
        <v>0</v>
      </c>
      <c r="P4627" t="n">
        <v>0</v>
      </c>
      <c r="Q4627" t="n">
        <v>0</v>
      </c>
      <c r="R4627" s="2" t="inlineStr"/>
    </row>
    <row r="4628" ht="15" customHeight="1">
      <c r="A4628" t="inlineStr">
        <is>
          <t>A 55112-2023</t>
        </is>
      </c>
      <c r="B4628" s="1" t="n">
        <v>45237.47232638889</v>
      </c>
      <c r="C4628" s="1" t="n">
        <v>45911</v>
      </c>
      <c r="D4628" t="inlineStr">
        <is>
          <t>GÄVLEBORGS LÄN</t>
        </is>
      </c>
      <c r="E4628" t="inlineStr">
        <is>
          <t>OCKELBO</t>
        </is>
      </c>
      <c r="G4628" t="n">
        <v>14.6</v>
      </c>
      <c r="H4628" t="n">
        <v>0</v>
      </c>
      <c r="I4628" t="n">
        <v>0</v>
      </c>
      <c r="J4628" t="n">
        <v>0</v>
      </c>
      <c r="K4628" t="n">
        <v>0</v>
      </c>
      <c r="L4628" t="n">
        <v>0</v>
      </c>
      <c r="M4628" t="n">
        <v>0</v>
      </c>
      <c r="N4628" t="n">
        <v>0</v>
      </c>
      <c r="O4628" t="n">
        <v>0</v>
      </c>
      <c r="P4628" t="n">
        <v>0</v>
      </c>
      <c r="Q4628" t="n">
        <v>0</v>
      </c>
      <c r="R4628" s="2" t="inlineStr"/>
    </row>
    <row r="4629" ht="15" customHeight="1">
      <c r="A4629" t="inlineStr">
        <is>
          <t>A 31500-2025</t>
        </is>
      </c>
      <c r="B4629" s="1" t="n">
        <v>45833.58673611111</v>
      </c>
      <c r="C4629" s="1" t="n">
        <v>45911</v>
      </c>
      <c r="D4629" t="inlineStr">
        <is>
          <t>GÄVLEBORGS LÄN</t>
        </is>
      </c>
      <c r="E4629" t="inlineStr">
        <is>
          <t>LJUSDAL</t>
        </is>
      </c>
      <c r="G4629" t="n">
        <v>5.7</v>
      </c>
      <c r="H4629" t="n">
        <v>0</v>
      </c>
      <c r="I4629" t="n">
        <v>0</v>
      </c>
      <c r="J4629" t="n">
        <v>0</v>
      </c>
      <c r="K4629" t="n">
        <v>0</v>
      </c>
      <c r="L4629" t="n">
        <v>0</v>
      </c>
      <c r="M4629" t="n">
        <v>0</v>
      </c>
      <c r="N4629" t="n">
        <v>0</v>
      </c>
      <c r="O4629" t="n">
        <v>0</v>
      </c>
      <c r="P4629" t="n">
        <v>0</v>
      </c>
      <c r="Q4629" t="n">
        <v>0</v>
      </c>
      <c r="R4629" s="2" t="inlineStr"/>
    </row>
    <row r="4630" ht="15" customHeight="1">
      <c r="A4630" t="inlineStr">
        <is>
          <t>A 28296-2024</t>
        </is>
      </c>
      <c r="B4630" s="1" t="n">
        <v>45477.47487268518</v>
      </c>
      <c r="C4630" s="1" t="n">
        <v>45911</v>
      </c>
      <c r="D4630" t="inlineStr">
        <is>
          <t>GÄVLEBORGS LÄN</t>
        </is>
      </c>
      <c r="E4630" t="inlineStr">
        <is>
          <t>HUDIKSVALL</t>
        </is>
      </c>
      <c r="F4630" t="inlineStr">
        <is>
          <t>Holmen skog AB</t>
        </is>
      </c>
      <c r="G4630" t="n">
        <v>3.9</v>
      </c>
      <c r="H4630" t="n">
        <v>0</v>
      </c>
      <c r="I4630" t="n">
        <v>0</v>
      </c>
      <c r="J4630" t="n">
        <v>0</v>
      </c>
      <c r="K4630" t="n">
        <v>0</v>
      </c>
      <c r="L4630" t="n">
        <v>0</v>
      </c>
      <c r="M4630" t="n">
        <v>0</v>
      </c>
      <c r="N4630" t="n">
        <v>0</v>
      </c>
      <c r="O4630" t="n">
        <v>0</v>
      </c>
      <c r="P4630" t="n">
        <v>0</v>
      </c>
      <c r="Q4630" t="n">
        <v>0</v>
      </c>
      <c r="R4630" s="2" t="inlineStr"/>
    </row>
    <row r="4631" ht="15" customHeight="1">
      <c r="A4631" t="inlineStr">
        <is>
          <t>A 37317-2025</t>
        </is>
      </c>
      <c r="B4631" s="1" t="n">
        <v>45876.61798611111</v>
      </c>
      <c r="C4631" s="1" t="n">
        <v>45911</v>
      </c>
      <c r="D4631" t="inlineStr">
        <is>
          <t>GÄVLEBORGS LÄN</t>
        </is>
      </c>
      <c r="E4631" t="inlineStr">
        <is>
          <t>LJUSDAL</t>
        </is>
      </c>
      <c r="G4631" t="n">
        <v>5.7</v>
      </c>
      <c r="H4631" t="n">
        <v>0</v>
      </c>
      <c r="I4631" t="n">
        <v>0</v>
      </c>
      <c r="J4631" t="n">
        <v>0</v>
      </c>
      <c r="K4631" t="n">
        <v>0</v>
      </c>
      <c r="L4631" t="n">
        <v>0</v>
      </c>
      <c r="M4631" t="n">
        <v>0</v>
      </c>
      <c r="N4631" t="n">
        <v>0</v>
      </c>
      <c r="O4631" t="n">
        <v>0</v>
      </c>
      <c r="P4631" t="n">
        <v>0</v>
      </c>
      <c r="Q4631" t="n">
        <v>0</v>
      </c>
      <c r="R4631" s="2" t="inlineStr"/>
    </row>
    <row r="4632" ht="15" customHeight="1">
      <c r="A4632" t="inlineStr">
        <is>
          <t>A 28340-2024</t>
        </is>
      </c>
      <c r="B4632" s="1" t="n">
        <v>45477.54754629629</v>
      </c>
      <c r="C4632" s="1" t="n">
        <v>45911</v>
      </c>
      <c r="D4632" t="inlineStr">
        <is>
          <t>GÄVLEBORGS LÄN</t>
        </is>
      </c>
      <c r="E4632" t="inlineStr">
        <is>
          <t>SÖDERHAMN</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55201-2023</t>
        </is>
      </c>
      <c r="B4633" s="1" t="n">
        <v>45237.58758101852</v>
      </c>
      <c r="C4633" s="1" t="n">
        <v>45911</v>
      </c>
      <c r="D4633" t="inlineStr">
        <is>
          <t>GÄVLEBORGS LÄN</t>
        </is>
      </c>
      <c r="E4633" t="inlineStr">
        <is>
          <t>HUDIKSVALL</t>
        </is>
      </c>
      <c r="F4633" t="inlineStr">
        <is>
          <t>Holmen skog AB</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15001-2023</t>
        </is>
      </c>
      <c r="B4634" s="1" t="n">
        <v>45015</v>
      </c>
      <c r="C4634" s="1" t="n">
        <v>45911</v>
      </c>
      <c r="D4634" t="inlineStr">
        <is>
          <t>GÄVLEBORGS LÄN</t>
        </is>
      </c>
      <c r="E4634" t="inlineStr">
        <is>
          <t>GÄVLE</t>
        </is>
      </c>
      <c r="F4634" t="inlineStr">
        <is>
          <t>Bergvik skog öst AB</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37338-2025</t>
        </is>
      </c>
      <c r="B4635" s="1" t="n">
        <v>45876.68149305556</v>
      </c>
      <c r="C4635" s="1" t="n">
        <v>45911</v>
      </c>
      <c r="D4635" t="inlineStr">
        <is>
          <t>GÄVLEBORGS LÄN</t>
        </is>
      </c>
      <c r="E4635" t="inlineStr">
        <is>
          <t>SÖDERHAMN</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17062-2023</t>
        </is>
      </c>
      <c r="B4636" s="1" t="n">
        <v>45034</v>
      </c>
      <c r="C4636" s="1" t="n">
        <v>45911</v>
      </c>
      <c r="D4636" t="inlineStr">
        <is>
          <t>GÄVLEBORGS LÄN</t>
        </is>
      </c>
      <c r="E4636" t="inlineStr">
        <is>
          <t>GÄVLE</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31298-2025</t>
        </is>
      </c>
      <c r="B4637" s="1" t="n">
        <v>45833.37363425926</v>
      </c>
      <c r="C4637" s="1" t="n">
        <v>45911</v>
      </c>
      <c r="D4637" t="inlineStr">
        <is>
          <t>GÄVLEBORGS LÄN</t>
        </is>
      </c>
      <c r="E4637" t="inlineStr">
        <is>
          <t>OCKELBO</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37326-2025</t>
        </is>
      </c>
      <c r="B4638" s="1" t="n">
        <v>45876.64011574074</v>
      </c>
      <c r="C4638" s="1" t="n">
        <v>45911</v>
      </c>
      <c r="D4638" t="inlineStr">
        <is>
          <t>GÄVLEBORGS LÄN</t>
        </is>
      </c>
      <c r="E4638" t="inlineStr">
        <is>
          <t>GÄVLE</t>
        </is>
      </c>
      <c r="F4638" t="inlineStr">
        <is>
          <t>Bergvik skog väst AB</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37355-2025</t>
        </is>
      </c>
      <c r="B4639" s="1" t="n">
        <v>45876.7824537037</v>
      </c>
      <c r="C4639" s="1" t="n">
        <v>45911</v>
      </c>
      <c r="D4639" t="inlineStr">
        <is>
          <t>GÄVLEBORGS LÄN</t>
        </is>
      </c>
      <c r="E4639" t="inlineStr">
        <is>
          <t>HUDIKSVALL</t>
        </is>
      </c>
      <c r="F4639" t="inlineStr">
        <is>
          <t>Holmen skog AB</t>
        </is>
      </c>
      <c r="G4639" t="n">
        <v>14.6</v>
      </c>
      <c r="H4639" t="n">
        <v>0</v>
      </c>
      <c r="I4639" t="n">
        <v>0</v>
      </c>
      <c r="J4639" t="n">
        <v>0</v>
      </c>
      <c r="K4639" t="n">
        <v>0</v>
      </c>
      <c r="L4639" t="n">
        <v>0</v>
      </c>
      <c r="M4639" t="n">
        <v>0</v>
      </c>
      <c r="N4639" t="n">
        <v>0</v>
      </c>
      <c r="O4639" t="n">
        <v>0</v>
      </c>
      <c r="P4639" t="n">
        <v>0</v>
      </c>
      <c r="Q4639" t="n">
        <v>0</v>
      </c>
      <c r="R4639" s="2" t="inlineStr"/>
    </row>
    <row r="4640" ht="15" customHeight="1">
      <c r="A4640" t="inlineStr">
        <is>
          <t>A 3833-2024</t>
        </is>
      </c>
      <c r="B4640" s="1" t="n">
        <v>45321</v>
      </c>
      <c r="C4640" s="1" t="n">
        <v>45911</v>
      </c>
      <c r="D4640" t="inlineStr">
        <is>
          <t>GÄVLEBORGS LÄN</t>
        </is>
      </c>
      <c r="E4640" t="inlineStr">
        <is>
          <t>SANDVIKEN</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5271-2023</t>
        </is>
      </c>
      <c r="B4641" s="1" t="n">
        <v>44959.48050925926</v>
      </c>
      <c r="C4641" s="1" t="n">
        <v>45911</v>
      </c>
      <c r="D4641" t="inlineStr">
        <is>
          <t>GÄVLEBORGS LÄN</t>
        </is>
      </c>
      <c r="E4641" t="inlineStr">
        <is>
          <t>OVANÅKER</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5300-2023</t>
        </is>
      </c>
      <c r="B4642" s="1" t="n">
        <v>44959.54719907408</v>
      </c>
      <c r="C4642" s="1" t="n">
        <v>45911</v>
      </c>
      <c r="D4642" t="inlineStr">
        <is>
          <t>GÄVLEBORGS LÄN</t>
        </is>
      </c>
      <c r="E4642" t="inlineStr">
        <is>
          <t>OVANÅKER</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59616-2023</t>
        </is>
      </c>
      <c r="B4643" s="1" t="n">
        <v>45254.65175925926</v>
      </c>
      <c r="C4643" s="1" t="n">
        <v>45911</v>
      </c>
      <c r="D4643" t="inlineStr">
        <is>
          <t>GÄVLEBORGS LÄN</t>
        </is>
      </c>
      <c r="E4643" t="inlineStr">
        <is>
          <t>SANDVIKEN</t>
        </is>
      </c>
      <c r="F4643" t="inlineStr">
        <is>
          <t>Sveaskog</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13365-2023</t>
        </is>
      </c>
      <c r="B4644" s="1" t="n">
        <v>45005</v>
      </c>
      <c r="C4644" s="1" t="n">
        <v>45911</v>
      </c>
      <c r="D4644" t="inlineStr">
        <is>
          <t>GÄVLEBORGS LÄN</t>
        </is>
      </c>
      <c r="E4644" t="inlineStr">
        <is>
          <t>OVANÅKER</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9392-2025</t>
        </is>
      </c>
      <c r="B4645" s="1" t="n">
        <v>45715.35614583334</v>
      </c>
      <c r="C4645" s="1" t="n">
        <v>45911</v>
      </c>
      <c r="D4645" t="inlineStr">
        <is>
          <t>GÄVLEBORGS LÄN</t>
        </is>
      </c>
      <c r="E4645" t="inlineStr">
        <is>
          <t>HUDIKSVALL</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10030-2025</t>
        </is>
      </c>
      <c r="B4646" s="1" t="n">
        <v>45719.49319444445</v>
      </c>
      <c r="C4646" s="1" t="n">
        <v>45911</v>
      </c>
      <c r="D4646" t="inlineStr">
        <is>
          <t>GÄVLEBORGS LÄN</t>
        </is>
      </c>
      <c r="E4646" t="inlineStr">
        <is>
          <t>BOLLNÄS</t>
        </is>
      </c>
      <c r="F4646" t="inlineStr">
        <is>
          <t>Bergvik skog väst AB</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65259-2023</t>
        </is>
      </c>
      <c r="B4647" s="1" t="n">
        <v>45291.52712962963</v>
      </c>
      <c r="C4647" s="1" t="n">
        <v>45911</v>
      </c>
      <c r="D4647" t="inlineStr">
        <is>
          <t>GÄVLEBORGS LÄN</t>
        </is>
      </c>
      <c r="E4647" t="inlineStr">
        <is>
          <t>OCKELBO</t>
        </is>
      </c>
      <c r="G4647" t="n">
        <v>3.6</v>
      </c>
      <c r="H4647" t="n">
        <v>0</v>
      </c>
      <c r="I4647" t="n">
        <v>0</v>
      </c>
      <c r="J4647" t="n">
        <v>0</v>
      </c>
      <c r="K4647" t="n">
        <v>0</v>
      </c>
      <c r="L4647" t="n">
        <v>0</v>
      </c>
      <c r="M4647" t="n">
        <v>0</v>
      </c>
      <c r="N4647" t="n">
        <v>0</v>
      </c>
      <c r="O4647" t="n">
        <v>0</v>
      </c>
      <c r="P4647" t="n">
        <v>0</v>
      </c>
      <c r="Q4647" t="n">
        <v>0</v>
      </c>
      <c r="R4647" s="2" t="inlineStr"/>
    </row>
    <row r="4648" ht="15" customHeight="1">
      <c r="A4648" t="inlineStr">
        <is>
          <t>A 35252-2024</t>
        </is>
      </c>
      <c r="B4648" s="1" t="n">
        <v>45530.57136574074</v>
      </c>
      <c r="C4648" s="1" t="n">
        <v>45911</v>
      </c>
      <c r="D4648" t="inlineStr">
        <is>
          <t>GÄVLEBORGS LÄN</t>
        </is>
      </c>
      <c r="E4648" t="inlineStr">
        <is>
          <t>SANDVIKEN</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31685-2025</t>
        </is>
      </c>
      <c r="B4649" s="1" t="n">
        <v>45834.39266203704</v>
      </c>
      <c r="C4649" s="1" t="n">
        <v>45911</v>
      </c>
      <c r="D4649" t="inlineStr">
        <is>
          <t>GÄVLEBORGS LÄN</t>
        </is>
      </c>
      <c r="E4649" t="inlineStr">
        <is>
          <t>GÄVLE</t>
        </is>
      </c>
      <c r="G4649" t="n">
        <v>11.8</v>
      </c>
      <c r="H4649" t="n">
        <v>0</v>
      </c>
      <c r="I4649" t="n">
        <v>0</v>
      </c>
      <c r="J4649" t="n">
        <v>0</v>
      </c>
      <c r="K4649" t="n">
        <v>0</v>
      </c>
      <c r="L4649" t="n">
        <v>0</v>
      </c>
      <c r="M4649" t="n">
        <v>0</v>
      </c>
      <c r="N4649" t="n">
        <v>0</v>
      </c>
      <c r="O4649" t="n">
        <v>0</v>
      </c>
      <c r="P4649" t="n">
        <v>0</v>
      </c>
      <c r="Q4649" t="n">
        <v>0</v>
      </c>
      <c r="R4649" s="2" t="inlineStr"/>
    </row>
    <row r="4650" ht="15" customHeight="1">
      <c r="A4650" t="inlineStr">
        <is>
          <t>A 32652-2023</t>
        </is>
      </c>
      <c r="B4650" s="1" t="n">
        <v>45121.60966435185</v>
      </c>
      <c r="C4650" s="1" t="n">
        <v>45911</v>
      </c>
      <c r="D4650" t="inlineStr">
        <is>
          <t>GÄVLEBORGS LÄN</t>
        </is>
      </c>
      <c r="E4650" t="inlineStr">
        <is>
          <t>NORDANSTIG</t>
        </is>
      </c>
      <c r="G4650" t="n">
        <v>3.3</v>
      </c>
      <c r="H4650" t="n">
        <v>0</v>
      </c>
      <c r="I4650" t="n">
        <v>0</v>
      </c>
      <c r="J4650" t="n">
        <v>0</v>
      </c>
      <c r="K4650" t="n">
        <v>0</v>
      </c>
      <c r="L4650" t="n">
        <v>0</v>
      </c>
      <c r="M4650" t="n">
        <v>0</v>
      </c>
      <c r="N4650" t="n">
        <v>0</v>
      </c>
      <c r="O4650" t="n">
        <v>0</v>
      </c>
      <c r="P4650" t="n">
        <v>0</v>
      </c>
      <c r="Q4650" t="n">
        <v>0</v>
      </c>
      <c r="R4650" s="2" t="inlineStr"/>
    </row>
    <row r="4651" ht="15" customHeight="1">
      <c r="A4651" t="inlineStr">
        <is>
          <t>A 5701-2025</t>
        </is>
      </c>
      <c r="B4651" s="1" t="n">
        <v>45694</v>
      </c>
      <c r="C4651" s="1" t="n">
        <v>45911</v>
      </c>
      <c r="D4651" t="inlineStr">
        <is>
          <t>GÄVLEBORGS LÄN</t>
        </is>
      </c>
      <c r="E4651" t="inlineStr">
        <is>
          <t>LJUSDAL</t>
        </is>
      </c>
      <c r="F4651" t="inlineStr">
        <is>
          <t>Bergvik skog väst AB</t>
        </is>
      </c>
      <c r="G4651" t="n">
        <v>7.1</v>
      </c>
      <c r="H4651" t="n">
        <v>0</v>
      </c>
      <c r="I4651" t="n">
        <v>0</v>
      </c>
      <c r="J4651" t="n">
        <v>0</v>
      </c>
      <c r="K4651" t="n">
        <v>0</v>
      </c>
      <c r="L4651" t="n">
        <v>0</v>
      </c>
      <c r="M4651" t="n">
        <v>0</v>
      </c>
      <c r="N4651" t="n">
        <v>0</v>
      </c>
      <c r="O4651" t="n">
        <v>0</v>
      </c>
      <c r="P4651" t="n">
        <v>0</v>
      </c>
      <c r="Q4651" t="n">
        <v>0</v>
      </c>
      <c r="R4651" s="2" t="inlineStr"/>
    </row>
    <row r="4652" ht="15" customHeight="1">
      <c r="A4652" t="inlineStr">
        <is>
          <t>A 32754-2023</t>
        </is>
      </c>
      <c r="B4652" s="1" t="n">
        <v>45123</v>
      </c>
      <c r="C4652" s="1" t="n">
        <v>45911</v>
      </c>
      <c r="D4652" t="inlineStr">
        <is>
          <t>GÄVLEBORGS LÄN</t>
        </is>
      </c>
      <c r="E4652" t="inlineStr">
        <is>
          <t>BOLLNÄS</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4563-2023</t>
        </is>
      </c>
      <c r="B4653" s="1" t="n">
        <v>44956</v>
      </c>
      <c r="C4653" s="1" t="n">
        <v>45911</v>
      </c>
      <c r="D4653" t="inlineStr">
        <is>
          <t>GÄVLEBORGS LÄN</t>
        </is>
      </c>
      <c r="E4653" t="inlineStr">
        <is>
          <t>SÖDERHAMN</t>
        </is>
      </c>
      <c r="G4653" t="n">
        <v>2.9</v>
      </c>
      <c r="H4653" t="n">
        <v>0</v>
      </c>
      <c r="I4653" t="n">
        <v>0</v>
      </c>
      <c r="J4653" t="n">
        <v>0</v>
      </c>
      <c r="K4653" t="n">
        <v>0</v>
      </c>
      <c r="L4653" t="n">
        <v>0</v>
      </c>
      <c r="M4653" t="n">
        <v>0</v>
      </c>
      <c r="N4653" t="n">
        <v>0</v>
      </c>
      <c r="O4653" t="n">
        <v>0</v>
      </c>
      <c r="P4653" t="n">
        <v>0</v>
      </c>
      <c r="Q4653" t="n">
        <v>0</v>
      </c>
      <c r="R4653" s="2" t="inlineStr"/>
    </row>
    <row r="4654" ht="15" customHeight="1">
      <c r="A4654" t="inlineStr">
        <is>
          <t>A 58182-2023</t>
        </is>
      </c>
      <c r="B4654" s="1" t="n">
        <v>45245</v>
      </c>
      <c r="C4654" s="1" t="n">
        <v>45911</v>
      </c>
      <c r="D4654" t="inlineStr">
        <is>
          <t>GÄVLEBORGS LÄN</t>
        </is>
      </c>
      <c r="E4654" t="inlineStr">
        <is>
          <t>SANDVIKEN</t>
        </is>
      </c>
      <c r="G4654" t="n">
        <v>8.1</v>
      </c>
      <c r="H4654" t="n">
        <v>0</v>
      </c>
      <c r="I4654" t="n">
        <v>0</v>
      </c>
      <c r="J4654" t="n">
        <v>0</v>
      </c>
      <c r="K4654" t="n">
        <v>0</v>
      </c>
      <c r="L4654" t="n">
        <v>0</v>
      </c>
      <c r="M4654" t="n">
        <v>0</v>
      </c>
      <c r="N4654" t="n">
        <v>0</v>
      </c>
      <c r="O4654" t="n">
        <v>0</v>
      </c>
      <c r="P4654" t="n">
        <v>0</v>
      </c>
      <c r="Q4654" t="n">
        <v>0</v>
      </c>
      <c r="R4654" s="2" t="inlineStr"/>
    </row>
    <row r="4655" ht="15" customHeight="1">
      <c r="A4655" t="inlineStr">
        <is>
          <t>A 37082-2025</t>
        </is>
      </c>
      <c r="B4655" s="1" t="n">
        <v>45875.44046296296</v>
      </c>
      <c r="C4655" s="1" t="n">
        <v>45911</v>
      </c>
      <c r="D4655" t="inlineStr">
        <is>
          <t>GÄVLEBORGS LÄN</t>
        </is>
      </c>
      <c r="E4655" t="inlineStr">
        <is>
          <t>HUDIKSVALL</t>
        </is>
      </c>
      <c r="F4655" t="inlineStr">
        <is>
          <t>Holmen skog AB</t>
        </is>
      </c>
      <c r="G4655" t="n">
        <v>10.8</v>
      </c>
      <c r="H4655" t="n">
        <v>0</v>
      </c>
      <c r="I4655" t="n">
        <v>0</v>
      </c>
      <c r="J4655" t="n">
        <v>0</v>
      </c>
      <c r="K4655" t="n">
        <v>0</v>
      </c>
      <c r="L4655" t="n">
        <v>0</v>
      </c>
      <c r="M4655" t="n">
        <v>0</v>
      </c>
      <c r="N4655" t="n">
        <v>0</v>
      </c>
      <c r="O4655" t="n">
        <v>0</v>
      </c>
      <c r="P4655" t="n">
        <v>0</v>
      </c>
      <c r="Q4655" t="n">
        <v>0</v>
      </c>
      <c r="R4655" s="2" t="inlineStr"/>
    </row>
    <row r="4656" ht="15" customHeight="1">
      <c r="A4656" t="inlineStr">
        <is>
          <t>A 31302-2025</t>
        </is>
      </c>
      <c r="B4656" s="1" t="n">
        <v>45833.38398148148</v>
      </c>
      <c r="C4656" s="1" t="n">
        <v>45911</v>
      </c>
      <c r="D4656" t="inlineStr">
        <is>
          <t>GÄVLEBORGS LÄN</t>
        </is>
      </c>
      <c r="E4656" t="inlineStr">
        <is>
          <t>OCKELBO</t>
        </is>
      </c>
      <c r="G4656" t="n">
        <v>4.2</v>
      </c>
      <c r="H4656" t="n">
        <v>0</v>
      </c>
      <c r="I4656" t="n">
        <v>0</v>
      </c>
      <c r="J4656" t="n">
        <v>0</v>
      </c>
      <c r="K4656" t="n">
        <v>0</v>
      </c>
      <c r="L4656" t="n">
        <v>0</v>
      </c>
      <c r="M4656" t="n">
        <v>0</v>
      </c>
      <c r="N4656" t="n">
        <v>0</v>
      </c>
      <c r="O4656" t="n">
        <v>0</v>
      </c>
      <c r="P4656" t="n">
        <v>0</v>
      </c>
      <c r="Q4656" t="n">
        <v>0</v>
      </c>
      <c r="R4656" s="2" t="inlineStr"/>
    </row>
    <row r="4657" ht="15" customHeight="1">
      <c r="A4657" t="inlineStr">
        <is>
          <t>A 62619-2023</t>
        </is>
      </c>
      <c r="B4657" s="1" t="n">
        <v>45271.35469907407</v>
      </c>
      <c r="C4657" s="1" t="n">
        <v>45911</v>
      </c>
      <c r="D4657" t="inlineStr">
        <is>
          <t>GÄVLEBORGS LÄN</t>
        </is>
      </c>
      <c r="E4657" t="inlineStr">
        <is>
          <t>NORDANSTIG</t>
        </is>
      </c>
      <c r="F4657" t="inlineStr">
        <is>
          <t>Holmen skog AB</t>
        </is>
      </c>
      <c r="G4657" t="n">
        <v>2.7</v>
      </c>
      <c r="H4657" t="n">
        <v>0</v>
      </c>
      <c r="I4657" t="n">
        <v>0</v>
      </c>
      <c r="J4657" t="n">
        <v>0</v>
      </c>
      <c r="K4657" t="n">
        <v>0</v>
      </c>
      <c r="L4657" t="n">
        <v>0</v>
      </c>
      <c r="M4657" t="n">
        <v>0</v>
      </c>
      <c r="N4657" t="n">
        <v>0</v>
      </c>
      <c r="O4657" t="n">
        <v>0</v>
      </c>
      <c r="P4657" t="n">
        <v>0</v>
      </c>
      <c r="Q4657" t="n">
        <v>0</v>
      </c>
      <c r="R4657" s="2" t="inlineStr"/>
    </row>
    <row r="4658" ht="15" customHeight="1">
      <c r="A4658" t="inlineStr">
        <is>
          <t>A 147-2024</t>
        </is>
      </c>
      <c r="B4658" s="1" t="n">
        <v>45294.46956018519</v>
      </c>
      <c r="C4658" s="1" t="n">
        <v>45911</v>
      </c>
      <c r="D4658" t="inlineStr">
        <is>
          <t>GÄVLEBORGS LÄN</t>
        </is>
      </c>
      <c r="E4658" t="inlineStr">
        <is>
          <t>LJUSDAL</t>
        </is>
      </c>
      <c r="G4658" t="n">
        <v>9.9</v>
      </c>
      <c r="H4658" t="n">
        <v>0</v>
      </c>
      <c r="I4658" t="n">
        <v>0</v>
      </c>
      <c r="J4658" t="n">
        <v>0</v>
      </c>
      <c r="K4658" t="n">
        <v>0</v>
      </c>
      <c r="L4658" t="n">
        <v>0</v>
      </c>
      <c r="M4658" t="n">
        <v>0</v>
      </c>
      <c r="N4658" t="n">
        <v>0</v>
      </c>
      <c r="O4658" t="n">
        <v>0</v>
      </c>
      <c r="P4658" t="n">
        <v>0</v>
      </c>
      <c r="Q4658" t="n">
        <v>0</v>
      </c>
      <c r="R4658" s="2" t="inlineStr"/>
    </row>
    <row r="4659" ht="15" customHeight="1">
      <c r="A4659" t="inlineStr">
        <is>
          <t>A 7729-2024</t>
        </is>
      </c>
      <c r="B4659" s="1" t="n">
        <v>45349</v>
      </c>
      <c r="C4659" s="1" t="n">
        <v>45911</v>
      </c>
      <c r="D4659" t="inlineStr">
        <is>
          <t>GÄVLEBORGS LÄN</t>
        </is>
      </c>
      <c r="E4659" t="inlineStr">
        <is>
          <t>LJUSDAL</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2573-2024</t>
        </is>
      </c>
      <c r="B4660" s="1" t="n">
        <v>45313.63486111111</v>
      </c>
      <c r="C4660" s="1" t="n">
        <v>45911</v>
      </c>
      <c r="D4660" t="inlineStr">
        <is>
          <t>GÄVLEBORGS LÄN</t>
        </is>
      </c>
      <c r="E4660" t="inlineStr">
        <is>
          <t>NORDANSTIG</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9426-2025</t>
        </is>
      </c>
      <c r="B4661" s="1" t="n">
        <v>45715.40354166667</v>
      </c>
      <c r="C4661" s="1" t="n">
        <v>45911</v>
      </c>
      <c r="D4661" t="inlineStr">
        <is>
          <t>GÄVLEBORGS LÄN</t>
        </is>
      </c>
      <c r="E4661" t="inlineStr">
        <is>
          <t>GÄVLE</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37099-2025</t>
        </is>
      </c>
      <c r="B4662" s="1" t="n">
        <v>45875.47131944444</v>
      </c>
      <c r="C4662" s="1" t="n">
        <v>45911</v>
      </c>
      <c r="D4662" t="inlineStr">
        <is>
          <t>GÄVLEBORGS LÄN</t>
        </is>
      </c>
      <c r="E4662" t="inlineStr">
        <is>
          <t>BOLLNÄS</t>
        </is>
      </c>
      <c r="F4662" t="inlineStr">
        <is>
          <t>Bergvik skog väst AB</t>
        </is>
      </c>
      <c r="G4662" t="n">
        <v>5</v>
      </c>
      <c r="H4662" t="n">
        <v>0</v>
      </c>
      <c r="I4662" t="n">
        <v>0</v>
      </c>
      <c r="J4662" t="n">
        <v>0</v>
      </c>
      <c r="K4662" t="n">
        <v>0</v>
      </c>
      <c r="L4662" t="n">
        <v>0</v>
      </c>
      <c r="M4662" t="n">
        <v>0</v>
      </c>
      <c r="N4662" t="n">
        <v>0</v>
      </c>
      <c r="O4662" t="n">
        <v>0</v>
      </c>
      <c r="P4662" t="n">
        <v>0</v>
      </c>
      <c r="Q4662" t="n">
        <v>0</v>
      </c>
      <c r="R4662" s="2" t="inlineStr"/>
    </row>
    <row r="4663" ht="15" customHeight="1">
      <c r="A4663" t="inlineStr">
        <is>
          <t>A 37115-2025</t>
        </is>
      </c>
      <c r="B4663" s="1" t="n">
        <v>45875.51137731481</v>
      </c>
      <c r="C4663" s="1" t="n">
        <v>45911</v>
      </c>
      <c r="D4663" t="inlineStr">
        <is>
          <t>GÄVLEBORGS LÄN</t>
        </is>
      </c>
      <c r="E4663" t="inlineStr">
        <is>
          <t>LJUSDAL</t>
        </is>
      </c>
      <c r="F4663" t="inlineStr">
        <is>
          <t>SCA</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31822-2025</t>
        </is>
      </c>
      <c r="B4664" s="1" t="n">
        <v>45834.58130787037</v>
      </c>
      <c r="C4664" s="1" t="n">
        <v>45911</v>
      </c>
      <c r="D4664" t="inlineStr">
        <is>
          <t>GÄVLEBORGS LÄN</t>
        </is>
      </c>
      <c r="E4664" t="inlineStr">
        <is>
          <t>OCKELBO</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37146-2025</t>
        </is>
      </c>
      <c r="B4665" s="1" t="n">
        <v>45875.57041666667</v>
      </c>
      <c r="C4665" s="1" t="n">
        <v>45911</v>
      </c>
      <c r="D4665" t="inlineStr">
        <is>
          <t>GÄVLEBORGS LÄN</t>
        </is>
      </c>
      <c r="E4665" t="inlineStr">
        <is>
          <t>GÄVLE</t>
        </is>
      </c>
      <c r="F4665" t="inlineStr">
        <is>
          <t>Bergvik skog väst AB</t>
        </is>
      </c>
      <c r="G4665" t="n">
        <v>2.8</v>
      </c>
      <c r="H4665" t="n">
        <v>0</v>
      </c>
      <c r="I4665" t="n">
        <v>0</v>
      </c>
      <c r="J4665" t="n">
        <v>0</v>
      </c>
      <c r="K4665" t="n">
        <v>0</v>
      </c>
      <c r="L4665" t="n">
        <v>0</v>
      </c>
      <c r="M4665" t="n">
        <v>0</v>
      </c>
      <c r="N4665" t="n">
        <v>0</v>
      </c>
      <c r="O4665" t="n">
        <v>0</v>
      </c>
      <c r="P4665" t="n">
        <v>0</v>
      </c>
      <c r="Q4665" t="n">
        <v>0</v>
      </c>
      <c r="R4665" s="2" t="inlineStr"/>
    </row>
    <row r="4666" ht="15" customHeight="1">
      <c r="A4666" t="inlineStr">
        <is>
          <t>A 12139-2021</t>
        </is>
      </c>
      <c r="B4666" s="1" t="n">
        <v>44266</v>
      </c>
      <c r="C4666" s="1" t="n">
        <v>45911</v>
      </c>
      <c r="D4666" t="inlineStr">
        <is>
          <t>GÄVLEBORGS LÄN</t>
        </is>
      </c>
      <c r="E4666" t="inlineStr">
        <is>
          <t>OVANÅKER</t>
        </is>
      </c>
      <c r="G4666" t="n">
        <v>3.3</v>
      </c>
      <c r="H4666" t="n">
        <v>0</v>
      </c>
      <c r="I4666" t="n">
        <v>0</v>
      </c>
      <c r="J4666" t="n">
        <v>0</v>
      </c>
      <c r="K4666" t="n">
        <v>0</v>
      </c>
      <c r="L4666" t="n">
        <v>0</v>
      </c>
      <c r="M4666" t="n">
        <v>0</v>
      </c>
      <c r="N4666" t="n">
        <v>0</v>
      </c>
      <c r="O4666" t="n">
        <v>0</v>
      </c>
      <c r="P4666" t="n">
        <v>0</v>
      </c>
      <c r="Q4666" t="n">
        <v>0</v>
      </c>
      <c r="R4666" s="2" t="inlineStr"/>
    </row>
    <row r="4667" ht="15" customHeight="1">
      <c r="A4667" t="inlineStr">
        <is>
          <t>A 59976-2023</t>
        </is>
      </c>
      <c r="B4667" s="1" t="n">
        <v>45254</v>
      </c>
      <c r="C4667" s="1" t="n">
        <v>45911</v>
      </c>
      <c r="D4667" t="inlineStr">
        <is>
          <t>GÄVLEBORGS LÄN</t>
        </is>
      </c>
      <c r="E4667" t="inlineStr">
        <is>
          <t>OCKELBO</t>
        </is>
      </c>
      <c r="G4667" t="n">
        <v>5.1</v>
      </c>
      <c r="H4667" t="n">
        <v>0</v>
      </c>
      <c r="I4667" t="n">
        <v>0</v>
      </c>
      <c r="J4667" t="n">
        <v>0</v>
      </c>
      <c r="K4667" t="n">
        <v>0</v>
      </c>
      <c r="L4667" t="n">
        <v>0</v>
      </c>
      <c r="M4667" t="n">
        <v>0</v>
      </c>
      <c r="N4667" t="n">
        <v>0</v>
      </c>
      <c r="O4667" t="n">
        <v>0</v>
      </c>
      <c r="P4667" t="n">
        <v>0</v>
      </c>
      <c r="Q4667" t="n">
        <v>0</v>
      </c>
      <c r="R4667" s="2" t="inlineStr"/>
    </row>
    <row r="4668" ht="15" customHeight="1">
      <c r="A4668" t="inlineStr">
        <is>
          <t>A 59978-2023</t>
        </is>
      </c>
      <c r="B4668" s="1" t="n">
        <v>45254</v>
      </c>
      <c r="C4668" s="1" t="n">
        <v>45911</v>
      </c>
      <c r="D4668" t="inlineStr">
        <is>
          <t>GÄVLEBORGS LÄN</t>
        </is>
      </c>
      <c r="E4668" t="inlineStr">
        <is>
          <t>OCKELBO</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5411-2022</t>
        </is>
      </c>
      <c r="B4669" s="1" t="n">
        <v>44595.38513888889</v>
      </c>
      <c r="C4669" s="1" t="n">
        <v>45911</v>
      </c>
      <c r="D4669" t="inlineStr">
        <is>
          <t>GÄVLEBORGS LÄN</t>
        </is>
      </c>
      <c r="E4669" t="inlineStr">
        <is>
          <t>NORDANSTIG</t>
        </is>
      </c>
      <c r="G4669" t="n">
        <v>3.5</v>
      </c>
      <c r="H4669" t="n">
        <v>0</v>
      </c>
      <c r="I4669" t="n">
        <v>0</v>
      </c>
      <c r="J4669" t="n">
        <v>0</v>
      </c>
      <c r="K4669" t="n">
        <v>0</v>
      </c>
      <c r="L4669" t="n">
        <v>0</v>
      </c>
      <c r="M4669" t="n">
        <v>0</v>
      </c>
      <c r="N4669" t="n">
        <v>0</v>
      </c>
      <c r="O4669" t="n">
        <v>0</v>
      </c>
      <c r="P4669" t="n">
        <v>0</v>
      </c>
      <c r="Q4669" t="n">
        <v>0</v>
      </c>
      <c r="R4669" s="2" t="inlineStr"/>
    </row>
    <row r="4670" ht="15" customHeight="1">
      <c r="A4670" t="inlineStr">
        <is>
          <t>A 28523-2024</t>
        </is>
      </c>
      <c r="B4670" s="1" t="n">
        <v>45478.31907407408</v>
      </c>
      <c r="C4670" s="1" t="n">
        <v>45911</v>
      </c>
      <c r="D4670" t="inlineStr">
        <is>
          <t>GÄVLEBORGS LÄN</t>
        </is>
      </c>
      <c r="E4670" t="inlineStr">
        <is>
          <t>SANDVIKEN</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5244-2024</t>
        </is>
      </c>
      <c r="B4671" s="1" t="n">
        <v>45330</v>
      </c>
      <c r="C4671" s="1" t="n">
        <v>45911</v>
      </c>
      <c r="D4671" t="inlineStr">
        <is>
          <t>GÄVLEBORGS LÄN</t>
        </is>
      </c>
      <c r="E4671" t="inlineStr">
        <is>
          <t>SANDVIKEN</t>
        </is>
      </c>
      <c r="G4671" t="n">
        <v>8.5</v>
      </c>
      <c r="H4671" t="n">
        <v>0</v>
      </c>
      <c r="I4671" t="n">
        <v>0</v>
      </c>
      <c r="J4671" t="n">
        <v>0</v>
      </c>
      <c r="K4671" t="n">
        <v>0</v>
      </c>
      <c r="L4671" t="n">
        <v>0</v>
      </c>
      <c r="M4671" t="n">
        <v>0</v>
      </c>
      <c r="N4671" t="n">
        <v>0</v>
      </c>
      <c r="O4671" t="n">
        <v>0</v>
      </c>
      <c r="P4671" t="n">
        <v>0</v>
      </c>
      <c r="Q4671" t="n">
        <v>0</v>
      </c>
      <c r="R4671" s="2" t="inlineStr"/>
    </row>
    <row r="4672" ht="15" customHeight="1">
      <c r="A4672" t="inlineStr">
        <is>
          <t>A 31845-2025</t>
        </is>
      </c>
      <c r="B4672" s="1" t="n">
        <v>45834.60199074074</v>
      </c>
      <c r="C4672" s="1" t="n">
        <v>45911</v>
      </c>
      <c r="D4672" t="inlineStr">
        <is>
          <t>GÄVLEBORGS LÄN</t>
        </is>
      </c>
      <c r="E4672" t="inlineStr">
        <is>
          <t>NORDANSTIG</t>
        </is>
      </c>
      <c r="F4672" t="inlineStr">
        <is>
          <t>Holmen skog AB</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31907-2025</t>
        </is>
      </c>
      <c r="B4673" s="1" t="n">
        <v>45834.69116898148</v>
      </c>
      <c r="C4673" s="1" t="n">
        <v>45911</v>
      </c>
      <c r="D4673" t="inlineStr">
        <is>
          <t>GÄVLEBORGS LÄN</t>
        </is>
      </c>
      <c r="E4673" t="inlineStr">
        <is>
          <t>HUDIKSVALL</t>
        </is>
      </c>
      <c r="G4673" t="n">
        <v>8.9</v>
      </c>
      <c r="H4673" t="n">
        <v>0</v>
      </c>
      <c r="I4673" t="n">
        <v>0</v>
      </c>
      <c r="J4673" t="n">
        <v>0</v>
      </c>
      <c r="K4673" t="n">
        <v>0</v>
      </c>
      <c r="L4673" t="n">
        <v>0</v>
      </c>
      <c r="M4673" t="n">
        <v>0</v>
      </c>
      <c r="N4673" t="n">
        <v>0</v>
      </c>
      <c r="O4673" t="n">
        <v>0</v>
      </c>
      <c r="P4673" t="n">
        <v>0</v>
      </c>
      <c r="Q4673" t="n">
        <v>0</v>
      </c>
      <c r="R4673" s="2" t="inlineStr"/>
    </row>
    <row r="4674" ht="15" customHeight="1">
      <c r="A4674" t="inlineStr">
        <is>
          <t>A 37213-2025</t>
        </is>
      </c>
      <c r="B4674" s="1" t="n">
        <v>45875.80773148148</v>
      </c>
      <c r="C4674" s="1" t="n">
        <v>45911</v>
      </c>
      <c r="D4674" t="inlineStr">
        <is>
          <t>GÄVLEBORGS LÄN</t>
        </is>
      </c>
      <c r="E4674" t="inlineStr">
        <is>
          <t>HUDIKSVALL</t>
        </is>
      </c>
      <c r="F4674" t="inlineStr">
        <is>
          <t>Holmen skog AB</t>
        </is>
      </c>
      <c r="G4674" t="n">
        <v>7.8</v>
      </c>
      <c r="H4674" t="n">
        <v>0</v>
      </c>
      <c r="I4674" t="n">
        <v>0</v>
      </c>
      <c r="J4674" t="n">
        <v>0</v>
      </c>
      <c r="K4674" t="n">
        <v>0</v>
      </c>
      <c r="L4674" t="n">
        <v>0</v>
      </c>
      <c r="M4674" t="n">
        <v>0</v>
      </c>
      <c r="N4674" t="n">
        <v>0</v>
      </c>
      <c r="O4674" t="n">
        <v>0</v>
      </c>
      <c r="P4674" t="n">
        <v>0</v>
      </c>
      <c r="Q4674" t="n">
        <v>0</v>
      </c>
      <c r="R4674" s="2" t="inlineStr"/>
    </row>
    <row r="4675" ht="15" customHeight="1">
      <c r="A4675" t="inlineStr">
        <is>
          <t>A 58373-2023</t>
        </is>
      </c>
      <c r="B4675" s="1" t="n">
        <v>45250.65805555556</v>
      </c>
      <c r="C4675" s="1" t="n">
        <v>45911</v>
      </c>
      <c r="D4675" t="inlineStr">
        <is>
          <t>GÄVLEBORGS LÄN</t>
        </is>
      </c>
      <c r="E4675" t="inlineStr">
        <is>
          <t>HOFORS</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11478-2025</t>
        </is>
      </c>
      <c r="B4676" s="1" t="n">
        <v>45726.67484953703</v>
      </c>
      <c r="C4676" s="1" t="n">
        <v>45911</v>
      </c>
      <c r="D4676" t="inlineStr">
        <is>
          <t>GÄVLEBORGS LÄN</t>
        </is>
      </c>
      <c r="E4676" t="inlineStr">
        <is>
          <t>SANDVIKEN</t>
        </is>
      </c>
      <c r="F4676" t="inlineStr">
        <is>
          <t>Bergvik skog öst AB</t>
        </is>
      </c>
      <c r="G4676" t="n">
        <v>11.7</v>
      </c>
      <c r="H4676" t="n">
        <v>0</v>
      </c>
      <c r="I4676" t="n">
        <v>0</v>
      </c>
      <c r="J4676" t="n">
        <v>0</v>
      </c>
      <c r="K4676" t="n">
        <v>0</v>
      </c>
      <c r="L4676" t="n">
        <v>0</v>
      </c>
      <c r="M4676" t="n">
        <v>0</v>
      </c>
      <c r="N4676" t="n">
        <v>0</v>
      </c>
      <c r="O4676" t="n">
        <v>0</v>
      </c>
      <c r="P4676" t="n">
        <v>0</v>
      </c>
      <c r="Q4676" t="n">
        <v>0</v>
      </c>
      <c r="R4676" s="2" t="inlineStr"/>
    </row>
    <row r="4677" ht="15" customHeight="1">
      <c r="A4677" t="inlineStr">
        <is>
          <t>A 57664-2024</t>
        </is>
      </c>
      <c r="B4677" s="1" t="n">
        <v>45630.61591435185</v>
      </c>
      <c r="C4677" s="1" t="n">
        <v>45911</v>
      </c>
      <c r="D4677" t="inlineStr">
        <is>
          <t>GÄVLEBORGS LÄN</t>
        </is>
      </c>
      <c r="E4677" t="inlineStr">
        <is>
          <t>LJUSDAL</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31720-2025</t>
        </is>
      </c>
      <c r="B4678" s="1" t="n">
        <v>45834</v>
      </c>
      <c r="C4678" s="1" t="n">
        <v>45911</v>
      </c>
      <c r="D4678" t="inlineStr">
        <is>
          <t>GÄVLEBORGS LÄN</t>
        </is>
      </c>
      <c r="E4678" t="inlineStr">
        <is>
          <t>HUDIKSVALL</t>
        </is>
      </c>
      <c r="G4678" t="n">
        <v>31.2</v>
      </c>
      <c r="H4678" t="n">
        <v>0</v>
      </c>
      <c r="I4678" t="n">
        <v>0</v>
      </c>
      <c r="J4678" t="n">
        <v>0</v>
      </c>
      <c r="K4678" t="n">
        <v>0</v>
      </c>
      <c r="L4678" t="n">
        <v>0</v>
      </c>
      <c r="M4678" t="n">
        <v>0</v>
      </c>
      <c r="N4678" t="n">
        <v>0</v>
      </c>
      <c r="O4678" t="n">
        <v>0</v>
      </c>
      <c r="P4678" t="n">
        <v>0</v>
      </c>
      <c r="Q4678" t="n">
        <v>0</v>
      </c>
      <c r="R4678" s="2" t="inlineStr"/>
    </row>
    <row r="4679" ht="15" customHeight="1">
      <c r="A4679" t="inlineStr">
        <is>
          <t>A 37056-2025</t>
        </is>
      </c>
      <c r="B4679" s="1" t="n">
        <v>45875.37350694444</v>
      </c>
      <c r="C4679" s="1" t="n">
        <v>45911</v>
      </c>
      <c r="D4679" t="inlineStr">
        <is>
          <t>GÄVLEBORGS LÄN</t>
        </is>
      </c>
      <c r="E4679" t="inlineStr">
        <is>
          <t>SÖDERHAMN</t>
        </is>
      </c>
      <c r="G4679" t="n">
        <v>2.9</v>
      </c>
      <c r="H4679" t="n">
        <v>0</v>
      </c>
      <c r="I4679" t="n">
        <v>0</v>
      </c>
      <c r="J4679" t="n">
        <v>0</v>
      </c>
      <c r="K4679" t="n">
        <v>0</v>
      </c>
      <c r="L4679" t="n">
        <v>0</v>
      </c>
      <c r="M4679" t="n">
        <v>0</v>
      </c>
      <c r="N4679" t="n">
        <v>0</v>
      </c>
      <c r="O4679" t="n">
        <v>0</v>
      </c>
      <c r="P4679" t="n">
        <v>0</v>
      </c>
      <c r="Q4679" t="n">
        <v>0</v>
      </c>
      <c r="R4679" s="2" t="inlineStr"/>
    </row>
    <row r="4680" ht="15" customHeight="1">
      <c r="A4680" t="inlineStr">
        <is>
          <t>A 37064-2025</t>
        </is>
      </c>
      <c r="B4680" s="1" t="n">
        <v>45875.38607638889</v>
      </c>
      <c r="C4680" s="1" t="n">
        <v>45911</v>
      </c>
      <c r="D4680" t="inlineStr">
        <is>
          <t>GÄVLEBORGS LÄN</t>
        </is>
      </c>
      <c r="E4680" t="inlineStr">
        <is>
          <t>LJUSDAL</t>
        </is>
      </c>
      <c r="F4680" t="inlineStr">
        <is>
          <t>SCA</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31460-2025</t>
        </is>
      </c>
      <c r="B4681" s="1" t="n">
        <v>45833.5490162037</v>
      </c>
      <c r="C4681" s="1" t="n">
        <v>45911</v>
      </c>
      <c r="D4681" t="inlineStr">
        <is>
          <t>GÄVLEBORGS LÄN</t>
        </is>
      </c>
      <c r="E4681" t="inlineStr">
        <is>
          <t>SANDVIKEN</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31471-2025</t>
        </is>
      </c>
      <c r="B4682" s="1" t="n">
        <v>45833.56436342592</v>
      </c>
      <c r="C4682" s="1" t="n">
        <v>45911</v>
      </c>
      <c r="D4682" t="inlineStr">
        <is>
          <t>GÄVLEBORGS LÄN</t>
        </is>
      </c>
      <c r="E4682" t="inlineStr">
        <is>
          <t>HOFORS</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31477-2025</t>
        </is>
      </c>
      <c r="B4683" s="1" t="n">
        <v>45833.5702662037</v>
      </c>
      <c r="C4683" s="1" t="n">
        <v>45911</v>
      </c>
      <c r="D4683" t="inlineStr">
        <is>
          <t>GÄVLEBORGS LÄN</t>
        </is>
      </c>
      <c r="E4683" t="inlineStr">
        <is>
          <t>HUDIKSVALL</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31511-2025</t>
        </is>
      </c>
      <c r="B4684" s="1" t="n">
        <v>45833.59689814815</v>
      </c>
      <c r="C4684" s="1" t="n">
        <v>45911</v>
      </c>
      <c r="D4684" t="inlineStr">
        <is>
          <t>GÄVLEBORGS LÄN</t>
        </is>
      </c>
      <c r="E4684" t="inlineStr">
        <is>
          <t>LJUSDAL</t>
        </is>
      </c>
      <c r="G4684" t="n">
        <v>7.7</v>
      </c>
      <c r="H4684" t="n">
        <v>0</v>
      </c>
      <c r="I4684" t="n">
        <v>0</v>
      </c>
      <c r="J4684" t="n">
        <v>0</v>
      </c>
      <c r="K4684" t="n">
        <v>0</v>
      </c>
      <c r="L4684" t="n">
        <v>0</v>
      </c>
      <c r="M4684" t="n">
        <v>0</v>
      </c>
      <c r="N4684" t="n">
        <v>0</v>
      </c>
      <c r="O4684" t="n">
        <v>0</v>
      </c>
      <c r="P4684" t="n">
        <v>0</v>
      </c>
      <c r="Q4684" t="n">
        <v>0</v>
      </c>
      <c r="R4684" s="2" t="inlineStr"/>
    </row>
    <row r="4685" ht="15" customHeight="1">
      <c r="A4685" t="inlineStr">
        <is>
          <t>A 31878-2025</t>
        </is>
      </c>
      <c r="B4685" s="1" t="n">
        <v>45834</v>
      </c>
      <c r="C4685" s="1" t="n">
        <v>45911</v>
      </c>
      <c r="D4685" t="inlineStr">
        <is>
          <t>GÄVLEBORGS LÄN</t>
        </is>
      </c>
      <c r="E4685" t="inlineStr">
        <is>
          <t>OVANÅKER</t>
        </is>
      </c>
      <c r="G4685" t="n">
        <v>3.4</v>
      </c>
      <c r="H4685" t="n">
        <v>0</v>
      </c>
      <c r="I4685" t="n">
        <v>0</v>
      </c>
      <c r="J4685" t="n">
        <v>0</v>
      </c>
      <c r="K4685" t="n">
        <v>0</v>
      </c>
      <c r="L4685" t="n">
        <v>0</v>
      </c>
      <c r="M4685" t="n">
        <v>0</v>
      </c>
      <c r="N4685" t="n">
        <v>0</v>
      </c>
      <c r="O4685" t="n">
        <v>0</v>
      </c>
      <c r="P4685" t="n">
        <v>0</v>
      </c>
      <c r="Q4685" t="n">
        <v>0</v>
      </c>
      <c r="R4685" s="2" t="inlineStr"/>
    </row>
    <row r="4686" ht="15" customHeight="1">
      <c r="A4686" t="inlineStr">
        <is>
          <t>A 54454-2024</t>
        </is>
      </c>
      <c r="B4686" s="1" t="n">
        <v>45617.52900462963</v>
      </c>
      <c r="C4686" s="1" t="n">
        <v>45911</v>
      </c>
      <c r="D4686" t="inlineStr">
        <is>
          <t>GÄVLEBORGS LÄN</t>
        </is>
      </c>
      <c r="E4686" t="inlineStr">
        <is>
          <t>OCKELBO</t>
        </is>
      </c>
      <c r="F4686" t="inlineStr">
        <is>
          <t>Bergvik skog väst AB</t>
        </is>
      </c>
      <c r="G4686" t="n">
        <v>6.8</v>
      </c>
      <c r="H4686" t="n">
        <v>0</v>
      </c>
      <c r="I4686" t="n">
        <v>0</v>
      </c>
      <c r="J4686" t="n">
        <v>0</v>
      </c>
      <c r="K4686" t="n">
        <v>0</v>
      </c>
      <c r="L4686" t="n">
        <v>0</v>
      </c>
      <c r="M4686" t="n">
        <v>0</v>
      </c>
      <c r="N4686" t="n">
        <v>0</v>
      </c>
      <c r="O4686" t="n">
        <v>0</v>
      </c>
      <c r="P4686" t="n">
        <v>0</v>
      </c>
      <c r="Q4686" t="n">
        <v>0</v>
      </c>
      <c r="R4686" s="2" t="inlineStr"/>
    </row>
    <row r="4687" ht="15" customHeight="1">
      <c r="A4687" t="inlineStr">
        <is>
          <t>A 43544-2024</t>
        </is>
      </c>
      <c r="B4687" s="1" t="n">
        <v>45569.36675925926</v>
      </c>
      <c r="C4687" s="1" t="n">
        <v>45911</v>
      </c>
      <c r="D4687" t="inlineStr">
        <is>
          <t>GÄVLEBORGS LÄN</t>
        </is>
      </c>
      <c r="E4687" t="inlineStr">
        <is>
          <t>OVANÅKER</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56008-2024</t>
        </is>
      </c>
      <c r="B4688" s="1" t="n">
        <v>45623.8034837963</v>
      </c>
      <c r="C4688" s="1" t="n">
        <v>45911</v>
      </c>
      <c r="D4688" t="inlineStr">
        <is>
          <t>GÄVLEBORGS LÄN</t>
        </is>
      </c>
      <c r="E4688" t="inlineStr">
        <is>
          <t>LJUSDAL</t>
        </is>
      </c>
      <c r="G4688" t="n">
        <v>4.1</v>
      </c>
      <c r="H4688" t="n">
        <v>0</v>
      </c>
      <c r="I4688" t="n">
        <v>0</v>
      </c>
      <c r="J4688" t="n">
        <v>0</v>
      </c>
      <c r="K4688" t="n">
        <v>0</v>
      </c>
      <c r="L4688" t="n">
        <v>0</v>
      </c>
      <c r="M4688" t="n">
        <v>0</v>
      </c>
      <c r="N4688" t="n">
        <v>0</v>
      </c>
      <c r="O4688" t="n">
        <v>0</v>
      </c>
      <c r="P4688" t="n">
        <v>0</v>
      </c>
      <c r="Q4688" t="n">
        <v>0</v>
      </c>
      <c r="R4688" s="2" t="inlineStr"/>
    </row>
    <row r="4689" ht="15" customHeight="1">
      <c r="A4689" t="inlineStr">
        <is>
          <t>A 31458-2025</t>
        </is>
      </c>
      <c r="B4689" s="1" t="n">
        <v>45833.54105324074</v>
      </c>
      <c r="C4689" s="1" t="n">
        <v>45911</v>
      </c>
      <c r="D4689" t="inlineStr">
        <is>
          <t>GÄVLEBORGS LÄN</t>
        </is>
      </c>
      <c r="E4689" t="inlineStr">
        <is>
          <t>OVANÅKER</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26506-2023</t>
        </is>
      </c>
      <c r="B4690" s="1" t="n">
        <v>45092.52630787037</v>
      </c>
      <c r="C4690" s="1" t="n">
        <v>45911</v>
      </c>
      <c r="D4690" t="inlineStr">
        <is>
          <t>GÄVLEBORGS LÄN</t>
        </is>
      </c>
      <c r="E4690" t="inlineStr">
        <is>
          <t>LJUSDAL</t>
        </is>
      </c>
      <c r="F4690" t="inlineStr">
        <is>
          <t>Sveaskog</t>
        </is>
      </c>
      <c r="G4690" t="n">
        <v>3.4</v>
      </c>
      <c r="H4690" t="n">
        <v>0</v>
      </c>
      <c r="I4690" t="n">
        <v>0</v>
      </c>
      <c r="J4690" t="n">
        <v>0</v>
      </c>
      <c r="K4690" t="n">
        <v>0</v>
      </c>
      <c r="L4690" t="n">
        <v>0</v>
      </c>
      <c r="M4690" t="n">
        <v>0</v>
      </c>
      <c r="N4690" t="n">
        <v>0</v>
      </c>
      <c r="O4690" t="n">
        <v>0</v>
      </c>
      <c r="P4690" t="n">
        <v>0</v>
      </c>
      <c r="Q4690" t="n">
        <v>0</v>
      </c>
      <c r="R4690" s="2" t="inlineStr"/>
    </row>
    <row r="4691" ht="15" customHeight="1">
      <c r="A4691" t="inlineStr">
        <is>
          <t>A 31497-2025</t>
        </is>
      </c>
      <c r="B4691" s="1" t="n">
        <v>45833.58438657408</v>
      </c>
      <c r="C4691" s="1" t="n">
        <v>45911</v>
      </c>
      <c r="D4691" t="inlineStr">
        <is>
          <t>GÄVLEBORGS LÄN</t>
        </is>
      </c>
      <c r="E4691" t="inlineStr">
        <is>
          <t>OCKELBO</t>
        </is>
      </c>
      <c r="F4691" t="inlineStr">
        <is>
          <t>Bergvik skog väst AB</t>
        </is>
      </c>
      <c r="G4691" t="n">
        <v>22.6</v>
      </c>
      <c r="H4691" t="n">
        <v>0</v>
      </c>
      <c r="I4691" t="n">
        <v>0</v>
      </c>
      <c r="J4691" t="n">
        <v>0</v>
      </c>
      <c r="K4691" t="n">
        <v>0</v>
      </c>
      <c r="L4691" t="n">
        <v>0</v>
      </c>
      <c r="M4691" t="n">
        <v>0</v>
      </c>
      <c r="N4691" t="n">
        <v>0</v>
      </c>
      <c r="O4691" t="n">
        <v>0</v>
      </c>
      <c r="P4691" t="n">
        <v>0</v>
      </c>
      <c r="Q4691" t="n">
        <v>0</v>
      </c>
      <c r="R4691" s="2" t="inlineStr"/>
    </row>
    <row r="4692" ht="15" customHeight="1">
      <c r="A4692" t="inlineStr">
        <is>
          <t>A 37083-2025</t>
        </is>
      </c>
      <c r="B4692" s="1" t="n">
        <v>45875.44768518519</v>
      </c>
      <c r="C4692" s="1" t="n">
        <v>45911</v>
      </c>
      <c r="D4692" t="inlineStr">
        <is>
          <t>GÄVLEBORGS LÄN</t>
        </is>
      </c>
      <c r="E4692" t="inlineStr">
        <is>
          <t>HUDIKSVALL</t>
        </is>
      </c>
      <c r="F4692" t="inlineStr">
        <is>
          <t>Holmen skog AB</t>
        </is>
      </c>
      <c r="G4692" t="n">
        <v>6.4</v>
      </c>
      <c r="H4692" t="n">
        <v>0</v>
      </c>
      <c r="I4692" t="n">
        <v>0</v>
      </c>
      <c r="J4692" t="n">
        <v>0</v>
      </c>
      <c r="K4692" t="n">
        <v>0</v>
      </c>
      <c r="L4692" t="n">
        <v>0</v>
      </c>
      <c r="M4692" t="n">
        <v>0</v>
      </c>
      <c r="N4692" t="n">
        <v>0</v>
      </c>
      <c r="O4692" t="n">
        <v>0</v>
      </c>
      <c r="P4692" t="n">
        <v>0</v>
      </c>
      <c r="Q4692" t="n">
        <v>0</v>
      </c>
      <c r="R4692" s="2" t="inlineStr"/>
    </row>
    <row r="4693" ht="15" customHeight="1">
      <c r="A4693" t="inlineStr">
        <is>
          <t>A 49948-2024</t>
        </is>
      </c>
      <c r="B4693" s="1" t="n">
        <v>45597.6052662037</v>
      </c>
      <c r="C4693" s="1" t="n">
        <v>45911</v>
      </c>
      <c r="D4693" t="inlineStr">
        <is>
          <t>GÄVLEBORGS LÄN</t>
        </is>
      </c>
      <c r="E4693" t="inlineStr">
        <is>
          <t>SÖDERHAMN</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28981-2022</t>
        </is>
      </c>
      <c r="B4694" s="1" t="n">
        <v>44749.65293981481</v>
      </c>
      <c r="C4694" s="1" t="n">
        <v>45911</v>
      </c>
      <c r="D4694" t="inlineStr">
        <is>
          <t>GÄVLEBORGS LÄN</t>
        </is>
      </c>
      <c r="E4694" t="inlineStr">
        <is>
          <t>BOLLNÄS</t>
        </is>
      </c>
      <c r="G4694" t="n">
        <v>0.4</v>
      </c>
      <c r="H4694" t="n">
        <v>0</v>
      </c>
      <c r="I4694" t="n">
        <v>0</v>
      </c>
      <c r="J4694" t="n">
        <v>0</v>
      </c>
      <c r="K4694" t="n">
        <v>0</v>
      </c>
      <c r="L4694" t="n">
        <v>0</v>
      </c>
      <c r="M4694" t="n">
        <v>0</v>
      </c>
      <c r="N4694" t="n">
        <v>0</v>
      </c>
      <c r="O4694" t="n">
        <v>0</v>
      </c>
      <c r="P4694" t="n">
        <v>0</v>
      </c>
      <c r="Q4694" t="n">
        <v>0</v>
      </c>
      <c r="R4694" s="2" t="inlineStr"/>
    </row>
    <row r="4695" ht="15" customHeight="1">
      <c r="A4695" t="inlineStr">
        <is>
          <t>A 20386-2024</t>
        </is>
      </c>
      <c r="B4695" s="1" t="n">
        <v>45435.50869212963</v>
      </c>
      <c r="C4695" s="1" t="n">
        <v>45911</v>
      </c>
      <c r="D4695" t="inlineStr">
        <is>
          <t>GÄVLEBORGS LÄN</t>
        </is>
      </c>
      <c r="E4695" t="inlineStr">
        <is>
          <t>NORDANSTIG</t>
        </is>
      </c>
      <c r="F4695" t="inlineStr">
        <is>
          <t>Holmen skog AB</t>
        </is>
      </c>
      <c r="G4695" t="n">
        <v>6.5</v>
      </c>
      <c r="H4695" t="n">
        <v>0</v>
      </c>
      <c r="I4695" t="n">
        <v>0</v>
      </c>
      <c r="J4695" t="n">
        <v>0</v>
      </c>
      <c r="K4695" t="n">
        <v>0</v>
      </c>
      <c r="L4695" t="n">
        <v>0</v>
      </c>
      <c r="M4695" t="n">
        <v>0</v>
      </c>
      <c r="N4695" t="n">
        <v>0</v>
      </c>
      <c r="O4695" t="n">
        <v>0</v>
      </c>
      <c r="P4695" t="n">
        <v>0</v>
      </c>
      <c r="Q4695" t="n">
        <v>0</v>
      </c>
      <c r="R4695" s="2" t="inlineStr"/>
    </row>
    <row r="4696" ht="15" customHeight="1">
      <c r="A4696" t="inlineStr">
        <is>
          <t>A 47530-2023</t>
        </is>
      </c>
      <c r="B4696" s="1" t="n">
        <v>45203.35106481481</v>
      </c>
      <c r="C4696" s="1" t="n">
        <v>45911</v>
      </c>
      <c r="D4696" t="inlineStr">
        <is>
          <t>GÄVLEBORGS LÄN</t>
        </is>
      </c>
      <c r="E4696" t="inlineStr">
        <is>
          <t>HUDIKSVALL</t>
        </is>
      </c>
      <c r="F4696" t="inlineStr">
        <is>
          <t>Holmen skog AB</t>
        </is>
      </c>
      <c r="G4696" t="n">
        <v>37.8</v>
      </c>
      <c r="H4696" t="n">
        <v>0</v>
      </c>
      <c r="I4696" t="n">
        <v>0</v>
      </c>
      <c r="J4696" t="n">
        <v>0</v>
      </c>
      <c r="K4696" t="n">
        <v>0</v>
      </c>
      <c r="L4696" t="n">
        <v>0</v>
      </c>
      <c r="M4696" t="n">
        <v>0</v>
      </c>
      <c r="N4696" t="n">
        <v>0</v>
      </c>
      <c r="O4696" t="n">
        <v>0</v>
      </c>
      <c r="P4696" t="n">
        <v>0</v>
      </c>
      <c r="Q4696" t="n">
        <v>0</v>
      </c>
      <c r="R4696" s="2" t="inlineStr"/>
    </row>
    <row r="4697" ht="15" customHeight="1">
      <c r="A4697" t="inlineStr">
        <is>
          <t>A 46376-2024</t>
        </is>
      </c>
      <c r="B4697" s="1" t="n">
        <v>45582.3827662037</v>
      </c>
      <c r="C4697" s="1" t="n">
        <v>45911</v>
      </c>
      <c r="D4697" t="inlineStr">
        <is>
          <t>GÄVLEBORGS LÄN</t>
        </is>
      </c>
      <c r="E4697" t="inlineStr">
        <is>
          <t>NORDANSTIG</t>
        </is>
      </c>
      <c r="F4697" t="inlineStr">
        <is>
          <t>Holmen skog AB</t>
        </is>
      </c>
      <c r="G4697" t="n">
        <v>5.3</v>
      </c>
      <c r="H4697" t="n">
        <v>0</v>
      </c>
      <c r="I4697" t="n">
        <v>0</v>
      </c>
      <c r="J4697" t="n">
        <v>0</v>
      </c>
      <c r="K4697" t="n">
        <v>0</v>
      </c>
      <c r="L4697" t="n">
        <v>0</v>
      </c>
      <c r="M4697" t="n">
        <v>0</v>
      </c>
      <c r="N4697" t="n">
        <v>0</v>
      </c>
      <c r="O4697" t="n">
        <v>0</v>
      </c>
      <c r="P4697" t="n">
        <v>0</v>
      </c>
      <c r="Q4697" t="n">
        <v>0</v>
      </c>
      <c r="R4697" s="2" t="inlineStr"/>
    </row>
    <row r="4698" ht="15" customHeight="1">
      <c r="A4698" t="inlineStr">
        <is>
          <t>A 46401-2024</t>
        </is>
      </c>
      <c r="B4698" s="1" t="n">
        <v>45582.42407407407</v>
      </c>
      <c r="C4698" s="1" t="n">
        <v>45911</v>
      </c>
      <c r="D4698" t="inlineStr">
        <is>
          <t>GÄVLEBORGS LÄN</t>
        </is>
      </c>
      <c r="E4698" t="inlineStr">
        <is>
          <t>HUDIKSVALL</t>
        </is>
      </c>
      <c r="G4698" t="n">
        <v>12.2</v>
      </c>
      <c r="H4698" t="n">
        <v>0</v>
      </c>
      <c r="I4698" t="n">
        <v>0</v>
      </c>
      <c r="J4698" t="n">
        <v>0</v>
      </c>
      <c r="K4698" t="n">
        <v>0</v>
      </c>
      <c r="L4698" t="n">
        <v>0</v>
      </c>
      <c r="M4698" t="n">
        <v>0</v>
      </c>
      <c r="N4698" t="n">
        <v>0</v>
      </c>
      <c r="O4698" t="n">
        <v>0</v>
      </c>
      <c r="P4698" t="n">
        <v>0</v>
      </c>
      <c r="Q4698" t="n">
        <v>0</v>
      </c>
      <c r="R4698" s="2" t="inlineStr"/>
    </row>
    <row r="4699" ht="15" customHeight="1">
      <c r="A4699" t="inlineStr">
        <is>
          <t>A 45549-2024</t>
        </is>
      </c>
      <c r="B4699" s="1" t="n">
        <v>45579.34450231482</v>
      </c>
      <c r="C4699" s="1" t="n">
        <v>45911</v>
      </c>
      <c r="D4699" t="inlineStr">
        <is>
          <t>GÄVLEBORGS LÄN</t>
        </is>
      </c>
      <c r="E4699" t="inlineStr">
        <is>
          <t>NORDANSTIG</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36087-2023</t>
        </is>
      </c>
      <c r="B4700" s="1" t="n">
        <v>45149</v>
      </c>
      <c r="C4700" s="1" t="n">
        <v>45911</v>
      </c>
      <c r="D4700" t="inlineStr">
        <is>
          <t>GÄVLEBORGS LÄN</t>
        </is>
      </c>
      <c r="E4700" t="inlineStr">
        <is>
          <t>BOLLNÄS</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37095-2025</t>
        </is>
      </c>
      <c r="B4701" s="1" t="n">
        <v>45875.46927083333</v>
      </c>
      <c r="C4701" s="1" t="n">
        <v>45911</v>
      </c>
      <c r="D4701" t="inlineStr">
        <is>
          <t>GÄVLEBORGS LÄN</t>
        </is>
      </c>
      <c r="E4701" t="inlineStr">
        <is>
          <t>LJUSDAL</t>
        </is>
      </c>
      <c r="F4701" t="inlineStr">
        <is>
          <t>SCA</t>
        </is>
      </c>
      <c r="G4701" t="n">
        <v>4.2</v>
      </c>
      <c r="H4701" t="n">
        <v>0</v>
      </c>
      <c r="I4701" t="n">
        <v>0</v>
      </c>
      <c r="J4701" t="n">
        <v>0</v>
      </c>
      <c r="K4701" t="n">
        <v>0</v>
      </c>
      <c r="L4701" t="n">
        <v>0</v>
      </c>
      <c r="M4701" t="n">
        <v>0</v>
      </c>
      <c r="N4701" t="n">
        <v>0</v>
      </c>
      <c r="O4701" t="n">
        <v>0</v>
      </c>
      <c r="P4701" t="n">
        <v>0</v>
      </c>
      <c r="Q4701" t="n">
        <v>0</v>
      </c>
      <c r="R4701" s="2" t="inlineStr"/>
    </row>
    <row r="4702" ht="15" customHeight="1">
      <c r="A4702" t="inlineStr">
        <is>
          <t>A 18800-2024</t>
        </is>
      </c>
      <c r="B4702" s="1" t="n">
        <v>45426</v>
      </c>
      <c r="C4702" s="1" t="n">
        <v>45911</v>
      </c>
      <c r="D4702" t="inlineStr">
        <is>
          <t>GÄVLEBORGS LÄN</t>
        </is>
      </c>
      <c r="E4702" t="inlineStr">
        <is>
          <t>SÖDERHAMN</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37112-2025</t>
        </is>
      </c>
      <c r="B4703" s="1" t="n">
        <v>45875.51082175926</v>
      </c>
      <c r="C4703" s="1" t="n">
        <v>45911</v>
      </c>
      <c r="D4703" t="inlineStr">
        <is>
          <t>GÄVLEBORGS LÄN</t>
        </is>
      </c>
      <c r="E4703" t="inlineStr">
        <is>
          <t>LJUSDAL</t>
        </is>
      </c>
      <c r="F4703" t="inlineStr">
        <is>
          <t>SCA</t>
        </is>
      </c>
      <c r="G4703" t="n">
        <v>4.9</v>
      </c>
      <c r="H4703" t="n">
        <v>0</v>
      </c>
      <c r="I4703" t="n">
        <v>0</v>
      </c>
      <c r="J4703" t="n">
        <v>0</v>
      </c>
      <c r="K4703" t="n">
        <v>0</v>
      </c>
      <c r="L4703" t="n">
        <v>0</v>
      </c>
      <c r="M4703" t="n">
        <v>0</v>
      </c>
      <c r="N4703" t="n">
        <v>0</v>
      </c>
      <c r="O4703" t="n">
        <v>0</v>
      </c>
      <c r="P4703" t="n">
        <v>0</v>
      </c>
      <c r="Q4703" t="n">
        <v>0</v>
      </c>
      <c r="R4703" s="2" t="inlineStr"/>
    </row>
    <row r="4704" ht="15" customHeight="1">
      <c r="A4704" t="inlineStr">
        <is>
          <t>A 18300-2025</t>
        </is>
      </c>
      <c r="B4704" s="1" t="n">
        <v>45762.42745370371</v>
      </c>
      <c r="C4704" s="1" t="n">
        <v>45911</v>
      </c>
      <c r="D4704" t="inlineStr">
        <is>
          <t>GÄVLEBORGS LÄN</t>
        </is>
      </c>
      <c r="E4704" t="inlineStr">
        <is>
          <t>HUDIKSVALL</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31766-2025</t>
        </is>
      </c>
      <c r="B4705" s="1" t="n">
        <v>45834.4962962963</v>
      </c>
      <c r="C4705" s="1" t="n">
        <v>45911</v>
      </c>
      <c r="D4705" t="inlineStr">
        <is>
          <t>GÄVLEBORGS LÄN</t>
        </is>
      </c>
      <c r="E4705" t="inlineStr">
        <is>
          <t>HUDIKSVALL</t>
        </is>
      </c>
      <c r="F4705" t="inlineStr">
        <is>
          <t>Holmen skog AB</t>
        </is>
      </c>
      <c r="G4705" t="n">
        <v>3.6</v>
      </c>
      <c r="H4705" t="n">
        <v>0</v>
      </c>
      <c r="I4705" t="n">
        <v>0</v>
      </c>
      <c r="J4705" t="n">
        <v>0</v>
      </c>
      <c r="K4705" t="n">
        <v>0</v>
      </c>
      <c r="L4705" t="n">
        <v>0</v>
      </c>
      <c r="M4705" t="n">
        <v>0</v>
      </c>
      <c r="N4705" t="n">
        <v>0</v>
      </c>
      <c r="O4705" t="n">
        <v>0</v>
      </c>
      <c r="P4705" t="n">
        <v>0</v>
      </c>
      <c r="Q4705" t="n">
        <v>0</v>
      </c>
      <c r="R4705" s="2" t="inlineStr"/>
    </row>
    <row r="4706" ht="15" customHeight="1">
      <c r="A4706" t="inlineStr">
        <is>
          <t>A 60885-2023</t>
        </is>
      </c>
      <c r="B4706" s="1" t="n">
        <v>45261</v>
      </c>
      <c r="C4706" s="1" t="n">
        <v>45911</v>
      </c>
      <c r="D4706" t="inlineStr">
        <is>
          <t>GÄVLEBORGS LÄN</t>
        </is>
      </c>
      <c r="E4706" t="inlineStr">
        <is>
          <t>GÄVLE</t>
        </is>
      </c>
      <c r="G4706" t="n">
        <v>2.9</v>
      </c>
      <c r="H4706" t="n">
        <v>0</v>
      </c>
      <c r="I4706" t="n">
        <v>0</v>
      </c>
      <c r="J4706" t="n">
        <v>0</v>
      </c>
      <c r="K4706" t="n">
        <v>0</v>
      </c>
      <c r="L4706" t="n">
        <v>0</v>
      </c>
      <c r="M4706" t="n">
        <v>0</v>
      </c>
      <c r="N4706" t="n">
        <v>0</v>
      </c>
      <c r="O4706" t="n">
        <v>0</v>
      </c>
      <c r="P4706" t="n">
        <v>0</v>
      </c>
      <c r="Q4706" t="n">
        <v>0</v>
      </c>
      <c r="R4706" s="2" t="inlineStr"/>
    </row>
    <row r="4707" ht="15" customHeight="1">
      <c r="A4707" t="inlineStr">
        <is>
          <t>A 60899-2023</t>
        </is>
      </c>
      <c r="B4707" s="1" t="n">
        <v>45261.34966435185</v>
      </c>
      <c r="C4707" s="1" t="n">
        <v>45911</v>
      </c>
      <c r="D4707" t="inlineStr">
        <is>
          <t>GÄVLEBORGS LÄN</t>
        </is>
      </c>
      <c r="E4707" t="inlineStr">
        <is>
          <t>HUDIKSVALL</t>
        </is>
      </c>
      <c r="F4707" t="inlineStr">
        <is>
          <t>Holmen skog AB</t>
        </is>
      </c>
      <c r="G4707" t="n">
        <v>3.4</v>
      </c>
      <c r="H4707" t="n">
        <v>0</v>
      </c>
      <c r="I4707" t="n">
        <v>0</v>
      </c>
      <c r="J4707" t="n">
        <v>0</v>
      </c>
      <c r="K4707" t="n">
        <v>0</v>
      </c>
      <c r="L4707" t="n">
        <v>0</v>
      </c>
      <c r="M4707" t="n">
        <v>0</v>
      </c>
      <c r="N4707" t="n">
        <v>0</v>
      </c>
      <c r="O4707" t="n">
        <v>0</v>
      </c>
      <c r="P4707" t="n">
        <v>0</v>
      </c>
      <c r="Q4707" t="n">
        <v>0</v>
      </c>
      <c r="R4707" s="2" t="inlineStr"/>
    </row>
    <row r="4708" ht="15" customHeight="1">
      <c r="A4708" t="inlineStr">
        <is>
          <t>A 60901-2023</t>
        </is>
      </c>
      <c r="B4708" s="1" t="n">
        <v>45261.35739583334</v>
      </c>
      <c r="C4708" s="1" t="n">
        <v>45911</v>
      </c>
      <c r="D4708" t="inlineStr">
        <is>
          <t>GÄVLEBORGS LÄN</t>
        </is>
      </c>
      <c r="E4708" t="inlineStr">
        <is>
          <t>HUDIKSVALL</t>
        </is>
      </c>
      <c r="F4708" t="inlineStr">
        <is>
          <t>Holmen skog AB</t>
        </is>
      </c>
      <c r="G4708" t="n">
        <v>3.7</v>
      </c>
      <c r="H4708" t="n">
        <v>0</v>
      </c>
      <c r="I4708" t="n">
        <v>0</v>
      </c>
      <c r="J4708" t="n">
        <v>0</v>
      </c>
      <c r="K4708" t="n">
        <v>0</v>
      </c>
      <c r="L4708" t="n">
        <v>0</v>
      </c>
      <c r="M4708" t="n">
        <v>0</v>
      </c>
      <c r="N4708" t="n">
        <v>0</v>
      </c>
      <c r="O4708" t="n">
        <v>0</v>
      </c>
      <c r="P4708" t="n">
        <v>0</v>
      </c>
      <c r="Q4708" t="n">
        <v>0</v>
      </c>
      <c r="R4708" s="2" t="inlineStr"/>
    </row>
    <row r="4709" ht="15" customHeight="1">
      <c r="A4709" t="inlineStr">
        <is>
          <t>A 28114-2023</t>
        </is>
      </c>
      <c r="B4709" s="1" t="n">
        <v>45099</v>
      </c>
      <c r="C4709" s="1" t="n">
        <v>45911</v>
      </c>
      <c r="D4709" t="inlineStr">
        <is>
          <t>GÄVLEBORGS LÄN</t>
        </is>
      </c>
      <c r="E4709" t="inlineStr">
        <is>
          <t>LJUSDAL</t>
        </is>
      </c>
      <c r="G4709" t="n">
        <v>2.6</v>
      </c>
      <c r="H4709" t="n">
        <v>0</v>
      </c>
      <c r="I4709" t="n">
        <v>0</v>
      </c>
      <c r="J4709" t="n">
        <v>0</v>
      </c>
      <c r="K4709" t="n">
        <v>0</v>
      </c>
      <c r="L4709" t="n">
        <v>0</v>
      </c>
      <c r="M4709" t="n">
        <v>0</v>
      </c>
      <c r="N4709" t="n">
        <v>0</v>
      </c>
      <c r="O4709" t="n">
        <v>0</v>
      </c>
      <c r="P4709" t="n">
        <v>0</v>
      </c>
      <c r="Q4709" t="n">
        <v>0</v>
      </c>
      <c r="R4709" s="2" t="inlineStr"/>
    </row>
    <row r="4710" ht="15" customHeight="1">
      <c r="A4710" t="inlineStr">
        <is>
          <t>A 55642-2024</t>
        </is>
      </c>
      <c r="B4710" s="1" t="n">
        <v>45622.61861111111</v>
      </c>
      <c r="C4710" s="1" t="n">
        <v>45911</v>
      </c>
      <c r="D4710" t="inlineStr">
        <is>
          <t>GÄVLEBORGS LÄN</t>
        </is>
      </c>
      <c r="E4710" t="inlineStr">
        <is>
          <t>OVANÅKER</t>
        </is>
      </c>
      <c r="G4710" t="n">
        <v>4.7</v>
      </c>
      <c r="H4710" t="n">
        <v>0</v>
      </c>
      <c r="I4710" t="n">
        <v>0</v>
      </c>
      <c r="J4710" t="n">
        <v>0</v>
      </c>
      <c r="K4710" t="n">
        <v>0</v>
      </c>
      <c r="L4710" t="n">
        <v>0</v>
      </c>
      <c r="M4710" t="n">
        <v>0</v>
      </c>
      <c r="N4710" t="n">
        <v>0</v>
      </c>
      <c r="O4710" t="n">
        <v>0</v>
      </c>
      <c r="P4710" t="n">
        <v>0</v>
      </c>
      <c r="Q4710" t="n">
        <v>0</v>
      </c>
      <c r="R4710" s="2" t="inlineStr"/>
    </row>
    <row r="4711" ht="15" customHeight="1">
      <c r="A4711" t="inlineStr">
        <is>
          <t>A 31269-2025</t>
        </is>
      </c>
      <c r="B4711" s="1" t="n">
        <v>45833.33678240741</v>
      </c>
      <c r="C4711" s="1" t="n">
        <v>45911</v>
      </c>
      <c r="D4711" t="inlineStr">
        <is>
          <t>GÄVLEBORGS LÄN</t>
        </is>
      </c>
      <c r="E4711" t="inlineStr">
        <is>
          <t>OVANÅKER</t>
        </is>
      </c>
      <c r="G4711" t="n">
        <v>3.7</v>
      </c>
      <c r="H4711" t="n">
        <v>0</v>
      </c>
      <c r="I4711" t="n">
        <v>0</v>
      </c>
      <c r="J4711" t="n">
        <v>0</v>
      </c>
      <c r="K4711" t="n">
        <v>0</v>
      </c>
      <c r="L4711" t="n">
        <v>0</v>
      </c>
      <c r="M4711" t="n">
        <v>0</v>
      </c>
      <c r="N4711" t="n">
        <v>0</v>
      </c>
      <c r="O4711" t="n">
        <v>0</v>
      </c>
      <c r="P4711" t="n">
        <v>0</v>
      </c>
      <c r="Q4711" t="n">
        <v>0</v>
      </c>
      <c r="R4711" s="2" t="inlineStr"/>
    </row>
    <row r="4712" ht="15" customHeight="1">
      <c r="A4712" t="inlineStr">
        <is>
          <t>A 37972-2022</t>
        </is>
      </c>
      <c r="B4712" s="1" t="n">
        <v>44811</v>
      </c>
      <c r="C4712" s="1" t="n">
        <v>45911</v>
      </c>
      <c r="D4712" t="inlineStr">
        <is>
          <t>GÄVLEBORGS LÄN</t>
        </is>
      </c>
      <c r="E4712" t="inlineStr">
        <is>
          <t>NORDANSTIG</t>
        </is>
      </c>
      <c r="G4712" t="n">
        <v>2.7</v>
      </c>
      <c r="H4712" t="n">
        <v>0</v>
      </c>
      <c r="I4712" t="n">
        <v>0</v>
      </c>
      <c r="J4712" t="n">
        <v>0</v>
      </c>
      <c r="K4712" t="n">
        <v>0</v>
      </c>
      <c r="L4712" t="n">
        <v>0</v>
      </c>
      <c r="M4712" t="n">
        <v>0</v>
      </c>
      <c r="N4712" t="n">
        <v>0</v>
      </c>
      <c r="O4712" t="n">
        <v>0</v>
      </c>
      <c r="P4712" t="n">
        <v>0</v>
      </c>
      <c r="Q4712" t="n">
        <v>0</v>
      </c>
      <c r="R4712" s="2" t="inlineStr"/>
    </row>
    <row r="4713" ht="15" customHeight="1">
      <c r="A4713" t="inlineStr">
        <is>
          <t>A 37986-2022</t>
        </is>
      </c>
      <c r="B4713" s="1" t="n">
        <v>44811.56202546296</v>
      </c>
      <c r="C4713" s="1" t="n">
        <v>45911</v>
      </c>
      <c r="D4713" t="inlineStr">
        <is>
          <t>GÄVLEBORGS LÄN</t>
        </is>
      </c>
      <c r="E4713" t="inlineStr">
        <is>
          <t>NORDANSTIG</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31786-2025</t>
        </is>
      </c>
      <c r="B4714" s="1" t="n">
        <v>45834.53503472222</v>
      </c>
      <c r="C4714" s="1" t="n">
        <v>45911</v>
      </c>
      <c r="D4714" t="inlineStr">
        <is>
          <t>GÄVLEBORGS LÄN</t>
        </is>
      </c>
      <c r="E4714" t="inlineStr">
        <is>
          <t>HUDIKSVALL</t>
        </is>
      </c>
      <c r="G4714" t="n">
        <v>8.300000000000001</v>
      </c>
      <c r="H4714" t="n">
        <v>0</v>
      </c>
      <c r="I4714" t="n">
        <v>0</v>
      </c>
      <c r="J4714" t="n">
        <v>0</v>
      </c>
      <c r="K4714" t="n">
        <v>0</v>
      </c>
      <c r="L4714" t="n">
        <v>0</v>
      </c>
      <c r="M4714" t="n">
        <v>0</v>
      </c>
      <c r="N4714" t="n">
        <v>0</v>
      </c>
      <c r="O4714" t="n">
        <v>0</v>
      </c>
      <c r="P4714" t="n">
        <v>0</v>
      </c>
      <c r="Q4714" t="n">
        <v>0</v>
      </c>
      <c r="R4714" s="2" t="inlineStr"/>
    </row>
    <row r="4715" ht="15" customHeight="1">
      <c r="A4715" t="inlineStr">
        <is>
          <t>A 55672-2024</t>
        </is>
      </c>
      <c r="B4715" s="1" t="n">
        <v>45622.65292824074</v>
      </c>
      <c r="C4715" s="1" t="n">
        <v>45911</v>
      </c>
      <c r="D4715" t="inlineStr">
        <is>
          <t>GÄVLEBORGS LÄN</t>
        </is>
      </c>
      <c r="E4715" t="inlineStr">
        <is>
          <t>OVANÅKER</t>
        </is>
      </c>
      <c r="G4715" t="n">
        <v>4.9</v>
      </c>
      <c r="H4715" t="n">
        <v>0</v>
      </c>
      <c r="I4715" t="n">
        <v>0</v>
      </c>
      <c r="J4715" t="n">
        <v>0</v>
      </c>
      <c r="K4715" t="n">
        <v>0</v>
      </c>
      <c r="L4715" t="n">
        <v>0</v>
      </c>
      <c r="M4715" t="n">
        <v>0</v>
      </c>
      <c r="N4715" t="n">
        <v>0</v>
      </c>
      <c r="O4715" t="n">
        <v>0</v>
      </c>
      <c r="P4715" t="n">
        <v>0</v>
      </c>
      <c r="Q4715" t="n">
        <v>0</v>
      </c>
      <c r="R4715" s="2" t="inlineStr"/>
    </row>
    <row r="4716" ht="15" customHeight="1">
      <c r="A4716" t="inlineStr">
        <is>
          <t>A 31467-2025</t>
        </is>
      </c>
      <c r="B4716" s="1" t="n">
        <v>45833</v>
      </c>
      <c r="C4716" s="1" t="n">
        <v>45911</v>
      </c>
      <c r="D4716" t="inlineStr">
        <is>
          <t>GÄVLEBORGS LÄN</t>
        </is>
      </c>
      <c r="E4716" t="inlineStr">
        <is>
          <t>GÄVLE</t>
        </is>
      </c>
      <c r="F4716" t="inlineStr">
        <is>
          <t>Bergvik skog väst AB</t>
        </is>
      </c>
      <c r="G4716" t="n">
        <v>6.3</v>
      </c>
      <c r="H4716" t="n">
        <v>0</v>
      </c>
      <c r="I4716" t="n">
        <v>0</v>
      </c>
      <c r="J4716" t="n">
        <v>0</v>
      </c>
      <c r="K4716" t="n">
        <v>0</v>
      </c>
      <c r="L4716" t="n">
        <v>0</v>
      </c>
      <c r="M4716" t="n">
        <v>0</v>
      </c>
      <c r="N4716" t="n">
        <v>0</v>
      </c>
      <c r="O4716" t="n">
        <v>0</v>
      </c>
      <c r="P4716" t="n">
        <v>0</v>
      </c>
      <c r="Q4716" t="n">
        <v>0</v>
      </c>
      <c r="R4716" s="2" t="inlineStr"/>
    </row>
    <row r="4717" ht="15" customHeight="1">
      <c r="A4717" t="inlineStr">
        <is>
          <t>A 55992-2022</t>
        </is>
      </c>
      <c r="B4717" s="1" t="n">
        <v>44889</v>
      </c>
      <c r="C4717" s="1" t="n">
        <v>45911</v>
      </c>
      <c r="D4717" t="inlineStr">
        <is>
          <t>GÄVLEBORGS LÄN</t>
        </is>
      </c>
      <c r="E4717" t="inlineStr">
        <is>
          <t>OVANÅKER</t>
        </is>
      </c>
      <c r="G4717" t="n">
        <v>2.1</v>
      </c>
      <c r="H4717" t="n">
        <v>0</v>
      </c>
      <c r="I4717" t="n">
        <v>0</v>
      </c>
      <c r="J4717" t="n">
        <v>0</v>
      </c>
      <c r="K4717" t="n">
        <v>0</v>
      </c>
      <c r="L4717" t="n">
        <v>0</v>
      </c>
      <c r="M4717" t="n">
        <v>0</v>
      </c>
      <c r="N4717" t="n">
        <v>0</v>
      </c>
      <c r="O4717" t="n">
        <v>0</v>
      </c>
      <c r="P4717" t="n">
        <v>0</v>
      </c>
      <c r="Q4717" t="n">
        <v>0</v>
      </c>
      <c r="R4717" s="2" t="inlineStr"/>
    </row>
    <row r="4718" ht="15" customHeight="1">
      <c r="A4718" t="inlineStr">
        <is>
          <t>A 31402-2025</t>
        </is>
      </c>
      <c r="B4718" s="1" t="n">
        <v>45833.47171296296</v>
      </c>
      <c r="C4718" s="1" t="n">
        <v>45911</v>
      </c>
      <c r="D4718" t="inlineStr">
        <is>
          <t>GÄVLEBORGS LÄN</t>
        </is>
      </c>
      <c r="E4718" t="inlineStr">
        <is>
          <t>OCKELBO</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10118-2025</t>
        </is>
      </c>
      <c r="B4719" s="1" t="n">
        <v>45719</v>
      </c>
      <c r="C4719" s="1" t="n">
        <v>45911</v>
      </c>
      <c r="D4719" t="inlineStr">
        <is>
          <t>GÄVLEBORGS LÄN</t>
        </is>
      </c>
      <c r="E4719" t="inlineStr">
        <is>
          <t>GÄVLE</t>
        </is>
      </c>
      <c r="F4719" t="inlineStr">
        <is>
          <t>Bergvik skog öst AB</t>
        </is>
      </c>
      <c r="G4719" t="n">
        <v>5.4</v>
      </c>
      <c r="H4719" t="n">
        <v>0</v>
      </c>
      <c r="I4719" t="n">
        <v>0</v>
      </c>
      <c r="J4719" t="n">
        <v>0</v>
      </c>
      <c r="K4719" t="n">
        <v>0</v>
      </c>
      <c r="L4719" t="n">
        <v>0</v>
      </c>
      <c r="M4719" t="n">
        <v>0</v>
      </c>
      <c r="N4719" t="n">
        <v>0</v>
      </c>
      <c r="O4719" t="n">
        <v>0</v>
      </c>
      <c r="P4719" t="n">
        <v>0</v>
      </c>
      <c r="Q4719" t="n">
        <v>0</v>
      </c>
      <c r="R4719" s="2" t="inlineStr"/>
    </row>
    <row r="4720" ht="15" customHeight="1">
      <c r="A4720" t="inlineStr">
        <is>
          <t>A 37208-2025</t>
        </is>
      </c>
      <c r="B4720" s="1" t="n">
        <v>45875.70944444444</v>
      </c>
      <c r="C4720" s="1" t="n">
        <v>45911</v>
      </c>
      <c r="D4720" t="inlineStr">
        <is>
          <t>GÄVLEBORGS LÄN</t>
        </is>
      </c>
      <c r="E4720" t="inlineStr">
        <is>
          <t>HUDIKSVALL</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44703-2024</t>
        </is>
      </c>
      <c r="B4721" s="1" t="n">
        <v>45574</v>
      </c>
      <c r="C4721" s="1" t="n">
        <v>45911</v>
      </c>
      <c r="D4721" t="inlineStr">
        <is>
          <t>GÄVLEBORGS LÄN</t>
        </is>
      </c>
      <c r="E4721" t="inlineStr">
        <is>
          <t>SÖDERHAMN</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67082-2021</t>
        </is>
      </c>
      <c r="B4722" s="1" t="n">
        <v>44522</v>
      </c>
      <c r="C4722" s="1" t="n">
        <v>45911</v>
      </c>
      <c r="D4722" t="inlineStr">
        <is>
          <t>GÄVLEBORGS LÄN</t>
        </is>
      </c>
      <c r="E4722" t="inlineStr">
        <is>
          <t>HUDIKSVALL</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44720-2024</t>
        </is>
      </c>
      <c r="B4723" s="1" t="n">
        <v>45574.57549768518</v>
      </c>
      <c r="C4723" s="1" t="n">
        <v>45911</v>
      </c>
      <c r="D4723" t="inlineStr">
        <is>
          <t>GÄVLEBORGS LÄN</t>
        </is>
      </c>
      <c r="E4723" t="inlineStr">
        <is>
          <t>HUDIKSVALL</t>
        </is>
      </c>
      <c r="F4723" t="inlineStr">
        <is>
          <t>Holmen skog AB</t>
        </is>
      </c>
      <c r="G4723" t="n">
        <v>9.1</v>
      </c>
      <c r="H4723" t="n">
        <v>0</v>
      </c>
      <c r="I4723" t="n">
        <v>0</v>
      </c>
      <c r="J4723" t="n">
        <v>0</v>
      </c>
      <c r="K4723" t="n">
        <v>0</v>
      </c>
      <c r="L4723" t="n">
        <v>0</v>
      </c>
      <c r="M4723" t="n">
        <v>0</v>
      </c>
      <c r="N4723" t="n">
        <v>0</v>
      </c>
      <c r="O4723" t="n">
        <v>0</v>
      </c>
      <c r="P4723" t="n">
        <v>0</v>
      </c>
      <c r="Q4723" t="n">
        <v>0</v>
      </c>
      <c r="R4723" s="2" t="inlineStr"/>
    </row>
    <row r="4724" ht="15" customHeight="1">
      <c r="A4724" t="inlineStr">
        <is>
          <t>A 28645-2024</t>
        </is>
      </c>
      <c r="B4724" s="1" t="n">
        <v>45478.46400462963</v>
      </c>
      <c r="C4724" s="1" t="n">
        <v>45911</v>
      </c>
      <c r="D4724" t="inlineStr">
        <is>
          <t>GÄVLEBORGS LÄN</t>
        </is>
      </c>
      <c r="E4724" t="inlineStr">
        <is>
          <t>BOLLNÄS</t>
        </is>
      </c>
      <c r="F4724" t="inlineStr">
        <is>
          <t>Bergvik skog väst AB</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56148-2024</t>
        </is>
      </c>
      <c r="B4725" s="1" t="n">
        <v>45624.51108796296</v>
      </c>
      <c r="C4725" s="1" t="n">
        <v>45911</v>
      </c>
      <c r="D4725" t="inlineStr">
        <is>
          <t>GÄVLEBORGS LÄN</t>
        </is>
      </c>
      <c r="E4725" t="inlineStr">
        <is>
          <t>SANDVIKEN</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35184-2022</t>
        </is>
      </c>
      <c r="B4726" s="1" t="n">
        <v>44797.63581018519</v>
      </c>
      <c r="C4726" s="1" t="n">
        <v>45911</v>
      </c>
      <c r="D4726" t="inlineStr">
        <is>
          <t>GÄVLEBORGS LÄN</t>
        </is>
      </c>
      <c r="E4726" t="inlineStr">
        <is>
          <t>SANDVIKEN</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6882-2023</t>
        </is>
      </c>
      <c r="B4727" s="1" t="n">
        <v>44967.48270833334</v>
      </c>
      <c r="C4727" s="1" t="n">
        <v>45911</v>
      </c>
      <c r="D4727" t="inlineStr">
        <is>
          <t>GÄVLEBORGS LÄN</t>
        </is>
      </c>
      <c r="E4727" t="inlineStr">
        <is>
          <t>BOLLNÄS</t>
        </is>
      </c>
      <c r="G4727" t="n">
        <v>4.1</v>
      </c>
      <c r="H4727" t="n">
        <v>0</v>
      </c>
      <c r="I4727" t="n">
        <v>0</v>
      </c>
      <c r="J4727" t="n">
        <v>0</v>
      </c>
      <c r="K4727" t="n">
        <v>0</v>
      </c>
      <c r="L4727" t="n">
        <v>0</v>
      </c>
      <c r="M4727" t="n">
        <v>0</v>
      </c>
      <c r="N4727" t="n">
        <v>0</v>
      </c>
      <c r="O4727" t="n">
        <v>0</v>
      </c>
      <c r="P4727" t="n">
        <v>0</v>
      </c>
      <c r="Q4727" t="n">
        <v>0</v>
      </c>
      <c r="R4727" s="2" t="inlineStr"/>
    </row>
    <row r="4728" ht="15" customHeight="1">
      <c r="A4728" t="inlineStr">
        <is>
          <t>A 35433-2022</t>
        </is>
      </c>
      <c r="B4728" s="1" t="n">
        <v>44798</v>
      </c>
      <c r="C4728" s="1" t="n">
        <v>45911</v>
      </c>
      <c r="D4728" t="inlineStr">
        <is>
          <t>GÄVLEBORGS LÄN</t>
        </is>
      </c>
      <c r="E4728" t="inlineStr">
        <is>
          <t>HUDIKSVALL</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1892-2024</t>
        </is>
      </c>
      <c r="B4729" s="1" t="n">
        <v>45308.30474537037</v>
      </c>
      <c r="C4729" s="1" t="n">
        <v>45911</v>
      </c>
      <c r="D4729" t="inlineStr">
        <is>
          <t>GÄVLEBORGS LÄN</t>
        </is>
      </c>
      <c r="E4729" t="inlineStr">
        <is>
          <t>OVANÅKER</t>
        </is>
      </c>
      <c r="G4729" t="n">
        <v>0.3</v>
      </c>
      <c r="H4729" t="n">
        <v>0</v>
      </c>
      <c r="I4729" t="n">
        <v>0</v>
      </c>
      <c r="J4729" t="n">
        <v>0</v>
      </c>
      <c r="K4729" t="n">
        <v>0</v>
      </c>
      <c r="L4729" t="n">
        <v>0</v>
      </c>
      <c r="M4729" t="n">
        <v>0</v>
      </c>
      <c r="N4729" t="n">
        <v>0</v>
      </c>
      <c r="O4729" t="n">
        <v>0</v>
      </c>
      <c r="P4729" t="n">
        <v>0</v>
      </c>
      <c r="Q4729" t="n">
        <v>0</v>
      </c>
      <c r="R4729" s="2" t="inlineStr"/>
    </row>
    <row r="4730" ht="15" customHeight="1">
      <c r="A4730" t="inlineStr">
        <is>
          <t>A 12825-2021</t>
        </is>
      </c>
      <c r="B4730" s="1" t="n">
        <v>44270</v>
      </c>
      <c r="C4730" s="1" t="n">
        <v>45911</v>
      </c>
      <c r="D4730" t="inlineStr">
        <is>
          <t>GÄVLEBORGS LÄN</t>
        </is>
      </c>
      <c r="E4730" t="inlineStr">
        <is>
          <t>OVANÅKER</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19855-2025</t>
        </is>
      </c>
      <c r="B4731" s="1" t="n">
        <v>45771</v>
      </c>
      <c r="C4731" s="1" t="n">
        <v>45911</v>
      </c>
      <c r="D4731" t="inlineStr">
        <is>
          <t>GÄVLEBORGS LÄN</t>
        </is>
      </c>
      <c r="E4731" t="inlineStr">
        <is>
          <t>LJUSDAL</t>
        </is>
      </c>
      <c r="F4731" t="inlineStr">
        <is>
          <t>Bergvik skog väst AB</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19884-2025</t>
        </is>
      </c>
      <c r="B4732" s="1" t="n">
        <v>45771.56451388889</v>
      </c>
      <c r="C4732" s="1" t="n">
        <v>45911</v>
      </c>
      <c r="D4732" t="inlineStr">
        <is>
          <t>GÄVLEBORGS LÄN</t>
        </is>
      </c>
      <c r="E4732" t="inlineStr">
        <is>
          <t>OVANÅKER</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19886-2025</t>
        </is>
      </c>
      <c r="B4733" s="1" t="n">
        <v>45771.5715162037</v>
      </c>
      <c r="C4733" s="1" t="n">
        <v>45911</v>
      </c>
      <c r="D4733" t="inlineStr">
        <is>
          <t>GÄVLEBORGS LÄN</t>
        </is>
      </c>
      <c r="E4733" t="inlineStr">
        <is>
          <t>HUDIKSVALL</t>
        </is>
      </c>
      <c r="G4733" t="n">
        <v>4.3</v>
      </c>
      <c r="H4733" t="n">
        <v>0</v>
      </c>
      <c r="I4733" t="n">
        <v>0</v>
      </c>
      <c r="J4733" t="n">
        <v>0</v>
      </c>
      <c r="K4733" t="n">
        <v>0</v>
      </c>
      <c r="L4733" t="n">
        <v>0</v>
      </c>
      <c r="M4733" t="n">
        <v>0</v>
      </c>
      <c r="N4733" t="n">
        <v>0</v>
      </c>
      <c r="O4733" t="n">
        <v>0</v>
      </c>
      <c r="P4733" t="n">
        <v>0</v>
      </c>
      <c r="Q4733" t="n">
        <v>0</v>
      </c>
      <c r="R4733" s="2" t="inlineStr"/>
    </row>
    <row r="4734" ht="15" customHeight="1">
      <c r="A4734" t="inlineStr">
        <is>
          <t>A 19887-2025</t>
        </is>
      </c>
      <c r="B4734" s="1" t="n">
        <v>45771.57215277778</v>
      </c>
      <c r="C4734" s="1" t="n">
        <v>45911</v>
      </c>
      <c r="D4734" t="inlineStr">
        <is>
          <t>GÄVLEBORGS LÄN</t>
        </is>
      </c>
      <c r="E4734" t="inlineStr">
        <is>
          <t>HUDIKSVALL</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41024-2023</t>
        </is>
      </c>
      <c r="B4735" s="1" t="n">
        <v>45173.59577546296</v>
      </c>
      <c r="C4735" s="1" t="n">
        <v>45911</v>
      </c>
      <c r="D4735" t="inlineStr">
        <is>
          <t>GÄVLEBORGS LÄN</t>
        </is>
      </c>
      <c r="E4735" t="inlineStr">
        <is>
          <t>SANDVIKEN</t>
        </is>
      </c>
      <c r="F4735" t="inlineStr">
        <is>
          <t>Sveaskog</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37094-2025</t>
        </is>
      </c>
      <c r="B4736" s="1" t="n">
        <v>45875.46909722222</v>
      </c>
      <c r="C4736" s="1" t="n">
        <v>45911</v>
      </c>
      <c r="D4736" t="inlineStr">
        <is>
          <t>GÄVLEBORGS LÄN</t>
        </is>
      </c>
      <c r="E4736" t="inlineStr">
        <is>
          <t>BOLLNÄS</t>
        </is>
      </c>
      <c r="G4736" t="n">
        <v>3.7</v>
      </c>
      <c r="H4736" t="n">
        <v>0</v>
      </c>
      <c r="I4736" t="n">
        <v>0</v>
      </c>
      <c r="J4736" t="n">
        <v>0</v>
      </c>
      <c r="K4736" t="n">
        <v>0</v>
      </c>
      <c r="L4736" t="n">
        <v>0</v>
      </c>
      <c r="M4736" t="n">
        <v>0</v>
      </c>
      <c r="N4736" t="n">
        <v>0</v>
      </c>
      <c r="O4736" t="n">
        <v>0</v>
      </c>
      <c r="P4736" t="n">
        <v>0</v>
      </c>
      <c r="Q4736" t="n">
        <v>0</v>
      </c>
      <c r="R4736" s="2" t="inlineStr"/>
    </row>
    <row r="4737" ht="15" customHeight="1">
      <c r="A4737" t="inlineStr">
        <is>
          <t>A 38175-2022</t>
        </is>
      </c>
      <c r="B4737" s="1" t="n">
        <v>44812</v>
      </c>
      <c r="C4737" s="1" t="n">
        <v>45911</v>
      </c>
      <c r="D4737" t="inlineStr">
        <is>
          <t>GÄVLEBORGS LÄN</t>
        </is>
      </c>
      <c r="E4737" t="inlineStr">
        <is>
          <t>SANDVIKEN</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846-2023</t>
        </is>
      </c>
      <c r="B4738" s="1" t="n">
        <v>44931.56439814815</v>
      </c>
      <c r="C4738" s="1" t="n">
        <v>45911</v>
      </c>
      <c r="D4738" t="inlineStr">
        <is>
          <t>GÄVLEBORGS LÄN</t>
        </is>
      </c>
      <c r="E4738" t="inlineStr">
        <is>
          <t>LJUSDAL</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31515-2025</t>
        </is>
      </c>
      <c r="B4739" s="1" t="n">
        <v>45833.60422453703</v>
      </c>
      <c r="C4739" s="1" t="n">
        <v>45911</v>
      </c>
      <c r="D4739" t="inlineStr">
        <is>
          <t>GÄVLEBORGS LÄN</t>
        </is>
      </c>
      <c r="E4739" t="inlineStr">
        <is>
          <t>LJUSDAL</t>
        </is>
      </c>
      <c r="G4739" t="n">
        <v>4.6</v>
      </c>
      <c r="H4739" t="n">
        <v>0</v>
      </c>
      <c r="I4739" t="n">
        <v>0</v>
      </c>
      <c r="J4739" t="n">
        <v>0</v>
      </c>
      <c r="K4739" t="n">
        <v>0</v>
      </c>
      <c r="L4739" t="n">
        <v>0</v>
      </c>
      <c r="M4739" t="n">
        <v>0</v>
      </c>
      <c r="N4739" t="n">
        <v>0</v>
      </c>
      <c r="O4739" t="n">
        <v>0</v>
      </c>
      <c r="P4739" t="n">
        <v>0</v>
      </c>
      <c r="Q4739" t="n">
        <v>0</v>
      </c>
      <c r="R4739" s="2" t="inlineStr"/>
    </row>
    <row r="4740" ht="15" customHeight="1">
      <c r="A4740" t="inlineStr">
        <is>
          <t>A 31517-2025</t>
        </is>
      </c>
      <c r="B4740" s="1" t="n">
        <v>45833.60619212963</v>
      </c>
      <c r="C4740" s="1" t="n">
        <v>45911</v>
      </c>
      <c r="D4740" t="inlineStr">
        <is>
          <t>GÄVLEBORGS LÄN</t>
        </is>
      </c>
      <c r="E4740" t="inlineStr">
        <is>
          <t>GÄVLE</t>
        </is>
      </c>
      <c r="F4740" t="inlineStr">
        <is>
          <t>Bergvik skog väst AB</t>
        </is>
      </c>
      <c r="G4740" t="n">
        <v>4.9</v>
      </c>
      <c r="H4740" t="n">
        <v>0</v>
      </c>
      <c r="I4740" t="n">
        <v>0</v>
      </c>
      <c r="J4740" t="n">
        <v>0</v>
      </c>
      <c r="K4740" t="n">
        <v>0</v>
      </c>
      <c r="L4740" t="n">
        <v>0</v>
      </c>
      <c r="M4740" t="n">
        <v>0</v>
      </c>
      <c r="N4740" t="n">
        <v>0</v>
      </c>
      <c r="O4740" t="n">
        <v>0</v>
      </c>
      <c r="P4740" t="n">
        <v>0</v>
      </c>
      <c r="Q4740" t="n">
        <v>0</v>
      </c>
      <c r="R4740" s="2" t="inlineStr"/>
    </row>
    <row r="4741" ht="15" customHeight="1">
      <c r="A4741" t="inlineStr">
        <is>
          <t>A 57164-2024</t>
        </is>
      </c>
      <c r="B4741" s="1" t="n">
        <v>45629.41516203704</v>
      </c>
      <c r="C4741" s="1" t="n">
        <v>45911</v>
      </c>
      <c r="D4741" t="inlineStr">
        <is>
          <t>GÄVLEBORGS LÄN</t>
        </is>
      </c>
      <c r="E4741" t="inlineStr">
        <is>
          <t>LJUSDAL</t>
        </is>
      </c>
      <c r="F4741" t="inlineStr">
        <is>
          <t>Naturvårdsverket</t>
        </is>
      </c>
      <c r="G4741" t="n">
        <v>18.5</v>
      </c>
      <c r="H4741" t="n">
        <v>0</v>
      </c>
      <c r="I4741" t="n">
        <v>0</v>
      </c>
      <c r="J4741" t="n">
        <v>0</v>
      </c>
      <c r="K4741" t="n">
        <v>0</v>
      </c>
      <c r="L4741" t="n">
        <v>0</v>
      </c>
      <c r="M4741" t="n">
        <v>0</v>
      </c>
      <c r="N4741" t="n">
        <v>0</v>
      </c>
      <c r="O4741" t="n">
        <v>0</v>
      </c>
      <c r="P4741" t="n">
        <v>0</v>
      </c>
      <c r="Q4741" t="n">
        <v>0</v>
      </c>
      <c r="R4741" s="2" t="inlineStr"/>
    </row>
    <row r="4742" ht="15" customHeight="1">
      <c r="A4742" t="inlineStr">
        <is>
          <t>A 53488-2023</t>
        </is>
      </c>
      <c r="B4742" s="1" t="n">
        <v>45230.35541666667</v>
      </c>
      <c r="C4742" s="1" t="n">
        <v>45911</v>
      </c>
      <c r="D4742" t="inlineStr">
        <is>
          <t>GÄVLEBORGS LÄN</t>
        </is>
      </c>
      <c r="E4742" t="inlineStr">
        <is>
          <t>OCKELBO</t>
        </is>
      </c>
      <c r="F4742" t="inlineStr">
        <is>
          <t>Bergvik skog väst AB</t>
        </is>
      </c>
      <c r="G4742" t="n">
        <v>13.3</v>
      </c>
      <c r="H4742" t="n">
        <v>0</v>
      </c>
      <c r="I4742" t="n">
        <v>0</v>
      </c>
      <c r="J4742" t="n">
        <v>0</v>
      </c>
      <c r="K4742" t="n">
        <v>0</v>
      </c>
      <c r="L4742" t="n">
        <v>0</v>
      </c>
      <c r="M4742" t="n">
        <v>0</v>
      </c>
      <c r="N4742" t="n">
        <v>0</v>
      </c>
      <c r="O4742" t="n">
        <v>0</v>
      </c>
      <c r="P4742" t="n">
        <v>0</v>
      </c>
      <c r="Q4742" t="n">
        <v>0</v>
      </c>
      <c r="R4742" s="2" t="inlineStr"/>
    </row>
    <row r="4743" ht="15" customHeight="1">
      <c r="A4743" t="inlineStr">
        <is>
          <t>A 31885-2025</t>
        </is>
      </c>
      <c r="B4743" s="1" t="n">
        <v>45834</v>
      </c>
      <c r="C4743" s="1" t="n">
        <v>45911</v>
      </c>
      <c r="D4743" t="inlineStr">
        <is>
          <t>GÄVLEBORGS LÄN</t>
        </is>
      </c>
      <c r="E4743" t="inlineStr">
        <is>
          <t>OVANÅKER</t>
        </is>
      </c>
      <c r="G4743" t="n">
        <v>3.5</v>
      </c>
      <c r="H4743" t="n">
        <v>0</v>
      </c>
      <c r="I4743" t="n">
        <v>0</v>
      </c>
      <c r="J4743" t="n">
        <v>0</v>
      </c>
      <c r="K4743" t="n">
        <v>0</v>
      </c>
      <c r="L4743" t="n">
        <v>0</v>
      </c>
      <c r="M4743" t="n">
        <v>0</v>
      </c>
      <c r="N4743" t="n">
        <v>0</v>
      </c>
      <c r="O4743" t="n">
        <v>0</v>
      </c>
      <c r="P4743" t="n">
        <v>0</v>
      </c>
      <c r="Q4743" t="n">
        <v>0</v>
      </c>
      <c r="R4743" s="2" t="inlineStr"/>
    </row>
    <row r="4744" ht="15" customHeight="1">
      <c r="A4744" t="inlineStr">
        <is>
          <t>A 37071-2022</t>
        </is>
      </c>
      <c r="B4744" s="1" t="n">
        <v>44806</v>
      </c>
      <c r="C4744" s="1" t="n">
        <v>45911</v>
      </c>
      <c r="D4744" t="inlineStr">
        <is>
          <t>GÄVLEBORGS LÄN</t>
        </is>
      </c>
      <c r="E4744" t="inlineStr">
        <is>
          <t>BOLLNÄS</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31891-2025</t>
        </is>
      </c>
      <c r="B4745" s="1" t="n">
        <v>45834.66365740741</v>
      </c>
      <c r="C4745" s="1" t="n">
        <v>45911</v>
      </c>
      <c r="D4745" t="inlineStr">
        <is>
          <t>GÄVLEBORGS LÄN</t>
        </is>
      </c>
      <c r="E4745" t="inlineStr">
        <is>
          <t>OVANÅKER</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31598-2025</t>
        </is>
      </c>
      <c r="B4746" s="1" t="n">
        <v>45833.7103125</v>
      </c>
      <c r="C4746" s="1" t="n">
        <v>45911</v>
      </c>
      <c r="D4746" t="inlineStr">
        <is>
          <t>GÄVLEBORGS LÄN</t>
        </is>
      </c>
      <c r="E4746" t="inlineStr">
        <is>
          <t>GÄVLE</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1392-2024</t>
        </is>
      </c>
      <c r="B4747" s="1" t="n">
        <v>45303.57997685186</v>
      </c>
      <c r="C4747" s="1" t="n">
        <v>45911</v>
      </c>
      <c r="D4747" t="inlineStr">
        <is>
          <t>GÄVLEBORGS LÄN</t>
        </is>
      </c>
      <c r="E4747" t="inlineStr">
        <is>
          <t>SANDVIKEN</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591-2024</t>
        </is>
      </c>
      <c r="B4748" s="1" t="n">
        <v>45299</v>
      </c>
      <c r="C4748" s="1" t="n">
        <v>45911</v>
      </c>
      <c r="D4748" t="inlineStr">
        <is>
          <t>GÄVLEBORGS LÄN</t>
        </is>
      </c>
      <c r="E4748" t="inlineStr">
        <is>
          <t>LJUSDAL</t>
        </is>
      </c>
      <c r="G4748" t="n">
        <v>14.1</v>
      </c>
      <c r="H4748" t="n">
        <v>0</v>
      </c>
      <c r="I4748" t="n">
        <v>0</v>
      </c>
      <c r="J4748" t="n">
        <v>0</v>
      </c>
      <c r="K4748" t="n">
        <v>0</v>
      </c>
      <c r="L4748" t="n">
        <v>0</v>
      </c>
      <c r="M4748" t="n">
        <v>0</v>
      </c>
      <c r="N4748" t="n">
        <v>0</v>
      </c>
      <c r="O4748" t="n">
        <v>0</v>
      </c>
      <c r="P4748" t="n">
        <v>0</v>
      </c>
      <c r="Q4748" t="n">
        <v>0</v>
      </c>
      <c r="R4748" s="2" t="inlineStr"/>
    </row>
    <row r="4749" ht="15" customHeight="1">
      <c r="A4749" t="inlineStr">
        <is>
          <t>A 60188-2023</t>
        </is>
      </c>
      <c r="B4749" s="1" t="n">
        <v>45258.57871527778</v>
      </c>
      <c r="C4749" s="1" t="n">
        <v>45911</v>
      </c>
      <c r="D4749" t="inlineStr">
        <is>
          <t>GÄVLEBORGS LÄN</t>
        </is>
      </c>
      <c r="E4749" t="inlineStr">
        <is>
          <t>HUDIKSVALL</t>
        </is>
      </c>
      <c r="F4749" t="inlineStr">
        <is>
          <t>Holmen skog AB</t>
        </is>
      </c>
      <c r="G4749" t="n">
        <v>0.2</v>
      </c>
      <c r="H4749" t="n">
        <v>0</v>
      </c>
      <c r="I4749" t="n">
        <v>0</v>
      </c>
      <c r="J4749" t="n">
        <v>0</v>
      </c>
      <c r="K4749" t="n">
        <v>0</v>
      </c>
      <c r="L4749" t="n">
        <v>0</v>
      </c>
      <c r="M4749" t="n">
        <v>0</v>
      </c>
      <c r="N4749" t="n">
        <v>0</v>
      </c>
      <c r="O4749" t="n">
        <v>0</v>
      </c>
      <c r="P4749" t="n">
        <v>0</v>
      </c>
      <c r="Q4749" t="n">
        <v>0</v>
      </c>
      <c r="R4749" s="2" t="inlineStr"/>
    </row>
    <row r="4750" ht="15" customHeight="1">
      <c r="A4750" t="inlineStr">
        <is>
          <t>A 31719-2025</t>
        </is>
      </c>
      <c r="B4750" s="1" t="n">
        <v>45834.46130787037</v>
      </c>
      <c r="C4750" s="1" t="n">
        <v>45911</v>
      </c>
      <c r="D4750" t="inlineStr">
        <is>
          <t>GÄVLEBORGS LÄN</t>
        </is>
      </c>
      <c r="E4750" t="inlineStr">
        <is>
          <t>BOLLNÄS</t>
        </is>
      </c>
      <c r="G4750" t="n">
        <v>2.7</v>
      </c>
      <c r="H4750" t="n">
        <v>0</v>
      </c>
      <c r="I4750" t="n">
        <v>0</v>
      </c>
      <c r="J4750" t="n">
        <v>0</v>
      </c>
      <c r="K4750" t="n">
        <v>0</v>
      </c>
      <c r="L4750" t="n">
        <v>0</v>
      </c>
      <c r="M4750" t="n">
        <v>0</v>
      </c>
      <c r="N4750" t="n">
        <v>0</v>
      </c>
      <c r="O4750" t="n">
        <v>0</v>
      </c>
      <c r="P4750" t="n">
        <v>0</v>
      </c>
      <c r="Q4750" t="n">
        <v>0</v>
      </c>
      <c r="R4750" s="2" t="inlineStr"/>
    </row>
    <row r="4751" ht="15" customHeight="1">
      <c r="A4751" t="inlineStr">
        <is>
          <t>A 9589-2025</t>
        </is>
      </c>
      <c r="B4751" s="1" t="n">
        <v>45715.64090277778</v>
      </c>
      <c r="C4751" s="1" t="n">
        <v>45911</v>
      </c>
      <c r="D4751" t="inlineStr">
        <is>
          <t>GÄVLEBORGS LÄN</t>
        </is>
      </c>
      <c r="E4751" t="inlineStr">
        <is>
          <t>HUDIKSVALL</t>
        </is>
      </c>
      <c r="F4751" t="inlineStr">
        <is>
          <t>Holmen skog AB</t>
        </is>
      </c>
      <c r="G4751" t="n">
        <v>7.8</v>
      </c>
      <c r="H4751" t="n">
        <v>0</v>
      </c>
      <c r="I4751" t="n">
        <v>0</v>
      </c>
      <c r="J4751" t="n">
        <v>0</v>
      </c>
      <c r="K4751" t="n">
        <v>0</v>
      </c>
      <c r="L4751" t="n">
        <v>0</v>
      </c>
      <c r="M4751" t="n">
        <v>0</v>
      </c>
      <c r="N4751" t="n">
        <v>0</v>
      </c>
      <c r="O4751" t="n">
        <v>0</v>
      </c>
      <c r="P4751" t="n">
        <v>0</v>
      </c>
      <c r="Q4751" t="n">
        <v>0</v>
      </c>
      <c r="R4751" s="2" t="inlineStr"/>
    </row>
    <row r="4752" ht="15" customHeight="1">
      <c r="A4752" t="inlineStr">
        <is>
          <t>A 45989-2023</t>
        </is>
      </c>
      <c r="B4752" s="1" t="n">
        <v>45196.31804398148</v>
      </c>
      <c r="C4752" s="1" t="n">
        <v>45911</v>
      </c>
      <c r="D4752" t="inlineStr">
        <is>
          <t>GÄVLEBORGS LÄN</t>
        </is>
      </c>
      <c r="E4752" t="inlineStr">
        <is>
          <t>SANDVIKEN</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34427-2022</t>
        </is>
      </c>
      <c r="B4753" s="1" t="n">
        <v>44792</v>
      </c>
      <c r="C4753" s="1" t="n">
        <v>45911</v>
      </c>
      <c r="D4753" t="inlineStr">
        <is>
          <t>GÄVLEBORGS LÄN</t>
        </is>
      </c>
      <c r="E4753" t="inlineStr">
        <is>
          <t>HUDIKSVALL</t>
        </is>
      </c>
      <c r="F4753" t="inlineStr">
        <is>
          <t>Holmen skog AB</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2457-2024</t>
        </is>
      </c>
      <c r="B4754" s="1" t="n">
        <v>45312.89391203703</v>
      </c>
      <c r="C4754" s="1" t="n">
        <v>45911</v>
      </c>
      <c r="D4754" t="inlineStr">
        <is>
          <t>GÄVLEBORGS LÄN</t>
        </is>
      </c>
      <c r="E4754" t="inlineStr">
        <is>
          <t>GÄVLE</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35070-2022</t>
        </is>
      </c>
      <c r="B4755" s="1" t="n">
        <v>44797.36980324074</v>
      </c>
      <c r="C4755" s="1" t="n">
        <v>45911</v>
      </c>
      <c r="D4755" t="inlineStr">
        <is>
          <t>GÄVLEBORGS LÄN</t>
        </is>
      </c>
      <c r="E4755" t="inlineStr">
        <is>
          <t>NORDANSTIG</t>
        </is>
      </c>
      <c r="F4755" t="inlineStr">
        <is>
          <t>Holmen skog AB</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24667-2024</t>
        </is>
      </c>
      <c r="B4756" s="1" t="n">
        <v>45460.58346064815</v>
      </c>
      <c r="C4756" s="1" t="n">
        <v>45911</v>
      </c>
      <c r="D4756" t="inlineStr">
        <is>
          <t>GÄVLEBORGS LÄN</t>
        </is>
      </c>
      <c r="E4756" t="inlineStr">
        <is>
          <t>LJUSDAL</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34946-2022</t>
        </is>
      </c>
      <c r="B4757" s="1" t="n">
        <v>44796</v>
      </c>
      <c r="C4757" s="1" t="n">
        <v>45911</v>
      </c>
      <c r="D4757" t="inlineStr">
        <is>
          <t>GÄVLEBORGS LÄN</t>
        </is>
      </c>
      <c r="E4757" t="inlineStr">
        <is>
          <t>SANDVIKEN</t>
        </is>
      </c>
      <c r="F4757" t="inlineStr">
        <is>
          <t>Bergvik skog öst AB</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52518-2024</t>
        </is>
      </c>
      <c r="B4758" s="1" t="n">
        <v>45609</v>
      </c>
      <c r="C4758" s="1" t="n">
        <v>45911</v>
      </c>
      <c r="D4758" t="inlineStr">
        <is>
          <t>GÄVLEBORGS LÄN</t>
        </is>
      </c>
      <c r="E4758" t="inlineStr">
        <is>
          <t>SÖDERHAMN</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18680-2025</t>
        </is>
      </c>
      <c r="B4759" s="1" t="n">
        <v>45763.60581018519</v>
      </c>
      <c r="C4759" s="1" t="n">
        <v>45911</v>
      </c>
      <c r="D4759" t="inlineStr">
        <is>
          <t>GÄVLEBORGS LÄN</t>
        </is>
      </c>
      <c r="E4759" t="inlineStr">
        <is>
          <t>NORDANSTIG</t>
        </is>
      </c>
      <c r="G4759" t="n">
        <v>9.4</v>
      </c>
      <c r="H4759" t="n">
        <v>0</v>
      </c>
      <c r="I4759" t="n">
        <v>0</v>
      </c>
      <c r="J4759" t="n">
        <v>0</v>
      </c>
      <c r="K4759" t="n">
        <v>0</v>
      </c>
      <c r="L4759" t="n">
        <v>0</v>
      </c>
      <c r="M4759" t="n">
        <v>0</v>
      </c>
      <c r="N4759" t="n">
        <v>0</v>
      </c>
      <c r="O4759" t="n">
        <v>0</v>
      </c>
      <c r="P4759" t="n">
        <v>0</v>
      </c>
      <c r="Q4759" t="n">
        <v>0</v>
      </c>
      <c r="R4759" s="2" t="inlineStr"/>
    </row>
    <row r="4760" ht="15" customHeight="1">
      <c r="A4760" t="inlineStr">
        <is>
          <t>A 34941-2024</t>
        </is>
      </c>
      <c r="B4760" s="1" t="n">
        <v>45527.46644675926</v>
      </c>
      <c r="C4760" s="1" t="n">
        <v>45911</v>
      </c>
      <c r="D4760" t="inlineStr">
        <is>
          <t>GÄVLEBORGS LÄN</t>
        </is>
      </c>
      <c r="E4760" t="inlineStr">
        <is>
          <t>BOLLNÄS</t>
        </is>
      </c>
      <c r="F4760" t="inlineStr">
        <is>
          <t>Bergvik skog väst AB</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52519-2024</t>
        </is>
      </c>
      <c r="B4761" s="1" t="n">
        <v>45609.5986574074</v>
      </c>
      <c r="C4761" s="1" t="n">
        <v>45911</v>
      </c>
      <c r="D4761" t="inlineStr">
        <is>
          <t>GÄVLEBORGS LÄN</t>
        </is>
      </c>
      <c r="E4761" t="inlineStr">
        <is>
          <t>SÖDERHAMN</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16738-2025</t>
        </is>
      </c>
      <c r="B4762" s="1" t="n">
        <v>45754.54916666666</v>
      </c>
      <c r="C4762" s="1" t="n">
        <v>45911</v>
      </c>
      <c r="D4762" t="inlineStr">
        <is>
          <t>GÄVLEBORGS LÄN</t>
        </is>
      </c>
      <c r="E4762" t="inlineStr">
        <is>
          <t>OCKELBO</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31374-2025</t>
        </is>
      </c>
      <c r="B4763" s="1" t="n">
        <v>45833.44599537037</v>
      </c>
      <c r="C4763" s="1" t="n">
        <v>45911</v>
      </c>
      <c r="D4763" t="inlineStr">
        <is>
          <t>GÄVLEBORGS LÄN</t>
        </is>
      </c>
      <c r="E4763" t="inlineStr">
        <is>
          <t>BOLLNÄS</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58506-2023</t>
        </is>
      </c>
      <c r="B4764" s="1" t="n">
        <v>45251</v>
      </c>
      <c r="C4764" s="1" t="n">
        <v>45911</v>
      </c>
      <c r="D4764" t="inlineStr">
        <is>
          <t>GÄVLEBORGS LÄN</t>
        </is>
      </c>
      <c r="E4764" t="inlineStr">
        <is>
          <t>BOLLNÄS</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46111-2023</t>
        </is>
      </c>
      <c r="B4765" s="1" t="n">
        <v>45196.54778935185</v>
      </c>
      <c r="C4765" s="1" t="n">
        <v>45911</v>
      </c>
      <c r="D4765" t="inlineStr">
        <is>
          <t>GÄVLEBORGS LÄN</t>
        </is>
      </c>
      <c r="E4765" t="inlineStr">
        <is>
          <t>NORDANSTIG</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1162-2024</t>
        </is>
      </c>
      <c r="B4766" s="1" t="n">
        <v>45302</v>
      </c>
      <c r="C4766" s="1" t="n">
        <v>45911</v>
      </c>
      <c r="D4766" t="inlineStr">
        <is>
          <t>GÄVLEBORGS LÄN</t>
        </is>
      </c>
      <c r="E4766" t="inlineStr">
        <is>
          <t>SANDVIKEN</t>
        </is>
      </c>
      <c r="G4766" t="n">
        <v>3.4</v>
      </c>
      <c r="H4766" t="n">
        <v>0</v>
      </c>
      <c r="I4766" t="n">
        <v>0</v>
      </c>
      <c r="J4766" t="n">
        <v>0</v>
      </c>
      <c r="K4766" t="n">
        <v>0</v>
      </c>
      <c r="L4766" t="n">
        <v>0</v>
      </c>
      <c r="M4766" t="n">
        <v>0</v>
      </c>
      <c r="N4766" t="n">
        <v>0</v>
      </c>
      <c r="O4766" t="n">
        <v>0</v>
      </c>
      <c r="P4766" t="n">
        <v>0</v>
      </c>
      <c r="Q4766" t="n">
        <v>0</v>
      </c>
      <c r="R4766" s="2" t="inlineStr"/>
    </row>
    <row r="4767" ht="15" customHeight="1">
      <c r="A4767" t="inlineStr">
        <is>
          <t>A 23200-2024</t>
        </is>
      </c>
      <c r="B4767" s="1" t="n">
        <v>45451.93958333333</v>
      </c>
      <c r="C4767" s="1" t="n">
        <v>45911</v>
      </c>
      <c r="D4767" t="inlineStr">
        <is>
          <t>GÄVLEBORGS LÄN</t>
        </is>
      </c>
      <c r="E4767" t="inlineStr">
        <is>
          <t>SANDVIKEN</t>
        </is>
      </c>
      <c r="G4767" t="n">
        <v>4.8</v>
      </c>
      <c r="H4767" t="n">
        <v>0</v>
      </c>
      <c r="I4767" t="n">
        <v>0</v>
      </c>
      <c r="J4767" t="n">
        <v>0</v>
      </c>
      <c r="K4767" t="n">
        <v>0</v>
      </c>
      <c r="L4767" t="n">
        <v>0</v>
      </c>
      <c r="M4767" t="n">
        <v>0</v>
      </c>
      <c r="N4767" t="n">
        <v>0</v>
      </c>
      <c r="O4767" t="n">
        <v>0</v>
      </c>
      <c r="P4767" t="n">
        <v>0</v>
      </c>
      <c r="Q4767" t="n">
        <v>0</v>
      </c>
      <c r="R4767" s="2" t="inlineStr"/>
    </row>
    <row r="4768" ht="15" customHeight="1">
      <c r="A4768" t="inlineStr">
        <is>
          <t>A 37050-2025</t>
        </is>
      </c>
      <c r="B4768" s="1" t="n">
        <v>45875.36291666667</v>
      </c>
      <c r="C4768" s="1" t="n">
        <v>45911</v>
      </c>
      <c r="D4768" t="inlineStr">
        <is>
          <t>GÄVLEBORGS LÄN</t>
        </is>
      </c>
      <c r="E4768" t="inlineStr">
        <is>
          <t>SÖDERHAMN</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42540-2024</t>
        </is>
      </c>
      <c r="B4769" s="1" t="n">
        <v>45565.58765046296</v>
      </c>
      <c r="C4769" s="1" t="n">
        <v>45911</v>
      </c>
      <c r="D4769" t="inlineStr">
        <is>
          <t>GÄVLEBORGS LÄN</t>
        </is>
      </c>
      <c r="E4769" t="inlineStr">
        <is>
          <t>LJUSDAL</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42575-2024</t>
        </is>
      </c>
      <c r="B4770" s="1" t="n">
        <v>45565.64587962963</v>
      </c>
      <c r="C4770" s="1" t="n">
        <v>45911</v>
      </c>
      <c r="D4770" t="inlineStr">
        <is>
          <t>GÄVLEBORGS LÄN</t>
        </is>
      </c>
      <c r="E4770" t="inlineStr">
        <is>
          <t>BOLLNÄS</t>
        </is>
      </c>
      <c r="G4770" t="n">
        <v>2.8</v>
      </c>
      <c r="H4770" t="n">
        <v>0</v>
      </c>
      <c r="I4770" t="n">
        <v>0</v>
      </c>
      <c r="J4770" t="n">
        <v>0</v>
      </c>
      <c r="K4770" t="n">
        <v>0</v>
      </c>
      <c r="L4770" t="n">
        <v>0</v>
      </c>
      <c r="M4770" t="n">
        <v>0</v>
      </c>
      <c r="N4770" t="n">
        <v>0</v>
      </c>
      <c r="O4770" t="n">
        <v>0</v>
      </c>
      <c r="P4770" t="n">
        <v>0</v>
      </c>
      <c r="Q4770" t="n">
        <v>0</v>
      </c>
      <c r="R4770" s="2" t="inlineStr"/>
    </row>
    <row r="4771" ht="15" customHeight="1">
      <c r="A4771" t="inlineStr">
        <is>
          <t>A 38251-2022</t>
        </is>
      </c>
      <c r="B4771" s="1" t="n">
        <v>44812.4874537037</v>
      </c>
      <c r="C4771" s="1" t="n">
        <v>45911</v>
      </c>
      <c r="D4771" t="inlineStr">
        <is>
          <t>GÄVLEBORGS LÄN</t>
        </is>
      </c>
      <c r="E4771" t="inlineStr">
        <is>
          <t>HOFORS</t>
        </is>
      </c>
      <c r="G4771" t="n">
        <v>3.5</v>
      </c>
      <c r="H4771" t="n">
        <v>0</v>
      </c>
      <c r="I4771" t="n">
        <v>0</v>
      </c>
      <c r="J4771" t="n">
        <v>0</v>
      </c>
      <c r="K4771" t="n">
        <v>0</v>
      </c>
      <c r="L4771" t="n">
        <v>0</v>
      </c>
      <c r="M4771" t="n">
        <v>0</v>
      </c>
      <c r="N4771" t="n">
        <v>0</v>
      </c>
      <c r="O4771" t="n">
        <v>0</v>
      </c>
      <c r="P4771" t="n">
        <v>0</v>
      </c>
      <c r="Q4771" t="n">
        <v>0</v>
      </c>
      <c r="R4771" s="2" t="inlineStr"/>
    </row>
    <row r="4772" ht="15" customHeight="1">
      <c r="A4772" t="inlineStr">
        <is>
          <t>A 31674-2025</t>
        </is>
      </c>
      <c r="B4772" s="1" t="n">
        <v>45834.37255787037</v>
      </c>
      <c r="C4772" s="1" t="n">
        <v>45911</v>
      </c>
      <c r="D4772" t="inlineStr">
        <is>
          <t>GÄVLEBORGS LÄN</t>
        </is>
      </c>
      <c r="E4772" t="inlineStr">
        <is>
          <t>SANDVIKEN</t>
        </is>
      </c>
      <c r="G4772" t="n">
        <v>4</v>
      </c>
      <c r="H4772" t="n">
        <v>0</v>
      </c>
      <c r="I4772" t="n">
        <v>0</v>
      </c>
      <c r="J4772" t="n">
        <v>0</v>
      </c>
      <c r="K4772" t="n">
        <v>0</v>
      </c>
      <c r="L4772" t="n">
        <v>0</v>
      </c>
      <c r="M4772" t="n">
        <v>0</v>
      </c>
      <c r="N4772" t="n">
        <v>0</v>
      </c>
      <c r="O4772" t="n">
        <v>0</v>
      </c>
      <c r="P4772" t="n">
        <v>0</v>
      </c>
      <c r="Q4772" t="n">
        <v>0</v>
      </c>
      <c r="R4772" s="2" t="inlineStr"/>
    </row>
    <row r="4773" ht="15" customHeight="1">
      <c r="A4773" t="inlineStr">
        <is>
          <t>A 31711-2025</t>
        </is>
      </c>
      <c r="B4773" s="1" t="n">
        <v>45834.44530092592</v>
      </c>
      <c r="C4773" s="1" t="n">
        <v>45911</v>
      </c>
      <c r="D4773" t="inlineStr">
        <is>
          <t>GÄVLEBORGS LÄN</t>
        </is>
      </c>
      <c r="E4773" t="inlineStr">
        <is>
          <t>BOLLNÄS</t>
        </is>
      </c>
      <c r="G4773" t="n">
        <v>5.2</v>
      </c>
      <c r="H4773" t="n">
        <v>0</v>
      </c>
      <c r="I4773" t="n">
        <v>0</v>
      </c>
      <c r="J4773" t="n">
        <v>0</v>
      </c>
      <c r="K4773" t="n">
        <v>0</v>
      </c>
      <c r="L4773" t="n">
        <v>0</v>
      </c>
      <c r="M4773" t="n">
        <v>0</v>
      </c>
      <c r="N4773" t="n">
        <v>0</v>
      </c>
      <c r="O4773" t="n">
        <v>0</v>
      </c>
      <c r="P4773" t="n">
        <v>0</v>
      </c>
      <c r="Q4773" t="n">
        <v>0</v>
      </c>
      <c r="R4773" s="2" t="inlineStr"/>
    </row>
    <row r="4774" ht="15" customHeight="1">
      <c r="A4774" t="inlineStr">
        <is>
          <t>A 48654-2022</t>
        </is>
      </c>
      <c r="B4774" s="1" t="n">
        <v>44859.43793981482</v>
      </c>
      <c r="C4774" s="1" t="n">
        <v>45911</v>
      </c>
      <c r="D4774" t="inlineStr">
        <is>
          <t>GÄVLEBORGS LÄN</t>
        </is>
      </c>
      <c r="E4774" t="inlineStr">
        <is>
          <t>LJUSDAL</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55216-2024</t>
        </is>
      </c>
      <c r="B4775" s="1" t="n">
        <v>45621.57118055555</v>
      </c>
      <c r="C4775" s="1" t="n">
        <v>45911</v>
      </c>
      <c r="D4775" t="inlineStr">
        <is>
          <t>GÄVLEBORGS LÄN</t>
        </is>
      </c>
      <c r="E4775" t="inlineStr">
        <is>
          <t>OCKELBO</t>
        </is>
      </c>
      <c r="F4775" t="inlineStr">
        <is>
          <t>Bergvik skog väst AB</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55240-2024</t>
        </is>
      </c>
      <c r="B4776" s="1" t="n">
        <v>45621</v>
      </c>
      <c r="C4776" s="1" t="n">
        <v>45911</v>
      </c>
      <c r="D4776" t="inlineStr">
        <is>
          <t>GÄVLEBORGS LÄN</t>
        </is>
      </c>
      <c r="E4776" t="inlineStr">
        <is>
          <t>SÖDERHAMN</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22041-2022</t>
        </is>
      </c>
      <c r="B4777" s="1" t="n">
        <v>44711.65472222222</v>
      </c>
      <c r="C4777" s="1" t="n">
        <v>45911</v>
      </c>
      <c r="D4777" t="inlineStr">
        <is>
          <t>GÄVLEBORGS LÄN</t>
        </is>
      </c>
      <c r="E4777" t="inlineStr">
        <is>
          <t>NORDANSTIG</t>
        </is>
      </c>
      <c r="F4777" t="inlineStr">
        <is>
          <t>Holmen skog AB</t>
        </is>
      </c>
      <c r="G4777" t="n">
        <v>6.2</v>
      </c>
      <c r="H4777" t="n">
        <v>0</v>
      </c>
      <c r="I4777" t="n">
        <v>0</v>
      </c>
      <c r="J4777" t="n">
        <v>0</v>
      </c>
      <c r="K4777" t="n">
        <v>0</v>
      </c>
      <c r="L4777" t="n">
        <v>0</v>
      </c>
      <c r="M4777" t="n">
        <v>0</v>
      </c>
      <c r="N4777" t="n">
        <v>0</v>
      </c>
      <c r="O4777" t="n">
        <v>0</v>
      </c>
      <c r="P4777" t="n">
        <v>0</v>
      </c>
      <c r="Q4777" t="n">
        <v>0</v>
      </c>
      <c r="R4777" s="2" t="inlineStr"/>
    </row>
    <row r="4778" ht="15" customHeight="1">
      <c r="A4778" t="inlineStr">
        <is>
          <t>A 59973-2022</t>
        </is>
      </c>
      <c r="B4778" s="1" t="n">
        <v>44909.43164351852</v>
      </c>
      <c r="C4778" s="1" t="n">
        <v>45911</v>
      </c>
      <c r="D4778" t="inlineStr">
        <is>
          <t>GÄVLEBORGS LÄN</t>
        </is>
      </c>
      <c r="E4778" t="inlineStr">
        <is>
          <t>HUDIKSVALL</t>
        </is>
      </c>
      <c r="F4778" t="inlineStr">
        <is>
          <t>Kyrkan</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31810-2025</t>
        </is>
      </c>
      <c r="B4779" s="1" t="n">
        <v>45834.55946759259</v>
      </c>
      <c r="C4779" s="1" t="n">
        <v>45911</v>
      </c>
      <c r="D4779" t="inlineStr">
        <is>
          <t>GÄVLEBORGS LÄN</t>
        </is>
      </c>
      <c r="E4779" t="inlineStr">
        <is>
          <t>LJUSDAL</t>
        </is>
      </c>
      <c r="G4779" t="n">
        <v>17.2</v>
      </c>
      <c r="H4779" t="n">
        <v>0</v>
      </c>
      <c r="I4779" t="n">
        <v>0</v>
      </c>
      <c r="J4779" t="n">
        <v>0</v>
      </c>
      <c r="K4779" t="n">
        <v>0</v>
      </c>
      <c r="L4779" t="n">
        <v>0</v>
      </c>
      <c r="M4779" t="n">
        <v>0</v>
      </c>
      <c r="N4779" t="n">
        <v>0</v>
      </c>
      <c r="O4779" t="n">
        <v>0</v>
      </c>
      <c r="P4779" t="n">
        <v>0</v>
      </c>
      <c r="Q4779" t="n">
        <v>0</v>
      </c>
      <c r="R4779" s="2" t="inlineStr"/>
    </row>
    <row r="4780" ht="15" customHeight="1">
      <c r="A4780" t="inlineStr">
        <is>
          <t>A 35964-2024</t>
        </is>
      </c>
      <c r="B4780" s="1" t="n">
        <v>45533.48047453703</v>
      </c>
      <c r="C4780" s="1" t="n">
        <v>45911</v>
      </c>
      <c r="D4780" t="inlineStr">
        <is>
          <t>GÄVLEBORGS LÄN</t>
        </is>
      </c>
      <c r="E4780" t="inlineStr">
        <is>
          <t>HUDIKSVALL</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55608-2023</t>
        </is>
      </c>
      <c r="B4781" s="1" t="n">
        <v>45238.70842592593</v>
      </c>
      <c r="C4781" s="1" t="n">
        <v>45911</v>
      </c>
      <c r="D4781" t="inlineStr">
        <is>
          <t>GÄVLEBORGS LÄN</t>
        </is>
      </c>
      <c r="E4781" t="inlineStr">
        <is>
          <t>NORDANSTIG</t>
        </is>
      </c>
      <c r="F4781" t="inlineStr">
        <is>
          <t>Holmen skog AB</t>
        </is>
      </c>
      <c r="G4781" t="n">
        <v>5.2</v>
      </c>
      <c r="H4781" t="n">
        <v>0</v>
      </c>
      <c r="I4781" t="n">
        <v>0</v>
      </c>
      <c r="J4781" t="n">
        <v>0</v>
      </c>
      <c r="K4781" t="n">
        <v>0</v>
      </c>
      <c r="L4781" t="n">
        <v>0</v>
      </c>
      <c r="M4781" t="n">
        <v>0</v>
      </c>
      <c r="N4781" t="n">
        <v>0</v>
      </c>
      <c r="O4781" t="n">
        <v>0</v>
      </c>
      <c r="P4781" t="n">
        <v>0</v>
      </c>
      <c r="Q4781" t="n">
        <v>0</v>
      </c>
      <c r="R4781" s="2" t="inlineStr"/>
    </row>
    <row r="4782" ht="15" customHeight="1">
      <c r="A4782" t="inlineStr">
        <is>
          <t>A 56017-2023</t>
        </is>
      </c>
      <c r="B4782" s="1" t="n">
        <v>45240</v>
      </c>
      <c r="C4782" s="1" t="n">
        <v>45911</v>
      </c>
      <c r="D4782" t="inlineStr">
        <is>
          <t>GÄVLEBORGS LÄN</t>
        </is>
      </c>
      <c r="E4782" t="inlineStr">
        <is>
          <t>SANDVIKEN</t>
        </is>
      </c>
      <c r="F4782" t="inlineStr">
        <is>
          <t>Sveaskog</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35985-2024</t>
        </is>
      </c>
      <c r="B4783" s="1" t="n">
        <v>45533.51108796296</v>
      </c>
      <c r="C4783" s="1" t="n">
        <v>45911</v>
      </c>
      <c r="D4783" t="inlineStr">
        <is>
          <t>GÄVLEBORGS LÄN</t>
        </is>
      </c>
      <c r="E4783" t="inlineStr">
        <is>
          <t>HUDIKSVALL</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35989-2024</t>
        </is>
      </c>
      <c r="B4784" s="1" t="n">
        <v>45533.52966435185</v>
      </c>
      <c r="C4784" s="1" t="n">
        <v>45911</v>
      </c>
      <c r="D4784" t="inlineStr">
        <is>
          <t>GÄVLEBORGS LÄN</t>
        </is>
      </c>
      <c r="E4784" t="inlineStr">
        <is>
          <t>GÄVLE</t>
        </is>
      </c>
      <c r="F4784" t="inlineStr">
        <is>
          <t>Bergvik skog väst AB</t>
        </is>
      </c>
      <c r="G4784" t="n">
        <v>3.1</v>
      </c>
      <c r="H4784" t="n">
        <v>0</v>
      </c>
      <c r="I4784" t="n">
        <v>0</v>
      </c>
      <c r="J4784" t="n">
        <v>0</v>
      </c>
      <c r="K4784" t="n">
        <v>0</v>
      </c>
      <c r="L4784" t="n">
        <v>0</v>
      </c>
      <c r="M4784" t="n">
        <v>0</v>
      </c>
      <c r="N4784" t="n">
        <v>0</v>
      </c>
      <c r="O4784" t="n">
        <v>0</v>
      </c>
      <c r="P4784" t="n">
        <v>0</v>
      </c>
      <c r="Q4784" t="n">
        <v>0</v>
      </c>
      <c r="R4784" s="2" t="inlineStr"/>
      <c r="U4784">
        <f>HYPERLINK("https://klasma.github.io/Logging_2180/knärot/A 35989-2024 karta knärot.png", "A 35989-2024")</f>
        <v/>
      </c>
      <c r="V4784">
        <f>HYPERLINK("https://klasma.github.io/Logging_2180/klagomål/A 35989-2024 FSC-klagomål.docx", "A 35989-2024")</f>
        <v/>
      </c>
      <c r="W4784">
        <f>HYPERLINK("https://klasma.github.io/Logging_2180/klagomålsmail/A 35989-2024 FSC-klagomål mail.docx", "A 35989-2024")</f>
        <v/>
      </c>
      <c r="X4784">
        <f>HYPERLINK("https://klasma.github.io/Logging_2180/tillsyn/A 35989-2024 tillsynsbegäran.docx", "A 35989-2024")</f>
        <v/>
      </c>
      <c r="Y4784">
        <f>HYPERLINK("https://klasma.github.io/Logging_2180/tillsynsmail/A 35989-2024 tillsynsbegäran mail.docx", "A 35989-2024")</f>
        <v/>
      </c>
    </row>
    <row r="4785" ht="15" customHeight="1">
      <c r="A4785" t="inlineStr">
        <is>
          <t>A 56034-2023</t>
        </is>
      </c>
      <c r="B4785" s="1" t="n">
        <v>45240.43925925926</v>
      </c>
      <c r="C4785" s="1" t="n">
        <v>45911</v>
      </c>
      <c r="D4785" t="inlineStr">
        <is>
          <t>GÄVLEBORGS LÄN</t>
        </is>
      </c>
      <c r="E4785" t="inlineStr">
        <is>
          <t>OCKELBO</t>
        </is>
      </c>
      <c r="F4785" t="inlineStr">
        <is>
          <t>Bergvik skog väst AB</t>
        </is>
      </c>
      <c r="G4785" t="n">
        <v>4</v>
      </c>
      <c r="H4785" t="n">
        <v>0</v>
      </c>
      <c r="I4785" t="n">
        <v>0</v>
      </c>
      <c r="J4785" t="n">
        <v>0</v>
      </c>
      <c r="K4785" t="n">
        <v>0</v>
      </c>
      <c r="L4785" t="n">
        <v>0</v>
      </c>
      <c r="M4785" t="n">
        <v>0</v>
      </c>
      <c r="N4785" t="n">
        <v>0</v>
      </c>
      <c r="O4785" t="n">
        <v>0</v>
      </c>
      <c r="P4785" t="n">
        <v>0</v>
      </c>
      <c r="Q4785" t="n">
        <v>0</v>
      </c>
      <c r="R4785" s="2" t="inlineStr"/>
    </row>
    <row r="4786" ht="15" customHeight="1">
      <c r="A4786" t="inlineStr">
        <is>
          <t>A 32089-2025</t>
        </is>
      </c>
      <c r="B4786" s="1" t="n">
        <v>45835.45751157407</v>
      </c>
      <c r="C4786" s="1" t="n">
        <v>45911</v>
      </c>
      <c r="D4786" t="inlineStr">
        <is>
          <t>GÄVLEBORGS LÄN</t>
        </is>
      </c>
      <c r="E4786" t="inlineStr">
        <is>
          <t>OCKELBO</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27612-2024</t>
        </is>
      </c>
      <c r="B4787" s="1" t="n">
        <v>45474.7375925926</v>
      </c>
      <c r="C4787" s="1" t="n">
        <v>45911</v>
      </c>
      <c r="D4787" t="inlineStr">
        <is>
          <t>GÄVLEBORGS LÄN</t>
        </is>
      </c>
      <c r="E4787" t="inlineStr">
        <is>
          <t>BOLLNÄS</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5479-2023</t>
        </is>
      </c>
      <c r="B4788" s="1" t="n">
        <v>44960</v>
      </c>
      <c r="C4788" s="1" t="n">
        <v>45911</v>
      </c>
      <c r="D4788" t="inlineStr">
        <is>
          <t>GÄVLEBORGS LÄN</t>
        </is>
      </c>
      <c r="E4788" t="inlineStr">
        <is>
          <t>NORDANSTIG</t>
        </is>
      </c>
      <c r="G4788" t="n">
        <v>17.6</v>
      </c>
      <c r="H4788" t="n">
        <v>0</v>
      </c>
      <c r="I4788" t="n">
        <v>0</v>
      </c>
      <c r="J4788" t="n">
        <v>0</v>
      </c>
      <c r="K4788" t="n">
        <v>0</v>
      </c>
      <c r="L4788" t="n">
        <v>0</v>
      </c>
      <c r="M4788" t="n">
        <v>0</v>
      </c>
      <c r="N4788" t="n">
        <v>0</v>
      </c>
      <c r="O4788" t="n">
        <v>0</v>
      </c>
      <c r="P4788" t="n">
        <v>0</v>
      </c>
      <c r="Q4788" t="n">
        <v>0</v>
      </c>
      <c r="R4788" s="2" t="inlineStr"/>
    </row>
    <row r="4789" ht="15" customHeight="1">
      <c r="A4789" t="inlineStr">
        <is>
          <t>A 48587-2021</t>
        </is>
      </c>
      <c r="B4789" s="1" t="n">
        <v>44452.47790509259</v>
      </c>
      <c r="C4789" s="1" t="n">
        <v>45911</v>
      </c>
      <c r="D4789" t="inlineStr">
        <is>
          <t>GÄVLEBORGS LÄN</t>
        </is>
      </c>
      <c r="E4789" t="inlineStr">
        <is>
          <t>LJUSDAL</t>
        </is>
      </c>
      <c r="G4789" t="n">
        <v>0.4</v>
      </c>
      <c r="H4789" t="n">
        <v>0</v>
      </c>
      <c r="I4789" t="n">
        <v>0</v>
      </c>
      <c r="J4789" t="n">
        <v>0</v>
      </c>
      <c r="K4789" t="n">
        <v>0</v>
      </c>
      <c r="L4789" t="n">
        <v>0</v>
      </c>
      <c r="M4789" t="n">
        <v>0</v>
      </c>
      <c r="N4789" t="n">
        <v>0</v>
      </c>
      <c r="O4789" t="n">
        <v>0</v>
      </c>
      <c r="P4789" t="n">
        <v>0</v>
      </c>
      <c r="Q4789" t="n">
        <v>0</v>
      </c>
      <c r="R4789" s="2" t="inlineStr"/>
    </row>
    <row r="4790" ht="15" customHeight="1">
      <c r="A4790" t="inlineStr">
        <is>
          <t>A 61335-2022</t>
        </is>
      </c>
      <c r="B4790" s="1" t="n">
        <v>44915.66561342592</v>
      </c>
      <c r="C4790" s="1" t="n">
        <v>45911</v>
      </c>
      <c r="D4790" t="inlineStr">
        <is>
          <t>GÄVLEBORGS LÄN</t>
        </is>
      </c>
      <c r="E4790" t="inlineStr">
        <is>
          <t>OCKELBO</t>
        </is>
      </c>
      <c r="G4790" t="n">
        <v>8.5</v>
      </c>
      <c r="H4790" t="n">
        <v>0</v>
      </c>
      <c r="I4790" t="n">
        <v>0</v>
      </c>
      <c r="J4790" t="n">
        <v>0</v>
      </c>
      <c r="K4790" t="n">
        <v>0</v>
      </c>
      <c r="L4790" t="n">
        <v>0</v>
      </c>
      <c r="M4790" t="n">
        <v>0</v>
      </c>
      <c r="N4790" t="n">
        <v>0</v>
      </c>
      <c r="O4790" t="n">
        <v>0</v>
      </c>
      <c r="P4790" t="n">
        <v>0</v>
      </c>
      <c r="Q4790" t="n">
        <v>0</v>
      </c>
      <c r="R4790" s="2" t="inlineStr"/>
    </row>
    <row r="4791" ht="15" customHeight="1">
      <c r="A4791" t="inlineStr">
        <is>
          <t>A 32177-2025</t>
        </is>
      </c>
      <c r="B4791" s="1" t="n">
        <v>45835.55826388889</v>
      </c>
      <c r="C4791" s="1" t="n">
        <v>45911</v>
      </c>
      <c r="D4791" t="inlineStr">
        <is>
          <t>GÄVLEBORGS LÄN</t>
        </is>
      </c>
      <c r="E4791" t="inlineStr">
        <is>
          <t>OVANÅKER</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32189-2025</t>
        </is>
      </c>
      <c r="B4792" s="1" t="n">
        <v>45835.57047453704</v>
      </c>
      <c r="C4792" s="1" t="n">
        <v>45911</v>
      </c>
      <c r="D4792" t="inlineStr">
        <is>
          <t>GÄVLEBORGS LÄN</t>
        </is>
      </c>
      <c r="E4792" t="inlineStr">
        <is>
          <t>BOLLNÄS</t>
        </is>
      </c>
      <c r="G4792" t="n">
        <v>6.7</v>
      </c>
      <c r="H4792" t="n">
        <v>0</v>
      </c>
      <c r="I4792" t="n">
        <v>0</v>
      </c>
      <c r="J4792" t="n">
        <v>0</v>
      </c>
      <c r="K4792" t="n">
        <v>0</v>
      </c>
      <c r="L4792" t="n">
        <v>0</v>
      </c>
      <c r="M4792" t="n">
        <v>0</v>
      </c>
      <c r="N4792" t="n">
        <v>0</v>
      </c>
      <c r="O4792" t="n">
        <v>0</v>
      </c>
      <c r="P4792" t="n">
        <v>0</v>
      </c>
      <c r="Q4792" t="n">
        <v>0</v>
      </c>
      <c r="R4792" s="2" t="inlineStr"/>
    </row>
    <row r="4793" ht="15" customHeight="1">
      <c r="A4793" t="inlineStr">
        <is>
          <t>A 59297-2024</t>
        </is>
      </c>
      <c r="B4793" s="1" t="n">
        <v>45637</v>
      </c>
      <c r="C4793" s="1" t="n">
        <v>45911</v>
      </c>
      <c r="D4793" t="inlineStr">
        <is>
          <t>GÄVLEBORGS LÄN</t>
        </is>
      </c>
      <c r="E4793" t="inlineStr">
        <is>
          <t>NORDANSTIG</t>
        </is>
      </c>
      <c r="G4793" t="n">
        <v>3.8</v>
      </c>
      <c r="H4793" t="n">
        <v>0</v>
      </c>
      <c r="I4793" t="n">
        <v>0</v>
      </c>
      <c r="J4793" t="n">
        <v>0</v>
      </c>
      <c r="K4793" t="n">
        <v>0</v>
      </c>
      <c r="L4793" t="n">
        <v>0</v>
      </c>
      <c r="M4793" t="n">
        <v>0</v>
      </c>
      <c r="N4793" t="n">
        <v>0</v>
      </c>
      <c r="O4793" t="n">
        <v>0</v>
      </c>
      <c r="P4793" t="n">
        <v>0</v>
      </c>
      <c r="Q4793" t="n">
        <v>0</v>
      </c>
      <c r="R4793" s="2" t="inlineStr"/>
    </row>
    <row r="4794" ht="15" customHeight="1">
      <c r="A4794" t="inlineStr">
        <is>
          <t>A 59451-2024</t>
        </is>
      </c>
      <c r="B4794" s="1" t="n">
        <v>45638</v>
      </c>
      <c r="C4794" s="1" t="n">
        <v>45911</v>
      </c>
      <c r="D4794" t="inlineStr">
        <is>
          <t>GÄVLEBORGS LÄN</t>
        </is>
      </c>
      <c r="E4794" t="inlineStr">
        <is>
          <t>OCKELBO</t>
        </is>
      </c>
      <c r="G4794" t="n">
        <v>4.6</v>
      </c>
      <c r="H4794" t="n">
        <v>0</v>
      </c>
      <c r="I4794" t="n">
        <v>0</v>
      </c>
      <c r="J4794" t="n">
        <v>0</v>
      </c>
      <c r="K4794" t="n">
        <v>0</v>
      </c>
      <c r="L4794" t="n">
        <v>0</v>
      </c>
      <c r="M4794" t="n">
        <v>0</v>
      </c>
      <c r="N4794" t="n">
        <v>0</v>
      </c>
      <c r="O4794" t="n">
        <v>0</v>
      </c>
      <c r="P4794" t="n">
        <v>0</v>
      </c>
      <c r="Q4794" t="n">
        <v>0</v>
      </c>
      <c r="R4794" s="2" t="inlineStr"/>
    </row>
    <row r="4795" ht="15" customHeight="1">
      <c r="A4795" t="inlineStr">
        <is>
          <t>A 37701-2025</t>
        </is>
      </c>
      <c r="B4795" s="1" t="n">
        <v>45880.58092592593</v>
      </c>
      <c r="C4795" s="1" t="n">
        <v>45911</v>
      </c>
      <c r="D4795" t="inlineStr">
        <is>
          <t>GÄVLEBORGS LÄN</t>
        </is>
      </c>
      <c r="E4795" t="inlineStr">
        <is>
          <t>HUDIKSVALL</t>
        </is>
      </c>
      <c r="G4795" t="n">
        <v>0.4</v>
      </c>
      <c r="H4795" t="n">
        <v>0</v>
      </c>
      <c r="I4795" t="n">
        <v>0</v>
      </c>
      <c r="J4795" t="n">
        <v>0</v>
      </c>
      <c r="K4795" t="n">
        <v>0</v>
      </c>
      <c r="L4795" t="n">
        <v>0</v>
      </c>
      <c r="M4795" t="n">
        <v>0</v>
      </c>
      <c r="N4795" t="n">
        <v>0</v>
      </c>
      <c r="O4795" t="n">
        <v>0</v>
      </c>
      <c r="P4795" t="n">
        <v>0</v>
      </c>
      <c r="Q4795" t="n">
        <v>0</v>
      </c>
      <c r="R4795" s="2" t="inlineStr"/>
    </row>
    <row r="4796" ht="15" customHeight="1">
      <c r="A4796" t="inlineStr">
        <is>
          <t>A 31920-2025</t>
        </is>
      </c>
      <c r="B4796" s="1" t="n">
        <v>45834.79965277778</v>
      </c>
      <c r="C4796" s="1" t="n">
        <v>45911</v>
      </c>
      <c r="D4796" t="inlineStr">
        <is>
          <t>GÄVLEBORGS LÄN</t>
        </is>
      </c>
      <c r="E4796" t="inlineStr">
        <is>
          <t>GÄVLE</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58810-2024</t>
        </is>
      </c>
      <c r="B4797" s="1" t="n">
        <v>45636.34581018519</v>
      </c>
      <c r="C4797" s="1" t="n">
        <v>45911</v>
      </c>
      <c r="D4797" t="inlineStr">
        <is>
          <t>GÄVLEBORGS LÄN</t>
        </is>
      </c>
      <c r="E4797" t="inlineStr">
        <is>
          <t>SÖDERHAMN</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8522-2024</t>
        </is>
      </c>
      <c r="B4798" s="1" t="n">
        <v>45355</v>
      </c>
      <c r="C4798" s="1" t="n">
        <v>45911</v>
      </c>
      <c r="D4798" t="inlineStr">
        <is>
          <t>GÄVLEBORGS LÄN</t>
        </is>
      </c>
      <c r="E4798" t="inlineStr">
        <is>
          <t>HUDIKSVALL</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58870-2024</t>
        </is>
      </c>
      <c r="B4799" s="1" t="n">
        <v>45636.43966435185</v>
      </c>
      <c r="C4799" s="1" t="n">
        <v>45911</v>
      </c>
      <c r="D4799" t="inlineStr">
        <is>
          <t>GÄVLEBORGS LÄN</t>
        </is>
      </c>
      <c r="E4799" t="inlineStr">
        <is>
          <t>SÖDERHAMN</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10108-2024</t>
        </is>
      </c>
      <c r="B4800" s="1" t="n">
        <v>45364.5456712963</v>
      </c>
      <c r="C4800" s="1" t="n">
        <v>45911</v>
      </c>
      <c r="D4800" t="inlineStr">
        <is>
          <t>GÄVLEBORGS LÄN</t>
        </is>
      </c>
      <c r="E4800" t="inlineStr">
        <is>
          <t>HUDIKSVALL</t>
        </is>
      </c>
      <c r="F4800" t="inlineStr">
        <is>
          <t>Holmen skog AB</t>
        </is>
      </c>
      <c r="G4800" t="n">
        <v>23.1</v>
      </c>
      <c r="H4800" t="n">
        <v>0</v>
      </c>
      <c r="I4800" t="n">
        <v>0</v>
      </c>
      <c r="J4800" t="n">
        <v>0</v>
      </c>
      <c r="K4800" t="n">
        <v>0</v>
      </c>
      <c r="L4800" t="n">
        <v>0</v>
      </c>
      <c r="M4800" t="n">
        <v>0</v>
      </c>
      <c r="N4800" t="n">
        <v>0</v>
      </c>
      <c r="O4800" t="n">
        <v>0</v>
      </c>
      <c r="P4800" t="n">
        <v>0</v>
      </c>
      <c r="Q4800" t="n">
        <v>0</v>
      </c>
      <c r="R4800" s="2" t="inlineStr"/>
    </row>
    <row r="4801" ht="15" customHeight="1">
      <c r="A4801" t="inlineStr">
        <is>
          <t>A 32121-2025</t>
        </is>
      </c>
      <c r="B4801" s="1" t="n">
        <v>45835.49260416667</v>
      </c>
      <c r="C4801" s="1" t="n">
        <v>45911</v>
      </c>
      <c r="D4801" t="inlineStr">
        <is>
          <t>GÄVLEBORGS LÄN</t>
        </is>
      </c>
      <c r="E4801" t="inlineStr">
        <is>
          <t>LJUSDAL</t>
        </is>
      </c>
      <c r="F4801" t="inlineStr">
        <is>
          <t>Sveaskog</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19405-2021</t>
        </is>
      </c>
      <c r="B4802" s="1" t="n">
        <v>44309</v>
      </c>
      <c r="C4802" s="1" t="n">
        <v>45911</v>
      </c>
      <c r="D4802" t="inlineStr">
        <is>
          <t>GÄVLEBORGS LÄN</t>
        </is>
      </c>
      <c r="E4802" t="inlineStr">
        <is>
          <t>LJUSDAL</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31919-2025</t>
        </is>
      </c>
      <c r="B4803" s="1" t="n">
        <v>45834.79741898148</v>
      </c>
      <c r="C4803" s="1" t="n">
        <v>45911</v>
      </c>
      <c r="D4803" t="inlineStr">
        <is>
          <t>GÄVLEBORGS LÄN</t>
        </is>
      </c>
      <c r="E4803" t="inlineStr">
        <is>
          <t>GÄVLE</t>
        </is>
      </c>
      <c r="G4803" t="n">
        <v>3.2</v>
      </c>
      <c r="H4803" t="n">
        <v>0</v>
      </c>
      <c r="I4803" t="n">
        <v>0</v>
      </c>
      <c r="J4803" t="n">
        <v>0</v>
      </c>
      <c r="K4803" t="n">
        <v>0</v>
      </c>
      <c r="L4803" t="n">
        <v>0</v>
      </c>
      <c r="M4803" t="n">
        <v>0</v>
      </c>
      <c r="N4803" t="n">
        <v>0</v>
      </c>
      <c r="O4803" t="n">
        <v>0</v>
      </c>
      <c r="P4803" t="n">
        <v>0</v>
      </c>
      <c r="Q4803" t="n">
        <v>0</v>
      </c>
      <c r="R4803" s="2" t="inlineStr"/>
    </row>
    <row r="4804" ht="15" customHeight="1">
      <c r="A4804" t="inlineStr">
        <is>
          <t>A 55026-2022</t>
        </is>
      </c>
      <c r="B4804" s="1" t="n">
        <v>44886</v>
      </c>
      <c r="C4804" s="1" t="n">
        <v>45911</v>
      </c>
      <c r="D4804" t="inlineStr">
        <is>
          <t>GÄVLEBORGS LÄN</t>
        </is>
      </c>
      <c r="E4804" t="inlineStr">
        <is>
          <t>NORDANSTIG</t>
        </is>
      </c>
      <c r="F4804" t="inlineStr">
        <is>
          <t>Holmen skog AB</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55120-2022</t>
        </is>
      </c>
      <c r="B4805" s="1" t="n">
        <v>44886</v>
      </c>
      <c r="C4805" s="1" t="n">
        <v>45911</v>
      </c>
      <c r="D4805" t="inlineStr">
        <is>
          <t>GÄVLEBORGS LÄN</t>
        </is>
      </c>
      <c r="E4805" t="inlineStr">
        <is>
          <t>NORDANSTIG</t>
        </is>
      </c>
      <c r="F4805" t="inlineStr">
        <is>
          <t>Holmen skog AB</t>
        </is>
      </c>
      <c r="G4805" t="n">
        <v>8.4</v>
      </c>
      <c r="H4805" t="n">
        <v>0</v>
      </c>
      <c r="I4805" t="n">
        <v>0</v>
      </c>
      <c r="J4805" t="n">
        <v>0</v>
      </c>
      <c r="K4805" t="n">
        <v>0</v>
      </c>
      <c r="L4805" t="n">
        <v>0</v>
      </c>
      <c r="M4805" t="n">
        <v>0</v>
      </c>
      <c r="N4805" t="n">
        <v>0</v>
      </c>
      <c r="O4805" t="n">
        <v>0</v>
      </c>
      <c r="P4805" t="n">
        <v>0</v>
      </c>
      <c r="Q4805" t="n">
        <v>0</v>
      </c>
      <c r="R4805" s="2" t="inlineStr"/>
    </row>
    <row r="4806" ht="15" customHeight="1">
      <c r="A4806" t="inlineStr">
        <is>
          <t>A 18686-2025</t>
        </is>
      </c>
      <c r="B4806" s="1" t="n">
        <v>45763.61261574074</v>
      </c>
      <c r="C4806" s="1" t="n">
        <v>45911</v>
      </c>
      <c r="D4806" t="inlineStr">
        <is>
          <t>GÄVLEBORGS LÄN</t>
        </is>
      </c>
      <c r="E4806" t="inlineStr">
        <is>
          <t>HUDIKSVALL</t>
        </is>
      </c>
      <c r="G4806" t="n">
        <v>3.1</v>
      </c>
      <c r="H4806" t="n">
        <v>0</v>
      </c>
      <c r="I4806" t="n">
        <v>0</v>
      </c>
      <c r="J4806" t="n">
        <v>0</v>
      </c>
      <c r="K4806" t="n">
        <v>0</v>
      </c>
      <c r="L4806" t="n">
        <v>0</v>
      </c>
      <c r="M4806" t="n">
        <v>0</v>
      </c>
      <c r="N4806" t="n">
        <v>0</v>
      </c>
      <c r="O4806" t="n">
        <v>0</v>
      </c>
      <c r="P4806" t="n">
        <v>0</v>
      </c>
      <c r="Q4806" t="n">
        <v>0</v>
      </c>
      <c r="R4806" s="2" t="inlineStr"/>
    </row>
    <row r="4807" ht="15" customHeight="1">
      <c r="A4807" t="inlineStr">
        <is>
          <t>A 15494-2023</t>
        </is>
      </c>
      <c r="B4807" s="1" t="n">
        <v>45020.47074074074</v>
      </c>
      <c r="C4807" s="1" t="n">
        <v>45911</v>
      </c>
      <c r="D4807" t="inlineStr">
        <is>
          <t>GÄVLEBORGS LÄN</t>
        </is>
      </c>
      <c r="E4807" t="inlineStr">
        <is>
          <t>NORDANSTIG</t>
        </is>
      </c>
      <c r="F4807" t="inlineStr">
        <is>
          <t>Holmen skog AB</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15496-2023</t>
        </is>
      </c>
      <c r="B4808" s="1" t="n">
        <v>45020.47482638889</v>
      </c>
      <c r="C4808" s="1" t="n">
        <v>45911</v>
      </c>
      <c r="D4808" t="inlineStr">
        <is>
          <t>GÄVLEBORGS LÄN</t>
        </is>
      </c>
      <c r="E4808" t="inlineStr">
        <is>
          <t>NORDANSTIG</t>
        </is>
      </c>
      <c r="F4808" t="inlineStr">
        <is>
          <t>Holmen skog AB</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37392-2025</t>
        </is>
      </c>
      <c r="B4809" s="1" t="n">
        <v>45877.41195601852</v>
      </c>
      <c r="C4809" s="1" t="n">
        <v>45911</v>
      </c>
      <c r="D4809" t="inlineStr">
        <is>
          <t>GÄVLEBORGS LÄN</t>
        </is>
      </c>
      <c r="E4809" t="inlineStr">
        <is>
          <t>OVANÅKER</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14681-2023</t>
        </is>
      </c>
      <c r="B4810" s="1" t="n">
        <v>45014.3017824074</v>
      </c>
      <c r="C4810" s="1" t="n">
        <v>45911</v>
      </c>
      <c r="D4810" t="inlineStr">
        <is>
          <t>GÄVLEBORGS LÄN</t>
        </is>
      </c>
      <c r="E4810" t="inlineStr">
        <is>
          <t>BOLLNÄS</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52140-2024</t>
        </is>
      </c>
      <c r="B4811" s="1" t="n">
        <v>45608.50689814815</v>
      </c>
      <c r="C4811" s="1" t="n">
        <v>45911</v>
      </c>
      <c r="D4811" t="inlineStr">
        <is>
          <t>GÄVLEBORGS LÄN</t>
        </is>
      </c>
      <c r="E4811" t="inlineStr">
        <is>
          <t>OCKELBO</t>
        </is>
      </c>
      <c r="F4811" t="inlineStr">
        <is>
          <t>Bergvik skog väst AB</t>
        </is>
      </c>
      <c r="G4811" t="n">
        <v>9.800000000000001</v>
      </c>
      <c r="H4811" t="n">
        <v>0</v>
      </c>
      <c r="I4811" t="n">
        <v>0</v>
      </c>
      <c r="J4811" t="n">
        <v>0</v>
      </c>
      <c r="K4811" t="n">
        <v>0</v>
      </c>
      <c r="L4811" t="n">
        <v>0</v>
      </c>
      <c r="M4811" t="n">
        <v>0</v>
      </c>
      <c r="N4811" t="n">
        <v>0</v>
      </c>
      <c r="O4811" t="n">
        <v>0</v>
      </c>
      <c r="P4811" t="n">
        <v>0</v>
      </c>
      <c r="Q4811" t="n">
        <v>0</v>
      </c>
      <c r="R4811" s="2" t="inlineStr"/>
    </row>
    <row r="4812" ht="15" customHeight="1">
      <c r="A4812" t="inlineStr">
        <is>
          <t>A 49959-2024</t>
        </is>
      </c>
      <c r="B4812" s="1" t="n">
        <v>45597.62274305556</v>
      </c>
      <c r="C4812" s="1" t="n">
        <v>45911</v>
      </c>
      <c r="D4812" t="inlineStr">
        <is>
          <t>GÄVLEBORGS LÄN</t>
        </is>
      </c>
      <c r="E4812" t="inlineStr">
        <is>
          <t>SÖDERHAMN</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32044-2025</t>
        </is>
      </c>
      <c r="B4813" s="1" t="n">
        <v>45835.43945601852</v>
      </c>
      <c r="C4813" s="1" t="n">
        <v>45911</v>
      </c>
      <c r="D4813" t="inlineStr">
        <is>
          <t>GÄVLEBORGS LÄN</t>
        </is>
      </c>
      <c r="E4813" t="inlineStr">
        <is>
          <t>GÄVLE</t>
        </is>
      </c>
      <c r="G4813" t="n">
        <v>3.8</v>
      </c>
      <c r="H4813" t="n">
        <v>0</v>
      </c>
      <c r="I4813" t="n">
        <v>0</v>
      </c>
      <c r="J4813" t="n">
        <v>0</v>
      </c>
      <c r="K4813" t="n">
        <v>0</v>
      </c>
      <c r="L4813" t="n">
        <v>0</v>
      </c>
      <c r="M4813" t="n">
        <v>0</v>
      </c>
      <c r="N4813" t="n">
        <v>0</v>
      </c>
      <c r="O4813" t="n">
        <v>0</v>
      </c>
      <c r="P4813" t="n">
        <v>0</v>
      </c>
      <c r="Q4813" t="n">
        <v>0</v>
      </c>
      <c r="R4813" s="2" t="inlineStr"/>
    </row>
    <row r="4814" ht="15" customHeight="1">
      <c r="A4814" t="inlineStr">
        <is>
          <t>A 32056-2025</t>
        </is>
      </c>
      <c r="B4814" s="1" t="n">
        <v>45835.44370370371</v>
      </c>
      <c r="C4814" s="1" t="n">
        <v>45911</v>
      </c>
      <c r="D4814" t="inlineStr">
        <is>
          <t>GÄVLEBORGS LÄN</t>
        </is>
      </c>
      <c r="E4814" t="inlineStr">
        <is>
          <t>NORDANSTIG</t>
        </is>
      </c>
      <c r="F4814" t="inlineStr">
        <is>
          <t>Holmen skog AB</t>
        </is>
      </c>
      <c r="G4814" t="n">
        <v>3.8</v>
      </c>
      <c r="H4814" t="n">
        <v>0</v>
      </c>
      <c r="I4814" t="n">
        <v>0</v>
      </c>
      <c r="J4814" t="n">
        <v>0</v>
      </c>
      <c r="K4814" t="n">
        <v>0</v>
      </c>
      <c r="L4814" t="n">
        <v>0</v>
      </c>
      <c r="M4814" t="n">
        <v>0</v>
      </c>
      <c r="N4814" t="n">
        <v>0</v>
      </c>
      <c r="O4814" t="n">
        <v>0</v>
      </c>
      <c r="P4814" t="n">
        <v>0</v>
      </c>
      <c r="Q4814" t="n">
        <v>0</v>
      </c>
      <c r="R4814" s="2" t="inlineStr"/>
    </row>
    <row r="4815" ht="15" customHeight="1">
      <c r="A4815" t="inlineStr">
        <is>
          <t>A 21004-2021</t>
        </is>
      </c>
      <c r="B4815" s="1" t="n">
        <v>44319</v>
      </c>
      <c r="C4815" s="1" t="n">
        <v>45911</v>
      </c>
      <c r="D4815" t="inlineStr">
        <is>
          <t>GÄVLEBORGS LÄN</t>
        </is>
      </c>
      <c r="E4815" t="inlineStr">
        <is>
          <t>GÄVLE</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5924-2021</t>
        </is>
      </c>
      <c r="B4816" s="1" t="n">
        <v>44231</v>
      </c>
      <c r="C4816" s="1" t="n">
        <v>45911</v>
      </c>
      <c r="D4816" t="inlineStr">
        <is>
          <t>GÄVLEBORGS LÄN</t>
        </is>
      </c>
      <c r="E4816" t="inlineStr">
        <is>
          <t>SÖDERHAMN</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52221-2024</t>
        </is>
      </c>
      <c r="B4817" s="1" t="n">
        <v>45608.6054050926</v>
      </c>
      <c r="C4817" s="1" t="n">
        <v>45911</v>
      </c>
      <c r="D4817" t="inlineStr">
        <is>
          <t>GÄVLEBORGS LÄN</t>
        </is>
      </c>
      <c r="E4817" t="inlineStr">
        <is>
          <t>HUDIKSVALL</t>
        </is>
      </c>
      <c r="G4817" t="n">
        <v>4.5</v>
      </c>
      <c r="H4817" t="n">
        <v>0</v>
      </c>
      <c r="I4817" t="n">
        <v>0</v>
      </c>
      <c r="J4817" t="n">
        <v>0</v>
      </c>
      <c r="K4817" t="n">
        <v>0</v>
      </c>
      <c r="L4817" t="n">
        <v>0</v>
      </c>
      <c r="M4817" t="n">
        <v>0</v>
      </c>
      <c r="N4817" t="n">
        <v>0</v>
      </c>
      <c r="O4817" t="n">
        <v>0</v>
      </c>
      <c r="P4817" t="n">
        <v>0</v>
      </c>
      <c r="Q4817" t="n">
        <v>0</v>
      </c>
      <c r="R4817" s="2" t="inlineStr"/>
    </row>
    <row r="4818" ht="15" customHeight="1">
      <c r="A4818" t="inlineStr">
        <is>
          <t>A 59875-2023</t>
        </is>
      </c>
      <c r="B4818" s="1" t="n">
        <v>45257.58866898148</v>
      </c>
      <c r="C4818" s="1" t="n">
        <v>45911</v>
      </c>
      <c r="D4818" t="inlineStr">
        <is>
          <t>GÄVLEBORGS LÄN</t>
        </is>
      </c>
      <c r="E4818" t="inlineStr">
        <is>
          <t>HUDIKSVALL</t>
        </is>
      </c>
      <c r="G4818" t="n">
        <v>3.9</v>
      </c>
      <c r="H4818" t="n">
        <v>0</v>
      </c>
      <c r="I4818" t="n">
        <v>0</v>
      </c>
      <c r="J4818" t="n">
        <v>0</v>
      </c>
      <c r="K4818" t="n">
        <v>0</v>
      </c>
      <c r="L4818" t="n">
        <v>0</v>
      </c>
      <c r="M4818" t="n">
        <v>0</v>
      </c>
      <c r="N4818" t="n">
        <v>0</v>
      </c>
      <c r="O4818" t="n">
        <v>0</v>
      </c>
      <c r="P4818" t="n">
        <v>0</v>
      </c>
      <c r="Q4818" t="n">
        <v>0</v>
      </c>
      <c r="R4818" s="2" t="inlineStr"/>
    </row>
    <row r="4819" ht="15" customHeight="1">
      <c r="A4819" t="inlineStr">
        <is>
          <t>A 59883-2023</t>
        </is>
      </c>
      <c r="B4819" s="1" t="n">
        <v>45257</v>
      </c>
      <c r="C4819" s="1" t="n">
        <v>45911</v>
      </c>
      <c r="D4819" t="inlineStr">
        <is>
          <t>GÄVLEBORGS LÄN</t>
        </is>
      </c>
      <c r="E4819" t="inlineStr">
        <is>
          <t>LJUSDAL</t>
        </is>
      </c>
      <c r="G4819" t="n">
        <v>16.6</v>
      </c>
      <c r="H4819" t="n">
        <v>0</v>
      </c>
      <c r="I4819" t="n">
        <v>0</v>
      </c>
      <c r="J4819" t="n">
        <v>0</v>
      </c>
      <c r="K4819" t="n">
        <v>0</v>
      </c>
      <c r="L4819" t="n">
        <v>0</v>
      </c>
      <c r="M4819" t="n">
        <v>0</v>
      </c>
      <c r="N4819" t="n">
        <v>0</v>
      </c>
      <c r="O4819" t="n">
        <v>0</v>
      </c>
      <c r="P4819" t="n">
        <v>0</v>
      </c>
      <c r="Q4819" t="n">
        <v>0</v>
      </c>
      <c r="R4819" s="2" t="inlineStr"/>
    </row>
    <row r="4820" ht="15" customHeight="1">
      <c r="A4820" t="inlineStr">
        <is>
          <t>A 45920-2022</t>
        </is>
      </c>
      <c r="B4820" s="1" t="n">
        <v>44846.62366898148</v>
      </c>
      <c r="C4820" s="1" t="n">
        <v>45911</v>
      </c>
      <c r="D4820" t="inlineStr">
        <is>
          <t>GÄVLEBORGS LÄN</t>
        </is>
      </c>
      <c r="E4820" t="inlineStr">
        <is>
          <t>SANDVIKEN</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51443-2022</t>
        </is>
      </c>
      <c r="B4821" s="1" t="n">
        <v>44869.489375</v>
      </c>
      <c r="C4821" s="1" t="n">
        <v>45911</v>
      </c>
      <c r="D4821" t="inlineStr">
        <is>
          <t>GÄVLEBORGS LÄN</t>
        </is>
      </c>
      <c r="E4821" t="inlineStr">
        <is>
          <t>BOLLNÄS</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56120-2024</t>
        </is>
      </c>
      <c r="B4822" s="1" t="n">
        <v>45624.46519675926</v>
      </c>
      <c r="C4822" s="1" t="n">
        <v>45911</v>
      </c>
      <c r="D4822" t="inlineStr">
        <is>
          <t>GÄVLEBORGS LÄN</t>
        </is>
      </c>
      <c r="E4822" t="inlineStr">
        <is>
          <t>BOLLNÄS</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53036-2024</t>
        </is>
      </c>
      <c r="B4823" s="1" t="n">
        <v>45611.43383101852</v>
      </c>
      <c r="C4823" s="1" t="n">
        <v>45911</v>
      </c>
      <c r="D4823" t="inlineStr">
        <is>
          <t>GÄVLEBORGS LÄN</t>
        </is>
      </c>
      <c r="E4823" t="inlineStr">
        <is>
          <t>BOLLNÄS</t>
        </is>
      </c>
      <c r="G4823" t="n">
        <v>6.1</v>
      </c>
      <c r="H4823" t="n">
        <v>0</v>
      </c>
      <c r="I4823" t="n">
        <v>0</v>
      </c>
      <c r="J4823" t="n">
        <v>0</v>
      </c>
      <c r="K4823" t="n">
        <v>0</v>
      </c>
      <c r="L4823" t="n">
        <v>0</v>
      </c>
      <c r="M4823" t="n">
        <v>0</v>
      </c>
      <c r="N4823" t="n">
        <v>0</v>
      </c>
      <c r="O4823" t="n">
        <v>0</v>
      </c>
      <c r="P4823" t="n">
        <v>0</v>
      </c>
      <c r="Q4823" t="n">
        <v>0</v>
      </c>
      <c r="R4823" s="2" t="inlineStr"/>
    </row>
    <row r="4824" ht="15" customHeight="1">
      <c r="A4824" t="inlineStr">
        <is>
          <t>A 43075-2024</t>
        </is>
      </c>
      <c r="B4824" s="1" t="n">
        <v>45567.4943287037</v>
      </c>
      <c r="C4824" s="1" t="n">
        <v>45911</v>
      </c>
      <c r="D4824" t="inlineStr">
        <is>
          <t>GÄVLEBORGS LÄN</t>
        </is>
      </c>
      <c r="E4824" t="inlineStr">
        <is>
          <t>NORDANSTIG</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29534-2023</t>
        </is>
      </c>
      <c r="B4825" s="1" t="n">
        <v>45106.63590277778</v>
      </c>
      <c r="C4825" s="1" t="n">
        <v>45911</v>
      </c>
      <c r="D4825" t="inlineStr">
        <is>
          <t>GÄVLEBORGS LÄN</t>
        </is>
      </c>
      <c r="E4825" t="inlineStr">
        <is>
          <t>OCKELBO</t>
        </is>
      </c>
      <c r="F4825" t="inlineStr">
        <is>
          <t>Bergvik skog väst AB</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24119-2024</t>
        </is>
      </c>
      <c r="B4826" s="1" t="n">
        <v>45456.62002314815</v>
      </c>
      <c r="C4826" s="1" t="n">
        <v>45911</v>
      </c>
      <c r="D4826" t="inlineStr">
        <is>
          <t>GÄVLEBORGS LÄN</t>
        </is>
      </c>
      <c r="E4826" t="inlineStr">
        <is>
          <t>HUDIKSVALL</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60346-2021</t>
        </is>
      </c>
      <c r="B4827" s="1" t="n">
        <v>44496.3164699074</v>
      </c>
      <c r="C4827" s="1" t="n">
        <v>45911</v>
      </c>
      <c r="D4827" t="inlineStr">
        <is>
          <t>GÄVLEBORGS LÄN</t>
        </is>
      </c>
      <c r="E4827" t="inlineStr">
        <is>
          <t>LJUSDAL</t>
        </is>
      </c>
      <c r="F4827" t="inlineStr">
        <is>
          <t>Kommuner</t>
        </is>
      </c>
      <c r="G4827" t="n">
        <v>8.1</v>
      </c>
      <c r="H4827" t="n">
        <v>0</v>
      </c>
      <c r="I4827" t="n">
        <v>0</v>
      </c>
      <c r="J4827" t="n">
        <v>0</v>
      </c>
      <c r="K4827" t="n">
        <v>0</v>
      </c>
      <c r="L4827" t="n">
        <v>0</v>
      </c>
      <c r="M4827" t="n">
        <v>0</v>
      </c>
      <c r="N4827" t="n">
        <v>0</v>
      </c>
      <c r="O4827" t="n">
        <v>0</v>
      </c>
      <c r="P4827" t="n">
        <v>0</v>
      </c>
      <c r="Q4827" t="n">
        <v>0</v>
      </c>
      <c r="R4827" s="2" t="inlineStr"/>
    </row>
    <row r="4828" ht="15" customHeight="1">
      <c r="A4828" t="inlineStr">
        <is>
          <t>A 25271-2024</t>
        </is>
      </c>
      <c r="B4828" s="1" t="n">
        <v>45462</v>
      </c>
      <c r="C4828" s="1" t="n">
        <v>45911</v>
      </c>
      <c r="D4828" t="inlineStr">
        <is>
          <t>GÄVLEBORGS LÄN</t>
        </is>
      </c>
      <c r="E4828" t="inlineStr">
        <is>
          <t>NORDANSTIG</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44715-2022</t>
        </is>
      </c>
      <c r="B4829" s="1" t="n">
        <v>44840</v>
      </c>
      <c r="C4829" s="1" t="n">
        <v>45911</v>
      </c>
      <c r="D4829" t="inlineStr">
        <is>
          <t>GÄVLEBORGS LÄN</t>
        </is>
      </c>
      <c r="E4829" t="inlineStr">
        <is>
          <t>BOLLNÄS</t>
        </is>
      </c>
      <c r="G4829" t="n">
        <v>4.5</v>
      </c>
      <c r="H4829" t="n">
        <v>0</v>
      </c>
      <c r="I4829" t="n">
        <v>0</v>
      </c>
      <c r="J4829" t="n">
        <v>0</v>
      </c>
      <c r="K4829" t="n">
        <v>0</v>
      </c>
      <c r="L4829" t="n">
        <v>0</v>
      </c>
      <c r="M4829" t="n">
        <v>0</v>
      </c>
      <c r="N4829" t="n">
        <v>0</v>
      </c>
      <c r="O4829" t="n">
        <v>0</v>
      </c>
      <c r="P4829" t="n">
        <v>0</v>
      </c>
      <c r="Q4829" t="n">
        <v>0</v>
      </c>
      <c r="R4829" s="2" t="inlineStr"/>
    </row>
    <row r="4830" ht="15" customHeight="1">
      <c r="A4830" t="inlineStr">
        <is>
          <t>A 50689-2024</t>
        </is>
      </c>
      <c r="B4830" s="1" t="n">
        <v>45602</v>
      </c>
      <c r="C4830" s="1" t="n">
        <v>45911</v>
      </c>
      <c r="D4830" t="inlineStr">
        <is>
          <t>GÄVLEBORGS LÄN</t>
        </is>
      </c>
      <c r="E4830" t="inlineStr">
        <is>
          <t>OCKELBO</t>
        </is>
      </c>
      <c r="F4830" t="inlineStr">
        <is>
          <t>Bergvik skog väst AB</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53167-2024</t>
        </is>
      </c>
      <c r="B4831" s="1" t="n">
        <v>45611.65372685185</v>
      </c>
      <c r="C4831" s="1" t="n">
        <v>45911</v>
      </c>
      <c r="D4831" t="inlineStr">
        <is>
          <t>GÄVLEBORGS LÄN</t>
        </is>
      </c>
      <c r="E4831" t="inlineStr">
        <is>
          <t>NORDANSTIG</t>
        </is>
      </c>
      <c r="F4831" t="inlineStr">
        <is>
          <t>Holmen skog AB</t>
        </is>
      </c>
      <c r="G4831" t="n">
        <v>3.4</v>
      </c>
      <c r="H4831" t="n">
        <v>0</v>
      </c>
      <c r="I4831" t="n">
        <v>0</v>
      </c>
      <c r="J4831" t="n">
        <v>0</v>
      </c>
      <c r="K4831" t="n">
        <v>0</v>
      </c>
      <c r="L4831" t="n">
        <v>0</v>
      </c>
      <c r="M4831" t="n">
        <v>0</v>
      </c>
      <c r="N4831" t="n">
        <v>0</v>
      </c>
      <c r="O4831" t="n">
        <v>0</v>
      </c>
      <c r="P4831" t="n">
        <v>0</v>
      </c>
      <c r="Q4831" t="n">
        <v>0</v>
      </c>
      <c r="R4831" s="2" t="inlineStr"/>
    </row>
    <row r="4832" ht="15" customHeight="1">
      <c r="A4832" t="inlineStr">
        <is>
          <t>A 52335-2024</t>
        </is>
      </c>
      <c r="B4832" s="1" t="n">
        <v>45609</v>
      </c>
      <c r="C4832" s="1" t="n">
        <v>45911</v>
      </c>
      <c r="D4832" t="inlineStr">
        <is>
          <t>GÄVLEBORGS LÄN</t>
        </is>
      </c>
      <c r="E4832" t="inlineStr">
        <is>
          <t>OCKELBO</t>
        </is>
      </c>
      <c r="F4832" t="inlineStr">
        <is>
          <t>Bergvik skog väst AB</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52339-2024</t>
        </is>
      </c>
      <c r="B4833" s="1" t="n">
        <v>45609.33740740741</v>
      </c>
      <c r="C4833" s="1" t="n">
        <v>45911</v>
      </c>
      <c r="D4833" t="inlineStr">
        <is>
          <t>GÄVLEBORGS LÄN</t>
        </is>
      </c>
      <c r="E4833" t="inlineStr">
        <is>
          <t>LJUSDAL</t>
        </is>
      </c>
      <c r="G4833" t="n">
        <v>5.1</v>
      </c>
      <c r="H4833" t="n">
        <v>0</v>
      </c>
      <c r="I4833" t="n">
        <v>0</v>
      </c>
      <c r="J4833" t="n">
        <v>0</v>
      </c>
      <c r="K4833" t="n">
        <v>0</v>
      </c>
      <c r="L4833" t="n">
        <v>0</v>
      </c>
      <c r="M4833" t="n">
        <v>0</v>
      </c>
      <c r="N4833" t="n">
        <v>0</v>
      </c>
      <c r="O4833" t="n">
        <v>0</v>
      </c>
      <c r="P4833" t="n">
        <v>0</v>
      </c>
      <c r="Q4833" t="n">
        <v>0</v>
      </c>
      <c r="R4833" s="2" t="inlineStr"/>
    </row>
    <row r="4834" ht="15" customHeight="1">
      <c r="A4834" t="inlineStr">
        <is>
          <t>A 3976-2023</t>
        </is>
      </c>
      <c r="B4834" s="1" t="n">
        <v>44952</v>
      </c>
      <c r="C4834" s="1" t="n">
        <v>45911</v>
      </c>
      <c r="D4834" t="inlineStr">
        <is>
          <t>GÄVLEBORGS LÄN</t>
        </is>
      </c>
      <c r="E4834" t="inlineStr">
        <is>
          <t>BOLLNÄS</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4001-2023</t>
        </is>
      </c>
      <c r="B4835" s="1" t="n">
        <v>44952.50115740741</v>
      </c>
      <c r="C4835" s="1" t="n">
        <v>45911</v>
      </c>
      <c r="D4835" t="inlineStr">
        <is>
          <t>GÄVLEBORGS LÄN</t>
        </is>
      </c>
      <c r="E4835" t="inlineStr">
        <is>
          <t>NORDANSTIG</t>
        </is>
      </c>
      <c r="F4835" t="inlineStr">
        <is>
          <t>Holmen skog AB</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4024-2023</t>
        </is>
      </c>
      <c r="B4836" s="1" t="n">
        <v>44952.55783564815</v>
      </c>
      <c r="C4836" s="1" t="n">
        <v>45911</v>
      </c>
      <c r="D4836" t="inlineStr">
        <is>
          <t>GÄVLEBORGS LÄN</t>
        </is>
      </c>
      <c r="E4836" t="inlineStr">
        <is>
          <t>NORDANSTIG</t>
        </is>
      </c>
      <c r="F4836" t="inlineStr">
        <is>
          <t>Holmen skog AB</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50392-2023</t>
        </is>
      </c>
      <c r="B4837" s="1" t="n">
        <v>45216.63394675926</v>
      </c>
      <c r="C4837" s="1" t="n">
        <v>45911</v>
      </c>
      <c r="D4837" t="inlineStr">
        <is>
          <t>GÄVLEBORGS LÄN</t>
        </is>
      </c>
      <c r="E4837" t="inlineStr">
        <is>
          <t>LJUSDAL</t>
        </is>
      </c>
      <c r="G4837" t="n">
        <v>6.5</v>
      </c>
      <c r="H4837" t="n">
        <v>0</v>
      </c>
      <c r="I4837" t="n">
        <v>0</v>
      </c>
      <c r="J4837" t="n">
        <v>0</v>
      </c>
      <c r="K4837" t="n">
        <v>0</v>
      </c>
      <c r="L4837" t="n">
        <v>0</v>
      </c>
      <c r="M4837" t="n">
        <v>0</v>
      </c>
      <c r="N4837" t="n">
        <v>0</v>
      </c>
      <c r="O4837" t="n">
        <v>0</v>
      </c>
      <c r="P4837" t="n">
        <v>0</v>
      </c>
      <c r="Q4837" t="n">
        <v>0</v>
      </c>
      <c r="R4837" s="2" t="inlineStr"/>
    </row>
    <row r="4838" ht="15" customHeight="1">
      <c r="A4838" t="inlineStr">
        <is>
          <t>A 12325-2025</t>
        </is>
      </c>
      <c r="B4838" s="1" t="n">
        <v>45730.30092592593</v>
      </c>
      <c r="C4838" s="1" t="n">
        <v>45911</v>
      </c>
      <c r="D4838" t="inlineStr">
        <is>
          <t>GÄVLEBORGS LÄN</t>
        </is>
      </c>
      <c r="E4838" t="inlineStr">
        <is>
          <t>OVANÅKER</t>
        </is>
      </c>
      <c r="G4838" t="n">
        <v>4</v>
      </c>
      <c r="H4838" t="n">
        <v>0</v>
      </c>
      <c r="I4838" t="n">
        <v>0</v>
      </c>
      <c r="J4838" t="n">
        <v>0</v>
      </c>
      <c r="K4838" t="n">
        <v>0</v>
      </c>
      <c r="L4838" t="n">
        <v>0</v>
      </c>
      <c r="M4838" t="n">
        <v>0</v>
      </c>
      <c r="N4838" t="n">
        <v>0</v>
      </c>
      <c r="O4838" t="n">
        <v>0</v>
      </c>
      <c r="P4838" t="n">
        <v>0</v>
      </c>
      <c r="Q4838" t="n">
        <v>0</v>
      </c>
      <c r="R4838" s="2" t="inlineStr"/>
    </row>
    <row r="4839" ht="15" customHeight="1">
      <c r="A4839" t="inlineStr">
        <is>
          <t>A 37728-2025</t>
        </is>
      </c>
      <c r="B4839" s="1" t="n">
        <v>45880.62158564815</v>
      </c>
      <c r="C4839" s="1" t="n">
        <v>45911</v>
      </c>
      <c r="D4839" t="inlineStr">
        <is>
          <t>GÄVLEBORGS LÄN</t>
        </is>
      </c>
      <c r="E4839" t="inlineStr">
        <is>
          <t>NORDANSTIG</t>
        </is>
      </c>
      <c r="F4839" t="inlineStr">
        <is>
          <t>Holmen skog AB</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37671-2025</t>
        </is>
      </c>
      <c r="B4840" s="1" t="n">
        <v>45880.52561342593</v>
      </c>
      <c r="C4840" s="1" t="n">
        <v>45911</v>
      </c>
      <c r="D4840" t="inlineStr">
        <is>
          <t>GÄVLEBORGS LÄN</t>
        </is>
      </c>
      <c r="E4840" t="inlineStr">
        <is>
          <t>NORDANSTIG</t>
        </is>
      </c>
      <c r="G4840" t="n">
        <v>3.9</v>
      </c>
      <c r="H4840" t="n">
        <v>0</v>
      </c>
      <c r="I4840" t="n">
        <v>0</v>
      </c>
      <c r="J4840" t="n">
        <v>0</v>
      </c>
      <c r="K4840" t="n">
        <v>0</v>
      </c>
      <c r="L4840" t="n">
        <v>0</v>
      </c>
      <c r="M4840" t="n">
        <v>0</v>
      </c>
      <c r="N4840" t="n">
        <v>0</v>
      </c>
      <c r="O4840" t="n">
        <v>0</v>
      </c>
      <c r="P4840" t="n">
        <v>0</v>
      </c>
      <c r="Q4840" t="n">
        <v>0</v>
      </c>
      <c r="R4840" s="2" t="inlineStr"/>
    </row>
    <row r="4841" ht="15" customHeight="1">
      <c r="A4841" t="inlineStr">
        <is>
          <t>A 12326-2025</t>
        </is>
      </c>
      <c r="B4841" s="1" t="n">
        <v>45730.30270833334</v>
      </c>
      <c r="C4841" s="1" t="n">
        <v>45911</v>
      </c>
      <c r="D4841" t="inlineStr">
        <is>
          <t>GÄVLEBORGS LÄN</t>
        </is>
      </c>
      <c r="E4841" t="inlineStr">
        <is>
          <t>OVANÅKER</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36671-2023</t>
        </is>
      </c>
      <c r="B4842" s="1" t="n">
        <v>45153.58384259259</v>
      </c>
      <c r="C4842" s="1" t="n">
        <v>45911</v>
      </c>
      <c r="D4842" t="inlineStr">
        <is>
          <t>GÄVLEBORGS LÄN</t>
        </is>
      </c>
      <c r="E4842" t="inlineStr">
        <is>
          <t>SANDVIKEN</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31971-2025</t>
        </is>
      </c>
      <c r="B4843" s="1" t="n">
        <v>45835.34876157407</v>
      </c>
      <c r="C4843" s="1" t="n">
        <v>45911</v>
      </c>
      <c r="D4843" t="inlineStr">
        <is>
          <t>GÄVLEBORGS LÄN</t>
        </is>
      </c>
      <c r="E4843" t="inlineStr">
        <is>
          <t>BOLLNÄS</t>
        </is>
      </c>
      <c r="F4843" t="inlineStr">
        <is>
          <t>Bergvik skog väst AB</t>
        </is>
      </c>
      <c r="G4843" t="n">
        <v>3.2</v>
      </c>
      <c r="H4843" t="n">
        <v>0</v>
      </c>
      <c r="I4843" t="n">
        <v>0</v>
      </c>
      <c r="J4843" t="n">
        <v>0</v>
      </c>
      <c r="K4843" t="n">
        <v>0</v>
      </c>
      <c r="L4843" t="n">
        <v>0</v>
      </c>
      <c r="M4843" t="n">
        <v>0</v>
      </c>
      <c r="N4843" t="n">
        <v>0</v>
      </c>
      <c r="O4843" t="n">
        <v>0</v>
      </c>
      <c r="P4843" t="n">
        <v>0</v>
      </c>
      <c r="Q4843" t="n">
        <v>0</v>
      </c>
      <c r="R4843" s="2" t="inlineStr"/>
    </row>
    <row r="4844" ht="15" customHeight="1">
      <c r="A4844" t="inlineStr">
        <is>
          <t>A 29928-2024</t>
        </is>
      </c>
      <c r="B4844" s="1" t="n">
        <v>45488.38681712963</v>
      </c>
      <c r="C4844" s="1" t="n">
        <v>45911</v>
      </c>
      <c r="D4844" t="inlineStr">
        <is>
          <t>GÄVLEBORGS LÄN</t>
        </is>
      </c>
      <c r="E4844" t="inlineStr">
        <is>
          <t>SANDVIKEN</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52837-2023</t>
        </is>
      </c>
      <c r="B4845" s="1" t="n">
        <v>45226.41961805556</v>
      </c>
      <c r="C4845" s="1" t="n">
        <v>45911</v>
      </c>
      <c r="D4845" t="inlineStr">
        <is>
          <t>GÄVLEBORGS LÄN</t>
        </is>
      </c>
      <c r="E4845" t="inlineStr">
        <is>
          <t>LJUSDAL</t>
        </is>
      </c>
      <c r="G4845" t="n">
        <v>3</v>
      </c>
      <c r="H4845" t="n">
        <v>0</v>
      </c>
      <c r="I4845" t="n">
        <v>0</v>
      </c>
      <c r="J4845" t="n">
        <v>0</v>
      </c>
      <c r="K4845" t="n">
        <v>0</v>
      </c>
      <c r="L4845" t="n">
        <v>0</v>
      </c>
      <c r="M4845" t="n">
        <v>0</v>
      </c>
      <c r="N4845" t="n">
        <v>0</v>
      </c>
      <c r="O4845" t="n">
        <v>0</v>
      </c>
      <c r="P4845" t="n">
        <v>0</v>
      </c>
      <c r="Q4845" t="n">
        <v>0</v>
      </c>
      <c r="R4845" s="2" t="inlineStr"/>
    </row>
    <row r="4846" ht="15" customHeight="1">
      <c r="A4846" t="inlineStr">
        <is>
          <t>A 37605-2025</t>
        </is>
      </c>
      <c r="B4846" s="1" t="n">
        <v>45880.42741898148</v>
      </c>
      <c r="C4846" s="1" t="n">
        <v>45911</v>
      </c>
      <c r="D4846" t="inlineStr">
        <is>
          <t>GÄVLEBORGS LÄN</t>
        </is>
      </c>
      <c r="E4846" t="inlineStr">
        <is>
          <t>HUDIKSVALL</t>
        </is>
      </c>
      <c r="G4846" t="n">
        <v>2.9</v>
      </c>
      <c r="H4846" t="n">
        <v>0</v>
      </c>
      <c r="I4846" t="n">
        <v>0</v>
      </c>
      <c r="J4846" t="n">
        <v>0</v>
      </c>
      <c r="K4846" t="n">
        <v>0</v>
      </c>
      <c r="L4846" t="n">
        <v>0</v>
      </c>
      <c r="M4846" t="n">
        <v>0</v>
      </c>
      <c r="N4846" t="n">
        <v>0</v>
      </c>
      <c r="O4846" t="n">
        <v>0</v>
      </c>
      <c r="P4846" t="n">
        <v>0</v>
      </c>
      <c r="Q4846" t="n">
        <v>0</v>
      </c>
      <c r="R4846" s="2" t="inlineStr"/>
    </row>
    <row r="4847" ht="15" customHeight="1">
      <c r="A4847" t="inlineStr">
        <is>
          <t>A 32200-2025</t>
        </is>
      </c>
      <c r="B4847" s="1" t="n">
        <v>45835.57697916667</v>
      </c>
      <c r="C4847" s="1" t="n">
        <v>45911</v>
      </c>
      <c r="D4847" t="inlineStr">
        <is>
          <t>GÄVLEBORGS LÄN</t>
        </is>
      </c>
      <c r="E4847" t="inlineStr">
        <is>
          <t>LJUSDAL</t>
        </is>
      </c>
      <c r="F4847" t="inlineStr">
        <is>
          <t>Bergvik skog väst AB</t>
        </is>
      </c>
      <c r="G4847" t="n">
        <v>8.300000000000001</v>
      </c>
      <c r="H4847" t="n">
        <v>0</v>
      </c>
      <c r="I4847" t="n">
        <v>0</v>
      </c>
      <c r="J4847" t="n">
        <v>0</v>
      </c>
      <c r="K4847" t="n">
        <v>0</v>
      </c>
      <c r="L4847" t="n">
        <v>0</v>
      </c>
      <c r="M4847" t="n">
        <v>0</v>
      </c>
      <c r="N4847" t="n">
        <v>0</v>
      </c>
      <c r="O4847" t="n">
        <v>0</v>
      </c>
      <c r="P4847" t="n">
        <v>0</v>
      </c>
      <c r="Q4847" t="n">
        <v>0</v>
      </c>
      <c r="R4847" s="2" t="inlineStr"/>
    </row>
    <row r="4848" ht="15" customHeight="1">
      <c r="A4848" t="inlineStr">
        <is>
          <t>A 49105-2024</t>
        </is>
      </c>
      <c r="B4848" s="1" t="n">
        <v>45594.65056712963</v>
      </c>
      <c r="C4848" s="1" t="n">
        <v>45911</v>
      </c>
      <c r="D4848" t="inlineStr">
        <is>
          <t>GÄVLEBORGS LÄN</t>
        </is>
      </c>
      <c r="E4848" t="inlineStr">
        <is>
          <t>HUDIKSVALL</t>
        </is>
      </c>
      <c r="G4848" t="n">
        <v>25.3</v>
      </c>
      <c r="H4848" t="n">
        <v>0</v>
      </c>
      <c r="I4848" t="n">
        <v>0</v>
      </c>
      <c r="J4848" t="n">
        <v>0</v>
      </c>
      <c r="K4848" t="n">
        <v>0</v>
      </c>
      <c r="L4848" t="n">
        <v>0</v>
      </c>
      <c r="M4848" t="n">
        <v>0</v>
      </c>
      <c r="N4848" t="n">
        <v>0</v>
      </c>
      <c r="O4848" t="n">
        <v>0</v>
      </c>
      <c r="P4848" t="n">
        <v>0</v>
      </c>
      <c r="Q4848" t="n">
        <v>0</v>
      </c>
      <c r="R4848" s="2" t="inlineStr"/>
    </row>
    <row r="4849" ht="15" customHeight="1">
      <c r="A4849" t="inlineStr">
        <is>
          <t>A 13623-2025</t>
        </is>
      </c>
      <c r="B4849" s="1" t="n">
        <v>45736.63565972223</v>
      </c>
      <c r="C4849" s="1" t="n">
        <v>45911</v>
      </c>
      <c r="D4849" t="inlineStr">
        <is>
          <t>GÄVLEBORGS LÄN</t>
        </is>
      </c>
      <c r="E4849" t="inlineStr">
        <is>
          <t>LJUSDAL</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20653-2024</t>
        </is>
      </c>
      <c r="B4850" s="1" t="n">
        <v>45436.53184027778</v>
      </c>
      <c r="C4850" s="1" t="n">
        <v>45911</v>
      </c>
      <c r="D4850" t="inlineStr">
        <is>
          <t>GÄVLEBORGS LÄN</t>
        </is>
      </c>
      <c r="E4850" t="inlineStr">
        <is>
          <t>LJUSDAL</t>
        </is>
      </c>
      <c r="F4850" t="inlineStr">
        <is>
          <t>Sveaskog</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32248-2025</t>
        </is>
      </c>
      <c r="B4851" s="1" t="n">
        <v>45835.61905092592</v>
      </c>
      <c r="C4851" s="1" t="n">
        <v>45911</v>
      </c>
      <c r="D4851" t="inlineStr">
        <is>
          <t>GÄVLEBORGS LÄN</t>
        </is>
      </c>
      <c r="E4851" t="inlineStr">
        <is>
          <t>HUDIKSVALL</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6820-2023</t>
        </is>
      </c>
      <c r="B4852" s="1" t="n">
        <v>44967.38015046297</v>
      </c>
      <c r="C4852" s="1" t="n">
        <v>45911</v>
      </c>
      <c r="D4852" t="inlineStr">
        <is>
          <t>GÄVLEBORGS LÄN</t>
        </is>
      </c>
      <c r="E4852" t="inlineStr">
        <is>
          <t>NORDANSTIG</t>
        </is>
      </c>
      <c r="F4852" t="inlineStr">
        <is>
          <t>Holmen skog AB</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7603-2024</t>
        </is>
      </c>
      <c r="B4853" s="1" t="n">
        <v>45348.56818287037</v>
      </c>
      <c r="C4853" s="1" t="n">
        <v>45911</v>
      </c>
      <c r="D4853" t="inlineStr">
        <is>
          <t>GÄVLEBORGS LÄN</t>
        </is>
      </c>
      <c r="E4853" t="inlineStr">
        <is>
          <t>LJUSDAL</t>
        </is>
      </c>
      <c r="G4853" t="n">
        <v>3.2</v>
      </c>
      <c r="H4853" t="n">
        <v>0</v>
      </c>
      <c r="I4853" t="n">
        <v>0</v>
      </c>
      <c r="J4853" t="n">
        <v>0</v>
      </c>
      <c r="K4853" t="n">
        <v>0</v>
      </c>
      <c r="L4853" t="n">
        <v>0</v>
      </c>
      <c r="M4853" t="n">
        <v>0</v>
      </c>
      <c r="N4853" t="n">
        <v>0</v>
      </c>
      <c r="O4853" t="n">
        <v>0</v>
      </c>
      <c r="P4853" t="n">
        <v>0</v>
      </c>
      <c r="Q4853" t="n">
        <v>0</v>
      </c>
      <c r="R4853" s="2" t="inlineStr"/>
    </row>
    <row r="4854" ht="15" customHeight="1">
      <c r="A4854" t="inlineStr">
        <is>
          <t>A 37485-2025</t>
        </is>
      </c>
      <c r="B4854" s="1" t="n">
        <v>45877.62313657408</v>
      </c>
      <c r="C4854" s="1" t="n">
        <v>45911</v>
      </c>
      <c r="D4854" t="inlineStr">
        <is>
          <t>GÄVLEBORGS LÄN</t>
        </is>
      </c>
      <c r="E4854" t="inlineStr">
        <is>
          <t>HUDIKSVALL</t>
        </is>
      </c>
      <c r="F4854" t="inlineStr">
        <is>
          <t>Holmen skog AB</t>
        </is>
      </c>
      <c r="G4854" t="n">
        <v>12.9</v>
      </c>
      <c r="H4854" t="n">
        <v>0</v>
      </c>
      <c r="I4854" t="n">
        <v>0</v>
      </c>
      <c r="J4854" t="n">
        <v>0</v>
      </c>
      <c r="K4854" t="n">
        <v>0</v>
      </c>
      <c r="L4854" t="n">
        <v>0</v>
      </c>
      <c r="M4854" t="n">
        <v>0</v>
      </c>
      <c r="N4854" t="n">
        <v>0</v>
      </c>
      <c r="O4854" t="n">
        <v>0</v>
      </c>
      <c r="P4854" t="n">
        <v>0</v>
      </c>
      <c r="Q4854" t="n">
        <v>0</v>
      </c>
      <c r="R4854" s="2" t="inlineStr"/>
    </row>
    <row r="4855" ht="15" customHeight="1">
      <c r="A4855" t="inlineStr">
        <is>
          <t>A 60307-2024</t>
        </is>
      </c>
      <c r="B4855" s="1" t="n">
        <v>45643.34199074074</v>
      </c>
      <c r="C4855" s="1" t="n">
        <v>45911</v>
      </c>
      <c r="D4855" t="inlineStr">
        <is>
          <t>GÄVLEBORGS LÄN</t>
        </is>
      </c>
      <c r="E4855" t="inlineStr">
        <is>
          <t>GÄVLE</t>
        </is>
      </c>
      <c r="F4855" t="inlineStr">
        <is>
          <t>Kyrkan</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61514-2024</t>
        </is>
      </c>
      <c r="B4856" s="1" t="n">
        <v>45646.57283564815</v>
      </c>
      <c r="C4856" s="1" t="n">
        <v>45911</v>
      </c>
      <c r="D4856" t="inlineStr">
        <is>
          <t>GÄVLEBORGS LÄN</t>
        </is>
      </c>
      <c r="E4856" t="inlineStr">
        <is>
          <t>BOLLNÄS</t>
        </is>
      </c>
      <c r="G4856" t="n">
        <v>4.7</v>
      </c>
      <c r="H4856" t="n">
        <v>0</v>
      </c>
      <c r="I4856" t="n">
        <v>0</v>
      </c>
      <c r="J4856" t="n">
        <v>0</v>
      </c>
      <c r="K4856" t="n">
        <v>0</v>
      </c>
      <c r="L4856" t="n">
        <v>0</v>
      </c>
      <c r="M4856" t="n">
        <v>0</v>
      </c>
      <c r="N4856" t="n">
        <v>0</v>
      </c>
      <c r="O4856" t="n">
        <v>0</v>
      </c>
      <c r="P4856" t="n">
        <v>0</v>
      </c>
      <c r="Q4856" t="n">
        <v>0</v>
      </c>
      <c r="R4856" s="2" t="inlineStr"/>
    </row>
    <row r="4857" ht="15" customHeight="1">
      <c r="A4857" t="inlineStr">
        <is>
          <t>A 32449-2025</t>
        </is>
      </c>
      <c r="B4857" s="1" t="n">
        <v>45838.38739583334</v>
      </c>
      <c r="C4857" s="1" t="n">
        <v>45911</v>
      </c>
      <c r="D4857" t="inlineStr">
        <is>
          <t>GÄVLEBORGS LÄN</t>
        </is>
      </c>
      <c r="E4857" t="inlineStr">
        <is>
          <t>OCKELBO</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19156-2023</t>
        </is>
      </c>
      <c r="B4858" s="1" t="n">
        <v>45048</v>
      </c>
      <c r="C4858" s="1" t="n">
        <v>45911</v>
      </c>
      <c r="D4858" t="inlineStr">
        <is>
          <t>GÄVLEBORGS LÄN</t>
        </is>
      </c>
      <c r="E4858" t="inlineStr">
        <is>
          <t>HUDIKSVALL</t>
        </is>
      </c>
      <c r="G4858" t="n">
        <v>3.7</v>
      </c>
      <c r="H4858" t="n">
        <v>0</v>
      </c>
      <c r="I4858" t="n">
        <v>0</v>
      </c>
      <c r="J4858" t="n">
        <v>0</v>
      </c>
      <c r="K4858" t="n">
        <v>0</v>
      </c>
      <c r="L4858" t="n">
        <v>0</v>
      </c>
      <c r="M4858" t="n">
        <v>0</v>
      </c>
      <c r="N4858" t="n">
        <v>0</v>
      </c>
      <c r="O4858" t="n">
        <v>0</v>
      </c>
      <c r="P4858" t="n">
        <v>0</v>
      </c>
      <c r="Q4858" t="n">
        <v>0</v>
      </c>
      <c r="R4858" s="2" t="inlineStr"/>
    </row>
    <row r="4859" ht="15" customHeight="1">
      <c r="A4859" t="inlineStr">
        <is>
          <t>A 26693-2024</t>
        </is>
      </c>
      <c r="B4859" s="1" t="n">
        <v>45470.3715162037</v>
      </c>
      <c r="C4859" s="1" t="n">
        <v>45911</v>
      </c>
      <c r="D4859" t="inlineStr">
        <is>
          <t>GÄVLEBORGS LÄN</t>
        </is>
      </c>
      <c r="E4859" t="inlineStr">
        <is>
          <t>SÖDERHAMN</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62628-2023</t>
        </is>
      </c>
      <c r="B4860" s="1" t="n">
        <v>45271.38574074074</v>
      </c>
      <c r="C4860" s="1" t="n">
        <v>45911</v>
      </c>
      <c r="D4860" t="inlineStr">
        <is>
          <t>GÄVLEBORGS LÄN</t>
        </is>
      </c>
      <c r="E4860" t="inlineStr">
        <is>
          <t>HUDIKSVALL</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32265-2025</t>
        </is>
      </c>
      <c r="B4861" s="1" t="n">
        <v>45835.65190972222</v>
      </c>
      <c r="C4861" s="1" t="n">
        <v>45911</v>
      </c>
      <c r="D4861" t="inlineStr">
        <is>
          <t>GÄVLEBORGS LÄN</t>
        </is>
      </c>
      <c r="E4861" t="inlineStr">
        <is>
          <t>HUDIKSVALL</t>
        </is>
      </c>
      <c r="F4861" t="inlineStr">
        <is>
          <t>Holmen skog AB</t>
        </is>
      </c>
      <c r="G4861" t="n">
        <v>4.3</v>
      </c>
      <c r="H4861" t="n">
        <v>0</v>
      </c>
      <c r="I4861" t="n">
        <v>0</v>
      </c>
      <c r="J4861" t="n">
        <v>0</v>
      </c>
      <c r="K4861" t="n">
        <v>0</v>
      </c>
      <c r="L4861" t="n">
        <v>0</v>
      </c>
      <c r="M4861" t="n">
        <v>0</v>
      </c>
      <c r="N4861" t="n">
        <v>0</v>
      </c>
      <c r="O4861" t="n">
        <v>0</v>
      </c>
      <c r="P4861" t="n">
        <v>0</v>
      </c>
      <c r="Q4861" t="n">
        <v>0</v>
      </c>
      <c r="R4861" s="2" t="inlineStr"/>
    </row>
    <row r="4862" ht="15" customHeight="1">
      <c r="A4862" t="inlineStr">
        <is>
          <t>A 25946-2023</t>
        </is>
      </c>
      <c r="B4862" s="1" t="n">
        <v>45090.7058912037</v>
      </c>
      <c r="C4862" s="1" t="n">
        <v>45911</v>
      </c>
      <c r="D4862" t="inlineStr">
        <is>
          <t>GÄVLEBORGS LÄN</t>
        </is>
      </c>
      <c r="E4862" t="inlineStr">
        <is>
          <t>NORDANSTIG</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63036-2023</t>
        </is>
      </c>
      <c r="B4863" s="1" t="n">
        <v>45272</v>
      </c>
      <c r="C4863" s="1" t="n">
        <v>45911</v>
      </c>
      <c r="D4863" t="inlineStr">
        <is>
          <t>GÄVLEBORGS LÄN</t>
        </is>
      </c>
      <c r="E4863" t="inlineStr">
        <is>
          <t>GÄVLE</t>
        </is>
      </c>
      <c r="G4863" t="n">
        <v>12.7</v>
      </c>
      <c r="H4863" t="n">
        <v>0</v>
      </c>
      <c r="I4863" t="n">
        <v>0</v>
      </c>
      <c r="J4863" t="n">
        <v>0</v>
      </c>
      <c r="K4863" t="n">
        <v>0</v>
      </c>
      <c r="L4863" t="n">
        <v>0</v>
      </c>
      <c r="M4863" t="n">
        <v>0</v>
      </c>
      <c r="N4863" t="n">
        <v>0</v>
      </c>
      <c r="O4863" t="n">
        <v>0</v>
      </c>
      <c r="P4863" t="n">
        <v>0</v>
      </c>
      <c r="Q4863" t="n">
        <v>0</v>
      </c>
      <c r="R4863" s="2" t="inlineStr"/>
    </row>
    <row r="4864" ht="15" customHeight="1">
      <c r="A4864" t="inlineStr">
        <is>
          <t>A 188-2024</t>
        </is>
      </c>
      <c r="B4864" s="1" t="n">
        <v>45294.61709490741</v>
      </c>
      <c r="C4864" s="1" t="n">
        <v>45911</v>
      </c>
      <c r="D4864" t="inlineStr">
        <is>
          <t>GÄVLEBORGS LÄN</t>
        </is>
      </c>
      <c r="E4864" t="inlineStr">
        <is>
          <t>LJUSDAL</t>
        </is>
      </c>
      <c r="G4864" t="n">
        <v>14.3</v>
      </c>
      <c r="H4864" t="n">
        <v>0</v>
      </c>
      <c r="I4864" t="n">
        <v>0</v>
      </c>
      <c r="J4864" t="n">
        <v>0</v>
      </c>
      <c r="K4864" t="n">
        <v>0</v>
      </c>
      <c r="L4864" t="n">
        <v>0</v>
      </c>
      <c r="M4864" t="n">
        <v>0</v>
      </c>
      <c r="N4864" t="n">
        <v>0</v>
      </c>
      <c r="O4864" t="n">
        <v>0</v>
      </c>
      <c r="P4864" t="n">
        <v>0</v>
      </c>
      <c r="Q4864" t="n">
        <v>0</v>
      </c>
      <c r="R4864" s="2" t="inlineStr"/>
    </row>
    <row r="4865" ht="15" customHeight="1">
      <c r="A4865" t="inlineStr">
        <is>
          <t>A 11607-2023</t>
        </is>
      </c>
      <c r="B4865" s="1" t="n">
        <v>44994</v>
      </c>
      <c r="C4865" s="1" t="n">
        <v>45911</v>
      </c>
      <c r="D4865" t="inlineStr">
        <is>
          <t>GÄVLEBORGS LÄN</t>
        </is>
      </c>
      <c r="E4865" t="inlineStr">
        <is>
          <t>HOFORS</t>
        </is>
      </c>
      <c r="F4865" t="inlineStr">
        <is>
          <t>Övriga statliga verk och myndigheter</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48888-2024</t>
        </is>
      </c>
      <c r="B4866" s="1" t="n">
        <v>45594.33530092592</v>
      </c>
      <c r="C4866" s="1" t="n">
        <v>45911</v>
      </c>
      <c r="D4866" t="inlineStr">
        <is>
          <t>GÄVLEBORGS LÄN</t>
        </is>
      </c>
      <c r="E4866" t="inlineStr">
        <is>
          <t>HUDIKSVALL</t>
        </is>
      </c>
      <c r="F4866" t="inlineStr">
        <is>
          <t>Holmen skog AB</t>
        </is>
      </c>
      <c r="G4866" t="n">
        <v>6.6</v>
      </c>
      <c r="H4866" t="n">
        <v>0</v>
      </c>
      <c r="I4866" t="n">
        <v>0</v>
      </c>
      <c r="J4866" t="n">
        <v>0</v>
      </c>
      <c r="K4866" t="n">
        <v>0</v>
      </c>
      <c r="L4866" t="n">
        <v>0</v>
      </c>
      <c r="M4866" t="n">
        <v>0</v>
      </c>
      <c r="N4866" t="n">
        <v>0</v>
      </c>
      <c r="O4866" t="n">
        <v>0</v>
      </c>
      <c r="P4866" t="n">
        <v>0</v>
      </c>
      <c r="Q4866" t="n">
        <v>0</v>
      </c>
      <c r="R4866" s="2" t="inlineStr"/>
    </row>
    <row r="4867" ht="15" customHeight="1">
      <c r="A4867" t="inlineStr">
        <is>
          <t>A 40794-2024</t>
        </is>
      </c>
      <c r="B4867" s="1" t="n">
        <v>45558.50545138889</v>
      </c>
      <c r="C4867" s="1" t="n">
        <v>45911</v>
      </c>
      <c r="D4867" t="inlineStr">
        <is>
          <t>GÄVLEBORGS LÄN</t>
        </is>
      </c>
      <c r="E4867" t="inlineStr">
        <is>
          <t>OCKELBO</t>
        </is>
      </c>
      <c r="G4867" t="n">
        <v>3</v>
      </c>
      <c r="H4867" t="n">
        <v>0</v>
      </c>
      <c r="I4867" t="n">
        <v>0</v>
      </c>
      <c r="J4867" t="n">
        <v>0</v>
      </c>
      <c r="K4867" t="n">
        <v>0</v>
      </c>
      <c r="L4867" t="n">
        <v>0</v>
      </c>
      <c r="M4867" t="n">
        <v>0</v>
      </c>
      <c r="N4867" t="n">
        <v>0</v>
      </c>
      <c r="O4867" t="n">
        <v>0</v>
      </c>
      <c r="P4867" t="n">
        <v>0</v>
      </c>
      <c r="Q4867" t="n">
        <v>0</v>
      </c>
      <c r="R4867" s="2" t="inlineStr"/>
    </row>
    <row r="4868" ht="15" customHeight="1">
      <c r="A4868" t="inlineStr">
        <is>
          <t>A 48607-2023</t>
        </is>
      </c>
      <c r="B4868" s="1" t="n">
        <v>45208.53420138889</v>
      </c>
      <c r="C4868" s="1" t="n">
        <v>45911</v>
      </c>
      <c r="D4868" t="inlineStr">
        <is>
          <t>GÄVLEBORGS LÄN</t>
        </is>
      </c>
      <c r="E4868" t="inlineStr">
        <is>
          <t>NORDANSTIG</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32611-2025</t>
        </is>
      </c>
      <c r="B4869" s="1" t="n">
        <v>45838.63525462963</v>
      </c>
      <c r="C4869" s="1" t="n">
        <v>45911</v>
      </c>
      <c r="D4869" t="inlineStr">
        <is>
          <t>GÄVLEBORGS LÄN</t>
        </is>
      </c>
      <c r="E4869" t="inlineStr">
        <is>
          <t>OVANÅKER</t>
        </is>
      </c>
      <c r="F4869" t="inlineStr">
        <is>
          <t>Bergvik skog öst AB</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31892-2023</t>
        </is>
      </c>
      <c r="B4870" s="1" t="n">
        <v>45118</v>
      </c>
      <c r="C4870" s="1" t="n">
        <v>45911</v>
      </c>
      <c r="D4870" t="inlineStr">
        <is>
          <t>GÄVLEBORGS LÄN</t>
        </is>
      </c>
      <c r="E4870" t="inlineStr">
        <is>
          <t>LJUSDAL</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18505-2025</t>
        </is>
      </c>
      <c r="B4871" s="1" t="n">
        <v>45763.37523148148</v>
      </c>
      <c r="C4871" s="1" t="n">
        <v>45911</v>
      </c>
      <c r="D4871" t="inlineStr">
        <is>
          <t>GÄVLEBORGS LÄN</t>
        </is>
      </c>
      <c r="E4871" t="inlineStr">
        <is>
          <t>OVANÅKER</t>
        </is>
      </c>
      <c r="F4871" t="inlineStr">
        <is>
          <t>Holmen skog AB</t>
        </is>
      </c>
      <c r="G4871" t="n">
        <v>6.9</v>
      </c>
      <c r="H4871" t="n">
        <v>0</v>
      </c>
      <c r="I4871" t="n">
        <v>0</v>
      </c>
      <c r="J4871" t="n">
        <v>0</v>
      </c>
      <c r="K4871" t="n">
        <v>0</v>
      </c>
      <c r="L4871" t="n">
        <v>0</v>
      </c>
      <c r="M4871" t="n">
        <v>0</v>
      </c>
      <c r="N4871" t="n">
        <v>0</v>
      </c>
      <c r="O4871" t="n">
        <v>0</v>
      </c>
      <c r="P4871" t="n">
        <v>0</v>
      </c>
      <c r="Q4871" t="n">
        <v>0</v>
      </c>
      <c r="R4871" s="2" t="inlineStr"/>
    </row>
    <row r="4872" ht="15" customHeight="1">
      <c r="A4872" t="inlineStr">
        <is>
          <t>A 1190-2021</t>
        </is>
      </c>
      <c r="B4872" s="1" t="n">
        <v>44208.30796296296</v>
      </c>
      <c r="C4872" s="1" t="n">
        <v>45911</v>
      </c>
      <c r="D4872" t="inlineStr">
        <is>
          <t>GÄVLEBORGS LÄN</t>
        </is>
      </c>
      <c r="E4872" t="inlineStr">
        <is>
          <t>NORDANSTIG</t>
        </is>
      </c>
      <c r="F4872" t="inlineStr">
        <is>
          <t>Holmen skog AB</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18562-2025</t>
        </is>
      </c>
      <c r="B4873" s="1" t="n">
        <v>45763.4484375</v>
      </c>
      <c r="C4873" s="1" t="n">
        <v>45911</v>
      </c>
      <c r="D4873" t="inlineStr">
        <is>
          <t>GÄVLEBORGS LÄN</t>
        </is>
      </c>
      <c r="E4873" t="inlineStr">
        <is>
          <t>OVANÅKER</t>
        </is>
      </c>
      <c r="F4873" t="inlineStr">
        <is>
          <t>Holmen skog AB</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11645-2022</t>
        </is>
      </c>
      <c r="B4874" s="1" t="n">
        <v>44631</v>
      </c>
      <c r="C4874" s="1" t="n">
        <v>45911</v>
      </c>
      <c r="D4874" t="inlineStr">
        <is>
          <t>GÄVLEBORGS LÄN</t>
        </is>
      </c>
      <c r="E4874" t="inlineStr">
        <is>
          <t>BOLLNÄS</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21157-2022</t>
        </is>
      </c>
      <c r="B4875" s="1" t="n">
        <v>44704</v>
      </c>
      <c r="C4875" s="1" t="n">
        <v>45911</v>
      </c>
      <c r="D4875" t="inlineStr">
        <is>
          <t>GÄVLEBORGS LÄN</t>
        </is>
      </c>
      <c r="E4875" t="inlineStr">
        <is>
          <t>NORDANSTIG</t>
        </is>
      </c>
      <c r="F4875" t="inlineStr">
        <is>
          <t>Holmen skog AB</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51273-2021</t>
        </is>
      </c>
      <c r="B4876" s="1" t="n">
        <v>44460</v>
      </c>
      <c r="C4876" s="1" t="n">
        <v>45911</v>
      </c>
      <c r="D4876" t="inlineStr">
        <is>
          <t>GÄVLEBORGS LÄN</t>
        </is>
      </c>
      <c r="E4876" t="inlineStr">
        <is>
          <t>SÖDERHAMN</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32685-2025</t>
        </is>
      </c>
      <c r="B4877" s="1" t="n">
        <v>45838</v>
      </c>
      <c r="C4877" s="1" t="n">
        <v>45911</v>
      </c>
      <c r="D4877" t="inlineStr">
        <is>
          <t>GÄVLEBORGS LÄN</t>
        </is>
      </c>
      <c r="E4877" t="inlineStr">
        <is>
          <t>HUDIKSVALL</t>
        </is>
      </c>
      <c r="F4877" t="inlineStr">
        <is>
          <t>Holmen skog AB</t>
        </is>
      </c>
      <c r="G4877" t="n">
        <v>3.7</v>
      </c>
      <c r="H4877" t="n">
        <v>0</v>
      </c>
      <c r="I4877" t="n">
        <v>0</v>
      </c>
      <c r="J4877" t="n">
        <v>0</v>
      </c>
      <c r="K4877" t="n">
        <v>0</v>
      </c>
      <c r="L4877" t="n">
        <v>0</v>
      </c>
      <c r="M4877" t="n">
        <v>0</v>
      </c>
      <c r="N4877" t="n">
        <v>0</v>
      </c>
      <c r="O4877" t="n">
        <v>0</v>
      </c>
      <c r="P4877" t="n">
        <v>0</v>
      </c>
      <c r="Q4877" t="n">
        <v>0</v>
      </c>
      <c r="R4877" s="2" t="inlineStr"/>
    </row>
    <row r="4878" ht="15" customHeight="1">
      <c r="A4878" t="inlineStr">
        <is>
          <t>A 11956-2023</t>
        </is>
      </c>
      <c r="B4878" s="1" t="n">
        <v>44995.54887731482</v>
      </c>
      <c r="C4878" s="1" t="n">
        <v>45911</v>
      </c>
      <c r="D4878" t="inlineStr">
        <is>
          <t>GÄVLEBORGS LÄN</t>
        </is>
      </c>
      <c r="E4878" t="inlineStr">
        <is>
          <t>BOLLNÄS</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4573-2024</t>
        </is>
      </c>
      <c r="B4879" s="1" t="n">
        <v>45327</v>
      </c>
      <c r="C4879" s="1" t="n">
        <v>45911</v>
      </c>
      <c r="D4879" t="inlineStr">
        <is>
          <t>GÄVLEBORGS LÄN</t>
        </is>
      </c>
      <c r="E4879" t="inlineStr">
        <is>
          <t>HUDIKSVALL</t>
        </is>
      </c>
      <c r="F4879" t="inlineStr">
        <is>
          <t>Holmen skog AB</t>
        </is>
      </c>
      <c r="G4879" t="n">
        <v>7.5</v>
      </c>
      <c r="H4879" t="n">
        <v>0</v>
      </c>
      <c r="I4879" t="n">
        <v>0</v>
      </c>
      <c r="J4879" t="n">
        <v>0</v>
      </c>
      <c r="K4879" t="n">
        <v>0</v>
      </c>
      <c r="L4879" t="n">
        <v>0</v>
      </c>
      <c r="M4879" t="n">
        <v>0</v>
      </c>
      <c r="N4879" t="n">
        <v>0</v>
      </c>
      <c r="O4879" t="n">
        <v>0</v>
      </c>
      <c r="P4879" t="n">
        <v>0</v>
      </c>
      <c r="Q4879" t="n">
        <v>0</v>
      </c>
      <c r="R4879" s="2" t="inlineStr"/>
    </row>
    <row r="4880" ht="15" customHeight="1">
      <c r="A4880" t="inlineStr">
        <is>
          <t>A 37538-2025</t>
        </is>
      </c>
      <c r="B4880" s="1" t="n">
        <v>45879.42443287037</v>
      </c>
      <c r="C4880" s="1" t="n">
        <v>45911</v>
      </c>
      <c r="D4880" t="inlineStr">
        <is>
          <t>GÄVLEBORGS LÄN</t>
        </is>
      </c>
      <c r="E4880" t="inlineStr">
        <is>
          <t>SÖDERHAMN</t>
        </is>
      </c>
      <c r="G4880" t="n">
        <v>3.3</v>
      </c>
      <c r="H4880" t="n">
        <v>0</v>
      </c>
      <c r="I4880" t="n">
        <v>0</v>
      </c>
      <c r="J4880" t="n">
        <v>0</v>
      </c>
      <c r="K4880" t="n">
        <v>0</v>
      </c>
      <c r="L4880" t="n">
        <v>0</v>
      </c>
      <c r="M4880" t="n">
        <v>0</v>
      </c>
      <c r="N4880" t="n">
        <v>0</v>
      </c>
      <c r="O4880" t="n">
        <v>0</v>
      </c>
      <c r="P4880" t="n">
        <v>0</v>
      </c>
      <c r="Q4880" t="n">
        <v>0</v>
      </c>
      <c r="R4880" s="2" t="inlineStr"/>
    </row>
    <row r="4881" ht="15" customHeight="1">
      <c r="A4881" t="inlineStr">
        <is>
          <t>A 47551-2021</t>
        </is>
      </c>
      <c r="B4881" s="1" t="n">
        <v>44447.92180555555</v>
      </c>
      <c r="C4881" s="1" t="n">
        <v>45911</v>
      </c>
      <c r="D4881" t="inlineStr">
        <is>
          <t>GÄVLEBORGS LÄN</t>
        </is>
      </c>
      <c r="E4881" t="inlineStr">
        <is>
          <t>LJUSDAL</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56805-2022</t>
        </is>
      </c>
      <c r="B4882" s="1" t="n">
        <v>44894.43539351852</v>
      </c>
      <c r="C4882" s="1" t="n">
        <v>45911</v>
      </c>
      <c r="D4882" t="inlineStr">
        <is>
          <t>GÄVLEBORGS LÄN</t>
        </is>
      </c>
      <c r="E4882" t="inlineStr">
        <is>
          <t>HUDIKSVALL</t>
        </is>
      </c>
      <c r="F4882" t="inlineStr">
        <is>
          <t>Holmen skog AB</t>
        </is>
      </c>
      <c r="G4882" t="n">
        <v>2.8</v>
      </c>
      <c r="H4882" t="n">
        <v>0</v>
      </c>
      <c r="I4882" t="n">
        <v>0</v>
      </c>
      <c r="J4882" t="n">
        <v>0</v>
      </c>
      <c r="K4882" t="n">
        <v>0</v>
      </c>
      <c r="L4882" t="n">
        <v>0</v>
      </c>
      <c r="M4882" t="n">
        <v>0</v>
      </c>
      <c r="N4882" t="n">
        <v>0</v>
      </c>
      <c r="O4882" t="n">
        <v>0</v>
      </c>
      <c r="P4882" t="n">
        <v>0</v>
      </c>
      <c r="Q4882" t="n">
        <v>0</v>
      </c>
      <c r="R4882" s="2" t="inlineStr"/>
    </row>
    <row r="4883" ht="15" customHeight="1">
      <c r="A4883" t="inlineStr">
        <is>
          <t>A 37580-2025</t>
        </is>
      </c>
      <c r="B4883" s="1" t="n">
        <v>45880.38586805556</v>
      </c>
      <c r="C4883" s="1" t="n">
        <v>45911</v>
      </c>
      <c r="D4883" t="inlineStr">
        <is>
          <t>GÄVLEBORGS LÄN</t>
        </is>
      </c>
      <c r="E4883" t="inlineStr">
        <is>
          <t>OCKELBO</t>
        </is>
      </c>
      <c r="G4883" t="n">
        <v>4.4</v>
      </c>
      <c r="H4883" t="n">
        <v>0</v>
      </c>
      <c r="I4883" t="n">
        <v>0</v>
      </c>
      <c r="J4883" t="n">
        <v>0</v>
      </c>
      <c r="K4883" t="n">
        <v>0</v>
      </c>
      <c r="L4883" t="n">
        <v>0</v>
      </c>
      <c r="M4883" t="n">
        <v>0</v>
      </c>
      <c r="N4883" t="n">
        <v>0</v>
      </c>
      <c r="O4883" t="n">
        <v>0</v>
      </c>
      <c r="P4883" t="n">
        <v>0</v>
      </c>
      <c r="Q4883" t="n">
        <v>0</v>
      </c>
      <c r="R4883" s="2" t="inlineStr"/>
    </row>
    <row r="4884" ht="15" customHeight="1">
      <c r="A4884" t="inlineStr">
        <is>
          <t>A 37608-2025</t>
        </is>
      </c>
      <c r="B4884" s="1" t="n">
        <v>45880.43055555555</v>
      </c>
      <c r="C4884" s="1" t="n">
        <v>45911</v>
      </c>
      <c r="D4884" t="inlineStr">
        <is>
          <t>GÄVLEBORGS LÄN</t>
        </is>
      </c>
      <c r="E4884" t="inlineStr">
        <is>
          <t>HUDIKSVALL</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32603-2025</t>
        </is>
      </c>
      <c r="B4885" s="1" t="n">
        <v>45838.62444444445</v>
      </c>
      <c r="C4885" s="1" t="n">
        <v>45911</v>
      </c>
      <c r="D4885" t="inlineStr">
        <is>
          <t>GÄVLEBORGS LÄN</t>
        </is>
      </c>
      <c r="E4885" t="inlineStr">
        <is>
          <t>BOLLNÄS</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15907-2023</t>
        </is>
      </c>
      <c r="B4886" s="1" t="n">
        <v>45022.49149305555</v>
      </c>
      <c r="C4886" s="1" t="n">
        <v>45911</v>
      </c>
      <c r="D4886" t="inlineStr">
        <is>
          <t>GÄVLEBORGS LÄN</t>
        </is>
      </c>
      <c r="E4886" t="inlineStr">
        <is>
          <t>SANDVIKEN</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58753-2021</t>
        </is>
      </c>
      <c r="B4887" s="1" t="n">
        <v>44489</v>
      </c>
      <c r="C4887" s="1" t="n">
        <v>45911</v>
      </c>
      <c r="D4887" t="inlineStr">
        <is>
          <t>GÄVLEBORGS LÄN</t>
        </is>
      </c>
      <c r="E4887" t="inlineStr">
        <is>
          <t>BOLLNÄS</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61711-2023</t>
        </is>
      </c>
      <c r="B4888" s="1" t="n">
        <v>45265.66679398148</v>
      </c>
      <c r="C4888" s="1" t="n">
        <v>45911</v>
      </c>
      <c r="D4888" t="inlineStr">
        <is>
          <t>GÄVLEBORGS LÄN</t>
        </is>
      </c>
      <c r="E4888" t="inlineStr">
        <is>
          <t>BOLLNÄS</t>
        </is>
      </c>
      <c r="G4888" t="n">
        <v>7.1</v>
      </c>
      <c r="H4888" t="n">
        <v>0</v>
      </c>
      <c r="I4888" t="n">
        <v>0</v>
      </c>
      <c r="J4888" t="n">
        <v>0</v>
      </c>
      <c r="K4888" t="n">
        <v>0</v>
      </c>
      <c r="L4888" t="n">
        <v>0</v>
      </c>
      <c r="M4888" t="n">
        <v>0</v>
      </c>
      <c r="N4888" t="n">
        <v>0</v>
      </c>
      <c r="O4888" t="n">
        <v>0</v>
      </c>
      <c r="P4888" t="n">
        <v>0</v>
      </c>
      <c r="Q4888" t="n">
        <v>0</v>
      </c>
      <c r="R4888" s="2" t="inlineStr"/>
    </row>
    <row r="4889" ht="15" customHeight="1">
      <c r="A4889" t="inlineStr">
        <is>
          <t>A 37472-2025</t>
        </is>
      </c>
      <c r="B4889" s="1" t="n">
        <v>45877.59339120371</v>
      </c>
      <c r="C4889" s="1" t="n">
        <v>45911</v>
      </c>
      <c r="D4889" t="inlineStr">
        <is>
          <t>GÄVLEBORGS LÄN</t>
        </is>
      </c>
      <c r="E4889" t="inlineStr">
        <is>
          <t>OVANÅKER</t>
        </is>
      </c>
      <c r="G4889" t="n">
        <v>5.8</v>
      </c>
      <c r="H4889" t="n">
        <v>0</v>
      </c>
      <c r="I4889" t="n">
        <v>0</v>
      </c>
      <c r="J4889" t="n">
        <v>0</v>
      </c>
      <c r="K4889" t="n">
        <v>0</v>
      </c>
      <c r="L4889" t="n">
        <v>0</v>
      </c>
      <c r="M4889" t="n">
        <v>0</v>
      </c>
      <c r="N4889" t="n">
        <v>0</v>
      </c>
      <c r="O4889" t="n">
        <v>0</v>
      </c>
      <c r="P4889" t="n">
        <v>0</v>
      </c>
      <c r="Q4889" t="n">
        <v>0</v>
      </c>
      <c r="R4889" s="2" t="inlineStr"/>
    </row>
    <row r="4890" ht="15" customHeight="1">
      <c r="A4890" t="inlineStr">
        <is>
          <t>A 46664-2024</t>
        </is>
      </c>
      <c r="B4890" s="1" t="n">
        <v>45583.36581018518</v>
      </c>
      <c r="C4890" s="1" t="n">
        <v>45911</v>
      </c>
      <c r="D4890" t="inlineStr">
        <is>
          <t>GÄVLEBORGS LÄN</t>
        </is>
      </c>
      <c r="E4890" t="inlineStr">
        <is>
          <t>BOLLNÄS</t>
        </is>
      </c>
      <c r="G4890" t="n">
        <v>3.8</v>
      </c>
      <c r="H4890" t="n">
        <v>0</v>
      </c>
      <c r="I4890" t="n">
        <v>0</v>
      </c>
      <c r="J4890" t="n">
        <v>0</v>
      </c>
      <c r="K4890" t="n">
        <v>0</v>
      </c>
      <c r="L4890" t="n">
        <v>0</v>
      </c>
      <c r="M4890" t="n">
        <v>0</v>
      </c>
      <c r="N4890" t="n">
        <v>0</v>
      </c>
      <c r="O4890" t="n">
        <v>0</v>
      </c>
      <c r="P4890" t="n">
        <v>0</v>
      </c>
      <c r="Q4890" t="n">
        <v>0</v>
      </c>
      <c r="R4890" s="2" t="inlineStr"/>
    </row>
    <row r="4891" ht="15" customHeight="1">
      <c r="A4891" t="inlineStr">
        <is>
          <t>A 25466-2023</t>
        </is>
      </c>
      <c r="B4891" s="1" t="n">
        <v>45089.45114583334</v>
      </c>
      <c r="C4891" s="1" t="n">
        <v>45911</v>
      </c>
      <c r="D4891" t="inlineStr">
        <is>
          <t>GÄVLEBORGS LÄN</t>
        </is>
      </c>
      <c r="E4891" t="inlineStr">
        <is>
          <t>GÄVLE</t>
        </is>
      </c>
      <c r="G4891" t="n">
        <v>5.5</v>
      </c>
      <c r="H4891" t="n">
        <v>0</v>
      </c>
      <c r="I4891" t="n">
        <v>0</v>
      </c>
      <c r="J4891" t="n">
        <v>0</v>
      </c>
      <c r="K4891" t="n">
        <v>0</v>
      </c>
      <c r="L4891" t="n">
        <v>0</v>
      </c>
      <c r="M4891" t="n">
        <v>0</v>
      </c>
      <c r="N4891" t="n">
        <v>0</v>
      </c>
      <c r="O4891" t="n">
        <v>0</v>
      </c>
      <c r="P4891" t="n">
        <v>0</v>
      </c>
      <c r="Q4891" t="n">
        <v>0</v>
      </c>
      <c r="R4891" s="2" t="inlineStr"/>
    </row>
    <row r="4892" ht="15" customHeight="1">
      <c r="A4892" t="inlineStr">
        <is>
          <t>A 64538-2021</t>
        </is>
      </c>
      <c r="B4892" s="1" t="n">
        <v>44511</v>
      </c>
      <c r="C4892" s="1" t="n">
        <v>45911</v>
      </c>
      <c r="D4892" t="inlineStr">
        <is>
          <t>GÄVLEBORGS LÄN</t>
        </is>
      </c>
      <c r="E4892" t="inlineStr">
        <is>
          <t>BOLLNÄS</t>
        </is>
      </c>
      <c r="F4892" t="inlineStr">
        <is>
          <t>Bergvik skog väst AB</t>
        </is>
      </c>
      <c r="G4892" t="n">
        <v>5.2</v>
      </c>
      <c r="H4892" t="n">
        <v>0</v>
      </c>
      <c r="I4892" t="n">
        <v>0</v>
      </c>
      <c r="J4892" t="n">
        <v>0</v>
      </c>
      <c r="K4892" t="n">
        <v>0</v>
      </c>
      <c r="L4892" t="n">
        <v>0</v>
      </c>
      <c r="M4892" t="n">
        <v>0</v>
      </c>
      <c r="N4892" t="n">
        <v>0</v>
      </c>
      <c r="O4892" t="n">
        <v>0</v>
      </c>
      <c r="P4892" t="n">
        <v>0</v>
      </c>
      <c r="Q4892" t="n">
        <v>0</v>
      </c>
      <c r="R4892" s="2" t="inlineStr"/>
    </row>
    <row r="4893" ht="15" customHeight="1">
      <c r="A4893" t="inlineStr">
        <is>
          <t>A 64632-2021</t>
        </is>
      </c>
      <c r="B4893" s="1" t="n">
        <v>44511.92248842592</v>
      </c>
      <c r="C4893" s="1" t="n">
        <v>45911</v>
      </c>
      <c r="D4893" t="inlineStr">
        <is>
          <t>GÄVLEBORGS LÄN</t>
        </is>
      </c>
      <c r="E4893" t="inlineStr">
        <is>
          <t>HUDIKSVALL</t>
        </is>
      </c>
      <c r="G4893" t="n">
        <v>4.2</v>
      </c>
      <c r="H4893" t="n">
        <v>0</v>
      </c>
      <c r="I4893" t="n">
        <v>0</v>
      </c>
      <c r="J4893" t="n">
        <v>0</v>
      </c>
      <c r="K4893" t="n">
        <v>0</v>
      </c>
      <c r="L4893" t="n">
        <v>0</v>
      </c>
      <c r="M4893" t="n">
        <v>0</v>
      </c>
      <c r="N4893" t="n">
        <v>0</v>
      </c>
      <c r="O4893" t="n">
        <v>0</v>
      </c>
      <c r="P4893" t="n">
        <v>0</v>
      </c>
      <c r="Q4893" t="n">
        <v>0</v>
      </c>
      <c r="R4893" s="2" t="inlineStr"/>
    </row>
    <row r="4894" ht="15" customHeight="1">
      <c r="A4894" t="inlineStr">
        <is>
          <t>A 26413-2023</t>
        </is>
      </c>
      <c r="B4894" s="1" t="n">
        <v>45092.3786574074</v>
      </c>
      <c r="C4894" s="1" t="n">
        <v>45911</v>
      </c>
      <c r="D4894" t="inlineStr">
        <is>
          <t>GÄVLEBORGS LÄN</t>
        </is>
      </c>
      <c r="E4894" t="inlineStr">
        <is>
          <t>SANDVIKEN</t>
        </is>
      </c>
      <c r="G4894" t="n">
        <v>4.8</v>
      </c>
      <c r="H4894" t="n">
        <v>0</v>
      </c>
      <c r="I4894" t="n">
        <v>0</v>
      </c>
      <c r="J4894" t="n">
        <v>0</v>
      </c>
      <c r="K4894" t="n">
        <v>0</v>
      </c>
      <c r="L4894" t="n">
        <v>0</v>
      </c>
      <c r="M4894" t="n">
        <v>0</v>
      </c>
      <c r="N4894" t="n">
        <v>0</v>
      </c>
      <c r="O4894" t="n">
        <v>0</v>
      </c>
      <c r="P4894" t="n">
        <v>0</v>
      </c>
      <c r="Q4894" t="n">
        <v>0</v>
      </c>
      <c r="R4894" s="2" t="inlineStr"/>
    </row>
    <row r="4895" ht="15" customHeight="1">
      <c r="A4895" t="inlineStr">
        <is>
          <t>A 34557-2023</t>
        </is>
      </c>
      <c r="B4895" s="1" t="n">
        <v>45140.50714120371</v>
      </c>
      <c r="C4895" s="1" t="n">
        <v>45911</v>
      </c>
      <c r="D4895" t="inlineStr">
        <is>
          <t>GÄVLEBORGS LÄN</t>
        </is>
      </c>
      <c r="E4895" t="inlineStr">
        <is>
          <t>NORDANSTIG</t>
        </is>
      </c>
      <c r="G4895" t="n">
        <v>3.2</v>
      </c>
      <c r="H4895" t="n">
        <v>0</v>
      </c>
      <c r="I4895" t="n">
        <v>0</v>
      </c>
      <c r="J4895" t="n">
        <v>0</v>
      </c>
      <c r="K4895" t="n">
        <v>0</v>
      </c>
      <c r="L4895" t="n">
        <v>0</v>
      </c>
      <c r="M4895" t="n">
        <v>0</v>
      </c>
      <c r="N4895" t="n">
        <v>0</v>
      </c>
      <c r="O4895" t="n">
        <v>0</v>
      </c>
      <c r="P4895" t="n">
        <v>0</v>
      </c>
      <c r="Q4895" t="n">
        <v>0</v>
      </c>
      <c r="R4895" s="2" t="inlineStr"/>
    </row>
    <row r="4896" ht="15" customHeight="1">
      <c r="A4896" t="inlineStr">
        <is>
          <t>A 2297-2024</t>
        </is>
      </c>
      <c r="B4896" s="1" t="n">
        <v>45310.43618055555</v>
      </c>
      <c r="C4896" s="1" t="n">
        <v>45911</v>
      </c>
      <c r="D4896" t="inlineStr">
        <is>
          <t>GÄVLEBORGS LÄN</t>
        </is>
      </c>
      <c r="E4896" t="inlineStr">
        <is>
          <t>BOLLNÄS</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5719-2023</t>
        </is>
      </c>
      <c r="B4897" s="1" t="n">
        <v>44961.40068287037</v>
      </c>
      <c r="C4897" s="1" t="n">
        <v>45911</v>
      </c>
      <c r="D4897" t="inlineStr">
        <is>
          <t>GÄVLEBORGS LÄN</t>
        </is>
      </c>
      <c r="E4897" t="inlineStr">
        <is>
          <t>OVANÅKER</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3731-2024</t>
        </is>
      </c>
      <c r="B4898" s="1" t="n">
        <v>45321.48737268519</v>
      </c>
      <c r="C4898" s="1" t="n">
        <v>45911</v>
      </c>
      <c r="D4898" t="inlineStr">
        <is>
          <t>GÄVLEBORGS LÄN</t>
        </is>
      </c>
      <c r="E4898" t="inlineStr">
        <is>
          <t>SANDVIKEN</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7192-2023</t>
        </is>
      </c>
      <c r="B4899" s="1" t="n">
        <v>44970</v>
      </c>
      <c r="C4899" s="1" t="n">
        <v>45911</v>
      </c>
      <c r="D4899" t="inlineStr">
        <is>
          <t>GÄVLEBORGS LÄN</t>
        </is>
      </c>
      <c r="E4899" t="inlineStr">
        <is>
          <t>LJUSDAL</t>
        </is>
      </c>
      <c r="G4899" t="n">
        <v>3.6</v>
      </c>
      <c r="H4899" t="n">
        <v>0</v>
      </c>
      <c r="I4899" t="n">
        <v>0</v>
      </c>
      <c r="J4899" t="n">
        <v>0</v>
      </c>
      <c r="K4899" t="n">
        <v>0</v>
      </c>
      <c r="L4899" t="n">
        <v>0</v>
      </c>
      <c r="M4899" t="n">
        <v>0</v>
      </c>
      <c r="N4899" t="n">
        <v>0</v>
      </c>
      <c r="O4899" t="n">
        <v>0</v>
      </c>
      <c r="P4899" t="n">
        <v>0</v>
      </c>
      <c r="Q4899" t="n">
        <v>0</v>
      </c>
      <c r="R4899" s="2" t="inlineStr"/>
    </row>
    <row r="4900" ht="15" customHeight="1">
      <c r="A4900" t="inlineStr">
        <is>
          <t>A 53139-2024</t>
        </is>
      </c>
      <c r="B4900" s="1" t="n">
        <v>45611.59930555556</v>
      </c>
      <c r="C4900" s="1" t="n">
        <v>45911</v>
      </c>
      <c r="D4900" t="inlineStr">
        <is>
          <t>GÄVLEBORGS LÄN</t>
        </is>
      </c>
      <c r="E4900" t="inlineStr">
        <is>
          <t>OCKELBO</t>
        </is>
      </c>
      <c r="F4900" t="inlineStr">
        <is>
          <t>Bergvik skog väst AB</t>
        </is>
      </c>
      <c r="G4900" t="n">
        <v>4.1</v>
      </c>
      <c r="H4900" t="n">
        <v>0</v>
      </c>
      <c r="I4900" t="n">
        <v>0</v>
      </c>
      <c r="J4900" t="n">
        <v>0</v>
      </c>
      <c r="K4900" t="n">
        <v>0</v>
      </c>
      <c r="L4900" t="n">
        <v>0</v>
      </c>
      <c r="M4900" t="n">
        <v>0</v>
      </c>
      <c r="N4900" t="n">
        <v>0</v>
      </c>
      <c r="O4900" t="n">
        <v>0</v>
      </c>
      <c r="P4900" t="n">
        <v>0</v>
      </c>
      <c r="Q4900" t="n">
        <v>0</v>
      </c>
      <c r="R4900" s="2" t="inlineStr"/>
    </row>
    <row r="4901" ht="15" customHeight="1">
      <c r="A4901" t="inlineStr">
        <is>
          <t>A 25345-2024</t>
        </is>
      </c>
      <c r="B4901" s="1" t="n">
        <v>45462.92701388889</v>
      </c>
      <c r="C4901" s="1" t="n">
        <v>45911</v>
      </c>
      <c r="D4901" t="inlineStr">
        <is>
          <t>GÄVLEBORGS LÄN</t>
        </is>
      </c>
      <c r="E4901" t="inlineStr">
        <is>
          <t>OVANÅKER</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33354-2024</t>
        </is>
      </c>
      <c r="B4902" s="1" t="n">
        <v>45519</v>
      </c>
      <c r="C4902" s="1" t="n">
        <v>45911</v>
      </c>
      <c r="D4902" t="inlineStr">
        <is>
          <t>GÄVLEBORGS LÄN</t>
        </is>
      </c>
      <c r="E4902" t="inlineStr">
        <is>
          <t>LJUSDAL</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15347-2025</t>
        </is>
      </c>
      <c r="B4903" s="1" t="n">
        <v>45747.38072916667</v>
      </c>
      <c r="C4903" s="1" t="n">
        <v>45911</v>
      </c>
      <c r="D4903" t="inlineStr">
        <is>
          <t>GÄVLEBORGS LÄN</t>
        </is>
      </c>
      <c r="E4903" t="inlineStr">
        <is>
          <t>SANDVIKEN</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405-2025</t>
        </is>
      </c>
      <c r="B4904" s="1" t="n">
        <v>45663.625</v>
      </c>
      <c r="C4904" s="1" t="n">
        <v>45911</v>
      </c>
      <c r="D4904" t="inlineStr">
        <is>
          <t>GÄVLEBORGS LÄN</t>
        </is>
      </c>
      <c r="E4904" t="inlineStr">
        <is>
          <t>HUDIKSVALL</t>
        </is>
      </c>
      <c r="G4904" t="n">
        <v>0.3</v>
      </c>
      <c r="H4904" t="n">
        <v>0</v>
      </c>
      <c r="I4904" t="n">
        <v>0</v>
      </c>
      <c r="J4904" t="n">
        <v>0</v>
      </c>
      <c r="K4904" t="n">
        <v>0</v>
      </c>
      <c r="L4904" t="n">
        <v>0</v>
      </c>
      <c r="M4904" t="n">
        <v>0</v>
      </c>
      <c r="N4904" t="n">
        <v>0</v>
      </c>
      <c r="O4904" t="n">
        <v>0</v>
      </c>
      <c r="P4904" t="n">
        <v>0</v>
      </c>
      <c r="Q4904" t="n">
        <v>0</v>
      </c>
      <c r="R4904" s="2" t="inlineStr"/>
    </row>
    <row r="4905" ht="15" customHeight="1">
      <c r="A4905" t="inlineStr">
        <is>
          <t>A 37616-2025</t>
        </is>
      </c>
      <c r="B4905" s="1" t="n">
        <v>45880.43641203704</v>
      </c>
      <c r="C4905" s="1" t="n">
        <v>45911</v>
      </c>
      <c r="D4905" t="inlineStr">
        <is>
          <t>GÄVLEBORGS LÄN</t>
        </is>
      </c>
      <c r="E4905" t="inlineStr">
        <is>
          <t>HUDIKSVALL</t>
        </is>
      </c>
      <c r="G4905" t="n">
        <v>6.9</v>
      </c>
      <c r="H4905" t="n">
        <v>0</v>
      </c>
      <c r="I4905" t="n">
        <v>0</v>
      </c>
      <c r="J4905" t="n">
        <v>0</v>
      </c>
      <c r="K4905" t="n">
        <v>0</v>
      </c>
      <c r="L4905" t="n">
        <v>0</v>
      </c>
      <c r="M4905" t="n">
        <v>0</v>
      </c>
      <c r="N4905" t="n">
        <v>0</v>
      </c>
      <c r="O4905" t="n">
        <v>0</v>
      </c>
      <c r="P4905" t="n">
        <v>0</v>
      </c>
      <c r="Q4905" t="n">
        <v>0</v>
      </c>
      <c r="R4905" s="2" t="inlineStr"/>
    </row>
    <row r="4906" ht="15" customHeight="1">
      <c r="A4906" t="inlineStr">
        <is>
          <t>A 61234-2023</t>
        </is>
      </c>
      <c r="B4906" s="1" t="n">
        <v>45264.45878472222</v>
      </c>
      <c r="C4906" s="1" t="n">
        <v>45911</v>
      </c>
      <c r="D4906" t="inlineStr">
        <is>
          <t>GÄVLEBORGS LÄN</t>
        </is>
      </c>
      <c r="E4906" t="inlineStr">
        <is>
          <t>HUDIKSVALL</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2555-2025</t>
        </is>
      </c>
      <c r="B4907" s="1" t="n">
        <v>45674.64806712963</v>
      </c>
      <c r="C4907" s="1" t="n">
        <v>45911</v>
      </c>
      <c r="D4907" t="inlineStr">
        <is>
          <t>GÄVLEBORGS LÄN</t>
        </is>
      </c>
      <c r="E4907" t="inlineStr">
        <is>
          <t>OCKELBO</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16909-2025</t>
        </is>
      </c>
      <c r="B4908" s="1" t="n">
        <v>45755.35984953704</v>
      </c>
      <c r="C4908" s="1" t="n">
        <v>45911</v>
      </c>
      <c r="D4908" t="inlineStr">
        <is>
          <t>GÄVLEBORGS LÄN</t>
        </is>
      </c>
      <c r="E4908" t="inlineStr">
        <is>
          <t>BOLLNÄS</t>
        </is>
      </c>
      <c r="G4908" t="n">
        <v>4.7</v>
      </c>
      <c r="H4908" t="n">
        <v>0</v>
      </c>
      <c r="I4908" t="n">
        <v>0</v>
      </c>
      <c r="J4908" t="n">
        <v>0</v>
      </c>
      <c r="K4908" t="n">
        <v>0</v>
      </c>
      <c r="L4908" t="n">
        <v>0</v>
      </c>
      <c r="M4908" t="n">
        <v>0</v>
      </c>
      <c r="N4908" t="n">
        <v>0</v>
      </c>
      <c r="O4908" t="n">
        <v>0</v>
      </c>
      <c r="P4908" t="n">
        <v>0</v>
      </c>
      <c r="Q4908" t="n">
        <v>0</v>
      </c>
      <c r="R4908" s="2" t="inlineStr"/>
    </row>
    <row r="4909" ht="15" customHeight="1">
      <c r="A4909" t="inlineStr">
        <is>
          <t>A 48765-2024</t>
        </is>
      </c>
      <c r="B4909" s="1" t="n">
        <v>45593.60655092593</v>
      </c>
      <c r="C4909" s="1" t="n">
        <v>45911</v>
      </c>
      <c r="D4909" t="inlineStr">
        <is>
          <t>GÄVLEBORGS LÄN</t>
        </is>
      </c>
      <c r="E4909" t="inlineStr">
        <is>
          <t>SÖDERHAMN</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32587-2025</t>
        </is>
      </c>
      <c r="B4910" s="1" t="n">
        <v>45838.60077546296</v>
      </c>
      <c r="C4910" s="1" t="n">
        <v>45911</v>
      </c>
      <c r="D4910" t="inlineStr">
        <is>
          <t>GÄVLEBORGS LÄN</t>
        </is>
      </c>
      <c r="E4910" t="inlineStr">
        <is>
          <t>BOLLNÄS</t>
        </is>
      </c>
      <c r="G4910" t="n">
        <v>3</v>
      </c>
      <c r="H4910" t="n">
        <v>0</v>
      </c>
      <c r="I4910" t="n">
        <v>0</v>
      </c>
      <c r="J4910" t="n">
        <v>0</v>
      </c>
      <c r="K4910" t="n">
        <v>0</v>
      </c>
      <c r="L4910" t="n">
        <v>0</v>
      </c>
      <c r="M4910" t="n">
        <v>0</v>
      </c>
      <c r="N4910" t="n">
        <v>0</v>
      </c>
      <c r="O4910" t="n">
        <v>0</v>
      </c>
      <c r="P4910" t="n">
        <v>0</v>
      </c>
      <c r="Q4910" t="n">
        <v>0</v>
      </c>
      <c r="R4910" s="2" t="inlineStr"/>
    </row>
    <row r="4911" ht="15" customHeight="1">
      <c r="A4911" t="inlineStr">
        <is>
          <t>A 32588-2025</t>
        </is>
      </c>
      <c r="B4911" s="1" t="n">
        <v>45838.60314814815</v>
      </c>
      <c r="C4911" s="1" t="n">
        <v>45911</v>
      </c>
      <c r="D4911" t="inlineStr">
        <is>
          <t>GÄVLEBORGS LÄN</t>
        </is>
      </c>
      <c r="E4911" t="inlineStr">
        <is>
          <t>BOLLNÄS</t>
        </is>
      </c>
      <c r="G4911" t="n">
        <v>3</v>
      </c>
      <c r="H4911" t="n">
        <v>0</v>
      </c>
      <c r="I4911" t="n">
        <v>0</v>
      </c>
      <c r="J4911" t="n">
        <v>0</v>
      </c>
      <c r="K4911" t="n">
        <v>0</v>
      </c>
      <c r="L4911" t="n">
        <v>0</v>
      </c>
      <c r="M4911" t="n">
        <v>0</v>
      </c>
      <c r="N4911" t="n">
        <v>0</v>
      </c>
      <c r="O4911" t="n">
        <v>0</v>
      </c>
      <c r="P4911" t="n">
        <v>0</v>
      </c>
      <c r="Q4911" t="n">
        <v>0</v>
      </c>
      <c r="R4911" s="2" t="inlineStr"/>
    </row>
    <row r="4912" ht="15" customHeight="1">
      <c r="A4912" t="inlineStr">
        <is>
          <t>A 57100-2024</t>
        </is>
      </c>
      <c r="B4912" s="1" t="n">
        <v>45629</v>
      </c>
      <c r="C4912" s="1" t="n">
        <v>45911</v>
      </c>
      <c r="D4912" t="inlineStr">
        <is>
          <t>GÄVLEBORGS LÄN</t>
        </is>
      </c>
      <c r="E4912" t="inlineStr">
        <is>
          <t>OVANÅKER</t>
        </is>
      </c>
      <c r="F4912" t="inlineStr">
        <is>
          <t>Bergvik skog väst AB</t>
        </is>
      </c>
      <c r="G4912" t="n">
        <v>0.4</v>
      </c>
      <c r="H4912" t="n">
        <v>0</v>
      </c>
      <c r="I4912" t="n">
        <v>0</v>
      </c>
      <c r="J4912" t="n">
        <v>0</v>
      </c>
      <c r="K4912" t="n">
        <v>0</v>
      </c>
      <c r="L4912" t="n">
        <v>0</v>
      </c>
      <c r="M4912" t="n">
        <v>0</v>
      </c>
      <c r="N4912" t="n">
        <v>0</v>
      </c>
      <c r="O4912" t="n">
        <v>0</v>
      </c>
      <c r="P4912" t="n">
        <v>0</v>
      </c>
      <c r="Q4912" t="n">
        <v>0</v>
      </c>
      <c r="R4912" s="2" t="inlineStr"/>
    </row>
    <row r="4913" ht="15" customHeight="1">
      <c r="A4913" t="inlineStr">
        <is>
          <t>A 22251-2023</t>
        </is>
      </c>
      <c r="B4913" s="1" t="n">
        <v>45070</v>
      </c>
      <c r="C4913" s="1" t="n">
        <v>45911</v>
      </c>
      <c r="D4913" t="inlineStr">
        <is>
          <t>GÄVLEBORGS LÄN</t>
        </is>
      </c>
      <c r="E4913" t="inlineStr">
        <is>
          <t>LJUSDAL</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37541-2025</t>
        </is>
      </c>
      <c r="B4914" s="1" t="n">
        <v>45879.45802083334</v>
      </c>
      <c r="C4914" s="1" t="n">
        <v>45911</v>
      </c>
      <c r="D4914" t="inlineStr">
        <is>
          <t>GÄVLEBORGS LÄN</t>
        </is>
      </c>
      <c r="E4914" t="inlineStr">
        <is>
          <t>SÖDERHAMN</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8909-2024</t>
        </is>
      </c>
      <c r="B4915" s="1" t="n">
        <v>45357</v>
      </c>
      <c r="C4915" s="1" t="n">
        <v>45911</v>
      </c>
      <c r="D4915" t="inlineStr">
        <is>
          <t>GÄVLEBORGS LÄN</t>
        </is>
      </c>
      <c r="E4915" t="inlineStr">
        <is>
          <t>NORDANSTIG</t>
        </is>
      </c>
      <c r="G4915" t="n">
        <v>15.3</v>
      </c>
      <c r="H4915" t="n">
        <v>0</v>
      </c>
      <c r="I4915" t="n">
        <v>0</v>
      </c>
      <c r="J4915" t="n">
        <v>0</v>
      </c>
      <c r="K4915" t="n">
        <v>0</v>
      </c>
      <c r="L4915" t="n">
        <v>0</v>
      </c>
      <c r="M4915" t="n">
        <v>0</v>
      </c>
      <c r="N4915" t="n">
        <v>0</v>
      </c>
      <c r="O4915" t="n">
        <v>0</v>
      </c>
      <c r="P4915" t="n">
        <v>0</v>
      </c>
      <c r="Q4915" t="n">
        <v>0</v>
      </c>
      <c r="R4915" s="2" t="inlineStr"/>
    </row>
    <row r="4916" ht="15" customHeight="1">
      <c r="A4916" t="inlineStr">
        <is>
          <t>A 17523-2025</t>
        </is>
      </c>
      <c r="B4916" s="1" t="n">
        <v>45757.58005787037</v>
      </c>
      <c r="C4916" s="1" t="n">
        <v>45911</v>
      </c>
      <c r="D4916" t="inlineStr">
        <is>
          <t>GÄVLEBORGS LÄN</t>
        </is>
      </c>
      <c r="E4916" t="inlineStr">
        <is>
          <t>OVANÅKER</t>
        </is>
      </c>
      <c r="F4916" t="inlineStr">
        <is>
          <t>Bergvik skog öst AB</t>
        </is>
      </c>
      <c r="G4916" t="n">
        <v>3.1</v>
      </c>
      <c r="H4916" t="n">
        <v>0</v>
      </c>
      <c r="I4916" t="n">
        <v>0</v>
      </c>
      <c r="J4916" t="n">
        <v>0</v>
      </c>
      <c r="K4916" t="n">
        <v>0</v>
      </c>
      <c r="L4916" t="n">
        <v>0</v>
      </c>
      <c r="M4916" t="n">
        <v>0</v>
      </c>
      <c r="N4916" t="n">
        <v>0</v>
      </c>
      <c r="O4916" t="n">
        <v>0</v>
      </c>
      <c r="P4916" t="n">
        <v>0</v>
      </c>
      <c r="Q4916" t="n">
        <v>0</v>
      </c>
      <c r="R4916" s="2" t="inlineStr"/>
    </row>
    <row r="4917" ht="15" customHeight="1">
      <c r="A4917" t="inlineStr">
        <is>
          <t>A 1712-2025</t>
        </is>
      </c>
      <c r="B4917" s="1" t="n">
        <v>45671.31266203704</v>
      </c>
      <c r="C4917" s="1" t="n">
        <v>45911</v>
      </c>
      <c r="D4917" t="inlineStr">
        <is>
          <t>GÄVLEBORGS LÄN</t>
        </is>
      </c>
      <c r="E4917" t="inlineStr">
        <is>
          <t>SANDVIKEN</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48757-2024</t>
        </is>
      </c>
      <c r="B4918" s="1" t="n">
        <v>45593.5981712963</v>
      </c>
      <c r="C4918" s="1" t="n">
        <v>45911</v>
      </c>
      <c r="D4918" t="inlineStr">
        <is>
          <t>GÄVLEBORGS LÄN</t>
        </is>
      </c>
      <c r="E4918" t="inlineStr">
        <is>
          <t>OVANÅKER</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7260-2025</t>
        </is>
      </c>
      <c r="B4919" s="1" t="n">
        <v>45702</v>
      </c>
      <c r="C4919" s="1" t="n">
        <v>45911</v>
      </c>
      <c r="D4919" t="inlineStr">
        <is>
          <t>GÄVLEBORGS LÄN</t>
        </is>
      </c>
      <c r="E4919" t="inlineStr">
        <is>
          <t>GÄVLE</t>
        </is>
      </c>
      <c r="F4919" t="inlineStr">
        <is>
          <t>Bergvik skog öst AB</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32022-2025</t>
        </is>
      </c>
      <c r="B4920" s="1" t="n">
        <v>45835.40670138889</v>
      </c>
      <c r="C4920" s="1" t="n">
        <v>45911</v>
      </c>
      <c r="D4920" t="inlineStr">
        <is>
          <t>GÄVLEBORGS LÄN</t>
        </is>
      </c>
      <c r="E4920" t="inlineStr">
        <is>
          <t>GÄVLE</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32036-2025</t>
        </is>
      </c>
      <c r="B4921" s="1" t="n">
        <v>45835.42611111111</v>
      </c>
      <c r="C4921" s="1" t="n">
        <v>45911</v>
      </c>
      <c r="D4921" t="inlineStr">
        <is>
          <t>GÄVLEBORGS LÄN</t>
        </is>
      </c>
      <c r="E4921" t="inlineStr">
        <is>
          <t>OCKELBO</t>
        </is>
      </c>
      <c r="G4921" t="n">
        <v>2.9</v>
      </c>
      <c r="H4921" t="n">
        <v>0</v>
      </c>
      <c r="I4921" t="n">
        <v>0</v>
      </c>
      <c r="J4921" t="n">
        <v>0</v>
      </c>
      <c r="K4921" t="n">
        <v>0</v>
      </c>
      <c r="L4921" t="n">
        <v>0</v>
      </c>
      <c r="M4921" t="n">
        <v>0</v>
      </c>
      <c r="N4921" t="n">
        <v>0</v>
      </c>
      <c r="O4921" t="n">
        <v>0</v>
      </c>
      <c r="P4921" t="n">
        <v>0</v>
      </c>
      <c r="Q4921" t="n">
        <v>0</v>
      </c>
      <c r="R4921" s="2" t="inlineStr"/>
    </row>
    <row r="4922" ht="15" customHeight="1">
      <c r="A4922" t="inlineStr">
        <is>
          <t>A 12397-2025</t>
        </is>
      </c>
      <c r="B4922" s="1" t="n">
        <v>45730.40746527778</v>
      </c>
      <c r="C4922" s="1" t="n">
        <v>45911</v>
      </c>
      <c r="D4922" t="inlineStr">
        <is>
          <t>GÄVLEBORGS LÄN</t>
        </is>
      </c>
      <c r="E4922" t="inlineStr">
        <is>
          <t>OCKELBO</t>
        </is>
      </c>
      <c r="G4922" t="n">
        <v>3.6</v>
      </c>
      <c r="H4922" t="n">
        <v>0</v>
      </c>
      <c r="I4922" t="n">
        <v>0</v>
      </c>
      <c r="J4922" t="n">
        <v>0</v>
      </c>
      <c r="K4922" t="n">
        <v>0</v>
      </c>
      <c r="L4922" t="n">
        <v>0</v>
      </c>
      <c r="M4922" t="n">
        <v>0</v>
      </c>
      <c r="N4922" t="n">
        <v>0</v>
      </c>
      <c r="O4922" t="n">
        <v>0</v>
      </c>
      <c r="P4922" t="n">
        <v>0</v>
      </c>
      <c r="Q4922" t="n">
        <v>0</v>
      </c>
      <c r="R4922" s="2" t="inlineStr"/>
    </row>
    <row r="4923" ht="15" customHeight="1">
      <c r="A4923" t="inlineStr">
        <is>
          <t>A 53007-2024</t>
        </is>
      </c>
      <c r="B4923" s="1" t="n">
        <v>45611.39570601852</v>
      </c>
      <c r="C4923" s="1" t="n">
        <v>45911</v>
      </c>
      <c r="D4923" t="inlineStr">
        <is>
          <t>GÄVLEBORGS LÄN</t>
        </is>
      </c>
      <c r="E4923" t="inlineStr">
        <is>
          <t>LJUSDAL</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32179-2025</t>
        </is>
      </c>
      <c r="B4924" s="1" t="n">
        <v>45835.55981481481</v>
      </c>
      <c r="C4924" s="1" t="n">
        <v>45911</v>
      </c>
      <c r="D4924" t="inlineStr">
        <is>
          <t>GÄVLEBORGS LÄN</t>
        </is>
      </c>
      <c r="E4924" t="inlineStr">
        <is>
          <t>LJUSDAL</t>
        </is>
      </c>
      <c r="F4924" t="inlineStr">
        <is>
          <t>Bergvik skog väst AB</t>
        </is>
      </c>
      <c r="G4924" t="n">
        <v>7</v>
      </c>
      <c r="H4924" t="n">
        <v>0</v>
      </c>
      <c r="I4924" t="n">
        <v>0</v>
      </c>
      <c r="J4924" t="n">
        <v>0</v>
      </c>
      <c r="K4924" t="n">
        <v>0</v>
      </c>
      <c r="L4924" t="n">
        <v>0</v>
      </c>
      <c r="M4924" t="n">
        <v>0</v>
      </c>
      <c r="N4924" t="n">
        <v>0</v>
      </c>
      <c r="O4924" t="n">
        <v>0</v>
      </c>
      <c r="P4924" t="n">
        <v>0</v>
      </c>
      <c r="Q4924" t="n">
        <v>0</v>
      </c>
      <c r="R4924" s="2" t="inlineStr"/>
    </row>
    <row r="4925" ht="15" customHeight="1">
      <c r="A4925" t="inlineStr">
        <is>
          <t>A 40386-2024</t>
        </is>
      </c>
      <c r="B4925" s="1" t="n">
        <v>45555.43184027778</v>
      </c>
      <c r="C4925" s="1" t="n">
        <v>45911</v>
      </c>
      <c r="D4925" t="inlineStr">
        <is>
          <t>GÄVLEBORGS LÄN</t>
        </is>
      </c>
      <c r="E4925" t="inlineStr">
        <is>
          <t>BOLLNÄS</t>
        </is>
      </c>
      <c r="F4925" t="inlineStr">
        <is>
          <t>Bergvik skog väst AB</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5825-2025</t>
        </is>
      </c>
      <c r="B4926" s="1" t="n">
        <v>45694</v>
      </c>
      <c r="C4926" s="1" t="n">
        <v>45911</v>
      </c>
      <c r="D4926" t="inlineStr">
        <is>
          <t>GÄVLEBORGS LÄN</t>
        </is>
      </c>
      <c r="E4926" t="inlineStr">
        <is>
          <t>HUDIKSVALL</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1974-2025</t>
        </is>
      </c>
      <c r="B4927" s="1" t="n">
        <v>45672.39145833333</v>
      </c>
      <c r="C4927" s="1" t="n">
        <v>45911</v>
      </c>
      <c r="D4927" t="inlineStr">
        <is>
          <t>GÄVLEBORGS LÄN</t>
        </is>
      </c>
      <c r="E4927" t="inlineStr">
        <is>
          <t>GÄVLE</t>
        </is>
      </c>
      <c r="F4927" t="inlineStr">
        <is>
          <t>Kyrkan</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1988-2025</t>
        </is>
      </c>
      <c r="B4928" s="1" t="n">
        <v>45672.40888888889</v>
      </c>
      <c r="C4928" s="1" t="n">
        <v>45911</v>
      </c>
      <c r="D4928" t="inlineStr">
        <is>
          <t>GÄVLEBORGS LÄN</t>
        </is>
      </c>
      <c r="E4928" t="inlineStr">
        <is>
          <t>BOLLNÄS</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2006-2025</t>
        </is>
      </c>
      <c r="B4929" s="1" t="n">
        <v>45672.45166666667</v>
      </c>
      <c r="C4929" s="1" t="n">
        <v>45911</v>
      </c>
      <c r="D4929" t="inlineStr">
        <is>
          <t>GÄVLEBORGS LÄN</t>
        </is>
      </c>
      <c r="E4929" t="inlineStr">
        <is>
          <t>BOLLNÄS</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37631-2025</t>
        </is>
      </c>
      <c r="B4930" s="1" t="n">
        <v>45880.46456018519</v>
      </c>
      <c r="C4930" s="1" t="n">
        <v>45911</v>
      </c>
      <c r="D4930" t="inlineStr">
        <is>
          <t>GÄVLEBORGS LÄN</t>
        </is>
      </c>
      <c r="E4930" t="inlineStr">
        <is>
          <t>BOLLNÄS</t>
        </is>
      </c>
      <c r="G4930" t="n">
        <v>8.699999999999999</v>
      </c>
      <c r="H4930" t="n">
        <v>0</v>
      </c>
      <c r="I4930" t="n">
        <v>0</v>
      </c>
      <c r="J4930" t="n">
        <v>0</v>
      </c>
      <c r="K4930" t="n">
        <v>0</v>
      </c>
      <c r="L4930" t="n">
        <v>0</v>
      </c>
      <c r="M4930" t="n">
        <v>0</v>
      </c>
      <c r="N4930" t="n">
        <v>0</v>
      </c>
      <c r="O4930" t="n">
        <v>0</v>
      </c>
      <c r="P4930" t="n">
        <v>0</v>
      </c>
      <c r="Q4930" t="n">
        <v>0</v>
      </c>
      <c r="R4930" s="2" t="inlineStr"/>
    </row>
    <row r="4931" ht="15" customHeight="1">
      <c r="A4931" t="inlineStr">
        <is>
          <t>A 37725-2025</t>
        </is>
      </c>
      <c r="B4931" s="1" t="n">
        <v>45880.61875</v>
      </c>
      <c r="C4931" s="1" t="n">
        <v>45911</v>
      </c>
      <c r="D4931" t="inlineStr">
        <is>
          <t>GÄVLEBORGS LÄN</t>
        </is>
      </c>
      <c r="E4931" t="inlineStr">
        <is>
          <t>HUDIKSVALL</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3679-2022</t>
        </is>
      </c>
      <c r="B4932" s="1" t="n">
        <v>44586</v>
      </c>
      <c r="C4932" s="1" t="n">
        <v>45911</v>
      </c>
      <c r="D4932" t="inlineStr">
        <is>
          <t>GÄVLEBORGS LÄN</t>
        </is>
      </c>
      <c r="E4932" t="inlineStr">
        <is>
          <t>SANDVIKEN</t>
        </is>
      </c>
      <c r="G4932" t="n">
        <v>2.9</v>
      </c>
      <c r="H4932" t="n">
        <v>0</v>
      </c>
      <c r="I4932" t="n">
        <v>0</v>
      </c>
      <c r="J4932" t="n">
        <v>0</v>
      </c>
      <c r="K4932" t="n">
        <v>0</v>
      </c>
      <c r="L4932" t="n">
        <v>0</v>
      </c>
      <c r="M4932" t="n">
        <v>0</v>
      </c>
      <c r="N4932" t="n">
        <v>0</v>
      </c>
      <c r="O4932" t="n">
        <v>0</v>
      </c>
      <c r="P4932" t="n">
        <v>0</v>
      </c>
      <c r="Q4932" t="n">
        <v>0</v>
      </c>
      <c r="R4932" s="2" t="inlineStr"/>
    </row>
    <row r="4933" ht="15" customHeight="1">
      <c r="A4933" t="inlineStr">
        <is>
          <t>A 47292-2023</t>
        </is>
      </c>
      <c r="B4933" s="1" t="n">
        <v>45202.47064814815</v>
      </c>
      <c r="C4933" s="1" t="n">
        <v>45911</v>
      </c>
      <c r="D4933" t="inlineStr">
        <is>
          <t>GÄVLEBORGS LÄN</t>
        </is>
      </c>
      <c r="E4933" t="inlineStr">
        <is>
          <t>LJUSDAL</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59251-2024</t>
        </is>
      </c>
      <c r="B4934" s="1" t="n">
        <v>45637.59612268519</v>
      </c>
      <c r="C4934" s="1" t="n">
        <v>45911</v>
      </c>
      <c r="D4934" t="inlineStr">
        <is>
          <t>GÄVLEBORGS LÄN</t>
        </is>
      </c>
      <c r="E4934" t="inlineStr">
        <is>
          <t>LJUSDAL</t>
        </is>
      </c>
      <c r="G4934" t="n">
        <v>0.4</v>
      </c>
      <c r="H4934" t="n">
        <v>0</v>
      </c>
      <c r="I4934" t="n">
        <v>0</v>
      </c>
      <c r="J4934" t="n">
        <v>0</v>
      </c>
      <c r="K4934" t="n">
        <v>0</v>
      </c>
      <c r="L4934" t="n">
        <v>0</v>
      </c>
      <c r="M4934" t="n">
        <v>0</v>
      </c>
      <c r="N4934" t="n">
        <v>0</v>
      </c>
      <c r="O4934" t="n">
        <v>0</v>
      </c>
      <c r="P4934" t="n">
        <v>0</v>
      </c>
      <c r="Q4934" t="n">
        <v>0</v>
      </c>
      <c r="R4934" s="2" t="inlineStr"/>
    </row>
    <row r="4935" ht="15" customHeight="1">
      <c r="A4935" t="inlineStr">
        <is>
          <t>A 32622-2022</t>
        </is>
      </c>
      <c r="B4935" s="1" t="n">
        <v>44783.45782407407</v>
      </c>
      <c r="C4935" s="1" t="n">
        <v>45911</v>
      </c>
      <c r="D4935" t="inlineStr">
        <is>
          <t>GÄVLEBORGS LÄN</t>
        </is>
      </c>
      <c r="E4935" t="inlineStr">
        <is>
          <t>NORDANSTIG</t>
        </is>
      </c>
      <c r="G4935" t="n">
        <v>2.7</v>
      </c>
      <c r="H4935" t="n">
        <v>0</v>
      </c>
      <c r="I4935" t="n">
        <v>0</v>
      </c>
      <c r="J4935" t="n">
        <v>0</v>
      </c>
      <c r="K4935" t="n">
        <v>0</v>
      </c>
      <c r="L4935" t="n">
        <v>0</v>
      </c>
      <c r="M4935" t="n">
        <v>0</v>
      </c>
      <c r="N4935" t="n">
        <v>0</v>
      </c>
      <c r="O4935" t="n">
        <v>0</v>
      </c>
      <c r="P4935" t="n">
        <v>0</v>
      </c>
      <c r="Q4935" t="n">
        <v>0</v>
      </c>
      <c r="R4935" s="2" t="inlineStr"/>
    </row>
    <row r="4936" ht="15" customHeight="1">
      <c r="A4936" t="inlineStr">
        <is>
          <t>A 23440-2024</t>
        </is>
      </c>
      <c r="B4936" s="1" t="n">
        <v>45453</v>
      </c>
      <c r="C4936" s="1" t="n">
        <v>45911</v>
      </c>
      <c r="D4936" t="inlineStr">
        <is>
          <t>GÄVLEBORGS LÄN</t>
        </is>
      </c>
      <c r="E4936" t="inlineStr">
        <is>
          <t>BOLLNÄS</t>
        </is>
      </c>
      <c r="F4936" t="inlineStr">
        <is>
          <t>Bergvik skog väst AB</t>
        </is>
      </c>
      <c r="G4936" t="n">
        <v>3.7</v>
      </c>
      <c r="H4936" t="n">
        <v>0</v>
      </c>
      <c r="I4936" t="n">
        <v>0</v>
      </c>
      <c r="J4936" t="n">
        <v>0</v>
      </c>
      <c r="K4936" t="n">
        <v>0</v>
      </c>
      <c r="L4936" t="n">
        <v>0</v>
      </c>
      <c r="M4936" t="n">
        <v>0</v>
      </c>
      <c r="N4936" t="n">
        <v>0</v>
      </c>
      <c r="O4936" t="n">
        <v>0</v>
      </c>
      <c r="P4936" t="n">
        <v>0</v>
      </c>
      <c r="Q4936" t="n">
        <v>0</v>
      </c>
      <c r="R4936" s="2" t="inlineStr"/>
    </row>
    <row r="4937" ht="15" customHeight="1">
      <c r="A4937" t="inlineStr">
        <is>
          <t>A 48267-2023</t>
        </is>
      </c>
      <c r="B4937" s="1" t="n">
        <v>45205.54505787037</v>
      </c>
      <c r="C4937" s="1" t="n">
        <v>45911</v>
      </c>
      <c r="D4937" t="inlineStr">
        <is>
          <t>GÄVLEBORGS LÄN</t>
        </is>
      </c>
      <c r="E4937" t="inlineStr">
        <is>
          <t>OVANÅKER</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16401-2025</t>
        </is>
      </c>
      <c r="B4938" s="1" t="n">
        <v>45751</v>
      </c>
      <c r="C4938" s="1" t="n">
        <v>45911</v>
      </c>
      <c r="D4938" t="inlineStr">
        <is>
          <t>GÄVLEBORGS LÄN</t>
        </is>
      </c>
      <c r="E4938" t="inlineStr">
        <is>
          <t>GÄVLE</t>
        </is>
      </c>
      <c r="F4938" t="inlineStr">
        <is>
          <t>Bergvik skog väst AB</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16464-2025</t>
        </is>
      </c>
      <c r="B4939" s="1" t="n">
        <v>45751.53643518518</v>
      </c>
      <c r="C4939" s="1" t="n">
        <v>45911</v>
      </c>
      <c r="D4939" t="inlineStr">
        <is>
          <t>GÄVLEBORGS LÄN</t>
        </is>
      </c>
      <c r="E4939" t="inlineStr">
        <is>
          <t>OVANÅKER</t>
        </is>
      </c>
      <c r="G4939" t="n">
        <v>2.4</v>
      </c>
      <c r="H4939" t="n">
        <v>0</v>
      </c>
      <c r="I4939" t="n">
        <v>0</v>
      </c>
      <c r="J4939" t="n">
        <v>0</v>
      </c>
      <c r="K4939" t="n">
        <v>0</v>
      </c>
      <c r="L4939" t="n">
        <v>0</v>
      </c>
      <c r="M4939" t="n">
        <v>0</v>
      </c>
      <c r="N4939" t="n">
        <v>0</v>
      </c>
      <c r="O4939" t="n">
        <v>0</v>
      </c>
      <c r="P4939" t="n">
        <v>0</v>
      </c>
      <c r="Q4939" t="n">
        <v>0</v>
      </c>
      <c r="R4939" s="2" t="inlineStr"/>
    </row>
    <row r="4940" ht="15" customHeight="1">
      <c r="A4940" t="inlineStr">
        <is>
          <t>A 14284-2025</t>
        </is>
      </c>
      <c r="B4940" s="1" t="n">
        <v>45740.65900462963</v>
      </c>
      <c r="C4940" s="1" t="n">
        <v>45911</v>
      </c>
      <c r="D4940" t="inlineStr">
        <is>
          <t>GÄVLEBORGS LÄN</t>
        </is>
      </c>
      <c r="E4940" t="inlineStr">
        <is>
          <t>GÄVLE</t>
        </is>
      </c>
      <c r="G4940" t="n">
        <v>3.4</v>
      </c>
      <c r="H4940" t="n">
        <v>0</v>
      </c>
      <c r="I4940" t="n">
        <v>0</v>
      </c>
      <c r="J4940" t="n">
        <v>0</v>
      </c>
      <c r="K4940" t="n">
        <v>0</v>
      </c>
      <c r="L4940" t="n">
        <v>0</v>
      </c>
      <c r="M4940" t="n">
        <v>0</v>
      </c>
      <c r="N4940" t="n">
        <v>0</v>
      </c>
      <c r="O4940" t="n">
        <v>0</v>
      </c>
      <c r="P4940" t="n">
        <v>0</v>
      </c>
      <c r="Q4940" t="n">
        <v>0</v>
      </c>
      <c r="R4940" s="2" t="inlineStr"/>
    </row>
    <row r="4941" ht="15" customHeight="1">
      <c r="A4941" t="inlineStr">
        <is>
          <t>A 21187-2022</t>
        </is>
      </c>
      <c r="B4941" s="1" t="n">
        <v>44704.92609953704</v>
      </c>
      <c r="C4941" s="1" t="n">
        <v>45911</v>
      </c>
      <c r="D4941" t="inlineStr">
        <is>
          <t>GÄVLEBORGS LÄN</t>
        </is>
      </c>
      <c r="E4941" t="inlineStr">
        <is>
          <t>NORDANSTIG</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32299-2025</t>
        </is>
      </c>
      <c r="B4942" s="1" t="n">
        <v>45835</v>
      </c>
      <c r="C4942" s="1" t="n">
        <v>45911</v>
      </c>
      <c r="D4942" t="inlineStr">
        <is>
          <t>GÄVLEBORGS LÄN</t>
        </is>
      </c>
      <c r="E4942" t="inlineStr">
        <is>
          <t>HOFORS</t>
        </is>
      </c>
      <c r="F4942" t="inlineStr">
        <is>
          <t>Bergvik skog väst AB</t>
        </is>
      </c>
      <c r="G4942" t="n">
        <v>12.8</v>
      </c>
      <c r="H4942" t="n">
        <v>0</v>
      </c>
      <c r="I4942" t="n">
        <v>0</v>
      </c>
      <c r="J4942" t="n">
        <v>0</v>
      </c>
      <c r="K4942" t="n">
        <v>0</v>
      </c>
      <c r="L4942" t="n">
        <v>0</v>
      </c>
      <c r="M4942" t="n">
        <v>0</v>
      </c>
      <c r="N4942" t="n">
        <v>0</v>
      </c>
      <c r="O4942" t="n">
        <v>0</v>
      </c>
      <c r="P4942" t="n">
        <v>0</v>
      </c>
      <c r="Q4942" t="n">
        <v>0</v>
      </c>
      <c r="R4942" s="2" t="inlineStr"/>
    </row>
    <row r="4943" ht="15" customHeight="1">
      <c r="A4943" t="inlineStr">
        <is>
          <t>A 50791-2024</t>
        </is>
      </c>
      <c r="B4943" s="1" t="n">
        <v>45602.47328703704</v>
      </c>
      <c r="C4943" s="1" t="n">
        <v>45911</v>
      </c>
      <c r="D4943" t="inlineStr">
        <is>
          <t>GÄVLEBORGS LÄN</t>
        </is>
      </c>
      <c r="E4943" t="inlineStr">
        <is>
          <t>OVANÅKER</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50830-2024</t>
        </is>
      </c>
      <c r="B4944" s="1" t="n">
        <v>45602.58806712963</v>
      </c>
      <c r="C4944" s="1" t="n">
        <v>45911</v>
      </c>
      <c r="D4944" t="inlineStr">
        <is>
          <t>GÄVLEBORGS LÄN</t>
        </is>
      </c>
      <c r="E4944" t="inlineStr">
        <is>
          <t>LJUSDAL</t>
        </is>
      </c>
      <c r="F4944" t="inlineStr">
        <is>
          <t>Holmen skog AB</t>
        </is>
      </c>
      <c r="G4944" t="n">
        <v>16.9</v>
      </c>
      <c r="H4944" t="n">
        <v>0</v>
      </c>
      <c r="I4944" t="n">
        <v>0</v>
      </c>
      <c r="J4944" t="n">
        <v>0</v>
      </c>
      <c r="K4944" t="n">
        <v>0</v>
      </c>
      <c r="L4944" t="n">
        <v>0</v>
      </c>
      <c r="M4944" t="n">
        <v>0</v>
      </c>
      <c r="N4944" t="n">
        <v>0</v>
      </c>
      <c r="O4944" t="n">
        <v>0</v>
      </c>
      <c r="P4944" t="n">
        <v>0</v>
      </c>
      <c r="Q4944" t="n">
        <v>0</v>
      </c>
      <c r="R4944" s="2" t="inlineStr"/>
    </row>
    <row r="4945" ht="15" customHeight="1">
      <c r="A4945" t="inlineStr">
        <is>
          <t>A 32182-2025</t>
        </is>
      </c>
      <c r="B4945" s="1" t="n">
        <v>45835.56259259259</v>
      </c>
      <c r="C4945" s="1" t="n">
        <v>45911</v>
      </c>
      <c r="D4945" t="inlineStr">
        <is>
          <t>GÄVLEBORGS LÄN</t>
        </is>
      </c>
      <c r="E4945" t="inlineStr">
        <is>
          <t>OVANÅKER</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45289-2023</t>
        </is>
      </c>
      <c r="B4946" s="1" t="n">
        <v>45191.65313657407</v>
      </c>
      <c r="C4946" s="1" t="n">
        <v>45911</v>
      </c>
      <c r="D4946" t="inlineStr">
        <is>
          <t>GÄVLEBORGS LÄN</t>
        </is>
      </c>
      <c r="E4946" t="inlineStr">
        <is>
          <t>LJUSDAL</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37645-2025</t>
        </is>
      </c>
      <c r="B4947" s="1" t="n">
        <v>45880.48578703704</v>
      </c>
      <c r="C4947" s="1" t="n">
        <v>45911</v>
      </c>
      <c r="D4947" t="inlineStr">
        <is>
          <t>GÄVLEBORGS LÄN</t>
        </is>
      </c>
      <c r="E4947" t="inlineStr">
        <is>
          <t>HUDIKSVALL</t>
        </is>
      </c>
      <c r="G4947" t="n">
        <v>3.4</v>
      </c>
      <c r="H4947" t="n">
        <v>0</v>
      </c>
      <c r="I4947" t="n">
        <v>0</v>
      </c>
      <c r="J4947" t="n">
        <v>0</v>
      </c>
      <c r="K4947" t="n">
        <v>0</v>
      </c>
      <c r="L4947" t="n">
        <v>0</v>
      </c>
      <c r="M4947" t="n">
        <v>0</v>
      </c>
      <c r="N4947" t="n">
        <v>0</v>
      </c>
      <c r="O4947" t="n">
        <v>0</v>
      </c>
      <c r="P4947" t="n">
        <v>0</v>
      </c>
      <c r="Q4947" t="n">
        <v>0</v>
      </c>
      <c r="R4947" s="2" t="inlineStr"/>
    </row>
    <row r="4948" ht="15" customHeight="1">
      <c r="A4948" t="inlineStr">
        <is>
          <t>A 20657-2021</t>
        </is>
      </c>
      <c r="B4948" s="1" t="n">
        <v>44316</v>
      </c>
      <c r="C4948" s="1" t="n">
        <v>45911</v>
      </c>
      <c r="D4948" t="inlineStr">
        <is>
          <t>GÄVLEBORGS LÄN</t>
        </is>
      </c>
      <c r="E4948" t="inlineStr">
        <is>
          <t>GÄVLE</t>
        </is>
      </c>
      <c r="F4948" t="inlineStr">
        <is>
          <t>Kyrkan</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15464-2023</t>
        </is>
      </c>
      <c r="B4949" s="1" t="n">
        <v>45020.4343287037</v>
      </c>
      <c r="C4949" s="1" t="n">
        <v>45911</v>
      </c>
      <c r="D4949" t="inlineStr">
        <is>
          <t>GÄVLEBORGS LÄN</t>
        </is>
      </c>
      <c r="E4949" t="inlineStr">
        <is>
          <t>NORDANSTIG</t>
        </is>
      </c>
      <c r="F4949" t="inlineStr">
        <is>
          <t>Holmen skog AB</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5949-2021</t>
        </is>
      </c>
      <c r="B4950" s="1" t="n">
        <v>44231.61371527778</v>
      </c>
      <c r="C4950" s="1" t="n">
        <v>45911</v>
      </c>
      <c r="D4950" t="inlineStr">
        <is>
          <t>GÄVLEBORGS LÄN</t>
        </is>
      </c>
      <c r="E4950" t="inlineStr">
        <is>
          <t>NORDANSTIG</t>
        </is>
      </c>
      <c r="F4950" t="inlineStr">
        <is>
          <t>Holmen skog AB</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5972-2021</t>
        </is>
      </c>
      <c r="B4951" s="1" t="n">
        <v>44231</v>
      </c>
      <c r="C4951" s="1" t="n">
        <v>45911</v>
      </c>
      <c r="D4951" t="inlineStr">
        <is>
          <t>GÄVLEBORGS LÄN</t>
        </is>
      </c>
      <c r="E4951" t="inlineStr">
        <is>
          <t>GÄVLE</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32249-2025</t>
        </is>
      </c>
      <c r="B4952" s="1" t="n">
        <v>45835.62361111111</v>
      </c>
      <c r="C4952" s="1" t="n">
        <v>45911</v>
      </c>
      <c r="D4952" t="inlineStr">
        <is>
          <t>GÄVLEBORGS LÄN</t>
        </is>
      </c>
      <c r="E4952" t="inlineStr">
        <is>
          <t>OCKELBO</t>
        </is>
      </c>
      <c r="F4952" t="inlineStr">
        <is>
          <t>Bergvik skog väst AB</t>
        </is>
      </c>
      <c r="G4952" t="n">
        <v>8.699999999999999</v>
      </c>
      <c r="H4952" t="n">
        <v>0</v>
      </c>
      <c r="I4952" t="n">
        <v>0</v>
      </c>
      <c r="J4952" t="n">
        <v>0</v>
      </c>
      <c r="K4952" t="n">
        <v>0</v>
      </c>
      <c r="L4952" t="n">
        <v>0</v>
      </c>
      <c r="M4952" t="n">
        <v>0</v>
      </c>
      <c r="N4952" t="n">
        <v>0</v>
      </c>
      <c r="O4952" t="n">
        <v>0</v>
      </c>
      <c r="P4952" t="n">
        <v>0</v>
      </c>
      <c r="Q4952" t="n">
        <v>0</v>
      </c>
      <c r="R4952" s="2" t="inlineStr"/>
    </row>
    <row r="4953" ht="15" customHeight="1">
      <c r="A4953" t="inlineStr">
        <is>
          <t>A 32250-2025</t>
        </is>
      </c>
      <c r="B4953" s="1" t="n">
        <v>45835.62608796296</v>
      </c>
      <c r="C4953" s="1" t="n">
        <v>45911</v>
      </c>
      <c r="D4953" t="inlineStr">
        <is>
          <t>GÄVLEBORGS LÄN</t>
        </is>
      </c>
      <c r="E4953" t="inlineStr">
        <is>
          <t>HUDIKSVALL</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32258-2025</t>
        </is>
      </c>
      <c r="B4954" s="1" t="n">
        <v>45835.64104166667</v>
      </c>
      <c r="C4954" s="1" t="n">
        <v>45911</v>
      </c>
      <c r="D4954" t="inlineStr">
        <is>
          <t>GÄVLEBORGS LÄN</t>
        </is>
      </c>
      <c r="E4954" t="inlineStr">
        <is>
          <t>OVANÅKER</t>
        </is>
      </c>
      <c r="F4954" t="inlineStr">
        <is>
          <t>Bergvik skog öst AB</t>
        </is>
      </c>
      <c r="G4954" t="n">
        <v>6.8</v>
      </c>
      <c r="H4954" t="n">
        <v>0</v>
      </c>
      <c r="I4954" t="n">
        <v>0</v>
      </c>
      <c r="J4954" t="n">
        <v>0</v>
      </c>
      <c r="K4954" t="n">
        <v>0</v>
      </c>
      <c r="L4954" t="n">
        <v>0</v>
      </c>
      <c r="M4954" t="n">
        <v>0</v>
      </c>
      <c r="N4954" t="n">
        <v>0</v>
      </c>
      <c r="O4954" t="n">
        <v>0</v>
      </c>
      <c r="P4954" t="n">
        <v>0</v>
      </c>
      <c r="Q4954" t="n">
        <v>0</v>
      </c>
      <c r="R4954" s="2" t="inlineStr"/>
    </row>
    <row r="4955" ht="15" customHeight="1">
      <c r="A4955" t="inlineStr">
        <is>
          <t>A 1244-2023</t>
        </is>
      </c>
      <c r="B4955" s="1" t="n">
        <v>44936.34145833334</v>
      </c>
      <c r="C4955" s="1" t="n">
        <v>45911</v>
      </c>
      <c r="D4955" t="inlineStr">
        <is>
          <t>GÄVLEBORGS LÄN</t>
        </is>
      </c>
      <c r="E4955" t="inlineStr">
        <is>
          <t>GÄVLE</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13667-2023</t>
        </is>
      </c>
      <c r="B4956" s="1" t="n">
        <v>45006</v>
      </c>
      <c r="C4956" s="1" t="n">
        <v>45911</v>
      </c>
      <c r="D4956" t="inlineStr">
        <is>
          <t>GÄVLEBORGS LÄN</t>
        </is>
      </c>
      <c r="E4956" t="inlineStr">
        <is>
          <t>LJUSDAL</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66351-2021</t>
        </is>
      </c>
      <c r="B4957" s="1" t="n">
        <v>44518</v>
      </c>
      <c r="C4957" s="1" t="n">
        <v>45911</v>
      </c>
      <c r="D4957" t="inlineStr">
        <is>
          <t>GÄVLEBORGS LÄN</t>
        </is>
      </c>
      <c r="E4957" t="inlineStr">
        <is>
          <t>GÄVLE</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70258-2021</t>
        </is>
      </c>
      <c r="B4958" s="1" t="n">
        <v>44536.33039351852</v>
      </c>
      <c r="C4958" s="1" t="n">
        <v>45911</v>
      </c>
      <c r="D4958" t="inlineStr">
        <is>
          <t>GÄVLEBORGS LÄN</t>
        </is>
      </c>
      <c r="E4958" t="inlineStr">
        <is>
          <t>HUDIKSVALL</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15883-2023</t>
        </is>
      </c>
      <c r="B4959" s="1" t="n">
        <v>45022</v>
      </c>
      <c r="C4959" s="1" t="n">
        <v>45911</v>
      </c>
      <c r="D4959" t="inlineStr">
        <is>
          <t>GÄVLEBORGS LÄN</t>
        </is>
      </c>
      <c r="E4959" t="inlineStr">
        <is>
          <t>HUDIKSVALL</t>
        </is>
      </c>
      <c r="G4959" t="n">
        <v>9.6</v>
      </c>
      <c r="H4959" t="n">
        <v>0</v>
      </c>
      <c r="I4959" t="n">
        <v>0</v>
      </c>
      <c r="J4959" t="n">
        <v>0</v>
      </c>
      <c r="K4959" t="n">
        <v>0</v>
      </c>
      <c r="L4959" t="n">
        <v>0</v>
      </c>
      <c r="M4959" t="n">
        <v>0</v>
      </c>
      <c r="N4959" t="n">
        <v>0</v>
      </c>
      <c r="O4959" t="n">
        <v>0</v>
      </c>
      <c r="P4959" t="n">
        <v>0</v>
      </c>
      <c r="Q4959" t="n">
        <v>0</v>
      </c>
      <c r="R4959" s="2" t="inlineStr"/>
      <c r="U4959">
        <f>HYPERLINK("https://klasma.github.io/Logging_2184/knärot/A 15883-2023 karta knärot.png", "A 15883-2023")</f>
        <v/>
      </c>
      <c r="V4959">
        <f>HYPERLINK("https://klasma.github.io/Logging_2184/klagomål/A 15883-2023 FSC-klagomål.docx", "A 15883-2023")</f>
        <v/>
      </c>
      <c r="W4959">
        <f>HYPERLINK("https://klasma.github.io/Logging_2184/klagomålsmail/A 15883-2023 FSC-klagomål mail.docx", "A 15883-2023")</f>
        <v/>
      </c>
      <c r="X4959">
        <f>HYPERLINK("https://klasma.github.io/Logging_2184/tillsyn/A 15883-2023 tillsynsbegäran.docx", "A 15883-2023")</f>
        <v/>
      </c>
      <c r="Y4959">
        <f>HYPERLINK("https://klasma.github.io/Logging_2184/tillsynsmail/A 15883-2023 tillsynsbegäran mail.docx", "A 15883-2023")</f>
        <v/>
      </c>
    </row>
    <row r="4960" ht="15" customHeight="1">
      <c r="A4960" t="inlineStr">
        <is>
          <t>A 31948-2025</t>
        </is>
      </c>
      <c r="B4960" s="1" t="n">
        <v>45835.32489583334</v>
      </c>
      <c r="C4960" s="1" t="n">
        <v>45911</v>
      </c>
      <c r="D4960" t="inlineStr">
        <is>
          <t>GÄVLEBORGS LÄN</t>
        </is>
      </c>
      <c r="E4960" t="inlineStr">
        <is>
          <t>BOLLNÄS</t>
        </is>
      </c>
      <c r="F4960" t="inlineStr">
        <is>
          <t>Bergvik skog väst AB</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32165-2025</t>
        </is>
      </c>
      <c r="B4961" s="1" t="n">
        <v>45835.54614583333</v>
      </c>
      <c r="C4961" s="1" t="n">
        <v>45911</v>
      </c>
      <c r="D4961" t="inlineStr">
        <is>
          <t>GÄVLEBORGS LÄN</t>
        </is>
      </c>
      <c r="E4961" t="inlineStr">
        <is>
          <t>BOLLNÄS</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35303-2023</t>
        </is>
      </c>
      <c r="B4962" s="1" t="n">
        <v>45146.34653935185</v>
      </c>
      <c r="C4962" s="1" t="n">
        <v>45911</v>
      </c>
      <c r="D4962" t="inlineStr">
        <is>
          <t>GÄVLEBORGS LÄN</t>
        </is>
      </c>
      <c r="E4962" t="inlineStr">
        <is>
          <t>HUDIKSVALL</t>
        </is>
      </c>
      <c r="F4962" t="inlineStr">
        <is>
          <t>Holmen skog AB</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59930-2024</t>
        </is>
      </c>
      <c r="B4963" s="1" t="n">
        <v>45642</v>
      </c>
      <c r="C4963" s="1" t="n">
        <v>45911</v>
      </c>
      <c r="D4963" t="inlineStr">
        <is>
          <t>GÄVLEBORGS LÄN</t>
        </is>
      </c>
      <c r="E4963" t="inlineStr">
        <is>
          <t>NORDANSTIG</t>
        </is>
      </c>
      <c r="G4963" t="n">
        <v>0.1</v>
      </c>
      <c r="H4963" t="n">
        <v>0</v>
      </c>
      <c r="I4963" t="n">
        <v>0</v>
      </c>
      <c r="J4963" t="n">
        <v>0</v>
      </c>
      <c r="K4963" t="n">
        <v>0</v>
      </c>
      <c r="L4963" t="n">
        <v>0</v>
      </c>
      <c r="M4963" t="n">
        <v>0</v>
      </c>
      <c r="N4963" t="n">
        <v>0</v>
      </c>
      <c r="O4963" t="n">
        <v>0</v>
      </c>
      <c r="P4963" t="n">
        <v>0</v>
      </c>
      <c r="Q4963" t="n">
        <v>0</v>
      </c>
      <c r="R4963" s="2" t="inlineStr"/>
    </row>
    <row r="4964" ht="15" customHeight="1">
      <c r="A4964" t="inlineStr">
        <is>
          <t>A 32169-2025</t>
        </is>
      </c>
      <c r="B4964" s="1" t="n">
        <v>45835.55002314815</v>
      </c>
      <c r="C4964" s="1" t="n">
        <v>45911</v>
      </c>
      <c r="D4964" t="inlineStr">
        <is>
          <t>GÄVLEBORGS LÄN</t>
        </is>
      </c>
      <c r="E4964" t="inlineStr">
        <is>
          <t>OVANÅKER</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14629-2025</t>
        </is>
      </c>
      <c r="B4965" s="1" t="n">
        <v>45742.42773148148</v>
      </c>
      <c r="C4965" s="1" t="n">
        <v>45911</v>
      </c>
      <c r="D4965" t="inlineStr">
        <is>
          <t>GÄVLEBORGS LÄN</t>
        </is>
      </c>
      <c r="E4965" t="inlineStr">
        <is>
          <t>GÄVLE</t>
        </is>
      </c>
      <c r="F4965" t="inlineStr">
        <is>
          <t>Bergvik skog öst AB</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41962-2022</t>
        </is>
      </c>
      <c r="B4966" s="1" t="n">
        <v>44830</v>
      </c>
      <c r="C4966" s="1" t="n">
        <v>45911</v>
      </c>
      <c r="D4966" t="inlineStr">
        <is>
          <t>GÄVLEBORGS LÄN</t>
        </is>
      </c>
      <c r="E4966" t="inlineStr">
        <is>
          <t>BOLLNÄS</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14675-2025</t>
        </is>
      </c>
      <c r="B4967" s="1" t="n">
        <v>45742.55755787037</v>
      </c>
      <c r="C4967" s="1" t="n">
        <v>45911</v>
      </c>
      <c r="D4967" t="inlineStr">
        <is>
          <t>GÄVLEBORGS LÄN</t>
        </is>
      </c>
      <c r="E4967" t="inlineStr">
        <is>
          <t>GÄVLE</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32058-2025</t>
        </is>
      </c>
      <c r="B4968" s="1" t="n">
        <v>45835.44465277778</v>
      </c>
      <c r="C4968" s="1" t="n">
        <v>45911</v>
      </c>
      <c r="D4968" t="inlineStr">
        <is>
          <t>GÄVLEBORGS LÄN</t>
        </is>
      </c>
      <c r="E4968" t="inlineStr">
        <is>
          <t>GÄVLE</t>
        </is>
      </c>
      <c r="G4968" t="n">
        <v>2.9</v>
      </c>
      <c r="H4968" t="n">
        <v>0</v>
      </c>
      <c r="I4968" t="n">
        <v>0</v>
      </c>
      <c r="J4968" t="n">
        <v>0</v>
      </c>
      <c r="K4968" t="n">
        <v>0</v>
      </c>
      <c r="L4968" t="n">
        <v>0</v>
      </c>
      <c r="M4968" t="n">
        <v>0</v>
      </c>
      <c r="N4968" t="n">
        <v>0</v>
      </c>
      <c r="O4968" t="n">
        <v>0</v>
      </c>
      <c r="P4968" t="n">
        <v>0</v>
      </c>
      <c r="Q4968" t="n">
        <v>0</v>
      </c>
      <c r="R4968" s="2" t="inlineStr"/>
    </row>
    <row r="4969" ht="15" customHeight="1">
      <c r="A4969" t="inlineStr">
        <is>
          <t>A 15144-2025</t>
        </is>
      </c>
      <c r="B4969" s="1" t="n">
        <v>45744.43273148148</v>
      </c>
      <c r="C4969" s="1" t="n">
        <v>45911</v>
      </c>
      <c r="D4969" t="inlineStr">
        <is>
          <t>GÄVLEBORGS LÄN</t>
        </is>
      </c>
      <c r="E4969" t="inlineStr">
        <is>
          <t>GÄVLE</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15146-2025</t>
        </is>
      </c>
      <c r="B4970" s="1" t="n">
        <v>45744.45096064815</v>
      </c>
      <c r="C4970" s="1" t="n">
        <v>45911</v>
      </c>
      <c r="D4970" t="inlineStr">
        <is>
          <t>GÄVLEBORGS LÄN</t>
        </is>
      </c>
      <c r="E4970" t="inlineStr">
        <is>
          <t>GÄVLE</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58112-2024</t>
        </is>
      </c>
      <c r="B4971" s="1" t="n">
        <v>45632.38268518518</v>
      </c>
      <c r="C4971" s="1" t="n">
        <v>45911</v>
      </c>
      <c r="D4971" t="inlineStr">
        <is>
          <t>GÄVLEBORGS LÄN</t>
        </is>
      </c>
      <c r="E4971" t="inlineStr">
        <is>
          <t>NORDANSTIG</t>
        </is>
      </c>
      <c r="F4971" t="inlineStr">
        <is>
          <t>Holmen skog AB</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32201-2022</t>
        </is>
      </c>
      <c r="B4972" s="1" t="n">
        <v>44781</v>
      </c>
      <c r="C4972" s="1" t="n">
        <v>45911</v>
      </c>
      <c r="D4972" t="inlineStr">
        <is>
          <t>GÄVLEBORGS LÄN</t>
        </is>
      </c>
      <c r="E4972" t="inlineStr">
        <is>
          <t>HUDIKSVALL</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14986-2025</t>
        </is>
      </c>
      <c r="B4973" s="1" t="n">
        <v>45743.60083333333</v>
      </c>
      <c r="C4973" s="1" t="n">
        <v>45911</v>
      </c>
      <c r="D4973" t="inlineStr">
        <is>
          <t>GÄVLEBORGS LÄN</t>
        </is>
      </c>
      <c r="E4973" t="inlineStr">
        <is>
          <t>BOLLNÄS</t>
        </is>
      </c>
      <c r="F4973" t="inlineStr">
        <is>
          <t>Bergvik skog väst AB</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32087-2025</t>
        </is>
      </c>
      <c r="B4974" s="1" t="n">
        <v>45835.45553240741</v>
      </c>
      <c r="C4974" s="1" t="n">
        <v>45911</v>
      </c>
      <c r="D4974" t="inlineStr">
        <is>
          <t>GÄVLEBORGS LÄN</t>
        </is>
      </c>
      <c r="E4974" t="inlineStr">
        <is>
          <t>OCKELBO</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64801-2023</t>
        </is>
      </c>
      <c r="B4975" s="1" t="n">
        <v>45282.39997685186</v>
      </c>
      <c r="C4975" s="1" t="n">
        <v>45911</v>
      </c>
      <c r="D4975" t="inlineStr">
        <is>
          <t>GÄVLEBORGS LÄN</t>
        </is>
      </c>
      <c r="E4975" t="inlineStr">
        <is>
          <t>SANDVIKEN</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64868-2023</t>
        </is>
      </c>
      <c r="B4976" s="1" t="n">
        <v>45282</v>
      </c>
      <c r="C4976" s="1" t="n">
        <v>45911</v>
      </c>
      <c r="D4976" t="inlineStr">
        <is>
          <t>GÄVLEBORGS LÄN</t>
        </is>
      </c>
      <c r="E4976" t="inlineStr">
        <is>
          <t>GÄVLE</t>
        </is>
      </c>
      <c r="G4976" t="n">
        <v>0.2</v>
      </c>
      <c r="H4976" t="n">
        <v>0</v>
      </c>
      <c r="I4976" t="n">
        <v>0</v>
      </c>
      <c r="J4976" t="n">
        <v>0</v>
      </c>
      <c r="K4976" t="n">
        <v>0</v>
      </c>
      <c r="L4976" t="n">
        <v>0</v>
      </c>
      <c r="M4976" t="n">
        <v>0</v>
      </c>
      <c r="N4976" t="n">
        <v>0</v>
      </c>
      <c r="O4976" t="n">
        <v>0</v>
      </c>
      <c r="P4976" t="n">
        <v>0</v>
      </c>
      <c r="Q4976" t="n">
        <v>0</v>
      </c>
      <c r="R4976" s="2" t="inlineStr"/>
    </row>
    <row r="4977" ht="15" customHeight="1">
      <c r="A4977" t="inlineStr">
        <is>
          <t>A 64873-2023</t>
        </is>
      </c>
      <c r="B4977" s="1" t="n">
        <v>45282</v>
      </c>
      <c r="C4977" s="1" t="n">
        <v>45911</v>
      </c>
      <c r="D4977" t="inlineStr">
        <is>
          <t>GÄVLEBORGS LÄN</t>
        </is>
      </c>
      <c r="E4977" t="inlineStr">
        <is>
          <t>GÄVLE</t>
        </is>
      </c>
      <c r="G4977" t="n">
        <v>0.4</v>
      </c>
      <c r="H4977" t="n">
        <v>0</v>
      </c>
      <c r="I4977" t="n">
        <v>0</v>
      </c>
      <c r="J4977" t="n">
        <v>0</v>
      </c>
      <c r="K4977" t="n">
        <v>0</v>
      </c>
      <c r="L4977" t="n">
        <v>0</v>
      </c>
      <c r="M4977" t="n">
        <v>0</v>
      </c>
      <c r="N4977" t="n">
        <v>0</v>
      </c>
      <c r="O4977" t="n">
        <v>0</v>
      </c>
      <c r="P4977" t="n">
        <v>0</v>
      </c>
      <c r="Q4977" t="n">
        <v>0</v>
      </c>
      <c r="R4977" s="2" t="inlineStr"/>
    </row>
    <row r="4978" ht="15" customHeight="1">
      <c r="A4978" t="inlineStr">
        <is>
          <t>A 32411-2025</t>
        </is>
      </c>
      <c r="B4978" s="1" t="n">
        <v>45838.33667824074</v>
      </c>
      <c r="C4978" s="1" t="n">
        <v>45911</v>
      </c>
      <c r="D4978" t="inlineStr">
        <is>
          <t>GÄVLEBORGS LÄN</t>
        </is>
      </c>
      <c r="E4978" t="inlineStr">
        <is>
          <t>BOLLNÄS</t>
        </is>
      </c>
      <c r="F4978" t="inlineStr">
        <is>
          <t>Bergvik skog väst AB</t>
        </is>
      </c>
      <c r="G4978" t="n">
        <v>2.9</v>
      </c>
      <c r="H4978" t="n">
        <v>0</v>
      </c>
      <c r="I4978" t="n">
        <v>0</v>
      </c>
      <c r="J4978" t="n">
        <v>0</v>
      </c>
      <c r="K4978" t="n">
        <v>0</v>
      </c>
      <c r="L4978" t="n">
        <v>0</v>
      </c>
      <c r="M4978" t="n">
        <v>0</v>
      </c>
      <c r="N4978" t="n">
        <v>0</v>
      </c>
      <c r="O4978" t="n">
        <v>0</v>
      </c>
      <c r="P4978" t="n">
        <v>0</v>
      </c>
      <c r="Q4978" t="n">
        <v>0</v>
      </c>
      <c r="R4978" s="2" t="inlineStr"/>
    </row>
    <row r="4979" ht="15" customHeight="1">
      <c r="A4979" t="inlineStr">
        <is>
          <t>A 37444-2025</t>
        </is>
      </c>
      <c r="B4979" s="1" t="n">
        <v>45877.54305555556</v>
      </c>
      <c r="C4979" s="1" t="n">
        <v>45911</v>
      </c>
      <c r="D4979" t="inlineStr">
        <is>
          <t>GÄVLEBORGS LÄN</t>
        </is>
      </c>
      <c r="E4979" t="inlineStr">
        <is>
          <t>HOFORS</t>
        </is>
      </c>
      <c r="F4979" t="inlineStr">
        <is>
          <t>Sveaskog</t>
        </is>
      </c>
      <c r="G4979" t="n">
        <v>4.8</v>
      </c>
      <c r="H4979" t="n">
        <v>0</v>
      </c>
      <c r="I4979" t="n">
        <v>0</v>
      </c>
      <c r="J4979" t="n">
        <v>0</v>
      </c>
      <c r="K4979" t="n">
        <v>0</v>
      </c>
      <c r="L4979" t="n">
        <v>0</v>
      </c>
      <c r="M4979" t="n">
        <v>0</v>
      </c>
      <c r="N4979" t="n">
        <v>0</v>
      </c>
      <c r="O4979" t="n">
        <v>0</v>
      </c>
      <c r="P4979" t="n">
        <v>0</v>
      </c>
      <c r="Q4979" t="n">
        <v>0</v>
      </c>
      <c r="R4979" s="2" t="inlineStr"/>
    </row>
    <row r="4980" ht="15" customHeight="1">
      <c r="A4980" t="inlineStr">
        <is>
          <t>A 31936-2025</t>
        </is>
      </c>
      <c r="B4980" s="1" t="n">
        <v>45834.98055555556</v>
      </c>
      <c r="C4980" s="1" t="n">
        <v>45911</v>
      </c>
      <c r="D4980" t="inlineStr">
        <is>
          <t>GÄVLEBORGS LÄN</t>
        </is>
      </c>
      <c r="E4980" t="inlineStr">
        <is>
          <t>HUDIKSVALL</t>
        </is>
      </c>
      <c r="G4980" t="n">
        <v>3.8</v>
      </c>
      <c r="H4980" t="n">
        <v>0</v>
      </c>
      <c r="I4980" t="n">
        <v>0</v>
      </c>
      <c r="J4980" t="n">
        <v>0</v>
      </c>
      <c r="K4980" t="n">
        <v>0</v>
      </c>
      <c r="L4980" t="n">
        <v>0</v>
      </c>
      <c r="M4980" t="n">
        <v>0</v>
      </c>
      <c r="N4980" t="n">
        <v>0</v>
      </c>
      <c r="O4980" t="n">
        <v>0</v>
      </c>
      <c r="P4980" t="n">
        <v>0</v>
      </c>
      <c r="Q4980" t="n">
        <v>0</v>
      </c>
      <c r="R4980" s="2" t="inlineStr"/>
    </row>
    <row r="4981" ht="15" customHeight="1">
      <c r="A4981" t="inlineStr">
        <is>
          <t>A 31954-2025</t>
        </is>
      </c>
      <c r="B4981" s="1" t="n">
        <v>45835.34113425926</v>
      </c>
      <c r="C4981" s="1" t="n">
        <v>45911</v>
      </c>
      <c r="D4981" t="inlineStr">
        <is>
          <t>GÄVLEBORGS LÄN</t>
        </is>
      </c>
      <c r="E4981" t="inlineStr">
        <is>
          <t>BOLLNÄS</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15101-2025</t>
        </is>
      </c>
      <c r="B4982" s="1" t="n">
        <v>45744.34550925926</v>
      </c>
      <c r="C4982" s="1" t="n">
        <v>45911</v>
      </c>
      <c r="D4982" t="inlineStr">
        <is>
          <t>GÄVLEBORGS LÄN</t>
        </is>
      </c>
      <c r="E4982" t="inlineStr">
        <is>
          <t>GÄVLE</t>
        </is>
      </c>
      <c r="F4982" t="inlineStr">
        <is>
          <t>Bergvik skog öst AB</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32141-2025</t>
        </is>
      </c>
      <c r="B4983" s="1" t="n">
        <v>45835.52337962963</v>
      </c>
      <c r="C4983" s="1" t="n">
        <v>45911</v>
      </c>
      <c r="D4983" t="inlineStr">
        <is>
          <t>GÄVLEBORGS LÄN</t>
        </is>
      </c>
      <c r="E4983" t="inlineStr">
        <is>
          <t>HUDIKSVALL</t>
        </is>
      </c>
      <c r="G4983" t="n">
        <v>3.8</v>
      </c>
      <c r="H4983" t="n">
        <v>0</v>
      </c>
      <c r="I4983" t="n">
        <v>0</v>
      </c>
      <c r="J4983" t="n">
        <v>0</v>
      </c>
      <c r="K4983" t="n">
        <v>0</v>
      </c>
      <c r="L4983" t="n">
        <v>0</v>
      </c>
      <c r="M4983" t="n">
        <v>0</v>
      </c>
      <c r="N4983" t="n">
        <v>0</v>
      </c>
      <c r="O4983" t="n">
        <v>0</v>
      </c>
      <c r="P4983" t="n">
        <v>0</v>
      </c>
      <c r="Q4983" t="n">
        <v>0</v>
      </c>
      <c r="R4983" s="2" t="inlineStr"/>
    </row>
    <row r="4984" ht="15" customHeight="1">
      <c r="A4984" t="inlineStr">
        <is>
          <t>A 32034-2025</t>
        </is>
      </c>
      <c r="B4984" s="1" t="n">
        <v>45835.42241898148</v>
      </c>
      <c r="C4984" s="1" t="n">
        <v>45911</v>
      </c>
      <c r="D4984" t="inlineStr">
        <is>
          <t>GÄVLEBORGS LÄN</t>
        </is>
      </c>
      <c r="E4984" t="inlineStr">
        <is>
          <t>NORDANSTIG</t>
        </is>
      </c>
      <c r="F4984" t="inlineStr">
        <is>
          <t>Holmen skog AB</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32049-2025</t>
        </is>
      </c>
      <c r="B4985" s="1" t="n">
        <v>45835.44109953703</v>
      </c>
      <c r="C4985" s="1" t="n">
        <v>45911</v>
      </c>
      <c r="D4985" t="inlineStr">
        <is>
          <t>GÄVLEBORGS LÄN</t>
        </is>
      </c>
      <c r="E4985" t="inlineStr">
        <is>
          <t>GÄVLE</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32050-2025</t>
        </is>
      </c>
      <c r="B4986" s="1" t="n">
        <v>45835.44179398148</v>
      </c>
      <c r="C4986" s="1" t="n">
        <v>45911</v>
      </c>
      <c r="D4986" t="inlineStr">
        <is>
          <t>GÄVLEBORGS LÄN</t>
        </is>
      </c>
      <c r="E4986" t="inlineStr">
        <is>
          <t>SÖDERHAMN</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15126-2025</t>
        </is>
      </c>
      <c r="B4987" s="1" t="n">
        <v>45744.37953703704</v>
      </c>
      <c r="C4987" s="1" t="n">
        <v>45911</v>
      </c>
      <c r="D4987" t="inlineStr">
        <is>
          <t>GÄVLEBORGS LÄN</t>
        </is>
      </c>
      <c r="E4987" t="inlineStr">
        <is>
          <t>GÄVLE</t>
        </is>
      </c>
      <c r="F4987" t="inlineStr">
        <is>
          <t>Bergvik skog öst AB</t>
        </is>
      </c>
      <c r="G4987" t="n">
        <v>2.7</v>
      </c>
      <c r="H4987" t="n">
        <v>0</v>
      </c>
      <c r="I4987" t="n">
        <v>0</v>
      </c>
      <c r="J4987" t="n">
        <v>0</v>
      </c>
      <c r="K4987" t="n">
        <v>0</v>
      </c>
      <c r="L4987" t="n">
        <v>0</v>
      </c>
      <c r="M4987" t="n">
        <v>0</v>
      </c>
      <c r="N4987" t="n">
        <v>0</v>
      </c>
      <c r="O4987" t="n">
        <v>0</v>
      </c>
      <c r="P4987" t="n">
        <v>0</v>
      </c>
      <c r="Q4987" t="n">
        <v>0</v>
      </c>
      <c r="R4987" s="2" t="inlineStr"/>
    </row>
    <row r="4988" ht="15" customHeight="1">
      <c r="A4988" t="inlineStr">
        <is>
          <t>A 32167-2025</t>
        </is>
      </c>
      <c r="B4988" s="1" t="n">
        <v>45835.54738425926</v>
      </c>
      <c r="C4988" s="1" t="n">
        <v>45911</v>
      </c>
      <c r="D4988" t="inlineStr">
        <is>
          <t>GÄVLEBORGS LÄN</t>
        </is>
      </c>
      <c r="E4988" t="inlineStr">
        <is>
          <t>HUDIKSVALL</t>
        </is>
      </c>
      <c r="F4988" t="inlineStr">
        <is>
          <t>Holmen skog AB</t>
        </is>
      </c>
      <c r="G4988" t="n">
        <v>13.7</v>
      </c>
      <c r="H4988" t="n">
        <v>0</v>
      </c>
      <c r="I4988" t="n">
        <v>0</v>
      </c>
      <c r="J4988" t="n">
        <v>0</v>
      </c>
      <c r="K4988" t="n">
        <v>0</v>
      </c>
      <c r="L4988" t="n">
        <v>0</v>
      </c>
      <c r="M4988" t="n">
        <v>0</v>
      </c>
      <c r="N4988" t="n">
        <v>0</v>
      </c>
      <c r="O4988" t="n">
        <v>0</v>
      </c>
      <c r="P4988" t="n">
        <v>0</v>
      </c>
      <c r="Q4988" t="n">
        <v>0</v>
      </c>
      <c r="R4988" s="2" t="inlineStr"/>
    </row>
    <row r="4989" ht="15" customHeight="1">
      <c r="A4989" t="inlineStr">
        <is>
          <t>A 32092-2025</t>
        </is>
      </c>
      <c r="B4989" s="1" t="n">
        <v>45835.45920138889</v>
      </c>
      <c r="C4989" s="1" t="n">
        <v>45911</v>
      </c>
      <c r="D4989" t="inlineStr">
        <is>
          <t>GÄVLEBORGS LÄN</t>
        </is>
      </c>
      <c r="E4989" t="inlineStr">
        <is>
          <t>NORDANSTIG</t>
        </is>
      </c>
      <c r="F4989" t="inlineStr">
        <is>
          <t>Holmen skog AB</t>
        </is>
      </c>
      <c r="G4989" t="n">
        <v>6</v>
      </c>
      <c r="H4989" t="n">
        <v>0</v>
      </c>
      <c r="I4989" t="n">
        <v>0</v>
      </c>
      <c r="J4989" t="n">
        <v>0</v>
      </c>
      <c r="K4989" t="n">
        <v>0</v>
      </c>
      <c r="L4989" t="n">
        <v>0</v>
      </c>
      <c r="M4989" t="n">
        <v>0</v>
      </c>
      <c r="N4989" t="n">
        <v>0</v>
      </c>
      <c r="O4989" t="n">
        <v>0</v>
      </c>
      <c r="P4989" t="n">
        <v>0</v>
      </c>
      <c r="Q4989" t="n">
        <v>0</v>
      </c>
      <c r="R4989" s="2" t="inlineStr"/>
    </row>
    <row r="4990" ht="15" customHeight="1">
      <c r="A4990" t="inlineStr">
        <is>
          <t>A 32105-2025</t>
        </is>
      </c>
      <c r="B4990" s="1" t="n">
        <v>45835.47226851852</v>
      </c>
      <c r="C4990" s="1" t="n">
        <v>45911</v>
      </c>
      <c r="D4990" t="inlineStr">
        <is>
          <t>GÄVLEBORGS LÄN</t>
        </is>
      </c>
      <c r="E4990" t="inlineStr">
        <is>
          <t>NORDANSTIG</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63643-2023</t>
        </is>
      </c>
      <c r="B4991" s="1" t="n">
        <v>45275.5827662037</v>
      </c>
      <c r="C4991" s="1" t="n">
        <v>45911</v>
      </c>
      <c r="D4991" t="inlineStr">
        <is>
          <t>GÄVLEBORGS LÄN</t>
        </is>
      </c>
      <c r="E4991" t="inlineStr">
        <is>
          <t>HUDIKSVALL</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51922-2022</t>
        </is>
      </c>
      <c r="B4992" s="1" t="n">
        <v>44872</v>
      </c>
      <c r="C4992" s="1" t="n">
        <v>45911</v>
      </c>
      <c r="D4992" t="inlineStr">
        <is>
          <t>GÄVLEBORGS LÄN</t>
        </is>
      </c>
      <c r="E4992" t="inlineStr">
        <is>
          <t>LJUSDAL</t>
        </is>
      </c>
      <c r="F4992" t="inlineStr">
        <is>
          <t>Kommuner</t>
        </is>
      </c>
      <c r="G4992" t="n">
        <v>5</v>
      </c>
      <c r="H4992" t="n">
        <v>0</v>
      </c>
      <c r="I4992" t="n">
        <v>0</v>
      </c>
      <c r="J4992" t="n">
        <v>0</v>
      </c>
      <c r="K4992" t="n">
        <v>0</v>
      </c>
      <c r="L4992" t="n">
        <v>0</v>
      </c>
      <c r="M4992" t="n">
        <v>0</v>
      </c>
      <c r="N4992" t="n">
        <v>0</v>
      </c>
      <c r="O4992" t="n">
        <v>0</v>
      </c>
      <c r="P4992" t="n">
        <v>0</v>
      </c>
      <c r="Q4992" t="n">
        <v>0</v>
      </c>
      <c r="R4992" s="2" t="inlineStr"/>
    </row>
    <row r="4993" ht="15" customHeight="1">
      <c r="A4993" t="inlineStr">
        <is>
          <t>A 60098-2023</t>
        </is>
      </c>
      <c r="B4993" s="1" t="n">
        <v>45258.45493055556</v>
      </c>
      <c r="C4993" s="1" t="n">
        <v>45911</v>
      </c>
      <c r="D4993" t="inlineStr">
        <is>
          <t>GÄVLEBORGS LÄN</t>
        </is>
      </c>
      <c r="E4993" t="inlineStr">
        <is>
          <t>LJUSDAL</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13508-2025</t>
        </is>
      </c>
      <c r="B4994" s="1" t="n">
        <v>45736.46922453704</v>
      </c>
      <c r="C4994" s="1" t="n">
        <v>45911</v>
      </c>
      <c r="D4994" t="inlineStr">
        <is>
          <t>GÄVLEBORGS LÄN</t>
        </is>
      </c>
      <c r="E4994" t="inlineStr">
        <is>
          <t>LJUSDAL</t>
        </is>
      </c>
      <c r="G4994" t="n">
        <v>3.6</v>
      </c>
      <c r="H4994" t="n">
        <v>0</v>
      </c>
      <c r="I4994" t="n">
        <v>0</v>
      </c>
      <c r="J4994" t="n">
        <v>0</v>
      </c>
      <c r="K4994" t="n">
        <v>0</v>
      </c>
      <c r="L4994" t="n">
        <v>0</v>
      </c>
      <c r="M4994" t="n">
        <v>0</v>
      </c>
      <c r="N4994" t="n">
        <v>0</v>
      </c>
      <c r="O4994" t="n">
        <v>0</v>
      </c>
      <c r="P4994" t="n">
        <v>0</v>
      </c>
      <c r="Q4994" t="n">
        <v>0</v>
      </c>
      <c r="R4994" s="2" t="inlineStr"/>
    </row>
    <row r="4995" ht="15" customHeight="1">
      <c r="A4995" t="inlineStr">
        <is>
          <t>A 16750-2025</t>
        </is>
      </c>
      <c r="B4995" s="1" t="n">
        <v>45754.56719907407</v>
      </c>
      <c r="C4995" s="1" t="n">
        <v>45911</v>
      </c>
      <c r="D4995" t="inlineStr">
        <is>
          <t>GÄVLEBORGS LÄN</t>
        </is>
      </c>
      <c r="E4995" t="inlineStr">
        <is>
          <t>SÖDERHAMN</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13557-2025</t>
        </is>
      </c>
      <c r="B4996" s="1" t="n">
        <v>45736.54907407407</v>
      </c>
      <c r="C4996" s="1" t="n">
        <v>45911</v>
      </c>
      <c r="D4996" t="inlineStr">
        <is>
          <t>GÄVLEBORGS LÄN</t>
        </is>
      </c>
      <c r="E4996" t="inlineStr">
        <is>
          <t>LJUSDAL</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15226-2023</t>
        </is>
      </c>
      <c r="B4997" s="1" t="n">
        <v>45019</v>
      </c>
      <c r="C4997" s="1" t="n">
        <v>45911</v>
      </c>
      <c r="D4997" t="inlineStr">
        <is>
          <t>GÄVLEBORGS LÄN</t>
        </is>
      </c>
      <c r="E4997" t="inlineStr">
        <is>
          <t>NORDANSTIG</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37366-2025</t>
        </is>
      </c>
      <c r="B4998" s="1" t="n">
        <v>45877.32983796296</v>
      </c>
      <c r="C4998" s="1" t="n">
        <v>45911</v>
      </c>
      <c r="D4998" t="inlineStr">
        <is>
          <t>GÄVLEBORGS LÄN</t>
        </is>
      </c>
      <c r="E4998" t="inlineStr">
        <is>
          <t>OVANÅKER</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32062-2023</t>
        </is>
      </c>
      <c r="B4999" s="1" t="n">
        <v>45119.56549768519</v>
      </c>
      <c r="C4999" s="1" t="n">
        <v>45911</v>
      </c>
      <c r="D4999" t="inlineStr">
        <is>
          <t>GÄVLEBORGS LÄN</t>
        </is>
      </c>
      <c r="E4999" t="inlineStr">
        <is>
          <t>BOLLNÄS</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32082-2025</t>
        </is>
      </c>
      <c r="B5000" s="1" t="n">
        <v>45835.45228009259</v>
      </c>
      <c r="C5000" s="1" t="n">
        <v>45911</v>
      </c>
      <c r="D5000" t="inlineStr">
        <is>
          <t>GÄVLEBORGS LÄN</t>
        </is>
      </c>
      <c r="E5000" t="inlineStr">
        <is>
          <t>NORDANSTIG</t>
        </is>
      </c>
      <c r="G5000" t="n">
        <v>3.2</v>
      </c>
      <c r="H5000" t="n">
        <v>0</v>
      </c>
      <c r="I5000" t="n">
        <v>0</v>
      </c>
      <c r="J5000" t="n">
        <v>0</v>
      </c>
      <c r="K5000" t="n">
        <v>0</v>
      </c>
      <c r="L5000" t="n">
        <v>0</v>
      </c>
      <c r="M5000" t="n">
        <v>0</v>
      </c>
      <c r="N5000" t="n">
        <v>0</v>
      </c>
      <c r="O5000" t="n">
        <v>0</v>
      </c>
      <c r="P5000" t="n">
        <v>0</v>
      </c>
      <c r="Q5000" t="n">
        <v>0</v>
      </c>
      <c r="R5000" s="2" t="inlineStr"/>
    </row>
    <row r="5001" ht="15" customHeight="1">
      <c r="A5001" t="inlineStr">
        <is>
          <t>A 61363-2023</t>
        </is>
      </c>
      <c r="B5001" s="1" t="n">
        <v>45264.61790509259</v>
      </c>
      <c r="C5001" s="1" t="n">
        <v>45911</v>
      </c>
      <c r="D5001" t="inlineStr">
        <is>
          <t>GÄVLEBORGS LÄN</t>
        </is>
      </c>
      <c r="E5001" t="inlineStr">
        <is>
          <t>SANDVIKEN</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32412-2025</t>
        </is>
      </c>
      <c r="B5002" s="1" t="n">
        <v>45838</v>
      </c>
      <c r="C5002" s="1" t="n">
        <v>45911</v>
      </c>
      <c r="D5002" t="inlineStr">
        <is>
          <t>GÄVLEBORGS LÄN</t>
        </is>
      </c>
      <c r="E5002" t="inlineStr">
        <is>
          <t>LJUSDAL</t>
        </is>
      </c>
      <c r="G5002" t="n">
        <v>5.4</v>
      </c>
      <c r="H5002" t="n">
        <v>0</v>
      </c>
      <c r="I5002" t="n">
        <v>0</v>
      </c>
      <c r="J5002" t="n">
        <v>0</v>
      </c>
      <c r="K5002" t="n">
        <v>0</v>
      </c>
      <c r="L5002" t="n">
        <v>0</v>
      </c>
      <c r="M5002" t="n">
        <v>0</v>
      </c>
      <c r="N5002" t="n">
        <v>0</v>
      </c>
      <c r="O5002" t="n">
        <v>0</v>
      </c>
      <c r="P5002" t="n">
        <v>0</v>
      </c>
      <c r="Q5002" t="n">
        <v>0</v>
      </c>
      <c r="R5002" s="2" t="inlineStr"/>
    </row>
    <row r="5003" ht="15" customHeight="1">
      <c r="A5003" t="inlineStr">
        <is>
          <t>A 61431-2023</t>
        </is>
      </c>
      <c r="B5003" s="1" t="n">
        <v>45264</v>
      </c>
      <c r="C5003" s="1" t="n">
        <v>45911</v>
      </c>
      <c r="D5003" t="inlineStr">
        <is>
          <t>GÄVLEBORGS LÄN</t>
        </is>
      </c>
      <c r="E5003" t="inlineStr">
        <is>
          <t>LJUSDAL</t>
        </is>
      </c>
      <c r="G5003" t="n">
        <v>5.9</v>
      </c>
      <c r="H5003" t="n">
        <v>0</v>
      </c>
      <c r="I5003" t="n">
        <v>0</v>
      </c>
      <c r="J5003" t="n">
        <v>0</v>
      </c>
      <c r="K5003" t="n">
        <v>0</v>
      </c>
      <c r="L5003" t="n">
        <v>0</v>
      </c>
      <c r="M5003" t="n">
        <v>0</v>
      </c>
      <c r="N5003" t="n">
        <v>0</v>
      </c>
      <c r="O5003" t="n">
        <v>0</v>
      </c>
      <c r="P5003" t="n">
        <v>0</v>
      </c>
      <c r="Q5003" t="n">
        <v>0</v>
      </c>
      <c r="R5003" s="2" t="inlineStr"/>
    </row>
    <row r="5004" ht="15" customHeight="1">
      <c r="A5004" t="inlineStr">
        <is>
          <t>A 7436-2024</t>
        </is>
      </c>
      <c r="B5004" s="1" t="n">
        <v>45345</v>
      </c>
      <c r="C5004" s="1" t="n">
        <v>45911</v>
      </c>
      <c r="D5004" t="inlineStr">
        <is>
          <t>GÄVLEBORGS LÄN</t>
        </is>
      </c>
      <c r="E5004" t="inlineStr">
        <is>
          <t>NORDANSTIG</t>
        </is>
      </c>
      <c r="F5004" t="inlineStr">
        <is>
          <t>Holmen skog AB</t>
        </is>
      </c>
      <c r="G5004" t="n">
        <v>62.5</v>
      </c>
      <c r="H5004" t="n">
        <v>0</v>
      </c>
      <c r="I5004" t="n">
        <v>0</v>
      </c>
      <c r="J5004" t="n">
        <v>0</v>
      </c>
      <c r="K5004" t="n">
        <v>0</v>
      </c>
      <c r="L5004" t="n">
        <v>0</v>
      </c>
      <c r="M5004" t="n">
        <v>0</v>
      </c>
      <c r="N5004" t="n">
        <v>0</v>
      </c>
      <c r="O5004" t="n">
        <v>0</v>
      </c>
      <c r="P5004" t="n">
        <v>0</v>
      </c>
      <c r="Q5004" t="n">
        <v>0</v>
      </c>
      <c r="R5004" s="2" t="inlineStr"/>
    </row>
    <row r="5005" ht="15" customHeight="1">
      <c r="A5005" t="inlineStr">
        <is>
          <t>A 7460-2024</t>
        </is>
      </c>
      <c r="B5005" s="1" t="n">
        <v>45345.92609953704</v>
      </c>
      <c r="C5005" s="1" t="n">
        <v>45911</v>
      </c>
      <c r="D5005" t="inlineStr">
        <is>
          <t>GÄVLEBORGS LÄN</t>
        </is>
      </c>
      <c r="E5005" t="inlineStr">
        <is>
          <t>NORDANSTIG</t>
        </is>
      </c>
      <c r="G5005" t="n">
        <v>10.8</v>
      </c>
      <c r="H5005" t="n">
        <v>0</v>
      </c>
      <c r="I5005" t="n">
        <v>0</v>
      </c>
      <c r="J5005" t="n">
        <v>0</v>
      </c>
      <c r="K5005" t="n">
        <v>0</v>
      </c>
      <c r="L5005" t="n">
        <v>0</v>
      </c>
      <c r="M5005" t="n">
        <v>0</v>
      </c>
      <c r="N5005" t="n">
        <v>0</v>
      </c>
      <c r="O5005" t="n">
        <v>0</v>
      </c>
      <c r="P5005" t="n">
        <v>0</v>
      </c>
      <c r="Q5005" t="n">
        <v>0</v>
      </c>
      <c r="R5005" s="2" t="inlineStr"/>
    </row>
    <row r="5006" ht="15" customHeight="1">
      <c r="A5006" t="inlineStr">
        <is>
          <t>A 58053-2024</t>
        </is>
      </c>
      <c r="B5006" s="1" t="n">
        <v>45631.84011574074</v>
      </c>
      <c r="C5006" s="1" t="n">
        <v>45911</v>
      </c>
      <c r="D5006" t="inlineStr">
        <is>
          <t>GÄVLEBORGS LÄN</t>
        </is>
      </c>
      <c r="E5006" t="inlineStr">
        <is>
          <t>LJUSDAL</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30740-2024</t>
        </is>
      </c>
      <c r="B5007" s="1" t="n">
        <v>45496.64633101852</v>
      </c>
      <c r="C5007" s="1" t="n">
        <v>45911</v>
      </c>
      <c r="D5007" t="inlineStr">
        <is>
          <t>GÄVLEBORGS LÄN</t>
        </is>
      </c>
      <c r="E5007" t="inlineStr">
        <is>
          <t>SÖDERHAMN</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37504-2025</t>
        </is>
      </c>
      <c r="B5008" s="1" t="n">
        <v>45877.65131944444</v>
      </c>
      <c r="C5008" s="1" t="n">
        <v>45911</v>
      </c>
      <c r="D5008" t="inlineStr">
        <is>
          <t>GÄVLEBORGS LÄN</t>
        </is>
      </c>
      <c r="E5008" t="inlineStr">
        <is>
          <t>HUDIKSVALL</t>
        </is>
      </c>
      <c r="F5008" t="inlineStr">
        <is>
          <t>Holmen skog AB</t>
        </is>
      </c>
      <c r="G5008" t="n">
        <v>10.8</v>
      </c>
      <c r="H5008" t="n">
        <v>0</v>
      </c>
      <c r="I5008" t="n">
        <v>0</v>
      </c>
      <c r="J5008" t="n">
        <v>0</v>
      </c>
      <c r="K5008" t="n">
        <v>0</v>
      </c>
      <c r="L5008" t="n">
        <v>0</v>
      </c>
      <c r="M5008" t="n">
        <v>0</v>
      </c>
      <c r="N5008" t="n">
        <v>0</v>
      </c>
      <c r="O5008" t="n">
        <v>0</v>
      </c>
      <c r="P5008" t="n">
        <v>0</v>
      </c>
      <c r="Q5008" t="n">
        <v>0</v>
      </c>
      <c r="R5008" s="2" t="inlineStr"/>
    </row>
    <row r="5009" ht="15" customHeight="1">
      <c r="A5009" t="inlineStr">
        <is>
          <t>A 37531-2025</t>
        </is>
      </c>
      <c r="B5009" s="1" t="n">
        <v>45878.34459490741</v>
      </c>
      <c r="C5009" s="1" t="n">
        <v>45911</v>
      </c>
      <c r="D5009" t="inlineStr">
        <is>
          <t>GÄVLEBORGS LÄN</t>
        </is>
      </c>
      <c r="E5009" t="inlineStr">
        <is>
          <t>OVANÅKER</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30794-2024</t>
        </is>
      </c>
      <c r="B5010" s="1" t="n">
        <v>45497.28417824074</v>
      </c>
      <c r="C5010" s="1" t="n">
        <v>45911</v>
      </c>
      <c r="D5010" t="inlineStr">
        <is>
          <t>GÄVLEBORGS LÄN</t>
        </is>
      </c>
      <c r="E5010" t="inlineStr">
        <is>
          <t>BOLLNÄS</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11940-2025</t>
        </is>
      </c>
      <c r="B5011" s="1" t="n">
        <v>45728.5352662037</v>
      </c>
      <c r="C5011" s="1" t="n">
        <v>45911</v>
      </c>
      <c r="D5011" t="inlineStr">
        <is>
          <t>GÄVLEBORGS LÄN</t>
        </is>
      </c>
      <c r="E5011" t="inlineStr">
        <is>
          <t>OVANÅKER</t>
        </is>
      </c>
      <c r="G5011" t="n">
        <v>4.7</v>
      </c>
      <c r="H5011" t="n">
        <v>0</v>
      </c>
      <c r="I5011" t="n">
        <v>0</v>
      </c>
      <c r="J5011" t="n">
        <v>0</v>
      </c>
      <c r="K5011" t="n">
        <v>0</v>
      </c>
      <c r="L5011" t="n">
        <v>0</v>
      </c>
      <c r="M5011" t="n">
        <v>0</v>
      </c>
      <c r="N5011" t="n">
        <v>0</v>
      </c>
      <c r="O5011" t="n">
        <v>0</v>
      </c>
      <c r="P5011" t="n">
        <v>0</v>
      </c>
      <c r="Q5011" t="n">
        <v>0</v>
      </c>
      <c r="R5011" s="2" t="inlineStr"/>
    </row>
    <row r="5012" ht="15" customHeight="1">
      <c r="A5012" t="inlineStr">
        <is>
          <t>A 11964-2025</t>
        </is>
      </c>
      <c r="B5012" s="1" t="n">
        <v>45728.57576388889</v>
      </c>
      <c r="C5012" s="1" t="n">
        <v>45911</v>
      </c>
      <c r="D5012" t="inlineStr">
        <is>
          <t>GÄVLEBORGS LÄN</t>
        </is>
      </c>
      <c r="E5012" t="inlineStr">
        <is>
          <t>OVANÅKER</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51867-2022</t>
        </is>
      </c>
      <c r="B5013" s="1" t="n">
        <v>44872.58997685185</v>
      </c>
      <c r="C5013" s="1" t="n">
        <v>45911</v>
      </c>
      <c r="D5013" t="inlineStr">
        <is>
          <t>GÄVLEBORGS LÄN</t>
        </is>
      </c>
      <c r="E5013" t="inlineStr">
        <is>
          <t>BOLLNÄS</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37540-2025</t>
        </is>
      </c>
      <c r="B5014" s="1" t="n">
        <v>45879.455625</v>
      </c>
      <c r="C5014" s="1" t="n">
        <v>45911</v>
      </c>
      <c r="D5014" t="inlineStr">
        <is>
          <t>GÄVLEBORGS LÄN</t>
        </is>
      </c>
      <c r="E5014" t="inlineStr">
        <is>
          <t>OVANÅKER</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37563-2025</t>
        </is>
      </c>
      <c r="B5015" s="1" t="n">
        <v>45880.35030092593</v>
      </c>
      <c r="C5015" s="1" t="n">
        <v>45911</v>
      </c>
      <c r="D5015" t="inlineStr">
        <is>
          <t>GÄVLEBORGS LÄN</t>
        </is>
      </c>
      <c r="E5015" t="inlineStr">
        <is>
          <t>NORDANSTIG</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43517-2023</t>
        </is>
      </c>
      <c r="B5016" s="1" t="n">
        <v>45184.48697916666</v>
      </c>
      <c r="C5016" s="1" t="n">
        <v>45911</v>
      </c>
      <c r="D5016" t="inlineStr">
        <is>
          <t>GÄVLEBORGS LÄN</t>
        </is>
      </c>
      <c r="E5016" t="inlineStr">
        <is>
          <t>LJUSDAL</t>
        </is>
      </c>
      <c r="G5016" t="n">
        <v>23.5</v>
      </c>
      <c r="H5016" t="n">
        <v>0</v>
      </c>
      <c r="I5016" t="n">
        <v>0</v>
      </c>
      <c r="J5016" t="n">
        <v>0</v>
      </c>
      <c r="K5016" t="n">
        <v>0</v>
      </c>
      <c r="L5016" t="n">
        <v>0</v>
      </c>
      <c r="M5016" t="n">
        <v>0</v>
      </c>
      <c r="N5016" t="n">
        <v>0</v>
      </c>
      <c r="O5016" t="n">
        <v>0</v>
      </c>
      <c r="P5016" t="n">
        <v>0</v>
      </c>
      <c r="Q5016" t="n">
        <v>0</v>
      </c>
      <c r="R5016" s="2" t="inlineStr"/>
    </row>
    <row r="5017" ht="15" customHeight="1">
      <c r="A5017" t="inlineStr">
        <is>
          <t>A 21153-2023</t>
        </is>
      </c>
      <c r="B5017" s="1" t="n">
        <v>45062.40555555555</v>
      </c>
      <c r="C5017" s="1" t="n">
        <v>45911</v>
      </c>
      <c r="D5017" t="inlineStr">
        <is>
          <t>GÄVLEBORGS LÄN</t>
        </is>
      </c>
      <c r="E5017" t="inlineStr">
        <is>
          <t>NORDANSTIG</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24724-2023</t>
        </is>
      </c>
      <c r="B5018" s="1" t="n">
        <v>45084</v>
      </c>
      <c r="C5018" s="1" t="n">
        <v>45911</v>
      </c>
      <c r="D5018" t="inlineStr">
        <is>
          <t>GÄVLEBORGS LÄN</t>
        </is>
      </c>
      <c r="E5018" t="inlineStr">
        <is>
          <t>GÄVLE</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28966-2024</t>
        </is>
      </c>
      <c r="B5019" s="1" t="n">
        <v>45481.43993055556</v>
      </c>
      <c r="C5019" s="1" t="n">
        <v>45911</v>
      </c>
      <c r="D5019" t="inlineStr">
        <is>
          <t>GÄVLEBORGS LÄN</t>
        </is>
      </c>
      <c r="E5019" t="inlineStr">
        <is>
          <t>OCKELBO</t>
        </is>
      </c>
      <c r="G5019" t="n">
        <v>5.7</v>
      </c>
      <c r="H5019" t="n">
        <v>0</v>
      </c>
      <c r="I5019" t="n">
        <v>0</v>
      </c>
      <c r="J5019" t="n">
        <v>0</v>
      </c>
      <c r="K5019" t="n">
        <v>0</v>
      </c>
      <c r="L5019" t="n">
        <v>0</v>
      </c>
      <c r="M5019" t="n">
        <v>0</v>
      </c>
      <c r="N5019" t="n">
        <v>0</v>
      </c>
      <c r="O5019" t="n">
        <v>0</v>
      </c>
      <c r="P5019" t="n">
        <v>0</v>
      </c>
      <c r="Q5019" t="n">
        <v>0</v>
      </c>
      <c r="R5019" s="2" t="inlineStr"/>
    </row>
    <row r="5020" ht="15" customHeight="1">
      <c r="A5020" t="inlineStr">
        <is>
          <t>A 61526-2023</t>
        </is>
      </c>
      <c r="B5020" s="1" t="n">
        <v>45265.34644675926</v>
      </c>
      <c r="C5020" s="1" t="n">
        <v>45911</v>
      </c>
      <c r="D5020" t="inlineStr">
        <is>
          <t>GÄVLEBORGS LÄN</t>
        </is>
      </c>
      <c r="E5020" t="inlineStr">
        <is>
          <t>OVANÅKER</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61537-2023</t>
        </is>
      </c>
      <c r="B5021" s="1" t="n">
        <v>45265.37725694444</v>
      </c>
      <c r="C5021" s="1" t="n">
        <v>45911</v>
      </c>
      <c r="D5021" t="inlineStr">
        <is>
          <t>GÄVLEBORGS LÄN</t>
        </is>
      </c>
      <c r="E5021" t="inlineStr">
        <is>
          <t>SANDVIKEN</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41597-2024</t>
        </is>
      </c>
      <c r="B5022" s="1" t="n">
        <v>45560.57574074074</v>
      </c>
      <c r="C5022" s="1" t="n">
        <v>45911</v>
      </c>
      <c r="D5022" t="inlineStr">
        <is>
          <t>GÄVLEBORGS LÄN</t>
        </is>
      </c>
      <c r="E5022" t="inlineStr">
        <is>
          <t>BOLLNÄS</t>
        </is>
      </c>
      <c r="G5022" t="n">
        <v>21.8</v>
      </c>
      <c r="H5022" t="n">
        <v>0</v>
      </c>
      <c r="I5022" t="n">
        <v>0</v>
      </c>
      <c r="J5022" t="n">
        <v>0</v>
      </c>
      <c r="K5022" t="n">
        <v>0</v>
      </c>
      <c r="L5022" t="n">
        <v>0</v>
      </c>
      <c r="M5022" t="n">
        <v>0</v>
      </c>
      <c r="N5022" t="n">
        <v>0</v>
      </c>
      <c r="O5022" t="n">
        <v>0</v>
      </c>
      <c r="P5022" t="n">
        <v>0</v>
      </c>
      <c r="Q5022" t="n">
        <v>0</v>
      </c>
      <c r="R5022" s="2" t="inlineStr"/>
    </row>
    <row r="5023" ht="15" customHeight="1">
      <c r="A5023" t="inlineStr">
        <is>
          <t>A 37640-2025</t>
        </is>
      </c>
      <c r="B5023" s="1" t="n">
        <v>45880.47621527778</v>
      </c>
      <c r="C5023" s="1" t="n">
        <v>45911</v>
      </c>
      <c r="D5023" t="inlineStr">
        <is>
          <t>GÄVLEBORGS LÄN</t>
        </is>
      </c>
      <c r="E5023" t="inlineStr">
        <is>
          <t>NORDANSTIG</t>
        </is>
      </c>
      <c r="F5023" t="inlineStr">
        <is>
          <t>Holmen skog AB</t>
        </is>
      </c>
      <c r="G5023" t="n">
        <v>6.8</v>
      </c>
      <c r="H5023" t="n">
        <v>0</v>
      </c>
      <c r="I5023" t="n">
        <v>0</v>
      </c>
      <c r="J5023" t="n">
        <v>0</v>
      </c>
      <c r="K5023" t="n">
        <v>0</v>
      </c>
      <c r="L5023" t="n">
        <v>0</v>
      </c>
      <c r="M5023" t="n">
        <v>0</v>
      </c>
      <c r="N5023" t="n">
        <v>0</v>
      </c>
      <c r="O5023" t="n">
        <v>0</v>
      </c>
      <c r="P5023" t="n">
        <v>0</v>
      </c>
      <c r="Q5023" t="n">
        <v>0</v>
      </c>
      <c r="R5023" s="2" t="inlineStr"/>
    </row>
    <row r="5024" ht="15" customHeight="1">
      <c r="A5024" t="inlineStr">
        <is>
          <t>A 45768-2024</t>
        </is>
      </c>
      <c r="B5024" s="1" t="n">
        <v>45579</v>
      </c>
      <c r="C5024" s="1" t="n">
        <v>45911</v>
      </c>
      <c r="D5024" t="inlineStr">
        <is>
          <t>GÄVLEBORGS LÄN</t>
        </is>
      </c>
      <c r="E5024" t="inlineStr">
        <is>
          <t>LJUSDAL</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27418-2024</t>
        </is>
      </c>
      <c r="B5025" s="1" t="n">
        <v>45474</v>
      </c>
      <c r="C5025" s="1" t="n">
        <v>45911</v>
      </c>
      <c r="D5025" t="inlineStr">
        <is>
          <t>GÄVLEBORGS LÄN</t>
        </is>
      </c>
      <c r="E5025" t="inlineStr">
        <is>
          <t>HUDIKSVALL</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27422-2024</t>
        </is>
      </c>
      <c r="B5026" s="1" t="n">
        <v>45474.37935185185</v>
      </c>
      <c r="C5026" s="1" t="n">
        <v>45911</v>
      </c>
      <c r="D5026" t="inlineStr">
        <is>
          <t>GÄVLEBORGS LÄN</t>
        </is>
      </c>
      <c r="E5026" t="inlineStr">
        <is>
          <t>OVANÅKER</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35025-2024</t>
        </is>
      </c>
      <c r="B5027" s="1" t="n">
        <v>45527.60422453703</v>
      </c>
      <c r="C5027" s="1" t="n">
        <v>45911</v>
      </c>
      <c r="D5027" t="inlineStr">
        <is>
          <t>GÄVLEBORGS LÄN</t>
        </is>
      </c>
      <c r="E5027" t="inlineStr">
        <is>
          <t>OVANÅKER</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35026-2024</t>
        </is>
      </c>
      <c r="B5028" s="1" t="n">
        <v>45527.6043287037</v>
      </c>
      <c r="C5028" s="1" t="n">
        <v>45911</v>
      </c>
      <c r="D5028" t="inlineStr">
        <is>
          <t>GÄVLEBORGS LÄN</t>
        </is>
      </c>
      <c r="E5028" t="inlineStr">
        <is>
          <t>HUDIKSVALL</t>
        </is>
      </c>
      <c r="F5028" t="inlineStr">
        <is>
          <t>Holmen skog AB</t>
        </is>
      </c>
      <c r="G5028" t="n">
        <v>3</v>
      </c>
      <c r="H5028" t="n">
        <v>0</v>
      </c>
      <c r="I5028" t="n">
        <v>0</v>
      </c>
      <c r="J5028" t="n">
        <v>0</v>
      </c>
      <c r="K5028" t="n">
        <v>0</v>
      </c>
      <c r="L5028" t="n">
        <v>0</v>
      </c>
      <c r="M5028" t="n">
        <v>0</v>
      </c>
      <c r="N5028" t="n">
        <v>0</v>
      </c>
      <c r="O5028" t="n">
        <v>0</v>
      </c>
      <c r="P5028" t="n">
        <v>0</v>
      </c>
      <c r="Q5028" t="n">
        <v>0</v>
      </c>
      <c r="R5028" s="2" t="inlineStr"/>
    </row>
    <row r="5029" ht="15" customHeight="1">
      <c r="A5029" t="inlineStr">
        <is>
          <t>A 32282-2025</t>
        </is>
      </c>
      <c r="B5029" s="1" t="n">
        <v>45835.67854166667</v>
      </c>
      <c r="C5029" s="1" t="n">
        <v>45911</v>
      </c>
      <c r="D5029" t="inlineStr">
        <is>
          <t>GÄVLEBORGS LÄN</t>
        </is>
      </c>
      <c r="E5029" t="inlineStr">
        <is>
          <t>LJUSDAL</t>
        </is>
      </c>
      <c r="F5029" t="inlineStr">
        <is>
          <t>Allmännings- och besparingsskogar</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56586-2023</t>
        </is>
      </c>
      <c r="B5030" s="1" t="n">
        <v>45243.63503472223</v>
      </c>
      <c r="C5030" s="1" t="n">
        <v>45911</v>
      </c>
      <c r="D5030" t="inlineStr">
        <is>
          <t>GÄVLEBORGS LÄN</t>
        </is>
      </c>
      <c r="E5030" t="inlineStr">
        <is>
          <t>NORDANSTIG</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31385-2023</t>
        </is>
      </c>
      <c r="B5031" s="1" t="n">
        <v>45114</v>
      </c>
      <c r="C5031" s="1" t="n">
        <v>45911</v>
      </c>
      <c r="D5031" t="inlineStr">
        <is>
          <t>GÄVLEBORGS LÄN</t>
        </is>
      </c>
      <c r="E5031" t="inlineStr">
        <is>
          <t>BOLLNÄS</t>
        </is>
      </c>
      <c r="G5031" t="n">
        <v>6.9</v>
      </c>
      <c r="H5031" t="n">
        <v>0</v>
      </c>
      <c r="I5031" t="n">
        <v>0</v>
      </c>
      <c r="J5031" t="n">
        <v>0</v>
      </c>
      <c r="K5031" t="n">
        <v>0</v>
      </c>
      <c r="L5031" t="n">
        <v>0</v>
      </c>
      <c r="M5031" t="n">
        <v>0</v>
      </c>
      <c r="N5031" t="n">
        <v>0</v>
      </c>
      <c r="O5031" t="n">
        <v>0</v>
      </c>
      <c r="P5031" t="n">
        <v>0</v>
      </c>
      <c r="Q5031" t="n">
        <v>0</v>
      </c>
      <c r="R5031" s="2" t="inlineStr"/>
    </row>
    <row r="5032" ht="15" customHeight="1">
      <c r="A5032" t="inlineStr">
        <is>
          <t>A 32507-2025</t>
        </is>
      </c>
      <c r="B5032" s="1" t="n">
        <v>45838.4712037037</v>
      </c>
      <c r="C5032" s="1" t="n">
        <v>45911</v>
      </c>
      <c r="D5032" t="inlineStr">
        <is>
          <t>GÄVLEBORGS LÄN</t>
        </is>
      </c>
      <c r="E5032" t="inlineStr">
        <is>
          <t>NORDANSTIG</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32533-2025</t>
        </is>
      </c>
      <c r="B5033" s="1" t="n">
        <v>45838.49317129629</v>
      </c>
      <c r="C5033" s="1" t="n">
        <v>45911</v>
      </c>
      <c r="D5033" t="inlineStr">
        <is>
          <t>GÄVLEBORGS LÄN</t>
        </is>
      </c>
      <c r="E5033" t="inlineStr">
        <is>
          <t>LJUSDAL</t>
        </is>
      </c>
      <c r="F5033" t="inlineStr">
        <is>
          <t>Sveaskog</t>
        </is>
      </c>
      <c r="G5033" t="n">
        <v>2.6</v>
      </c>
      <c r="H5033" t="n">
        <v>0</v>
      </c>
      <c r="I5033" t="n">
        <v>0</v>
      </c>
      <c r="J5033" t="n">
        <v>0</v>
      </c>
      <c r="K5033" t="n">
        <v>0</v>
      </c>
      <c r="L5033" t="n">
        <v>0</v>
      </c>
      <c r="M5033" t="n">
        <v>0</v>
      </c>
      <c r="N5033" t="n">
        <v>0</v>
      </c>
      <c r="O5033" t="n">
        <v>0</v>
      </c>
      <c r="P5033" t="n">
        <v>0</v>
      </c>
      <c r="Q5033" t="n">
        <v>0</v>
      </c>
      <c r="R5033" s="2" t="inlineStr"/>
    </row>
    <row r="5034" ht="15" customHeight="1">
      <c r="A5034" t="inlineStr">
        <is>
          <t>A 33157-2025</t>
        </is>
      </c>
      <c r="B5034" s="1" t="n">
        <v>45840</v>
      </c>
      <c r="C5034" s="1" t="n">
        <v>45911</v>
      </c>
      <c r="D5034" t="inlineStr">
        <is>
          <t>GÄVLEBORGS LÄN</t>
        </is>
      </c>
      <c r="E5034" t="inlineStr">
        <is>
          <t>HUDIKSVALL</t>
        </is>
      </c>
      <c r="F5034" t="inlineStr">
        <is>
          <t>Holmen skog AB</t>
        </is>
      </c>
      <c r="G5034" t="n">
        <v>5.8</v>
      </c>
      <c r="H5034" t="n">
        <v>0</v>
      </c>
      <c r="I5034" t="n">
        <v>0</v>
      </c>
      <c r="J5034" t="n">
        <v>0</v>
      </c>
      <c r="K5034" t="n">
        <v>0</v>
      </c>
      <c r="L5034" t="n">
        <v>0</v>
      </c>
      <c r="M5034" t="n">
        <v>0</v>
      </c>
      <c r="N5034" t="n">
        <v>0</v>
      </c>
      <c r="O5034" t="n">
        <v>0</v>
      </c>
      <c r="P5034" t="n">
        <v>0</v>
      </c>
      <c r="Q5034" t="n">
        <v>0</v>
      </c>
      <c r="R5034" s="2" t="inlineStr"/>
    </row>
    <row r="5035" ht="15" customHeight="1">
      <c r="A5035" t="inlineStr">
        <is>
          <t>A 35714-2023</t>
        </is>
      </c>
      <c r="B5035" s="1" t="n">
        <v>45147.68084490741</v>
      </c>
      <c r="C5035" s="1" t="n">
        <v>45911</v>
      </c>
      <c r="D5035" t="inlineStr">
        <is>
          <t>GÄVLEBORGS LÄN</t>
        </is>
      </c>
      <c r="E5035" t="inlineStr">
        <is>
          <t>LJUSDAL</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32742-2025</t>
        </is>
      </c>
      <c r="B5036" s="1" t="n">
        <v>45839</v>
      </c>
      <c r="C5036" s="1" t="n">
        <v>45911</v>
      </c>
      <c r="D5036" t="inlineStr">
        <is>
          <t>GÄVLEBORGS LÄN</t>
        </is>
      </c>
      <c r="E5036" t="inlineStr">
        <is>
          <t>SANDVIKEN</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14059-2025</t>
        </is>
      </c>
      <c r="B5037" s="1" t="n">
        <v>45740.40756944445</v>
      </c>
      <c r="C5037" s="1" t="n">
        <v>45911</v>
      </c>
      <c r="D5037" t="inlineStr">
        <is>
          <t>GÄVLEBORGS LÄN</t>
        </is>
      </c>
      <c r="E5037" t="inlineStr">
        <is>
          <t>HUDIKSVALL</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15616-2025</t>
        </is>
      </c>
      <c r="B5038" s="1" t="n">
        <v>45748</v>
      </c>
      <c r="C5038" s="1" t="n">
        <v>45911</v>
      </c>
      <c r="D5038" t="inlineStr">
        <is>
          <t>GÄVLEBORGS LÄN</t>
        </is>
      </c>
      <c r="E5038" t="inlineStr">
        <is>
          <t>SÖDERHAMN</t>
        </is>
      </c>
      <c r="F5038" t="inlineStr">
        <is>
          <t>Bergvik skog väst AB</t>
        </is>
      </c>
      <c r="G5038" t="n">
        <v>2.9</v>
      </c>
      <c r="H5038" t="n">
        <v>0</v>
      </c>
      <c r="I5038" t="n">
        <v>0</v>
      </c>
      <c r="J5038" t="n">
        <v>0</v>
      </c>
      <c r="K5038" t="n">
        <v>0</v>
      </c>
      <c r="L5038" t="n">
        <v>0</v>
      </c>
      <c r="M5038" t="n">
        <v>0</v>
      </c>
      <c r="N5038" t="n">
        <v>0</v>
      </c>
      <c r="O5038" t="n">
        <v>0</v>
      </c>
      <c r="P5038" t="n">
        <v>0</v>
      </c>
      <c r="Q5038" t="n">
        <v>0</v>
      </c>
      <c r="R5038" s="2" t="inlineStr"/>
    </row>
    <row r="5039" ht="15" customHeight="1">
      <c r="A5039" t="inlineStr">
        <is>
          <t>A 4234-2024</t>
        </is>
      </c>
      <c r="B5039" s="1" t="n">
        <v>45324</v>
      </c>
      <c r="C5039" s="1" t="n">
        <v>45911</v>
      </c>
      <c r="D5039" t="inlineStr">
        <is>
          <t>GÄVLEBORGS LÄN</t>
        </is>
      </c>
      <c r="E5039" t="inlineStr">
        <is>
          <t>OVANÅKER</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17461-2025</t>
        </is>
      </c>
      <c r="B5040" s="1" t="n">
        <v>45757.4566550926</v>
      </c>
      <c r="C5040" s="1" t="n">
        <v>45911</v>
      </c>
      <c r="D5040" t="inlineStr">
        <is>
          <t>GÄVLEBORGS LÄN</t>
        </is>
      </c>
      <c r="E5040" t="inlineStr">
        <is>
          <t>LJUSDAL</t>
        </is>
      </c>
      <c r="F5040" t="inlineStr">
        <is>
          <t>Bergvik skog väst AB</t>
        </is>
      </c>
      <c r="G5040" t="n">
        <v>3.7</v>
      </c>
      <c r="H5040" t="n">
        <v>0</v>
      </c>
      <c r="I5040" t="n">
        <v>0</v>
      </c>
      <c r="J5040" t="n">
        <v>0</v>
      </c>
      <c r="K5040" t="n">
        <v>0</v>
      </c>
      <c r="L5040" t="n">
        <v>0</v>
      </c>
      <c r="M5040" t="n">
        <v>0</v>
      </c>
      <c r="N5040" t="n">
        <v>0</v>
      </c>
      <c r="O5040" t="n">
        <v>0</v>
      </c>
      <c r="P5040" t="n">
        <v>0</v>
      </c>
      <c r="Q5040" t="n">
        <v>0</v>
      </c>
      <c r="R5040" s="2" t="inlineStr"/>
    </row>
    <row r="5041" ht="15" customHeight="1">
      <c r="A5041" t="inlineStr">
        <is>
          <t>A 14871-2025</t>
        </is>
      </c>
      <c r="B5041" s="1" t="n">
        <v>45743</v>
      </c>
      <c r="C5041" s="1" t="n">
        <v>45911</v>
      </c>
      <c r="D5041" t="inlineStr">
        <is>
          <t>GÄVLEBORGS LÄN</t>
        </is>
      </c>
      <c r="E5041" t="inlineStr">
        <is>
          <t>LJUSDAL</t>
        </is>
      </c>
      <c r="G5041" t="n">
        <v>10.9</v>
      </c>
      <c r="H5041" t="n">
        <v>0</v>
      </c>
      <c r="I5041" t="n">
        <v>0</v>
      </c>
      <c r="J5041" t="n">
        <v>0</v>
      </c>
      <c r="K5041" t="n">
        <v>0</v>
      </c>
      <c r="L5041" t="n">
        <v>0</v>
      </c>
      <c r="M5041" t="n">
        <v>0</v>
      </c>
      <c r="N5041" t="n">
        <v>0</v>
      </c>
      <c r="O5041" t="n">
        <v>0</v>
      </c>
      <c r="P5041" t="n">
        <v>0</v>
      </c>
      <c r="Q5041" t="n">
        <v>0</v>
      </c>
      <c r="R5041" s="2" t="inlineStr"/>
    </row>
    <row r="5042" ht="15" customHeight="1">
      <c r="A5042" t="inlineStr">
        <is>
          <t>A 33137-2025</t>
        </is>
      </c>
      <c r="B5042" s="1" t="n">
        <v>45840.5125</v>
      </c>
      <c r="C5042" s="1" t="n">
        <v>45911</v>
      </c>
      <c r="D5042" t="inlineStr">
        <is>
          <t>GÄVLEBORGS LÄN</t>
        </is>
      </c>
      <c r="E5042" t="inlineStr">
        <is>
          <t>BOLLNÄS</t>
        </is>
      </c>
      <c r="F5042" t="inlineStr">
        <is>
          <t>Bergvik skog väst AB</t>
        </is>
      </c>
      <c r="G5042" t="n">
        <v>3.8</v>
      </c>
      <c r="H5042" t="n">
        <v>0</v>
      </c>
      <c r="I5042" t="n">
        <v>0</v>
      </c>
      <c r="J5042" t="n">
        <v>0</v>
      </c>
      <c r="K5042" t="n">
        <v>0</v>
      </c>
      <c r="L5042" t="n">
        <v>0</v>
      </c>
      <c r="M5042" t="n">
        <v>0</v>
      </c>
      <c r="N5042" t="n">
        <v>0</v>
      </c>
      <c r="O5042" t="n">
        <v>0</v>
      </c>
      <c r="P5042" t="n">
        <v>0</v>
      </c>
      <c r="Q5042" t="n">
        <v>0</v>
      </c>
      <c r="R5042" s="2" t="inlineStr"/>
    </row>
    <row r="5043" ht="15" customHeight="1">
      <c r="A5043" t="inlineStr">
        <is>
          <t>A 33153-2025</t>
        </is>
      </c>
      <c r="B5043" s="1" t="n">
        <v>45840.55234953704</v>
      </c>
      <c r="C5043" s="1" t="n">
        <v>45911</v>
      </c>
      <c r="D5043" t="inlineStr">
        <is>
          <t>GÄVLEBORGS LÄN</t>
        </is>
      </c>
      <c r="E5043" t="inlineStr">
        <is>
          <t>BOLLNÄS</t>
        </is>
      </c>
      <c r="F5043" t="inlineStr">
        <is>
          <t>Bergvik skog väst AB</t>
        </is>
      </c>
      <c r="G5043" t="n">
        <v>6.1</v>
      </c>
      <c r="H5043" t="n">
        <v>0</v>
      </c>
      <c r="I5043" t="n">
        <v>0</v>
      </c>
      <c r="J5043" t="n">
        <v>0</v>
      </c>
      <c r="K5043" t="n">
        <v>0</v>
      </c>
      <c r="L5043" t="n">
        <v>0</v>
      </c>
      <c r="M5043" t="n">
        <v>0</v>
      </c>
      <c r="N5043" t="n">
        <v>0</v>
      </c>
      <c r="O5043" t="n">
        <v>0</v>
      </c>
      <c r="P5043" t="n">
        <v>0</v>
      </c>
      <c r="Q5043" t="n">
        <v>0</v>
      </c>
      <c r="R5043" s="2" t="inlineStr"/>
    </row>
    <row r="5044" ht="15" customHeight="1">
      <c r="A5044" t="inlineStr">
        <is>
          <t>A 33228-2025</t>
        </is>
      </c>
      <c r="B5044" s="1" t="n">
        <v>45840.63861111111</v>
      </c>
      <c r="C5044" s="1" t="n">
        <v>45911</v>
      </c>
      <c r="D5044" t="inlineStr">
        <is>
          <t>GÄVLEBORGS LÄN</t>
        </is>
      </c>
      <c r="E5044" t="inlineStr">
        <is>
          <t>OCKELBO</t>
        </is>
      </c>
      <c r="F5044" t="inlineStr">
        <is>
          <t>Bergvik skog väst AB</t>
        </is>
      </c>
      <c r="G5044" t="n">
        <v>3.9</v>
      </c>
      <c r="H5044" t="n">
        <v>0</v>
      </c>
      <c r="I5044" t="n">
        <v>0</v>
      </c>
      <c r="J5044" t="n">
        <v>0</v>
      </c>
      <c r="K5044" t="n">
        <v>0</v>
      </c>
      <c r="L5044" t="n">
        <v>0</v>
      </c>
      <c r="M5044" t="n">
        <v>0</v>
      </c>
      <c r="N5044" t="n">
        <v>0</v>
      </c>
      <c r="O5044" t="n">
        <v>0</v>
      </c>
      <c r="P5044" t="n">
        <v>0</v>
      </c>
      <c r="Q5044" t="n">
        <v>0</v>
      </c>
      <c r="R5044" s="2" t="inlineStr"/>
    </row>
    <row r="5045" ht="15" customHeight="1">
      <c r="A5045" t="inlineStr">
        <is>
          <t>A 63703-2023</t>
        </is>
      </c>
      <c r="B5045" s="1" t="n">
        <v>45275.92704861111</v>
      </c>
      <c r="C5045" s="1" t="n">
        <v>45911</v>
      </c>
      <c r="D5045" t="inlineStr">
        <is>
          <t>GÄVLEBORGS LÄN</t>
        </is>
      </c>
      <c r="E5045" t="inlineStr">
        <is>
          <t>OVANÅKER</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43282-2021</t>
        </is>
      </c>
      <c r="B5046" s="1" t="n">
        <v>44432.39119212963</v>
      </c>
      <c r="C5046" s="1" t="n">
        <v>45911</v>
      </c>
      <c r="D5046" t="inlineStr">
        <is>
          <t>GÄVLEBORGS LÄN</t>
        </is>
      </c>
      <c r="E5046" t="inlineStr">
        <is>
          <t>HOFORS</t>
        </is>
      </c>
      <c r="F5046" t="inlineStr">
        <is>
          <t>Sveaskog</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52090-2023</t>
        </is>
      </c>
      <c r="B5047" s="1" t="n">
        <v>45223.77371527778</v>
      </c>
      <c r="C5047" s="1" t="n">
        <v>45911</v>
      </c>
      <c r="D5047" t="inlineStr">
        <is>
          <t>GÄVLEBORGS LÄN</t>
        </is>
      </c>
      <c r="E5047" t="inlineStr">
        <is>
          <t>SÖDERHAMN</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52092-2023</t>
        </is>
      </c>
      <c r="B5048" s="1" t="n">
        <v>45223.79653935185</v>
      </c>
      <c r="C5048" s="1" t="n">
        <v>45911</v>
      </c>
      <c r="D5048" t="inlineStr">
        <is>
          <t>GÄVLEBORGS LÄN</t>
        </is>
      </c>
      <c r="E5048" t="inlineStr">
        <is>
          <t>SÖDERHAMN</t>
        </is>
      </c>
      <c r="G5048" t="n">
        <v>3.6</v>
      </c>
      <c r="H5048" t="n">
        <v>0</v>
      </c>
      <c r="I5048" t="n">
        <v>0</v>
      </c>
      <c r="J5048" t="n">
        <v>0</v>
      </c>
      <c r="K5048" t="n">
        <v>0</v>
      </c>
      <c r="L5048" t="n">
        <v>0</v>
      </c>
      <c r="M5048" t="n">
        <v>0</v>
      </c>
      <c r="N5048" t="n">
        <v>0</v>
      </c>
      <c r="O5048" t="n">
        <v>0</v>
      </c>
      <c r="P5048" t="n">
        <v>0</v>
      </c>
      <c r="Q5048" t="n">
        <v>0</v>
      </c>
      <c r="R5048" s="2" t="inlineStr"/>
    </row>
    <row r="5049" ht="15" customHeight="1">
      <c r="A5049" t="inlineStr">
        <is>
          <t>A 54772-2022</t>
        </is>
      </c>
      <c r="B5049" s="1" t="n">
        <v>44883</v>
      </c>
      <c r="C5049" s="1" t="n">
        <v>45911</v>
      </c>
      <c r="D5049" t="inlineStr">
        <is>
          <t>GÄVLEBORGS LÄN</t>
        </is>
      </c>
      <c r="E5049" t="inlineStr">
        <is>
          <t>BOLLNÄS</t>
        </is>
      </c>
      <c r="G5049" t="n">
        <v>12.5</v>
      </c>
      <c r="H5049" t="n">
        <v>0</v>
      </c>
      <c r="I5049" t="n">
        <v>0</v>
      </c>
      <c r="J5049" t="n">
        <v>0</v>
      </c>
      <c r="K5049" t="n">
        <v>0</v>
      </c>
      <c r="L5049" t="n">
        <v>0</v>
      </c>
      <c r="M5049" t="n">
        <v>0</v>
      </c>
      <c r="N5049" t="n">
        <v>0</v>
      </c>
      <c r="O5049" t="n">
        <v>0</v>
      </c>
      <c r="P5049" t="n">
        <v>0</v>
      </c>
      <c r="Q5049" t="n">
        <v>0</v>
      </c>
      <c r="R5049" s="2" t="inlineStr"/>
    </row>
    <row r="5050" ht="15" customHeight="1">
      <c r="A5050" t="inlineStr">
        <is>
          <t>A 32926-2025</t>
        </is>
      </c>
      <c r="B5050" s="1" t="n">
        <v>45839.6599074074</v>
      </c>
      <c r="C5050" s="1" t="n">
        <v>45911</v>
      </c>
      <c r="D5050" t="inlineStr">
        <is>
          <t>GÄVLEBORGS LÄN</t>
        </is>
      </c>
      <c r="E5050" t="inlineStr">
        <is>
          <t>OVANÅKER</t>
        </is>
      </c>
      <c r="F5050" t="inlineStr">
        <is>
          <t>Bergvik skog öst AB</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18681-2022</t>
        </is>
      </c>
      <c r="B5051" s="1" t="n">
        <v>44687.5766087963</v>
      </c>
      <c r="C5051" s="1" t="n">
        <v>45911</v>
      </c>
      <c r="D5051" t="inlineStr">
        <is>
          <t>GÄVLEBORGS LÄN</t>
        </is>
      </c>
      <c r="E5051" t="inlineStr">
        <is>
          <t>LJUSDAL</t>
        </is>
      </c>
      <c r="F5051" t="inlineStr">
        <is>
          <t>Bergvik skog väst AB</t>
        </is>
      </c>
      <c r="G5051" t="n">
        <v>2.9</v>
      </c>
      <c r="H5051" t="n">
        <v>0</v>
      </c>
      <c r="I5051" t="n">
        <v>0</v>
      </c>
      <c r="J5051" t="n">
        <v>0</v>
      </c>
      <c r="K5051" t="n">
        <v>0</v>
      </c>
      <c r="L5051" t="n">
        <v>0</v>
      </c>
      <c r="M5051" t="n">
        <v>0</v>
      </c>
      <c r="N5051" t="n">
        <v>0</v>
      </c>
      <c r="O5051" t="n">
        <v>0</v>
      </c>
      <c r="P5051" t="n">
        <v>0</v>
      </c>
      <c r="Q5051" t="n">
        <v>0</v>
      </c>
      <c r="R5051" s="2" t="inlineStr"/>
    </row>
    <row r="5052" ht="15" customHeight="1">
      <c r="A5052" t="inlineStr">
        <is>
          <t>A 33079-2025</t>
        </is>
      </c>
      <c r="B5052" s="1" t="n">
        <v>45840.46055555555</v>
      </c>
      <c r="C5052" s="1" t="n">
        <v>45911</v>
      </c>
      <c r="D5052" t="inlineStr">
        <is>
          <t>GÄVLEBORGS LÄN</t>
        </is>
      </c>
      <c r="E5052" t="inlineStr">
        <is>
          <t>OCKELBO</t>
        </is>
      </c>
      <c r="F5052" t="inlineStr">
        <is>
          <t>Bergvik skog väst AB</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33097-2025</t>
        </is>
      </c>
      <c r="B5053" s="1" t="n">
        <v>45840.47582175926</v>
      </c>
      <c r="C5053" s="1" t="n">
        <v>45911</v>
      </c>
      <c r="D5053" t="inlineStr">
        <is>
          <t>GÄVLEBORGS LÄN</t>
        </is>
      </c>
      <c r="E5053" t="inlineStr">
        <is>
          <t>NORDANSTIG</t>
        </is>
      </c>
      <c r="F5053" t="inlineStr">
        <is>
          <t>Holmen skog AB</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52881-2024</t>
        </is>
      </c>
      <c r="B5054" s="1" t="n">
        <v>45610.64039351852</v>
      </c>
      <c r="C5054" s="1" t="n">
        <v>45911</v>
      </c>
      <c r="D5054" t="inlineStr">
        <is>
          <t>GÄVLEBORGS LÄN</t>
        </is>
      </c>
      <c r="E5054" t="inlineStr">
        <is>
          <t>NORDANSTIG</t>
        </is>
      </c>
      <c r="F5054" t="inlineStr">
        <is>
          <t>Holmen skog AB</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38132-2025</t>
        </is>
      </c>
      <c r="B5055" s="1" t="n">
        <v>45882.561875</v>
      </c>
      <c r="C5055" s="1" t="n">
        <v>45911</v>
      </c>
      <c r="D5055" t="inlineStr">
        <is>
          <t>GÄVLEBORGS LÄN</t>
        </is>
      </c>
      <c r="E5055" t="inlineStr">
        <is>
          <t>GÄVLE</t>
        </is>
      </c>
      <c r="F5055" t="inlineStr">
        <is>
          <t>Bergvik skog väst AB</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23848-2025</t>
        </is>
      </c>
      <c r="B5056" s="1" t="n">
        <v>45793</v>
      </c>
      <c r="C5056" s="1" t="n">
        <v>45911</v>
      </c>
      <c r="D5056" t="inlineStr">
        <is>
          <t>GÄVLEBORGS LÄN</t>
        </is>
      </c>
      <c r="E5056" t="inlineStr">
        <is>
          <t>BOLLNÄS</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33968-2024</t>
        </is>
      </c>
      <c r="B5057" s="1" t="n">
        <v>45523.49373842592</v>
      </c>
      <c r="C5057" s="1" t="n">
        <v>45911</v>
      </c>
      <c r="D5057" t="inlineStr">
        <is>
          <t>GÄVLEBORGS LÄN</t>
        </is>
      </c>
      <c r="E5057" t="inlineStr">
        <is>
          <t>HUDIKSVALL</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37848-2025</t>
        </is>
      </c>
      <c r="B5058" s="1" t="n">
        <v>45881.44760416666</v>
      </c>
      <c r="C5058" s="1" t="n">
        <v>45911</v>
      </c>
      <c r="D5058" t="inlineStr">
        <is>
          <t>GÄVLEBORGS LÄN</t>
        </is>
      </c>
      <c r="E5058" t="inlineStr">
        <is>
          <t>NORDANSTIG</t>
        </is>
      </c>
      <c r="G5058" t="n">
        <v>0.3</v>
      </c>
      <c r="H5058" t="n">
        <v>0</v>
      </c>
      <c r="I5058" t="n">
        <v>0</v>
      </c>
      <c r="J5058" t="n">
        <v>0</v>
      </c>
      <c r="K5058" t="n">
        <v>0</v>
      </c>
      <c r="L5058" t="n">
        <v>0</v>
      </c>
      <c r="M5058" t="n">
        <v>0</v>
      </c>
      <c r="N5058" t="n">
        <v>0</v>
      </c>
      <c r="O5058" t="n">
        <v>0</v>
      </c>
      <c r="P5058" t="n">
        <v>0</v>
      </c>
      <c r="Q5058" t="n">
        <v>0</v>
      </c>
      <c r="R5058" s="2" t="inlineStr"/>
    </row>
    <row r="5059" ht="15" customHeight="1">
      <c r="A5059" t="inlineStr">
        <is>
          <t>A 37862-2025</t>
        </is>
      </c>
      <c r="B5059" s="1" t="n">
        <v>45881.46546296297</v>
      </c>
      <c r="C5059" s="1" t="n">
        <v>45911</v>
      </c>
      <c r="D5059" t="inlineStr">
        <is>
          <t>GÄVLEBORGS LÄN</t>
        </is>
      </c>
      <c r="E5059" t="inlineStr">
        <is>
          <t>HUDIKSVALL</t>
        </is>
      </c>
      <c r="F5059" t="inlineStr">
        <is>
          <t>Holmen skog AB</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15932-2025</t>
        </is>
      </c>
      <c r="B5060" s="1" t="n">
        <v>45749.47115740741</v>
      </c>
      <c r="C5060" s="1" t="n">
        <v>45911</v>
      </c>
      <c r="D5060" t="inlineStr">
        <is>
          <t>GÄVLEBORGS LÄN</t>
        </is>
      </c>
      <c r="E5060" t="inlineStr">
        <is>
          <t>GÄVLE</t>
        </is>
      </c>
      <c r="F5060" t="inlineStr">
        <is>
          <t>Bergvik skog öst AB</t>
        </is>
      </c>
      <c r="G5060" t="n">
        <v>5.2</v>
      </c>
      <c r="H5060" t="n">
        <v>0</v>
      </c>
      <c r="I5060" t="n">
        <v>0</v>
      </c>
      <c r="J5060" t="n">
        <v>0</v>
      </c>
      <c r="K5060" t="n">
        <v>0</v>
      </c>
      <c r="L5060" t="n">
        <v>0</v>
      </c>
      <c r="M5060" t="n">
        <v>0</v>
      </c>
      <c r="N5060" t="n">
        <v>0</v>
      </c>
      <c r="O5060" t="n">
        <v>0</v>
      </c>
      <c r="P5060" t="n">
        <v>0</v>
      </c>
      <c r="Q5060" t="n">
        <v>0</v>
      </c>
      <c r="R5060" s="2" t="inlineStr"/>
    </row>
    <row r="5061" ht="15" customHeight="1">
      <c r="A5061" t="inlineStr">
        <is>
          <t>A 32737-2025</t>
        </is>
      </c>
      <c r="B5061" s="1" t="n">
        <v>45839</v>
      </c>
      <c r="C5061" s="1" t="n">
        <v>45911</v>
      </c>
      <c r="D5061" t="inlineStr">
        <is>
          <t>GÄVLEBORGS LÄN</t>
        </is>
      </c>
      <c r="E5061" t="inlineStr">
        <is>
          <t>SANDVIKEN</t>
        </is>
      </c>
      <c r="F5061" t="inlineStr">
        <is>
          <t>Bergvik skog öst AB</t>
        </is>
      </c>
      <c r="G5061" t="n">
        <v>5.9</v>
      </c>
      <c r="H5061" t="n">
        <v>0</v>
      </c>
      <c r="I5061" t="n">
        <v>0</v>
      </c>
      <c r="J5061" t="n">
        <v>0</v>
      </c>
      <c r="K5061" t="n">
        <v>0</v>
      </c>
      <c r="L5061" t="n">
        <v>0</v>
      </c>
      <c r="M5061" t="n">
        <v>0</v>
      </c>
      <c r="N5061" t="n">
        <v>0</v>
      </c>
      <c r="O5061" t="n">
        <v>0</v>
      </c>
      <c r="P5061" t="n">
        <v>0</v>
      </c>
      <c r="Q5061" t="n">
        <v>0</v>
      </c>
      <c r="R5061" s="2" t="inlineStr"/>
    </row>
    <row r="5062" ht="15" customHeight="1">
      <c r="A5062" t="inlineStr">
        <is>
          <t>A 33179-2025</t>
        </is>
      </c>
      <c r="B5062" s="1" t="n">
        <v>45840</v>
      </c>
      <c r="C5062" s="1" t="n">
        <v>45911</v>
      </c>
      <c r="D5062" t="inlineStr">
        <is>
          <t>GÄVLEBORGS LÄN</t>
        </is>
      </c>
      <c r="E5062" t="inlineStr">
        <is>
          <t>BOLLNÄS</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33197-2025</t>
        </is>
      </c>
      <c r="B5063" s="1" t="n">
        <v>45840.60472222222</v>
      </c>
      <c r="C5063" s="1" t="n">
        <v>45911</v>
      </c>
      <c r="D5063" t="inlineStr">
        <is>
          <t>GÄVLEBORGS LÄN</t>
        </is>
      </c>
      <c r="E5063" t="inlineStr">
        <is>
          <t>HUDIKSVALL</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33231-2025</t>
        </is>
      </c>
      <c r="B5064" s="1" t="n">
        <v>45840.64146990741</v>
      </c>
      <c r="C5064" s="1" t="n">
        <v>45911</v>
      </c>
      <c r="D5064" t="inlineStr">
        <is>
          <t>GÄVLEBORGS LÄN</t>
        </is>
      </c>
      <c r="E5064" t="inlineStr">
        <is>
          <t>OCKELBO</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13961-2024</t>
        </is>
      </c>
      <c r="B5065" s="1" t="n">
        <v>45392.3412962963</v>
      </c>
      <c r="C5065" s="1" t="n">
        <v>45911</v>
      </c>
      <c r="D5065" t="inlineStr">
        <is>
          <t>GÄVLEBORGS LÄN</t>
        </is>
      </c>
      <c r="E5065" t="inlineStr">
        <is>
          <t>GÄVLE</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32816-2025</t>
        </is>
      </c>
      <c r="B5066" s="1" t="n">
        <v>45839</v>
      </c>
      <c r="C5066" s="1" t="n">
        <v>45911</v>
      </c>
      <c r="D5066" t="inlineStr">
        <is>
          <t>GÄVLEBORGS LÄN</t>
        </is>
      </c>
      <c r="E5066" t="inlineStr">
        <is>
          <t>OCKELBO</t>
        </is>
      </c>
      <c r="F5066" t="inlineStr">
        <is>
          <t>Bergvik skog väst AB</t>
        </is>
      </c>
      <c r="G5066" t="n">
        <v>6.5</v>
      </c>
      <c r="H5066" t="n">
        <v>0</v>
      </c>
      <c r="I5066" t="n">
        <v>0</v>
      </c>
      <c r="J5066" t="n">
        <v>0</v>
      </c>
      <c r="K5066" t="n">
        <v>0</v>
      </c>
      <c r="L5066" t="n">
        <v>0</v>
      </c>
      <c r="M5066" t="n">
        <v>0</v>
      </c>
      <c r="N5066" t="n">
        <v>0</v>
      </c>
      <c r="O5066" t="n">
        <v>0</v>
      </c>
      <c r="P5066" t="n">
        <v>0</v>
      </c>
      <c r="Q5066" t="n">
        <v>0</v>
      </c>
      <c r="R5066" s="2" t="inlineStr"/>
    </row>
    <row r="5067" ht="15" customHeight="1">
      <c r="A5067" t="inlineStr">
        <is>
          <t>A 38089-2025</t>
        </is>
      </c>
      <c r="B5067" s="1" t="n">
        <v>45882.48065972222</v>
      </c>
      <c r="C5067" s="1" t="n">
        <v>45911</v>
      </c>
      <c r="D5067" t="inlineStr">
        <is>
          <t>GÄVLEBORGS LÄN</t>
        </is>
      </c>
      <c r="E5067" t="inlineStr">
        <is>
          <t>LJUSDAL</t>
        </is>
      </c>
      <c r="G5067" t="n">
        <v>5.4</v>
      </c>
      <c r="H5067" t="n">
        <v>0</v>
      </c>
      <c r="I5067" t="n">
        <v>0</v>
      </c>
      <c r="J5067" t="n">
        <v>0</v>
      </c>
      <c r="K5067" t="n">
        <v>0</v>
      </c>
      <c r="L5067" t="n">
        <v>0</v>
      </c>
      <c r="M5067" t="n">
        <v>0</v>
      </c>
      <c r="N5067" t="n">
        <v>0</v>
      </c>
      <c r="O5067" t="n">
        <v>0</v>
      </c>
      <c r="P5067" t="n">
        <v>0</v>
      </c>
      <c r="Q5067" t="n">
        <v>0</v>
      </c>
      <c r="R5067" s="2" t="inlineStr"/>
    </row>
    <row r="5068" ht="15" customHeight="1">
      <c r="A5068" t="inlineStr">
        <is>
          <t>A 15444-2024</t>
        </is>
      </c>
      <c r="B5068" s="1" t="n">
        <v>45401</v>
      </c>
      <c r="C5068" s="1" t="n">
        <v>45911</v>
      </c>
      <c r="D5068" t="inlineStr">
        <is>
          <t>GÄVLEBORGS LÄN</t>
        </is>
      </c>
      <c r="E5068" t="inlineStr">
        <is>
          <t>GÄVLE</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32914-2025</t>
        </is>
      </c>
      <c r="B5069" s="1" t="n">
        <v>45839.63633101852</v>
      </c>
      <c r="C5069" s="1" t="n">
        <v>45911</v>
      </c>
      <c r="D5069" t="inlineStr">
        <is>
          <t>GÄVLEBORGS LÄN</t>
        </is>
      </c>
      <c r="E5069" t="inlineStr">
        <is>
          <t>OVANÅKER</t>
        </is>
      </c>
      <c r="F5069" t="inlineStr">
        <is>
          <t>Bergvik skog öst AB</t>
        </is>
      </c>
      <c r="G5069" t="n">
        <v>2.5</v>
      </c>
      <c r="H5069" t="n">
        <v>0</v>
      </c>
      <c r="I5069" t="n">
        <v>0</v>
      </c>
      <c r="J5069" t="n">
        <v>0</v>
      </c>
      <c r="K5069" t="n">
        <v>0</v>
      </c>
      <c r="L5069" t="n">
        <v>0</v>
      </c>
      <c r="M5069" t="n">
        <v>0</v>
      </c>
      <c r="N5069" t="n">
        <v>0</v>
      </c>
      <c r="O5069" t="n">
        <v>0</v>
      </c>
      <c r="P5069" t="n">
        <v>0</v>
      </c>
      <c r="Q5069" t="n">
        <v>0</v>
      </c>
      <c r="R5069" s="2" t="inlineStr"/>
    </row>
    <row r="5070" ht="15" customHeight="1">
      <c r="A5070" t="inlineStr">
        <is>
          <t>A 521-2024</t>
        </is>
      </c>
      <c r="B5070" s="1" t="n">
        <v>45299.4562037037</v>
      </c>
      <c r="C5070" s="1" t="n">
        <v>45911</v>
      </c>
      <c r="D5070" t="inlineStr">
        <is>
          <t>GÄVLEBORGS LÄN</t>
        </is>
      </c>
      <c r="E5070" t="inlineStr">
        <is>
          <t>BOLLNÄS</t>
        </is>
      </c>
      <c r="G5070" t="n">
        <v>4.8</v>
      </c>
      <c r="H5070" t="n">
        <v>0</v>
      </c>
      <c r="I5070" t="n">
        <v>0</v>
      </c>
      <c r="J5070" t="n">
        <v>0</v>
      </c>
      <c r="K5070" t="n">
        <v>0</v>
      </c>
      <c r="L5070" t="n">
        <v>0</v>
      </c>
      <c r="M5070" t="n">
        <v>0</v>
      </c>
      <c r="N5070" t="n">
        <v>0</v>
      </c>
      <c r="O5070" t="n">
        <v>0</v>
      </c>
      <c r="P5070" t="n">
        <v>0</v>
      </c>
      <c r="Q5070" t="n">
        <v>0</v>
      </c>
      <c r="R5070" s="2" t="inlineStr"/>
    </row>
    <row r="5071" ht="15" customHeight="1">
      <c r="A5071" t="inlineStr">
        <is>
          <t>A 51250-2022</t>
        </is>
      </c>
      <c r="B5071" s="1" t="n">
        <v>44868.66506944445</v>
      </c>
      <c r="C5071" s="1" t="n">
        <v>45911</v>
      </c>
      <c r="D5071" t="inlineStr">
        <is>
          <t>GÄVLEBORGS LÄN</t>
        </is>
      </c>
      <c r="E5071" t="inlineStr">
        <is>
          <t>NORDANSTIG</t>
        </is>
      </c>
      <c r="F5071" t="inlineStr">
        <is>
          <t>Holmen skog AB</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54976-2024</t>
        </is>
      </c>
      <c r="B5072" s="1" t="n">
        <v>45620.6840162037</v>
      </c>
      <c r="C5072" s="1" t="n">
        <v>45911</v>
      </c>
      <c r="D5072" t="inlineStr">
        <is>
          <t>GÄVLEBORGS LÄN</t>
        </is>
      </c>
      <c r="E5072" t="inlineStr">
        <is>
          <t>OCKELBO</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32815-2025</t>
        </is>
      </c>
      <c r="B5073" s="1" t="n">
        <v>45839.53114583333</v>
      </c>
      <c r="C5073" s="1" t="n">
        <v>45911</v>
      </c>
      <c r="D5073" t="inlineStr">
        <is>
          <t>GÄVLEBORGS LÄN</t>
        </is>
      </c>
      <c r="E5073" t="inlineStr">
        <is>
          <t>LJUSDAL</t>
        </is>
      </c>
      <c r="F5073" t="inlineStr">
        <is>
          <t>Sveaskog</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34668-2024</t>
        </is>
      </c>
      <c r="B5074" s="1" t="n">
        <v>45526.51855324074</v>
      </c>
      <c r="C5074" s="1" t="n">
        <v>45911</v>
      </c>
      <c r="D5074" t="inlineStr">
        <is>
          <t>GÄVLEBORGS LÄN</t>
        </is>
      </c>
      <c r="E5074" t="inlineStr">
        <is>
          <t>GÄVLE</t>
        </is>
      </c>
      <c r="F5074" t="inlineStr">
        <is>
          <t>Bergvik skog väst AB</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33051-2025</t>
        </is>
      </c>
      <c r="B5075" s="1" t="n">
        <v>45840.42487268519</v>
      </c>
      <c r="C5075" s="1" t="n">
        <v>45911</v>
      </c>
      <c r="D5075" t="inlineStr">
        <is>
          <t>GÄVLEBORGS LÄN</t>
        </is>
      </c>
      <c r="E5075" t="inlineStr">
        <is>
          <t>LJUSDAL</t>
        </is>
      </c>
      <c r="F5075" t="inlineStr">
        <is>
          <t>Allmännings- och besparingsskogar</t>
        </is>
      </c>
      <c r="G5075" t="n">
        <v>9.1</v>
      </c>
      <c r="H5075" t="n">
        <v>0</v>
      </c>
      <c r="I5075" t="n">
        <v>0</v>
      </c>
      <c r="J5075" t="n">
        <v>0</v>
      </c>
      <c r="K5075" t="n">
        <v>0</v>
      </c>
      <c r="L5075" t="n">
        <v>0</v>
      </c>
      <c r="M5075" t="n">
        <v>0</v>
      </c>
      <c r="N5075" t="n">
        <v>0</v>
      </c>
      <c r="O5075" t="n">
        <v>0</v>
      </c>
      <c r="P5075" t="n">
        <v>0</v>
      </c>
      <c r="Q5075" t="n">
        <v>0</v>
      </c>
      <c r="R5075" s="2" t="inlineStr"/>
    </row>
    <row r="5076" ht="15" customHeight="1">
      <c r="A5076" t="inlineStr">
        <is>
          <t>A 26539-2023</t>
        </is>
      </c>
      <c r="B5076" s="1" t="n">
        <v>45092</v>
      </c>
      <c r="C5076" s="1" t="n">
        <v>45911</v>
      </c>
      <c r="D5076" t="inlineStr">
        <is>
          <t>GÄVLEBORGS LÄN</t>
        </is>
      </c>
      <c r="E5076" t="inlineStr">
        <is>
          <t>LJUSDAL</t>
        </is>
      </c>
      <c r="F5076" t="inlineStr">
        <is>
          <t>Sveaskog</t>
        </is>
      </c>
      <c r="G5076" t="n">
        <v>11.4</v>
      </c>
      <c r="H5076" t="n">
        <v>0</v>
      </c>
      <c r="I5076" t="n">
        <v>0</v>
      </c>
      <c r="J5076" t="n">
        <v>0</v>
      </c>
      <c r="K5076" t="n">
        <v>0</v>
      </c>
      <c r="L5076" t="n">
        <v>0</v>
      </c>
      <c r="M5076" t="n">
        <v>0</v>
      </c>
      <c r="N5076" t="n">
        <v>0</v>
      </c>
      <c r="O5076" t="n">
        <v>0</v>
      </c>
      <c r="P5076" t="n">
        <v>0</v>
      </c>
      <c r="Q5076" t="n">
        <v>0</v>
      </c>
      <c r="R5076" s="2" t="inlineStr"/>
    </row>
    <row r="5077" ht="15" customHeight="1">
      <c r="A5077" t="inlineStr">
        <is>
          <t>A 33124-2025</t>
        </is>
      </c>
      <c r="B5077" s="1" t="n">
        <v>45840.4965162037</v>
      </c>
      <c r="C5077" s="1" t="n">
        <v>45911</v>
      </c>
      <c r="D5077" t="inlineStr">
        <is>
          <t>GÄVLEBORGS LÄN</t>
        </is>
      </c>
      <c r="E5077" t="inlineStr">
        <is>
          <t>OCKELBO</t>
        </is>
      </c>
      <c r="G5077" t="n">
        <v>3.3</v>
      </c>
      <c r="H5077" t="n">
        <v>0</v>
      </c>
      <c r="I5077" t="n">
        <v>0</v>
      </c>
      <c r="J5077" t="n">
        <v>0</v>
      </c>
      <c r="K5077" t="n">
        <v>0</v>
      </c>
      <c r="L5077" t="n">
        <v>0</v>
      </c>
      <c r="M5077" t="n">
        <v>0</v>
      </c>
      <c r="N5077" t="n">
        <v>0</v>
      </c>
      <c r="O5077" t="n">
        <v>0</v>
      </c>
      <c r="P5077" t="n">
        <v>0</v>
      </c>
      <c r="Q5077" t="n">
        <v>0</v>
      </c>
      <c r="R5077" s="2" t="inlineStr"/>
    </row>
    <row r="5078" ht="15" customHeight="1">
      <c r="A5078" t="inlineStr">
        <is>
          <t>A 32831-2025</t>
        </is>
      </c>
      <c r="B5078" s="1" t="n">
        <v>45839.55167824074</v>
      </c>
      <c r="C5078" s="1" t="n">
        <v>45911</v>
      </c>
      <c r="D5078" t="inlineStr">
        <is>
          <t>GÄVLEBORGS LÄN</t>
        </is>
      </c>
      <c r="E5078" t="inlineStr">
        <is>
          <t>OVANÅKER</t>
        </is>
      </c>
      <c r="F5078" t="inlineStr">
        <is>
          <t>Bergvik skog väst AB</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32694-2025</t>
        </is>
      </c>
      <c r="B5079" s="1" t="n">
        <v>45839.30681712963</v>
      </c>
      <c r="C5079" s="1" t="n">
        <v>45911</v>
      </c>
      <c r="D5079" t="inlineStr">
        <is>
          <t>GÄVLEBORGS LÄN</t>
        </is>
      </c>
      <c r="E5079" t="inlineStr">
        <is>
          <t>LJUSDAL</t>
        </is>
      </c>
      <c r="F5079" t="inlineStr">
        <is>
          <t>Sveaskog</t>
        </is>
      </c>
      <c r="G5079" t="n">
        <v>4.2</v>
      </c>
      <c r="H5079" t="n">
        <v>0</v>
      </c>
      <c r="I5079" t="n">
        <v>0</v>
      </c>
      <c r="J5079" t="n">
        <v>0</v>
      </c>
      <c r="K5079" t="n">
        <v>0</v>
      </c>
      <c r="L5079" t="n">
        <v>0</v>
      </c>
      <c r="M5079" t="n">
        <v>0</v>
      </c>
      <c r="N5079" t="n">
        <v>0</v>
      </c>
      <c r="O5079" t="n">
        <v>0</v>
      </c>
      <c r="P5079" t="n">
        <v>0</v>
      </c>
      <c r="Q5079" t="n">
        <v>0</v>
      </c>
      <c r="R5079" s="2" t="inlineStr"/>
    </row>
    <row r="5080" ht="15" customHeight="1">
      <c r="A5080" t="inlineStr">
        <is>
          <t>A 15088-2024</t>
        </is>
      </c>
      <c r="B5080" s="1" t="n">
        <v>45399.64290509259</v>
      </c>
      <c r="C5080" s="1" t="n">
        <v>45911</v>
      </c>
      <c r="D5080" t="inlineStr">
        <is>
          <t>GÄVLEBORGS LÄN</t>
        </is>
      </c>
      <c r="E5080" t="inlineStr">
        <is>
          <t>NORDANSTIG</t>
        </is>
      </c>
      <c r="G5080" t="n">
        <v>3</v>
      </c>
      <c r="H5080" t="n">
        <v>0</v>
      </c>
      <c r="I5080" t="n">
        <v>0</v>
      </c>
      <c r="J5080" t="n">
        <v>0</v>
      </c>
      <c r="K5080" t="n">
        <v>0</v>
      </c>
      <c r="L5080" t="n">
        <v>0</v>
      </c>
      <c r="M5080" t="n">
        <v>0</v>
      </c>
      <c r="N5080" t="n">
        <v>0</v>
      </c>
      <c r="O5080" t="n">
        <v>0</v>
      </c>
      <c r="P5080" t="n">
        <v>0</v>
      </c>
      <c r="Q5080" t="n">
        <v>0</v>
      </c>
      <c r="R5080" s="2" t="inlineStr"/>
    </row>
    <row r="5081" ht="15" customHeight="1">
      <c r="A5081" t="inlineStr">
        <is>
          <t>A 37811-2025</t>
        </is>
      </c>
      <c r="B5081" s="1" t="n">
        <v>45881.3714699074</v>
      </c>
      <c r="C5081" s="1" t="n">
        <v>45911</v>
      </c>
      <c r="D5081" t="inlineStr">
        <is>
          <t>GÄVLEBORGS LÄN</t>
        </is>
      </c>
      <c r="E5081" t="inlineStr">
        <is>
          <t>HUDIKSVALL</t>
        </is>
      </c>
      <c r="F5081" t="inlineStr">
        <is>
          <t>Holmen skog AB</t>
        </is>
      </c>
      <c r="G5081" t="n">
        <v>7.8</v>
      </c>
      <c r="H5081" t="n">
        <v>0</v>
      </c>
      <c r="I5081" t="n">
        <v>0</v>
      </c>
      <c r="J5081" t="n">
        <v>0</v>
      </c>
      <c r="K5081" t="n">
        <v>0</v>
      </c>
      <c r="L5081" t="n">
        <v>0</v>
      </c>
      <c r="M5081" t="n">
        <v>0</v>
      </c>
      <c r="N5081" t="n">
        <v>0</v>
      </c>
      <c r="O5081" t="n">
        <v>0</v>
      </c>
      <c r="P5081" t="n">
        <v>0</v>
      </c>
      <c r="Q5081" t="n">
        <v>0</v>
      </c>
      <c r="R5081" s="2" t="inlineStr"/>
    </row>
    <row r="5082" ht="15" customHeight="1">
      <c r="A5082" t="inlineStr">
        <is>
          <t>A 32907-2025</t>
        </is>
      </c>
      <c r="B5082" s="1" t="n">
        <v>45839.62800925926</v>
      </c>
      <c r="C5082" s="1" t="n">
        <v>45911</v>
      </c>
      <c r="D5082" t="inlineStr">
        <is>
          <t>GÄVLEBORGS LÄN</t>
        </is>
      </c>
      <c r="E5082" t="inlineStr">
        <is>
          <t>SANDVIKEN</t>
        </is>
      </c>
      <c r="F5082" t="inlineStr">
        <is>
          <t>Naturvårdsverket</t>
        </is>
      </c>
      <c r="G5082" t="n">
        <v>10.4</v>
      </c>
      <c r="H5082" t="n">
        <v>0</v>
      </c>
      <c r="I5082" t="n">
        <v>0</v>
      </c>
      <c r="J5082" t="n">
        <v>0</v>
      </c>
      <c r="K5082" t="n">
        <v>0</v>
      </c>
      <c r="L5082" t="n">
        <v>0</v>
      </c>
      <c r="M5082" t="n">
        <v>0</v>
      </c>
      <c r="N5082" t="n">
        <v>0</v>
      </c>
      <c r="O5082" t="n">
        <v>0</v>
      </c>
      <c r="P5082" t="n">
        <v>0</v>
      </c>
      <c r="Q5082" t="n">
        <v>0</v>
      </c>
      <c r="R5082" s="2" t="inlineStr"/>
    </row>
    <row r="5083" ht="15" customHeight="1">
      <c r="A5083" t="inlineStr">
        <is>
          <t>A 38007-2025</t>
        </is>
      </c>
      <c r="B5083" s="1" t="n">
        <v>45882</v>
      </c>
      <c r="C5083" s="1" t="n">
        <v>45911</v>
      </c>
      <c r="D5083" t="inlineStr">
        <is>
          <t>GÄVLEBORGS LÄN</t>
        </is>
      </c>
      <c r="E5083" t="inlineStr">
        <is>
          <t>LJUSDAL</t>
        </is>
      </c>
      <c r="F5083" t="inlineStr">
        <is>
          <t>Naturvårdsverket</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1327-2024</t>
        </is>
      </c>
      <c r="B5084" s="1" t="n">
        <v>45303.42979166667</v>
      </c>
      <c r="C5084" s="1" t="n">
        <v>45911</v>
      </c>
      <c r="D5084" t="inlineStr">
        <is>
          <t>GÄVLEBORGS LÄN</t>
        </is>
      </c>
      <c r="E5084" t="inlineStr">
        <is>
          <t>NORDANSTIG</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41512-2023</t>
        </is>
      </c>
      <c r="B5085" s="1" t="n">
        <v>45175</v>
      </c>
      <c r="C5085" s="1" t="n">
        <v>45911</v>
      </c>
      <c r="D5085" t="inlineStr">
        <is>
          <t>GÄVLEBORGS LÄN</t>
        </is>
      </c>
      <c r="E5085" t="inlineStr">
        <is>
          <t>OVANÅKER</t>
        </is>
      </c>
      <c r="G5085" t="n">
        <v>7.7</v>
      </c>
      <c r="H5085" t="n">
        <v>0</v>
      </c>
      <c r="I5085" t="n">
        <v>0</v>
      </c>
      <c r="J5085" t="n">
        <v>0</v>
      </c>
      <c r="K5085" t="n">
        <v>0</v>
      </c>
      <c r="L5085" t="n">
        <v>0</v>
      </c>
      <c r="M5085" t="n">
        <v>0</v>
      </c>
      <c r="N5085" t="n">
        <v>0</v>
      </c>
      <c r="O5085" t="n">
        <v>0</v>
      </c>
      <c r="P5085" t="n">
        <v>0</v>
      </c>
      <c r="Q5085" t="n">
        <v>0</v>
      </c>
      <c r="R5085" s="2" t="inlineStr"/>
    </row>
    <row r="5086" ht="15" customHeight="1">
      <c r="A5086" t="inlineStr">
        <is>
          <t>A 61301-2024</t>
        </is>
      </c>
      <c r="B5086" s="1" t="n">
        <v>45645.9084375</v>
      </c>
      <c r="C5086" s="1" t="n">
        <v>45911</v>
      </c>
      <c r="D5086" t="inlineStr">
        <is>
          <t>GÄVLEBORGS LÄN</t>
        </is>
      </c>
      <c r="E5086" t="inlineStr">
        <is>
          <t>GÄVLE</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32824-2025</t>
        </is>
      </c>
      <c r="B5087" s="1" t="n">
        <v>45839</v>
      </c>
      <c r="C5087" s="1" t="n">
        <v>45911</v>
      </c>
      <c r="D5087" t="inlineStr">
        <is>
          <t>GÄVLEBORGS LÄN</t>
        </is>
      </c>
      <c r="E5087" t="inlineStr">
        <is>
          <t>OCKELBO</t>
        </is>
      </c>
      <c r="F5087" t="inlineStr">
        <is>
          <t>Bergvik skog väst AB</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55370-2023</t>
        </is>
      </c>
      <c r="B5088" s="1" t="n">
        <v>45238</v>
      </c>
      <c r="C5088" s="1" t="n">
        <v>45911</v>
      </c>
      <c r="D5088" t="inlineStr">
        <is>
          <t>GÄVLEBORGS LÄN</t>
        </is>
      </c>
      <c r="E5088" t="inlineStr">
        <is>
          <t>LJUSDAL</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38043-2025</t>
        </is>
      </c>
      <c r="B5089" s="1" t="n">
        <v>45882.39199074074</v>
      </c>
      <c r="C5089" s="1" t="n">
        <v>45911</v>
      </c>
      <c r="D5089" t="inlineStr">
        <is>
          <t>GÄVLEBORGS LÄN</t>
        </is>
      </c>
      <c r="E5089" t="inlineStr">
        <is>
          <t>NORDANSTIG</t>
        </is>
      </c>
      <c r="F5089" t="inlineStr">
        <is>
          <t>Holmen skog AB</t>
        </is>
      </c>
      <c r="G5089" t="n">
        <v>10.1</v>
      </c>
      <c r="H5089" t="n">
        <v>0</v>
      </c>
      <c r="I5089" t="n">
        <v>0</v>
      </c>
      <c r="J5089" t="n">
        <v>0</v>
      </c>
      <c r="K5089" t="n">
        <v>0</v>
      </c>
      <c r="L5089" t="n">
        <v>0</v>
      </c>
      <c r="M5089" t="n">
        <v>0</v>
      </c>
      <c r="N5089" t="n">
        <v>0</v>
      </c>
      <c r="O5089" t="n">
        <v>0</v>
      </c>
      <c r="P5089" t="n">
        <v>0</v>
      </c>
      <c r="Q5089" t="n">
        <v>0</v>
      </c>
      <c r="R5089" s="2" t="inlineStr"/>
    </row>
    <row r="5090" ht="15" customHeight="1">
      <c r="A5090" t="inlineStr">
        <is>
          <t>A 38077-2025</t>
        </is>
      </c>
      <c r="B5090" s="1" t="n">
        <v>45882.4669212963</v>
      </c>
      <c r="C5090" s="1" t="n">
        <v>45911</v>
      </c>
      <c r="D5090" t="inlineStr">
        <is>
          <t>GÄVLEBORGS LÄN</t>
        </is>
      </c>
      <c r="E5090" t="inlineStr">
        <is>
          <t>HUDIKSVALL</t>
        </is>
      </c>
      <c r="G5090" t="n">
        <v>4.5</v>
      </c>
      <c r="H5090" t="n">
        <v>0</v>
      </c>
      <c r="I5090" t="n">
        <v>0</v>
      </c>
      <c r="J5090" t="n">
        <v>0</v>
      </c>
      <c r="K5090" t="n">
        <v>0</v>
      </c>
      <c r="L5090" t="n">
        <v>0</v>
      </c>
      <c r="M5090" t="n">
        <v>0</v>
      </c>
      <c r="N5090" t="n">
        <v>0</v>
      </c>
      <c r="O5090" t="n">
        <v>0</v>
      </c>
      <c r="P5090" t="n">
        <v>0</v>
      </c>
      <c r="Q5090" t="n">
        <v>0</v>
      </c>
      <c r="R5090" s="2" t="inlineStr"/>
    </row>
    <row r="5091" ht="15" customHeight="1">
      <c r="A5091" t="inlineStr">
        <is>
          <t>A 37-2024</t>
        </is>
      </c>
      <c r="B5091" s="1" t="n">
        <v>45293</v>
      </c>
      <c r="C5091" s="1" t="n">
        <v>45911</v>
      </c>
      <c r="D5091" t="inlineStr">
        <is>
          <t>GÄVLEBORGS LÄN</t>
        </is>
      </c>
      <c r="E5091" t="inlineStr">
        <is>
          <t>SANDVIKEN</t>
        </is>
      </c>
      <c r="G5091" t="n">
        <v>2.8</v>
      </c>
      <c r="H5091" t="n">
        <v>0</v>
      </c>
      <c r="I5091" t="n">
        <v>0</v>
      </c>
      <c r="J5091" t="n">
        <v>0</v>
      </c>
      <c r="K5091" t="n">
        <v>0</v>
      </c>
      <c r="L5091" t="n">
        <v>0</v>
      </c>
      <c r="M5091" t="n">
        <v>0</v>
      </c>
      <c r="N5091" t="n">
        <v>0</v>
      </c>
      <c r="O5091" t="n">
        <v>0</v>
      </c>
      <c r="P5091" t="n">
        <v>0</v>
      </c>
      <c r="Q5091" t="n">
        <v>0</v>
      </c>
      <c r="R5091" s="2" t="inlineStr"/>
    </row>
    <row r="5092" ht="15" customHeight="1">
      <c r="A5092" t="inlineStr">
        <is>
          <t>A 39-2024</t>
        </is>
      </c>
      <c r="B5092" s="1" t="n">
        <v>45293.50021990741</v>
      </c>
      <c r="C5092" s="1" t="n">
        <v>45911</v>
      </c>
      <c r="D5092" t="inlineStr">
        <is>
          <t>GÄVLEBORGS LÄN</t>
        </is>
      </c>
      <c r="E5092" t="inlineStr">
        <is>
          <t>SANDVIKEN</t>
        </is>
      </c>
      <c r="G5092" t="n">
        <v>2.6</v>
      </c>
      <c r="H5092" t="n">
        <v>0</v>
      </c>
      <c r="I5092" t="n">
        <v>0</v>
      </c>
      <c r="J5092" t="n">
        <v>0</v>
      </c>
      <c r="K5092" t="n">
        <v>0</v>
      </c>
      <c r="L5092" t="n">
        <v>0</v>
      </c>
      <c r="M5092" t="n">
        <v>0</v>
      </c>
      <c r="N5092" t="n">
        <v>0</v>
      </c>
      <c r="O5092" t="n">
        <v>0</v>
      </c>
      <c r="P5092" t="n">
        <v>0</v>
      </c>
      <c r="Q5092" t="n">
        <v>0</v>
      </c>
      <c r="R5092" s="2" t="inlineStr"/>
    </row>
    <row r="5093" ht="15" customHeight="1">
      <c r="A5093" t="inlineStr">
        <is>
          <t>A 921-2024</t>
        </is>
      </c>
      <c r="B5093" s="1" t="n">
        <v>45301</v>
      </c>
      <c r="C5093" s="1" t="n">
        <v>45911</v>
      </c>
      <c r="D5093" t="inlineStr">
        <is>
          <t>GÄVLEBORGS LÄN</t>
        </is>
      </c>
      <c r="E5093" t="inlineStr">
        <is>
          <t>OCKELBO</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58723-2022</t>
        </is>
      </c>
      <c r="B5094" s="1" t="n">
        <v>44902.92579861111</v>
      </c>
      <c r="C5094" s="1" t="n">
        <v>45911</v>
      </c>
      <c r="D5094" t="inlineStr">
        <is>
          <t>GÄVLEBORGS LÄN</t>
        </is>
      </c>
      <c r="E5094" t="inlineStr">
        <is>
          <t>HUDIKSVALL</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38187-2025</t>
        </is>
      </c>
      <c r="B5095" s="1" t="n">
        <v>45882.6533449074</v>
      </c>
      <c r="C5095" s="1" t="n">
        <v>45911</v>
      </c>
      <c r="D5095" t="inlineStr">
        <is>
          <t>GÄVLEBORGS LÄN</t>
        </is>
      </c>
      <c r="E5095" t="inlineStr">
        <is>
          <t>LJUSDAL</t>
        </is>
      </c>
      <c r="G5095" t="n">
        <v>9.300000000000001</v>
      </c>
      <c r="H5095" t="n">
        <v>0</v>
      </c>
      <c r="I5095" t="n">
        <v>0</v>
      </c>
      <c r="J5095" t="n">
        <v>0</v>
      </c>
      <c r="K5095" t="n">
        <v>0</v>
      </c>
      <c r="L5095" t="n">
        <v>0</v>
      </c>
      <c r="M5095" t="n">
        <v>0</v>
      </c>
      <c r="N5095" t="n">
        <v>0</v>
      </c>
      <c r="O5095" t="n">
        <v>0</v>
      </c>
      <c r="P5095" t="n">
        <v>0</v>
      </c>
      <c r="Q5095" t="n">
        <v>0</v>
      </c>
      <c r="R5095" s="2" t="inlineStr"/>
    </row>
    <row r="5096" ht="15" customHeight="1">
      <c r="A5096" t="inlineStr">
        <is>
          <t>A 53268-2024</t>
        </is>
      </c>
      <c r="B5096" s="1" t="n">
        <v>45614</v>
      </c>
      <c r="C5096" s="1" t="n">
        <v>45911</v>
      </c>
      <c r="D5096" t="inlineStr">
        <is>
          <t>GÄVLEBORGS LÄN</t>
        </is>
      </c>
      <c r="E5096" t="inlineStr">
        <is>
          <t>GÄVLE</t>
        </is>
      </c>
      <c r="F5096" t="inlineStr">
        <is>
          <t>Bergvik skog öst AB</t>
        </is>
      </c>
      <c r="G5096" t="n">
        <v>3.3</v>
      </c>
      <c r="H5096" t="n">
        <v>0</v>
      </c>
      <c r="I5096" t="n">
        <v>0</v>
      </c>
      <c r="J5096" t="n">
        <v>0</v>
      </c>
      <c r="K5096" t="n">
        <v>0</v>
      </c>
      <c r="L5096" t="n">
        <v>0</v>
      </c>
      <c r="M5096" t="n">
        <v>0</v>
      </c>
      <c r="N5096" t="n">
        <v>0</v>
      </c>
      <c r="O5096" t="n">
        <v>0</v>
      </c>
      <c r="P5096" t="n">
        <v>0</v>
      </c>
      <c r="Q5096" t="n">
        <v>0</v>
      </c>
      <c r="R5096" s="2" t="inlineStr"/>
    </row>
    <row r="5097" ht="15" customHeight="1">
      <c r="A5097" t="inlineStr">
        <is>
          <t>A 58113-2022</t>
        </is>
      </c>
      <c r="B5097" s="1" t="n">
        <v>44900.65167824074</v>
      </c>
      <c r="C5097" s="1" t="n">
        <v>45911</v>
      </c>
      <c r="D5097" t="inlineStr">
        <is>
          <t>GÄVLEBORGS LÄN</t>
        </is>
      </c>
      <c r="E5097" t="inlineStr">
        <is>
          <t>LJUSDAL</t>
        </is>
      </c>
      <c r="F5097" t="inlineStr">
        <is>
          <t>Sveaskog</t>
        </is>
      </c>
      <c r="G5097" t="n">
        <v>3.1</v>
      </c>
      <c r="H5097" t="n">
        <v>0</v>
      </c>
      <c r="I5097" t="n">
        <v>0</v>
      </c>
      <c r="J5097" t="n">
        <v>0</v>
      </c>
      <c r="K5097" t="n">
        <v>0</v>
      </c>
      <c r="L5097" t="n">
        <v>0</v>
      </c>
      <c r="M5097" t="n">
        <v>0</v>
      </c>
      <c r="N5097" t="n">
        <v>0</v>
      </c>
      <c r="O5097" t="n">
        <v>0</v>
      </c>
      <c r="P5097" t="n">
        <v>0</v>
      </c>
      <c r="Q5097" t="n">
        <v>0</v>
      </c>
      <c r="R5097" s="2" t="inlineStr"/>
    </row>
    <row r="5098" ht="15" customHeight="1">
      <c r="A5098" t="inlineStr">
        <is>
          <t>A 10858-2025</t>
        </is>
      </c>
      <c r="B5098" s="1" t="n">
        <v>45722.59630787037</v>
      </c>
      <c r="C5098" s="1" t="n">
        <v>45911</v>
      </c>
      <c r="D5098" t="inlineStr">
        <is>
          <t>GÄVLEBORGS LÄN</t>
        </is>
      </c>
      <c r="E5098" t="inlineStr">
        <is>
          <t>HUDIKSVALL</t>
        </is>
      </c>
      <c r="F5098" t="inlineStr">
        <is>
          <t>Holmen skog AB</t>
        </is>
      </c>
      <c r="G5098" t="n">
        <v>13.4</v>
      </c>
      <c r="H5098" t="n">
        <v>0</v>
      </c>
      <c r="I5098" t="n">
        <v>0</v>
      </c>
      <c r="J5098" t="n">
        <v>0</v>
      </c>
      <c r="K5098" t="n">
        <v>0</v>
      </c>
      <c r="L5098" t="n">
        <v>0</v>
      </c>
      <c r="M5098" t="n">
        <v>0</v>
      </c>
      <c r="N5098" t="n">
        <v>0</v>
      </c>
      <c r="O5098" t="n">
        <v>0</v>
      </c>
      <c r="P5098" t="n">
        <v>0</v>
      </c>
      <c r="Q5098" t="n">
        <v>0</v>
      </c>
      <c r="R5098" s="2" t="inlineStr"/>
    </row>
    <row r="5099" ht="15" customHeight="1">
      <c r="A5099" t="inlineStr">
        <is>
          <t>A 34846-2024</t>
        </is>
      </c>
      <c r="B5099" s="1" t="n">
        <v>45527.30645833333</v>
      </c>
      <c r="C5099" s="1" t="n">
        <v>45911</v>
      </c>
      <c r="D5099" t="inlineStr">
        <is>
          <t>GÄVLEBORGS LÄN</t>
        </is>
      </c>
      <c r="E5099" t="inlineStr">
        <is>
          <t>BOLLNÄS</t>
        </is>
      </c>
      <c r="F5099" t="inlineStr">
        <is>
          <t>Bergvik skog väst AB</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26440-2024</t>
        </is>
      </c>
      <c r="B5100" s="1" t="n">
        <v>45469.49199074074</v>
      </c>
      <c r="C5100" s="1" t="n">
        <v>45911</v>
      </c>
      <c r="D5100" t="inlineStr">
        <is>
          <t>GÄVLEBORGS LÄN</t>
        </is>
      </c>
      <c r="E5100" t="inlineStr">
        <is>
          <t>BOLLNÄS</t>
        </is>
      </c>
      <c r="F5100" t="inlineStr">
        <is>
          <t>Bergvik skog väst AB</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61827-2022</t>
        </is>
      </c>
      <c r="B5101" s="1" t="n">
        <v>44917</v>
      </c>
      <c r="C5101" s="1" t="n">
        <v>45911</v>
      </c>
      <c r="D5101" t="inlineStr">
        <is>
          <t>GÄVLEBORGS LÄN</t>
        </is>
      </c>
      <c r="E5101" t="inlineStr">
        <is>
          <t>OVANÅKER</t>
        </is>
      </c>
      <c r="G5101" t="n">
        <v>15.9</v>
      </c>
      <c r="H5101" t="n">
        <v>0</v>
      </c>
      <c r="I5101" t="n">
        <v>0</v>
      </c>
      <c r="J5101" t="n">
        <v>0</v>
      </c>
      <c r="K5101" t="n">
        <v>0</v>
      </c>
      <c r="L5101" t="n">
        <v>0</v>
      </c>
      <c r="M5101" t="n">
        <v>0</v>
      </c>
      <c r="N5101" t="n">
        <v>0</v>
      </c>
      <c r="O5101" t="n">
        <v>0</v>
      </c>
      <c r="P5101" t="n">
        <v>0</v>
      </c>
      <c r="Q5101" t="n">
        <v>0</v>
      </c>
      <c r="R5101" s="2" t="inlineStr"/>
    </row>
    <row r="5102" ht="15" customHeight="1">
      <c r="A5102" t="inlineStr">
        <is>
          <t>A 14296-2024</t>
        </is>
      </c>
      <c r="B5102" s="1" t="n">
        <v>45393</v>
      </c>
      <c r="C5102" s="1" t="n">
        <v>45911</v>
      </c>
      <c r="D5102" t="inlineStr">
        <is>
          <t>GÄVLEBORGS LÄN</t>
        </is>
      </c>
      <c r="E5102" t="inlineStr">
        <is>
          <t>LJUSDAL</t>
        </is>
      </c>
      <c r="F5102" t="inlineStr">
        <is>
          <t>Bergvik skog väst AB</t>
        </is>
      </c>
      <c r="G5102" t="n">
        <v>0.4</v>
      </c>
      <c r="H5102" t="n">
        <v>0</v>
      </c>
      <c r="I5102" t="n">
        <v>0</v>
      </c>
      <c r="J5102" t="n">
        <v>0</v>
      </c>
      <c r="K5102" t="n">
        <v>0</v>
      </c>
      <c r="L5102" t="n">
        <v>0</v>
      </c>
      <c r="M5102" t="n">
        <v>0</v>
      </c>
      <c r="N5102" t="n">
        <v>0</v>
      </c>
      <c r="O5102" t="n">
        <v>0</v>
      </c>
      <c r="P5102" t="n">
        <v>0</v>
      </c>
      <c r="Q5102" t="n">
        <v>0</v>
      </c>
      <c r="R5102" s="2" t="inlineStr"/>
    </row>
    <row r="5103" ht="15" customHeight="1">
      <c r="A5103" t="inlineStr">
        <is>
          <t>A 32886-2025</t>
        </is>
      </c>
      <c r="B5103" s="1" t="n">
        <v>45839.59930555556</v>
      </c>
      <c r="C5103" s="1" t="n">
        <v>45911</v>
      </c>
      <c r="D5103" t="inlineStr">
        <is>
          <t>GÄVLEBORGS LÄN</t>
        </is>
      </c>
      <c r="E5103" t="inlineStr">
        <is>
          <t>OVANÅKER</t>
        </is>
      </c>
      <c r="F5103" t="inlineStr">
        <is>
          <t>Bergvik skog öst AB</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38185-2025</t>
        </is>
      </c>
      <c r="B5104" s="1" t="n">
        <v>45882.6513425926</v>
      </c>
      <c r="C5104" s="1" t="n">
        <v>45911</v>
      </c>
      <c r="D5104" t="inlineStr">
        <is>
          <t>GÄVLEBORGS LÄN</t>
        </is>
      </c>
      <c r="E5104" t="inlineStr">
        <is>
          <t>NORDANSTIG</t>
        </is>
      </c>
      <c r="G5104" t="n">
        <v>5</v>
      </c>
      <c r="H5104" t="n">
        <v>0</v>
      </c>
      <c r="I5104" t="n">
        <v>0</v>
      </c>
      <c r="J5104" t="n">
        <v>0</v>
      </c>
      <c r="K5104" t="n">
        <v>0</v>
      </c>
      <c r="L5104" t="n">
        <v>0</v>
      </c>
      <c r="M5104" t="n">
        <v>0</v>
      </c>
      <c r="N5104" t="n">
        <v>0</v>
      </c>
      <c r="O5104" t="n">
        <v>0</v>
      </c>
      <c r="P5104" t="n">
        <v>0</v>
      </c>
      <c r="Q5104" t="n">
        <v>0</v>
      </c>
      <c r="R5104" s="2" t="inlineStr"/>
    </row>
    <row r="5105" ht="15" customHeight="1">
      <c r="A5105" t="inlineStr">
        <is>
          <t>A 35201-2024</t>
        </is>
      </c>
      <c r="B5105" s="1" t="n">
        <v>45530</v>
      </c>
      <c r="C5105" s="1" t="n">
        <v>45911</v>
      </c>
      <c r="D5105" t="inlineStr">
        <is>
          <t>GÄVLEBORGS LÄN</t>
        </is>
      </c>
      <c r="E5105" t="inlineStr">
        <is>
          <t>HUDIKSVALL</t>
        </is>
      </c>
      <c r="F5105" t="inlineStr">
        <is>
          <t>Holmen skog AB</t>
        </is>
      </c>
      <c r="G5105" t="n">
        <v>7.3</v>
      </c>
      <c r="H5105" t="n">
        <v>0</v>
      </c>
      <c r="I5105" t="n">
        <v>0</v>
      </c>
      <c r="J5105" t="n">
        <v>0</v>
      </c>
      <c r="K5105" t="n">
        <v>0</v>
      </c>
      <c r="L5105" t="n">
        <v>0</v>
      </c>
      <c r="M5105" t="n">
        <v>0</v>
      </c>
      <c r="N5105" t="n">
        <v>0</v>
      </c>
      <c r="O5105" t="n">
        <v>0</v>
      </c>
      <c r="P5105" t="n">
        <v>0</v>
      </c>
      <c r="Q5105" t="n">
        <v>0</v>
      </c>
      <c r="R5105" s="2" t="inlineStr"/>
    </row>
    <row r="5106" ht="15" customHeight="1">
      <c r="A5106" t="inlineStr">
        <is>
          <t>A 44806-2024</t>
        </is>
      </c>
      <c r="B5106" s="1" t="n">
        <v>45574.65305555556</v>
      </c>
      <c r="C5106" s="1" t="n">
        <v>45911</v>
      </c>
      <c r="D5106" t="inlineStr">
        <is>
          <t>GÄVLEBORGS LÄN</t>
        </is>
      </c>
      <c r="E5106" t="inlineStr">
        <is>
          <t>GÄVLE</t>
        </is>
      </c>
      <c r="F5106" t="inlineStr">
        <is>
          <t>Bergvik skog öst AB</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50809-2024</t>
        </is>
      </c>
      <c r="B5107" s="1" t="n">
        <v>45602.53582175926</v>
      </c>
      <c r="C5107" s="1" t="n">
        <v>45911</v>
      </c>
      <c r="D5107" t="inlineStr">
        <is>
          <t>GÄVLEBORGS LÄN</t>
        </is>
      </c>
      <c r="E5107" t="inlineStr">
        <is>
          <t>SÖDERHAMN</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20675-2022</t>
        </is>
      </c>
      <c r="B5108" s="1" t="n">
        <v>44700</v>
      </c>
      <c r="C5108" s="1" t="n">
        <v>45911</v>
      </c>
      <c r="D5108" t="inlineStr">
        <is>
          <t>GÄVLEBORGS LÄN</t>
        </is>
      </c>
      <c r="E5108" t="inlineStr">
        <is>
          <t>HUDIKSVALL</t>
        </is>
      </c>
      <c r="F5108" t="inlineStr">
        <is>
          <t>Holmen skog AB</t>
        </is>
      </c>
      <c r="G5108" t="n">
        <v>9.699999999999999</v>
      </c>
      <c r="H5108" t="n">
        <v>0</v>
      </c>
      <c r="I5108" t="n">
        <v>0</v>
      </c>
      <c r="J5108" t="n">
        <v>0</v>
      </c>
      <c r="K5108" t="n">
        <v>0</v>
      </c>
      <c r="L5108" t="n">
        <v>0</v>
      </c>
      <c r="M5108" t="n">
        <v>0</v>
      </c>
      <c r="N5108" t="n">
        <v>0</v>
      </c>
      <c r="O5108" t="n">
        <v>0</v>
      </c>
      <c r="P5108" t="n">
        <v>0</v>
      </c>
      <c r="Q5108" t="n">
        <v>0</v>
      </c>
      <c r="R5108" s="2" t="inlineStr"/>
    </row>
    <row r="5109" ht="15" customHeight="1">
      <c r="A5109" t="inlineStr">
        <is>
          <t>A 60896-2024</t>
        </is>
      </c>
      <c r="B5109" s="1" t="n">
        <v>45645.2721875</v>
      </c>
      <c r="C5109" s="1" t="n">
        <v>45911</v>
      </c>
      <c r="D5109" t="inlineStr">
        <is>
          <t>GÄVLEBORGS LÄN</t>
        </is>
      </c>
      <c r="E5109" t="inlineStr">
        <is>
          <t>LJUSDAL</t>
        </is>
      </c>
      <c r="G5109" t="n">
        <v>2.6</v>
      </c>
      <c r="H5109" t="n">
        <v>0</v>
      </c>
      <c r="I5109" t="n">
        <v>0</v>
      </c>
      <c r="J5109" t="n">
        <v>0</v>
      </c>
      <c r="K5109" t="n">
        <v>0</v>
      </c>
      <c r="L5109" t="n">
        <v>0</v>
      </c>
      <c r="M5109" t="n">
        <v>0</v>
      </c>
      <c r="N5109" t="n">
        <v>0</v>
      </c>
      <c r="O5109" t="n">
        <v>0</v>
      </c>
      <c r="P5109" t="n">
        <v>0</v>
      </c>
      <c r="Q5109" t="n">
        <v>0</v>
      </c>
      <c r="R5109" s="2" t="inlineStr"/>
    </row>
    <row r="5110" ht="15" customHeight="1">
      <c r="A5110" t="inlineStr">
        <is>
          <t>A 19034-2023</t>
        </is>
      </c>
      <c r="B5110" s="1" t="n">
        <v>45047.53082175926</v>
      </c>
      <c r="C5110" s="1" t="n">
        <v>45911</v>
      </c>
      <c r="D5110" t="inlineStr">
        <is>
          <t>GÄVLEBORGS LÄN</t>
        </is>
      </c>
      <c r="E5110" t="inlineStr">
        <is>
          <t>LJUSDAL</t>
        </is>
      </c>
      <c r="G5110" t="n">
        <v>0.3</v>
      </c>
      <c r="H5110" t="n">
        <v>0</v>
      </c>
      <c r="I5110" t="n">
        <v>0</v>
      </c>
      <c r="J5110" t="n">
        <v>0</v>
      </c>
      <c r="K5110" t="n">
        <v>0</v>
      </c>
      <c r="L5110" t="n">
        <v>0</v>
      </c>
      <c r="M5110" t="n">
        <v>0</v>
      </c>
      <c r="N5110" t="n">
        <v>0</v>
      </c>
      <c r="O5110" t="n">
        <v>0</v>
      </c>
      <c r="P5110" t="n">
        <v>0</v>
      </c>
      <c r="Q5110" t="n">
        <v>0</v>
      </c>
      <c r="R5110" s="2" t="inlineStr"/>
    </row>
    <row r="5111" ht="15" customHeight="1">
      <c r="A5111" t="inlineStr">
        <is>
          <t>A 2739-2025</t>
        </is>
      </c>
      <c r="B5111" s="1" t="n">
        <v>45677.45535879629</v>
      </c>
      <c r="C5111" s="1" t="n">
        <v>45911</v>
      </c>
      <c r="D5111" t="inlineStr">
        <is>
          <t>GÄVLEBORGS LÄN</t>
        </is>
      </c>
      <c r="E5111" t="inlineStr">
        <is>
          <t>HUDIKSVALL</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2744-2025</t>
        </is>
      </c>
      <c r="B5112" s="1" t="n">
        <v>45677.460625</v>
      </c>
      <c r="C5112" s="1" t="n">
        <v>45911</v>
      </c>
      <c r="D5112" t="inlineStr">
        <is>
          <t>GÄVLEBORGS LÄN</t>
        </is>
      </c>
      <c r="E5112" t="inlineStr">
        <is>
          <t>HUDIKSVALL</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32930-2025</t>
        </is>
      </c>
      <c r="B5113" s="1" t="n">
        <v>45839.66732638889</v>
      </c>
      <c r="C5113" s="1" t="n">
        <v>45911</v>
      </c>
      <c r="D5113" t="inlineStr">
        <is>
          <t>GÄVLEBORGS LÄN</t>
        </is>
      </c>
      <c r="E5113" t="inlineStr">
        <is>
          <t>OVANÅKER</t>
        </is>
      </c>
      <c r="F5113" t="inlineStr">
        <is>
          <t>Bergvik skog öst AB</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32932-2025</t>
        </is>
      </c>
      <c r="B5114" s="1" t="n">
        <v>45839.67134259259</v>
      </c>
      <c r="C5114" s="1" t="n">
        <v>45911</v>
      </c>
      <c r="D5114" t="inlineStr">
        <is>
          <t>GÄVLEBORGS LÄN</t>
        </is>
      </c>
      <c r="E5114" t="inlineStr">
        <is>
          <t>OVANÅKER</t>
        </is>
      </c>
      <c r="F5114" t="inlineStr">
        <is>
          <t>Bergvik skog öst AB</t>
        </is>
      </c>
      <c r="G5114" t="n">
        <v>9.6</v>
      </c>
      <c r="H5114" t="n">
        <v>0</v>
      </c>
      <c r="I5114" t="n">
        <v>0</v>
      </c>
      <c r="J5114" t="n">
        <v>0</v>
      </c>
      <c r="K5114" t="n">
        <v>0</v>
      </c>
      <c r="L5114" t="n">
        <v>0</v>
      </c>
      <c r="M5114" t="n">
        <v>0</v>
      </c>
      <c r="N5114" t="n">
        <v>0</v>
      </c>
      <c r="O5114" t="n">
        <v>0</v>
      </c>
      <c r="P5114" t="n">
        <v>0</v>
      </c>
      <c r="Q5114" t="n">
        <v>0</v>
      </c>
      <c r="R5114" s="2" t="inlineStr"/>
    </row>
    <row r="5115" ht="15" customHeight="1">
      <c r="A5115" t="inlineStr">
        <is>
          <t>A 19569-2024</t>
        </is>
      </c>
      <c r="B5115" s="1" t="n">
        <v>45429.92331018519</v>
      </c>
      <c r="C5115" s="1" t="n">
        <v>45911</v>
      </c>
      <c r="D5115" t="inlineStr">
        <is>
          <t>GÄVLEBORGS LÄN</t>
        </is>
      </c>
      <c r="E5115" t="inlineStr">
        <is>
          <t>NORDANSTIG</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245-2025</t>
        </is>
      </c>
      <c r="B5116" s="1" t="n">
        <v>45660.41813657407</v>
      </c>
      <c r="C5116" s="1" t="n">
        <v>45911</v>
      </c>
      <c r="D5116" t="inlineStr">
        <is>
          <t>GÄVLEBORGS LÄN</t>
        </is>
      </c>
      <c r="E5116" t="inlineStr">
        <is>
          <t>SANDVIKEN</t>
        </is>
      </c>
      <c r="G5116" t="n">
        <v>2.9</v>
      </c>
      <c r="H5116" t="n">
        <v>0</v>
      </c>
      <c r="I5116" t="n">
        <v>0</v>
      </c>
      <c r="J5116" t="n">
        <v>0</v>
      </c>
      <c r="K5116" t="n">
        <v>0</v>
      </c>
      <c r="L5116" t="n">
        <v>0</v>
      </c>
      <c r="M5116" t="n">
        <v>0</v>
      </c>
      <c r="N5116" t="n">
        <v>0</v>
      </c>
      <c r="O5116" t="n">
        <v>0</v>
      </c>
      <c r="P5116" t="n">
        <v>0</v>
      </c>
      <c r="Q5116" t="n">
        <v>0</v>
      </c>
      <c r="R5116" s="2" t="inlineStr"/>
    </row>
    <row r="5117" ht="15" customHeight="1">
      <c r="A5117" t="inlineStr">
        <is>
          <t>A 11932-2025</t>
        </is>
      </c>
      <c r="B5117" s="1" t="n">
        <v>45728.52451388889</v>
      </c>
      <c r="C5117" s="1" t="n">
        <v>45911</v>
      </c>
      <c r="D5117" t="inlineStr">
        <is>
          <t>GÄVLEBORGS LÄN</t>
        </is>
      </c>
      <c r="E5117" t="inlineStr">
        <is>
          <t>OVANÅKER</t>
        </is>
      </c>
      <c r="G5117" t="n">
        <v>3.1</v>
      </c>
      <c r="H5117" t="n">
        <v>0</v>
      </c>
      <c r="I5117" t="n">
        <v>0</v>
      </c>
      <c r="J5117" t="n">
        <v>0</v>
      </c>
      <c r="K5117" t="n">
        <v>0</v>
      </c>
      <c r="L5117" t="n">
        <v>0</v>
      </c>
      <c r="M5117" t="n">
        <v>0</v>
      </c>
      <c r="N5117" t="n">
        <v>0</v>
      </c>
      <c r="O5117" t="n">
        <v>0</v>
      </c>
      <c r="P5117" t="n">
        <v>0</v>
      </c>
      <c r="Q5117" t="n">
        <v>0</v>
      </c>
      <c r="R5117" s="2" t="inlineStr"/>
    </row>
    <row r="5118" ht="15" customHeight="1">
      <c r="A5118" t="inlineStr">
        <is>
          <t>A 25631-2022</t>
        </is>
      </c>
      <c r="B5118" s="1" t="n">
        <v>44732</v>
      </c>
      <c r="C5118" s="1" t="n">
        <v>45911</v>
      </c>
      <c r="D5118" t="inlineStr">
        <is>
          <t>GÄVLEBORGS LÄN</t>
        </is>
      </c>
      <c r="E5118" t="inlineStr">
        <is>
          <t>BOLLNÄS</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35765-2024</t>
        </is>
      </c>
      <c r="B5119" s="1" t="n">
        <v>45532.57923611111</v>
      </c>
      <c r="C5119" s="1" t="n">
        <v>45911</v>
      </c>
      <c r="D5119" t="inlineStr">
        <is>
          <t>GÄVLEBORGS LÄN</t>
        </is>
      </c>
      <c r="E5119" t="inlineStr">
        <is>
          <t>NORDANSTIG</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57928-2024</t>
        </is>
      </c>
      <c r="B5120" s="1" t="n">
        <v>45631.52173611111</v>
      </c>
      <c r="C5120" s="1" t="n">
        <v>45911</v>
      </c>
      <c r="D5120" t="inlineStr">
        <is>
          <t>GÄVLEBORGS LÄN</t>
        </is>
      </c>
      <c r="E5120" t="inlineStr">
        <is>
          <t>GÄVLE</t>
        </is>
      </c>
      <c r="F5120" t="inlineStr">
        <is>
          <t>Bergvik skog öst AB</t>
        </is>
      </c>
      <c r="G5120" t="n">
        <v>10.9</v>
      </c>
      <c r="H5120" t="n">
        <v>0</v>
      </c>
      <c r="I5120" t="n">
        <v>0</v>
      </c>
      <c r="J5120" t="n">
        <v>0</v>
      </c>
      <c r="K5120" t="n">
        <v>0</v>
      </c>
      <c r="L5120" t="n">
        <v>0</v>
      </c>
      <c r="M5120" t="n">
        <v>0</v>
      </c>
      <c r="N5120" t="n">
        <v>0</v>
      </c>
      <c r="O5120" t="n">
        <v>0</v>
      </c>
      <c r="P5120" t="n">
        <v>0</v>
      </c>
      <c r="Q5120" t="n">
        <v>0</v>
      </c>
      <c r="R5120" s="2" t="inlineStr"/>
    </row>
    <row r="5121" ht="15" customHeight="1">
      <c r="A5121" t="inlineStr">
        <is>
          <t>A 62096-2024</t>
        </is>
      </c>
      <c r="B5121" s="1" t="n">
        <v>45656.49635416667</v>
      </c>
      <c r="C5121" s="1" t="n">
        <v>45911</v>
      </c>
      <c r="D5121" t="inlineStr">
        <is>
          <t>GÄVLEBORGS LÄN</t>
        </is>
      </c>
      <c r="E5121" t="inlineStr">
        <is>
          <t>OCKELBO</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33259-2025</t>
        </is>
      </c>
      <c r="B5122" s="1" t="n">
        <v>45840.67278935185</v>
      </c>
      <c r="C5122" s="1" t="n">
        <v>45911</v>
      </c>
      <c r="D5122" t="inlineStr">
        <is>
          <t>GÄVLEBORGS LÄN</t>
        </is>
      </c>
      <c r="E5122" t="inlineStr">
        <is>
          <t>BOLLNÄS</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63798-2021</t>
        </is>
      </c>
      <c r="B5123" s="1" t="n">
        <v>44509</v>
      </c>
      <c r="C5123" s="1" t="n">
        <v>45911</v>
      </c>
      <c r="D5123" t="inlineStr">
        <is>
          <t>GÄVLEBORGS LÄN</t>
        </is>
      </c>
      <c r="E5123" t="inlineStr">
        <is>
          <t>HUDIKSVALL</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6093-2023</t>
        </is>
      </c>
      <c r="B5124" s="1" t="n">
        <v>44964.56496527778</v>
      </c>
      <c r="C5124" s="1" t="n">
        <v>45911</v>
      </c>
      <c r="D5124" t="inlineStr">
        <is>
          <t>GÄVLEBORGS LÄN</t>
        </is>
      </c>
      <c r="E5124" t="inlineStr">
        <is>
          <t>NORDANSTIG</t>
        </is>
      </c>
      <c r="F5124" t="inlineStr">
        <is>
          <t>Holmen skog AB</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21063-2024</t>
        </is>
      </c>
      <c r="B5125" s="1" t="n">
        <v>45439.8161574074</v>
      </c>
      <c r="C5125" s="1" t="n">
        <v>45911</v>
      </c>
      <c r="D5125" t="inlineStr">
        <is>
          <t>GÄVLEBORGS LÄN</t>
        </is>
      </c>
      <c r="E5125" t="inlineStr">
        <is>
          <t>NORDANSTIG</t>
        </is>
      </c>
      <c r="F5125" t="inlineStr">
        <is>
          <t>Holmen skog AB</t>
        </is>
      </c>
      <c r="G5125" t="n">
        <v>4.5</v>
      </c>
      <c r="H5125" t="n">
        <v>0</v>
      </c>
      <c r="I5125" t="n">
        <v>0</v>
      </c>
      <c r="J5125" t="n">
        <v>0</v>
      </c>
      <c r="K5125" t="n">
        <v>0</v>
      </c>
      <c r="L5125" t="n">
        <v>0</v>
      </c>
      <c r="M5125" t="n">
        <v>0</v>
      </c>
      <c r="N5125" t="n">
        <v>0</v>
      </c>
      <c r="O5125" t="n">
        <v>0</v>
      </c>
      <c r="P5125" t="n">
        <v>0</v>
      </c>
      <c r="Q5125" t="n">
        <v>0</v>
      </c>
      <c r="R5125" s="2" t="inlineStr"/>
    </row>
    <row r="5126" ht="15" customHeight="1">
      <c r="A5126" t="inlineStr">
        <is>
          <t>A 21085-2024</t>
        </is>
      </c>
      <c r="B5126" s="1" t="n">
        <v>45439</v>
      </c>
      <c r="C5126" s="1" t="n">
        <v>45911</v>
      </c>
      <c r="D5126" t="inlineStr">
        <is>
          <t>GÄVLEBORGS LÄN</t>
        </is>
      </c>
      <c r="E5126" t="inlineStr">
        <is>
          <t>NORDANSTIG</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32043-2025</t>
        </is>
      </c>
      <c r="B5127" s="1" t="n">
        <v>45835</v>
      </c>
      <c r="C5127" s="1" t="n">
        <v>45911</v>
      </c>
      <c r="D5127" t="inlineStr">
        <is>
          <t>GÄVLEBORGS LÄN</t>
        </is>
      </c>
      <c r="E5127" t="inlineStr">
        <is>
          <t>OCKELBO</t>
        </is>
      </c>
      <c r="F5127" t="inlineStr">
        <is>
          <t>Bergvik skog väst AB</t>
        </is>
      </c>
      <c r="G5127" t="n">
        <v>4.8</v>
      </c>
      <c r="H5127" t="n">
        <v>0</v>
      </c>
      <c r="I5127" t="n">
        <v>0</v>
      </c>
      <c r="J5127" t="n">
        <v>0</v>
      </c>
      <c r="K5127" t="n">
        <v>0</v>
      </c>
      <c r="L5127" t="n">
        <v>0</v>
      </c>
      <c r="M5127" t="n">
        <v>0</v>
      </c>
      <c r="N5127" t="n">
        <v>0</v>
      </c>
      <c r="O5127" t="n">
        <v>0</v>
      </c>
      <c r="P5127" t="n">
        <v>0</v>
      </c>
      <c r="Q5127" t="n">
        <v>0</v>
      </c>
      <c r="R5127" s="2" t="inlineStr"/>
    </row>
    <row r="5128" ht="15" customHeight="1">
      <c r="A5128" t="inlineStr">
        <is>
          <t>A 59586-2024</t>
        </is>
      </c>
      <c r="B5128" s="1" t="n">
        <v>45638.68046296296</v>
      </c>
      <c r="C5128" s="1" t="n">
        <v>45911</v>
      </c>
      <c r="D5128" t="inlineStr">
        <is>
          <t>GÄVLEBORGS LÄN</t>
        </is>
      </c>
      <c r="E5128" t="inlineStr">
        <is>
          <t>SÖDERHAMN</t>
        </is>
      </c>
      <c r="G5128" t="n">
        <v>6.3</v>
      </c>
      <c r="H5128" t="n">
        <v>0</v>
      </c>
      <c r="I5128" t="n">
        <v>0</v>
      </c>
      <c r="J5128" t="n">
        <v>0</v>
      </c>
      <c r="K5128" t="n">
        <v>0</v>
      </c>
      <c r="L5128" t="n">
        <v>0</v>
      </c>
      <c r="M5128" t="n">
        <v>0</v>
      </c>
      <c r="N5128" t="n">
        <v>0</v>
      </c>
      <c r="O5128" t="n">
        <v>0</v>
      </c>
      <c r="P5128" t="n">
        <v>0</v>
      </c>
      <c r="Q5128" t="n">
        <v>0</v>
      </c>
      <c r="R5128" s="2" t="inlineStr"/>
    </row>
    <row r="5129" ht="15" customHeight="1">
      <c r="A5129" t="inlineStr">
        <is>
          <t>A 11406-2023</t>
        </is>
      </c>
      <c r="B5129" s="1" t="n">
        <v>44988</v>
      </c>
      <c r="C5129" s="1" t="n">
        <v>45911</v>
      </c>
      <c r="D5129" t="inlineStr">
        <is>
          <t>GÄVLEBORGS LÄN</t>
        </is>
      </c>
      <c r="E5129" t="inlineStr">
        <is>
          <t>SANDVIKEN</t>
        </is>
      </c>
      <c r="G5129" t="n">
        <v>4.4</v>
      </c>
      <c r="H5129" t="n">
        <v>0</v>
      </c>
      <c r="I5129" t="n">
        <v>0</v>
      </c>
      <c r="J5129" t="n">
        <v>0</v>
      </c>
      <c r="K5129" t="n">
        <v>0</v>
      </c>
      <c r="L5129" t="n">
        <v>0</v>
      </c>
      <c r="M5129" t="n">
        <v>0</v>
      </c>
      <c r="N5129" t="n">
        <v>0</v>
      </c>
      <c r="O5129" t="n">
        <v>0</v>
      </c>
      <c r="P5129" t="n">
        <v>0</v>
      </c>
      <c r="Q5129" t="n">
        <v>0</v>
      </c>
      <c r="R5129" s="2" t="inlineStr"/>
    </row>
    <row r="5130" ht="15" customHeight="1">
      <c r="A5130" t="inlineStr">
        <is>
          <t>A 39207-2023</t>
        </is>
      </c>
      <c r="B5130" s="1" t="n">
        <v>45166.41370370371</v>
      </c>
      <c r="C5130" s="1" t="n">
        <v>45911</v>
      </c>
      <c r="D5130" t="inlineStr">
        <is>
          <t>GÄVLEBORGS LÄN</t>
        </is>
      </c>
      <c r="E5130" t="inlineStr">
        <is>
          <t>NORDANSTIG</t>
        </is>
      </c>
      <c r="F5130" t="inlineStr">
        <is>
          <t>Holmen skog AB</t>
        </is>
      </c>
      <c r="G5130" t="n">
        <v>3.8</v>
      </c>
      <c r="H5130" t="n">
        <v>0</v>
      </c>
      <c r="I5130" t="n">
        <v>0</v>
      </c>
      <c r="J5130" t="n">
        <v>0</v>
      </c>
      <c r="K5130" t="n">
        <v>0</v>
      </c>
      <c r="L5130" t="n">
        <v>0</v>
      </c>
      <c r="M5130" t="n">
        <v>0</v>
      </c>
      <c r="N5130" t="n">
        <v>0</v>
      </c>
      <c r="O5130" t="n">
        <v>0</v>
      </c>
      <c r="P5130" t="n">
        <v>0</v>
      </c>
      <c r="Q5130" t="n">
        <v>0</v>
      </c>
      <c r="R5130" s="2" t="inlineStr"/>
    </row>
    <row r="5131" ht="15" customHeight="1">
      <c r="A5131" t="inlineStr">
        <is>
          <t>A 37892-2025</t>
        </is>
      </c>
      <c r="B5131" s="1" t="n">
        <v>45881</v>
      </c>
      <c r="C5131" s="1" t="n">
        <v>45911</v>
      </c>
      <c r="D5131" t="inlineStr">
        <is>
          <t>GÄVLEBORGS LÄN</t>
        </is>
      </c>
      <c r="E5131" t="inlineStr">
        <is>
          <t>GÄVLE</t>
        </is>
      </c>
      <c r="F5131" t="inlineStr">
        <is>
          <t>Bergvik skog väst AB</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47974-2024</t>
        </is>
      </c>
      <c r="B5132" s="1" t="n">
        <v>45589.3999537037</v>
      </c>
      <c r="C5132" s="1" t="n">
        <v>45911</v>
      </c>
      <c r="D5132" t="inlineStr">
        <is>
          <t>GÄVLEBORGS LÄN</t>
        </is>
      </c>
      <c r="E5132" t="inlineStr">
        <is>
          <t>SANDVIKEN</t>
        </is>
      </c>
      <c r="F5132" t="inlineStr">
        <is>
          <t>Bergvik skog väst AB</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26246-2024</t>
        </is>
      </c>
      <c r="B5133" s="1" t="n">
        <v>45468.63453703704</v>
      </c>
      <c r="C5133" s="1" t="n">
        <v>45911</v>
      </c>
      <c r="D5133" t="inlineStr">
        <is>
          <t>GÄVLEBORGS LÄN</t>
        </is>
      </c>
      <c r="E5133" t="inlineStr">
        <is>
          <t>BOLLNÄS</t>
        </is>
      </c>
      <c r="G5133" t="n">
        <v>3</v>
      </c>
      <c r="H5133" t="n">
        <v>0</v>
      </c>
      <c r="I5133" t="n">
        <v>0</v>
      </c>
      <c r="J5133" t="n">
        <v>0</v>
      </c>
      <c r="K5133" t="n">
        <v>0</v>
      </c>
      <c r="L5133" t="n">
        <v>0</v>
      </c>
      <c r="M5133" t="n">
        <v>0</v>
      </c>
      <c r="N5133" t="n">
        <v>0</v>
      </c>
      <c r="O5133" t="n">
        <v>0</v>
      </c>
      <c r="P5133" t="n">
        <v>0</v>
      </c>
      <c r="Q5133" t="n">
        <v>0</v>
      </c>
      <c r="R5133" s="2" t="inlineStr"/>
    </row>
    <row r="5134" ht="15" customHeight="1">
      <c r="A5134" t="inlineStr">
        <is>
          <t>A 27302-2023</t>
        </is>
      </c>
      <c r="B5134" s="1" t="n">
        <v>45096</v>
      </c>
      <c r="C5134" s="1" t="n">
        <v>45911</v>
      </c>
      <c r="D5134" t="inlineStr">
        <is>
          <t>GÄVLEBORGS LÄN</t>
        </is>
      </c>
      <c r="E5134" t="inlineStr">
        <is>
          <t>HUDIKSVALL</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33239-2025</t>
        </is>
      </c>
      <c r="B5135" s="1" t="n">
        <v>45840.64883101852</v>
      </c>
      <c r="C5135" s="1" t="n">
        <v>45911</v>
      </c>
      <c r="D5135" t="inlineStr">
        <is>
          <t>GÄVLEBORGS LÄN</t>
        </is>
      </c>
      <c r="E5135" t="inlineStr">
        <is>
          <t>HUDIKSVALL</t>
        </is>
      </c>
      <c r="F5135" t="inlineStr">
        <is>
          <t>Holmen skog AB</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39526-2023</t>
        </is>
      </c>
      <c r="B5136" s="1" t="n">
        <v>45167.33568287037</v>
      </c>
      <c r="C5136" s="1" t="n">
        <v>45911</v>
      </c>
      <c r="D5136" t="inlineStr">
        <is>
          <t>GÄVLEBORGS LÄN</t>
        </is>
      </c>
      <c r="E5136" t="inlineStr">
        <is>
          <t>LJUSDAL</t>
        </is>
      </c>
      <c r="G5136" t="n">
        <v>6.1</v>
      </c>
      <c r="H5136" t="n">
        <v>0</v>
      </c>
      <c r="I5136" t="n">
        <v>0</v>
      </c>
      <c r="J5136" t="n">
        <v>0</v>
      </c>
      <c r="K5136" t="n">
        <v>0</v>
      </c>
      <c r="L5136" t="n">
        <v>0</v>
      </c>
      <c r="M5136" t="n">
        <v>0</v>
      </c>
      <c r="N5136" t="n">
        <v>0</v>
      </c>
      <c r="O5136" t="n">
        <v>0</v>
      </c>
      <c r="P5136" t="n">
        <v>0</v>
      </c>
      <c r="Q5136" t="n">
        <v>0</v>
      </c>
      <c r="R5136" s="2" t="inlineStr"/>
    </row>
    <row r="5137" ht="15" customHeight="1">
      <c r="A5137" t="inlineStr">
        <is>
          <t>A 27467-2024</t>
        </is>
      </c>
      <c r="B5137" s="1" t="n">
        <v>45474.45664351852</v>
      </c>
      <c r="C5137" s="1" t="n">
        <v>45911</v>
      </c>
      <c r="D5137" t="inlineStr">
        <is>
          <t>GÄVLEBORGS LÄN</t>
        </is>
      </c>
      <c r="E5137" t="inlineStr">
        <is>
          <t>HUDIKSVALL</t>
        </is>
      </c>
      <c r="F5137" t="inlineStr">
        <is>
          <t>Holmen skog AB</t>
        </is>
      </c>
      <c r="G5137" t="n">
        <v>8.6</v>
      </c>
      <c r="H5137" t="n">
        <v>0</v>
      </c>
      <c r="I5137" t="n">
        <v>0</v>
      </c>
      <c r="J5137" t="n">
        <v>0</v>
      </c>
      <c r="K5137" t="n">
        <v>0</v>
      </c>
      <c r="L5137" t="n">
        <v>0</v>
      </c>
      <c r="M5137" t="n">
        <v>0</v>
      </c>
      <c r="N5137" t="n">
        <v>0</v>
      </c>
      <c r="O5137" t="n">
        <v>0</v>
      </c>
      <c r="P5137" t="n">
        <v>0</v>
      </c>
      <c r="Q5137" t="n">
        <v>0</v>
      </c>
      <c r="R5137" s="2" t="inlineStr"/>
    </row>
    <row r="5138" ht="15" customHeight="1">
      <c r="A5138" t="inlineStr">
        <is>
          <t>A 27482-2024</t>
        </is>
      </c>
      <c r="B5138" s="1" t="n">
        <v>45474.47489583334</v>
      </c>
      <c r="C5138" s="1" t="n">
        <v>45911</v>
      </c>
      <c r="D5138" t="inlineStr">
        <is>
          <t>GÄVLEBORGS LÄN</t>
        </is>
      </c>
      <c r="E5138" t="inlineStr">
        <is>
          <t>BOLLNÄS</t>
        </is>
      </c>
      <c r="G5138" t="n">
        <v>5.2</v>
      </c>
      <c r="H5138" t="n">
        <v>0</v>
      </c>
      <c r="I5138" t="n">
        <v>0</v>
      </c>
      <c r="J5138" t="n">
        <v>0</v>
      </c>
      <c r="K5138" t="n">
        <v>0</v>
      </c>
      <c r="L5138" t="n">
        <v>0</v>
      </c>
      <c r="M5138" t="n">
        <v>0</v>
      </c>
      <c r="N5138" t="n">
        <v>0</v>
      </c>
      <c r="O5138" t="n">
        <v>0</v>
      </c>
      <c r="P5138" t="n">
        <v>0</v>
      </c>
      <c r="Q5138" t="n">
        <v>0</v>
      </c>
      <c r="R5138" s="2" t="inlineStr"/>
    </row>
    <row r="5139" ht="15" customHeight="1">
      <c r="A5139" t="inlineStr">
        <is>
          <t>A 46022-2020</t>
        </is>
      </c>
      <c r="B5139" s="1" t="n">
        <v>44091</v>
      </c>
      <c r="C5139" s="1" t="n">
        <v>45911</v>
      </c>
      <c r="D5139" t="inlineStr">
        <is>
          <t>GÄVLEBORGS LÄN</t>
        </is>
      </c>
      <c r="E5139" t="inlineStr">
        <is>
          <t>HUDIKSVALL</t>
        </is>
      </c>
      <c r="G5139" t="n">
        <v>8</v>
      </c>
      <c r="H5139" t="n">
        <v>0</v>
      </c>
      <c r="I5139" t="n">
        <v>0</v>
      </c>
      <c r="J5139" t="n">
        <v>0</v>
      </c>
      <c r="K5139" t="n">
        <v>0</v>
      </c>
      <c r="L5139" t="n">
        <v>0</v>
      </c>
      <c r="M5139" t="n">
        <v>0</v>
      </c>
      <c r="N5139" t="n">
        <v>0</v>
      </c>
      <c r="O5139" t="n">
        <v>0</v>
      </c>
      <c r="P5139" t="n">
        <v>0</v>
      </c>
      <c r="Q5139" t="n">
        <v>0</v>
      </c>
      <c r="R5139" s="2" t="inlineStr"/>
    </row>
    <row r="5140" ht="15" customHeight="1">
      <c r="A5140" t="inlineStr">
        <is>
          <t>A 42324-2024</t>
        </is>
      </c>
      <c r="B5140" s="1" t="n">
        <v>45562.6505787037</v>
      </c>
      <c r="C5140" s="1" t="n">
        <v>45911</v>
      </c>
      <c r="D5140" t="inlineStr">
        <is>
          <t>GÄVLEBORGS LÄN</t>
        </is>
      </c>
      <c r="E5140" t="inlineStr">
        <is>
          <t>OVANÅKER</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33254-2025</t>
        </is>
      </c>
      <c r="B5141" s="1" t="n">
        <v>45840.66467592592</v>
      </c>
      <c r="C5141" s="1" t="n">
        <v>45911</v>
      </c>
      <c r="D5141" t="inlineStr">
        <is>
          <t>GÄVLEBORGS LÄN</t>
        </is>
      </c>
      <c r="E5141" t="inlineStr">
        <is>
          <t>HUDIKSVALL</t>
        </is>
      </c>
      <c r="F5141" t="inlineStr">
        <is>
          <t>Holmen skog AB</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37903-2025</t>
        </is>
      </c>
      <c r="B5142" s="1" t="n">
        <v>45881.56465277778</v>
      </c>
      <c r="C5142" s="1" t="n">
        <v>45911</v>
      </c>
      <c r="D5142" t="inlineStr">
        <is>
          <t>GÄVLEBORGS LÄN</t>
        </is>
      </c>
      <c r="E5142" t="inlineStr">
        <is>
          <t>LJUSDAL</t>
        </is>
      </c>
      <c r="F5142" t="inlineStr">
        <is>
          <t>Bergvik skog väst AB</t>
        </is>
      </c>
      <c r="G5142" t="n">
        <v>3.9</v>
      </c>
      <c r="H5142" t="n">
        <v>0</v>
      </c>
      <c r="I5142" t="n">
        <v>0</v>
      </c>
      <c r="J5142" t="n">
        <v>0</v>
      </c>
      <c r="K5142" t="n">
        <v>0</v>
      </c>
      <c r="L5142" t="n">
        <v>0</v>
      </c>
      <c r="M5142" t="n">
        <v>0</v>
      </c>
      <c r="N5142" t="n">
        <v>0</v>
      </c>
      <c r="O5142" t="n">
        <v>0</v>
      </c>
      <c r="P5142" t="n">
        <v>0</v>
      </c>
      <c r="Q5142" t="n">
        <v>0</v>
      </c>
      <c r="R5142" s="2" t="inlineStr"/>
    </row>
    <row r="5143" ht="15" customHeight="1">
      <c r="A5143" t="inlineStr">
        <is>
          <t>A 52788-2024</t>
        </is>
      </c>
      <c r="B5143" s="1" t="n">
        <v>45610.55405092592</v>
      </c>
      <c r="C5143" s="1" t="n">
        <v>45911</v>
      </c>
      <c r="D5143" t="inlineStr">
        <is>
          <t>GÄVLEBORGS LÄN</t>
        </is>
      </c>
      <c r="E5143" t="inlineStr">
        <is>
          <t>NORDANSTIG</t>
        </is>
      </c>
      <c r="F5143" t="inlineStr">
        <is>
          <t>Holmen skog AB</t>
        </is>
      </c>
      <c r="G5143" t="n">
        <v>4.3</v>
      </c>
      <c r="H5143" t="n">
        <v>0</v>
      </c>
      <c r="I5143" t="n">
        <v>0</v>
      </c>
      <c r="J5143" t="n">
        <v>0</v>
      </c>
      <c r="K5143" t="n">
        <v>0</v>
      </c>
      <c r="L5143" t="n">
        <v>0</v>
      </c>
      <c r="M5143" t="n">
        <v>0</v>
      </c>
      <c r="N5143" t="n">
        <v>0</v>
      </c>
      <c r="O5143" t="n">
        <v>0</v>
      </c>
      <c r="P5143" t="n">
        <v>0</v>
      </c>
      <c r="Q5143" t="n">
        <v>0</v>
      </c>
      <c r="R5143" s="2" t="inlineStr"/>
    </row>
    <row r="5144" ht="15" customHeight="1">
      <c r="A5144" t="inlineStr">
        <is>
          <t>A 61881-2024</t>
        </is>
      </c>
      <c r="B5144" s="1" t="n">
        <v>45652</v>
      </c>
      <c r="C5144" s="1" t="n">
        <v>45911</v>
      </c>
      <c r="D5144" t="inlineStr">
        <is>
          <t>GÄVLEBORGS LÄN</t>
        </is>
      </c>
      <c r="E5144" t="inlineStr">
        <is>
          <t>SÖDERHAMN</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33260-2025</t>
        </is>
      </c>
      <c r="B5145" s="1" t="n">
        <v>45840.67354166666</v>
      </c>
      <c r="C5145" s="1" t="n">
        <v>45911</v>
      </c>
      <c r="D5145" t="inlineStr">
        <is>
          <t>GÄVLEBORGS LÄN</t>
        </is>
      </c>
      <c r="E5145" t="inlineStr">
        <is>
          <t>HUDIKSVALL</t>
        </is>
      </c>
      <c r="F5145" t="inlineStr">
        <is>
          <t>Holmen skog AB</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33166-2025</t>
        </is>
      </c>
      <c r="B5146" s="1" t="n">
        <v>45840.57563657407</v>
      </c>
      <c r="C5146" s="1" t="n">
        <v>45911</v>
      </c>
      <c r="D5146" t="inlineStr">
        <is>
          <t>GÄVLEBORGS LÄN</t>
        </is>
      </c>
      <c r="E5146" t="inlineStr">
        <is>
          <t>HUDIKSVALL</t>
        </is>
      </c>
      <c r="F5146" t="inlineStr">
        <is>
          <t>Holmen skog AB</t>
        </is>
      </c>
      <c r="G5146" t="n">
        <v>6.2</v>
      </c>
      <c r="H5146" t="n">
        <v>0</v>
      </c>
      <c r="I5146" t="n">
        <v>0</v>
      </c>
      <c r="J5146" t="n">
        <v>0</v>
      </c>
      <c r="K5146" t="n">
        <v>0</v>
      </c>
      <c r="L5146" t="n">
        <v>0</v>
      </c>
      <c r="M5146" t="n">
        <v>0</v>
      </c>
      <c r="N5146" t="n">
        <v>0</v>
      </c>
      <c r="O5146" t="n">
        <v>0</v>
      </c>
      <c r="P5146" t="n">
        <v>0</v>
      </c>
      <c r="Q5146" t="n">
        <v>0</v>
      </c>
      <c r="R5146" s="2" t="inlineStr"/>
    </row>
    <row r="5147" ht="15" customHeight="1">
      <c r="A5147" t="inlineStr">
        <is>
          <t>A 52874-2024</t>
        </is>
      </c>
      <c r="B5147" s="1" t="n">
        <v>45610.63042824074</v>
      </c>
      <c r="C5147" s="1" t="n">
        <v>45911</v>
      </c>
      <c r="D5147" t="inlineStr">
        <is>
          <t>GÄVLEBORGS LÄN</t>
        </is>
      </c>
      <c r="E5147" t="inlineStr">
        <is>
          <t>BOLLNÄS</t>
        </is>
      </c>
      <c r="G5147" t="n">
        <v>2.6</v>
      </c>
      <c r="H5147" t="n">
        <v>0</v>
      </c>
      <c r="I5147" t="n">
        <v>0</v>
      </c>
      <c r="J5147" t="n">
        <v>0</v>
      </c>
      <c r="K5147" t="n">
        <v>0</v>
      </c>
      <c r="L5147" t="n">
        <v>0</v>
      </c>
      <c r="M5147" t="n">
        <v>0</v>
      </c>
      <c r="N5147" t="n">
        <v>0</v>
      </c>
      <c r="O5147" t="n">
        <v>0</v>
      </c>
      <c r="P5147" t="n">
        <v>0</v>
      </c>
      <c r="Q5147" t="n">
        <v>0</v>
      </c>
      <c r="R5147" s="2" t="inlineStr"/>
    </row>
    <row r="5148" ht="15" customHeight="1">
      <c r="A5148" t="inlineStr">
        <is>
          <t>A 5916-2021</t>
        </is>
      </c>
      <c r="B5148" s="1" t="n">
        <v>44231.55166666667</v>
      </c>
      <c r="C5148" s="1" t="n">
        <v>45911</v>
      </c>
      <c r="D5148" t="inlineStr">
        <is>
          <t>GÄVLEBORGS LÄN</t>
        </is>
      </c>
      <c r="E5148" t="inlineStr">
        <is>
          <t>NORDANSTIG</t>
        </is>
      </c>
      <c r="F5148" t="inlineStr">
        <is>
          <t>Holmen skog AB</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35348-2022</t>
        </is>
      </c>
      <c r="B5149" s="1" t="n">
        <v>44798</v>
      </c>
      <c r="C5149" s="1" t="n">
        <v>45911</v>
      </c>
      <c r="D5149" t="inlineStr">
        <is>
          <t>GÄVLEBORGS LÄN</t>
        </is>
      </c>
      <c r="E5149" t="inlineStr">
        <is>
          <t>OVANÅKER</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35154-2023</t>
        </is>
      </c>
      <c r="B5150" s="1" t="n">
        <v>45145</v>
      </c>
      <c r="C5150" s="1" t="n">
        <v>45911</v>
      </c>
      <c r="D5150" t="inlineStr">
        <is>
          <t>GÄVLEBORGS LÄN</t>
        </is>
      </c>
      <c r="E5150" t="inlineStr">
        <is>
          <t>LJUSDAL</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30264-2025</t>
        </is>
      </c>
      <c r="B5151" s="1" t="n">
        <v>45827</v>
      </c>
      <c r="C5151" s="1" t="n">
        <v>45911</v>
      </c>
      <c r="D5151" t="inlineStr">
        <is>
          <t>GÄVLEBORGS LÄN</t>
        </is>
      </c>
      <c r="E5151" t="inlineStr">
        <is>
          <t>OCKELBO</t>
        </is>
      </c>
      <c r="F5151" t="inlineStr">
        <is>
          <t>Bergvik skog väst AB</t>
        </is>
      </c>
      <c r="G5151" t="n">
        <v>8.6</v>
      </c>
      <c r="H5151" t="n">
        <v>0</v>
      </c>
      <c r="I5151" t="n">
        <v>0</v>
      </c>
      <c r="J5151" t="n">
        <v>0</v>
      </c>
      <c r="K5151" t="n">
        <v>0</v>
      </c>
      <c r="L5151" t="n">
        <v>0</v>
      </c>
      <c r="M5151" t="n">
        <v>0</v>
      </c>
      <c r="N5151" t="n">
        <v>0</v>
      </c>
      <c r="O5151" t="n">
        <v>0</v>
      </c>
      <c r="P5151" t="n">
        <v>0</v>
      </c>
      <c r="Q5151" t="n">
        <v>0</v>
      </c>
      <c r="R5151" s="2" t="inlineStr"/>
    </row>
    <row r="5152" ht="15" customHeight="1">
      <c r="A5152" t="inlineStr">
        <is>
          <t>A 33015-2025</t>
        </is>
      </c>
      <c r="B5152" s="1" t="n">
        <v>45840.36614583333</v>
      </c>
      <c r="C5152" s="1" t="n">
        <v>45911</v>
      </c>
      <c r="D5152" t="inlineStr">
        <is>
          <t>GÄVLEBORGS LÄN</t>
        </is>
      </c>
      <c r="E5152" t="inlineStr">
        <is>
          <t>SANDVIKEN</t>
        </is>
      </c>
      <c r="F5152" t="inlineStr">
        <is>
          <t>Bergvik skog öst AB</t>
        </is>
      </c>
      <c r="G5152" t="n">
        <v>27.3</v>
      </c>
      <c r="H5152" t="n">
        <v>0</v>
      </c>
      <c r="I5152" t="n">
        <v>0</v>
      </c>
      <c r="J5152" t="n">
        <v>0</v>
      </c>
      <c r="K5152" t="n">
        <v>0</v>
      </c>
      <c r="L5152" t="n">
        <v>0</v>
      </c>
      <c r="M5152" t="n">
        <v>0</v>
      </c>
      <c r="N5152" t="n">
        <v>0</v>
      </c>
      <c r="O5152" t="n">
        <v>0</v>
      </c>
      <c r="P5152" t="n">
        <v>0</v>
      </c>
      <c r="Q5152" t="n">
        <v>0</v>
      </c>
      <c r="R5152" s="2" t="inlineStr"/>
    </row>
    <row r="5153" ht="15" customHeight="1">
      <c r="A5153" t="inlineStr">
        <is>
          <t>A 33016-2025</t>
        </is>
      </c>
      <c r="B5153" s="1" t="n">
        <v>45840.36652777778</v>
      </c>
      <c r="C5153" s="1" t="n">
        <v>45911</v>
      </c>
      <c r="D5153" t="inlineStr">
        <is>
          <t>GÄVLEBORGS LÄN</t>
        </is>
      </c>
      <c r="E5153" t="inlineStr">
        <is>
          <t>OVANÅKER</t>
        </is>
      </c>
      <c r="F5153" t="inlineStr">
        <is>
          <t>Bergvik skog väst AB</t>
        </is>
      </c>
      <c r="G5153" t="n">
        <v>8.800000000000001</v>
      </c>
      <c r="H5153" t="n">
        <v>0</v>
      </c>
      <c r="I5153" t="n">
        <v>0</v>
      </c>
      <c r="J5153" t="n">
        <v>0</v>
      </c>
      <c r="K5153" t="n">
        <v>0</v>
      </c>
      <c r="L5153" t="n">
        <v>0</v>
      </c>
      <c r="M5153" t="n">
        <v>0</v>
      </c>
      <c r="N5153" t="n">
        <v>0</v>
      </c>
      <c r="O5153" t="n">
        <v>0</v>
      </c>
      <c r="P5153" t="n">
        <v>0</v>
      </c>
      <c r="Q5153" t="n">
        <v>0</v>
      </c>
      <c r="R5153" s="2" t="inlineStr"/>
    </row>
    <row r="5154" ht="15" customHeight="1">
      <c r="A5154" t="inlineStr">
        <is>
          <t>A 19568-2024</t>
        </is>
      </c>
      <c r="B5154" s="1" t="n">
        <v>45429.92326388889</v>
      </c>
      <c r="C5154" s="1" t="n">
        <v>45911</v>
      </c>
      <c r="D5154" t="inlineStr">
        <is>
          <t>GÄVLEBORGS LÄN</t>
        </is>
      </c>
      <c r="E5154" t="inlineStr">
        <is>
          <t>NORDANSTIG</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52181-2024</t>
        </is>
      </c>
      <c r="B5155" s="1" t="n">
        <v>45608.56155092592</v>
      </c>
      <c r="C5155" s="1" t="n">
        <v>45911</v>
      </c>
      <c r="D5155" t="inlineStr">
        <is>
          <t>GÄVLEBORGS LÄN</t>
        </is>
      </c>
      <c r="E5155" t="inlineStr">
        <is>
          <t>BOLLNÄS</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47458-2022</t>
        </is>
      </c>
      <c r="B5156" s="1" t="n">
        <v>44853</v>
      </c>
      <c r="C5156" s="1" t="n">
        <v>45911</v>
      </c>
      <c r="D5156" t="inlineStr">
        <is>
          <t>GÄVLEBORGS LÄN</t>
        </is>
      </c>
      <c r="E5156" t="inlineStr">
        <is>
          <t>GÄVLE</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33115-2025</t>
        </is>
      </c>
      <c r="B5157" s="1" t="n">
        <v>45840.49201388889</v>
      </c>
      <c r="C5157" s="1" t="n">
        <v>45911</v>
      </c>
      <c r="D5157" t="inlineStr">
        <is>
          <t>GÄVLEBORGS LÄN</t>
        </is>
      </c>
      <c r="E5157" t="inlineStr">
        <is>
          <t>OCKELBO</t>
        </is>
      </c>
      <c r="G5157" t="n">
        <v>4.4</v>
      </c>
      <c r="H5157" t="n">
        <v>0</v>
      </c>
      <c r="I5157" t="n">
        <v>0</v>
      </c>
      <c r="J5157" t="n">
        <v>0</v>
      </c>
      <c r="K5157" t="n">
        <v>0</v>
      </c>
      <c r="L5157" t="n">
        <v>0</v>
      </c>
      <c r="M5157" t="n">
        <v>0</v>
      </c>
      <c r="N5157" t="n">
        <v>0</v>
      </c>
      <c r="O5157" t="n">
        <v>0</v>
      </c>
      <c r="P5157" t="n">
        <v>0</v>
      </c>
      <c r="Q5157" t="n">
        <v>0</v>
      </c>
      <c r="R5157" s="2" t="inlineStr"/>
    </row>
    <row r="5158" ht="15" customHeight="1">
      <c r="A5158" t="inlineStr">
        <is>
          <t>A 50066-2022</t>
        </is>
      </c>
      <c r="B5158" s="1" t="n">
        <v>44865.47965277778</v>
      </c>
      <c r="C5158" s="1" t="n">
        <v>45911</v>
      </c>
      <c r="D5158" t="inlineStr">
        <is>
          <t>GÄVLEBORGS LÄN</t>
        </is>
      </c>
      <c r="E5158" t="inlineStr">
        <is>
          <t>BOLLNÄS</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31875-2023</t>
        </is>
      </c>
      <c r="B5159" s="1" t="n">
        <v>45118</v>
      </c>
      <c r="C5159" s="1" t="n">
        <v>45911</v>
      </c>
      <c r="D5159" t="inlineStr">
        <is>
          <t>GÄVLEBORGS LÄN</t>
        </is>
      </c>
      <c r="E5159" t="inlineStr">
        <is>
          <t>OVANÅKER</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53156-2024</t>
        </is>
      </c>
      <c r="B5160" s="1" t="n">
        <v>45611.63006944444</v>
      </c>
      <c r="C5160" s="1" t="n">
        <v>45911</v>
      </c>
      <c r="D5160" t="inlineStr">
        <is>
          <t>GÄVLEBORGS LÄN</t>
        </is>
      </c>
      <c r="E5160" t="inlineStr">
        <is>
          <t>HUDIKSVALL</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37991-2025</t>
        </is>
      </c>
      <c r="B5161" s="1" t="n">
        <v>45881.7143287037</v>
      </c>
      <c r="C5161" s="1" t="n">
        <v>45911</v>
      </c>
      <c r="D5161" t="inlineStr">
        <is>
          <t>GÄVLEBORGS LÄN</t>
        </is>
      </c>
      <c r="E5161" t="inlineStr">
        <is>
          <t>LJUSDAL</t>
        </is>
      </c>
      <c r="G5161" t="n">
        <v>2.6</v>
      </c>
      <c r="H5161" t="n">
        <v>0</v>
      </c>
      <c r="I5161" t="n">
        <v>0</v>
      </c>
      <c r="J5161" t="n">
        <v>0</v>
      </c>
      <c r="K5161" t="n">
        <v>0</v>
      </c>
      <c r="L5161" t="n">
        <v>0</v>
      </c>
      <c r="M5161" t="n">
        <v>0</v>
      </c>
      <c r="N5161" t="n">
        <v>0</v>
      </c>
      <c r="O5161" t="n">
        <v>0</v>
      </c>
      <c r="P5161" t="n">
        <v>0</v>
      </c>
      <c r="Q5161" t="n">
        <v>0</v>
      </c>
      <c r="R5161" s="2" t="inlineStr"/>
    </row>
    <row r="5162" ht="15" customHeight="1">
      <c r="A5162" t="inlineStr">
        <is>
          <t>A 19179-2025</t>
        </is>
      </c>
      <c r="B5162" s="1" t="n">
        <v>45767</v>
      </c>
      <c r="C5162" s="1" t="n">
        <v>45911</v>
      </c>
      <c r="D5162" t="inlineStr">
        <is>
          <t>GÄVLEBORGS LÄN</t>
        </is>
      </c>
      <c r="E5162" t="inlineStr">
        <is>
          <t>HUDIKSVALL</t>
        </is>
      </c>
      <c r="G5162" t="n">
        <v>2.9</v>
      </c>
      <c r="H5162" t="n">
        <v>0</v>
      </c>
      <c r="I5162" t="n">
        <v>0</v>
      </c>
      <c r="J5162" t="n">
        <v>0</v>
      </c>
      <c r="K5162" t="n">
        <v>0</v>
      </c>
      <c r="L5162" t="n">
        <v>0</v>
      </c>
      <c r="M5162" t="n">
        <v>0</v>
      </c>
      <c r="N5162" t="n">
        <v>0</v>
      </c>
      <c r="O5162" t="n">
        <v>0</v>
      </c>
      <c r="P5162" t="n">
        <v>0</v>
      </c>
      <c r="Q5162" t="n">
        <v>0</v>
      </c>
      <c r="R5162" s="2" t="inlineStr"/>
    </row>
    <row r="5163" ht="15" customHeight="1">
      <c r="A5163" t="inlineStr">
        <is>
          <t>A 56704-2023</t>
        </is>
      </c>
      <c r="B5163" s="1" t="n">
        <v>45244</v>
      </c>
      <c r="C5163" s="1" t="n">
        <v>45911</v>
      </c>
      <c r="D5163" t="inlineStr">
        <is>
          <t>GÄVLEBORGS LÄN</t>
        </is>
      </c>
      <c r="E5163" t="inlineStr">
        <is>
          <t>BOLLNÄS</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13039-2023</t>
        </is>
      </c>
      <c r="B5164" s="1" t="n">
        <v>45002.35984953704</v>
      </c>
      <c r="C5164" s="1" t="n">
        <v>45911</v>
      </c>
      <c r="D5164" t="inlineStr">
        <is>
          <t>GÄVLEBORGS LÄN</t>
        </is>
      </c>
      <c r="E5164" t="inlineStr">
        <is>
          <t>HUDIKSVALL</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18939-2025</t>
        </is>
      </c>
      <c r="B5165" s="1" t="n">
        <v>45764.49194444445</v>
      </c>
      <c r="C5165" s="1" t="n">
        <v>45911</v>
      </c>
      <c r="D5165" t="inlineStr">
        <is>
          <t>GÄVLEBORGS LÄN</t>
        </is>
      </c>
      <c r="E5165" t="inlineStr">
        <is>
          <t>HUDIKSVALL</t>
        </is>
      </c>
      <c r="G5165" t="n">
        <v>10.4</v>
      </c>
      <c r="H5165" t="n">
        <v>0</v>
      </c>
      <c r="I5165" t="n">
        <v>0</v>
      </c>
      <c r="J5165" t="n">
        <v>0</v>
      </c>
      <c r="K5165" t="n">
        <v>0</v>
      </c>
      <c r="L5165" t="n">
        <v>0</v>
      </c>
      <c r="M5165" t="n">
        <v>0</v>
      </c>
      <c r="N5165" t="n">
        <v>0</v>
      </c>
      <c r="O5165" t="n">
        <v>0</v>
      </c>
      <c r="P5165" t="n">
        <v>0</v>
      </c>
      <c r="Q5165" t="n">
        <v>0</v>
      </c>
      <c r="R5165" s="2" t="inlineStr"/>
    </row>
    <row r="5166" ht="15" customHeight="1">
      <c r="A5166" t="inlineStr">
        <is>
          <t>A 25630-2022</t>
        </is>
      </c>
      <c r="B5166" s="1" t="n">
        <v>44732.92739583334</v>
      </c>
      <c r="C5166" s="1" t="n">
        <v>45911</v>
      </c>
      <c r="D5166" t="inlineStr">
        <is>
          <t>GÄVLEBORGS LÄN</t>
        </is>
      </c>
      <c r="E5166" t="inlineStr">
        <is>
          <t>LJUSDAL</t>
        </is>
      </c>
      <c r="G5166" t="n">
        <v>4.2</v>
      </c>
      <c r="H5166" t="n">
        <v>0</v>
      </c>
      <c r="I5166" t="n">
        <v>0</v>
      </c>
      <c r="J5166" t="n">
        <v>0</v>
      </c>
      <c r="K5166" t="n">
        <v>0</v>
      </c>
      <c r="L5166" t="n">
        <v>0</v>
      </c>
      <c r="M5166" t="n">
        <v>0</v>
      </c>
      <c r="N5166" t="n">
        <v>0</v>
      </c>
      <c r="O5166" t="n">
        <v>0</v>
      </c>
      <c r="P5166" t="n">
        <v>0</v>
      </c>
      <c r="Q5166" t="n">
        <v>0</v>
      </c>
      <c r="R5166" s="2" t="inlineStr"/>
    </row>
    <row r="5167" ht="15" customHeight="1">
      <c r="A5167" t="inlineStr">
        <is>
          <t>A 32405-2025</t>
        </is>
      </c>
      <c r="B5167" s="1" t="n">
        <v>45838.31546296296</v>
      </c>
      <c r="C5167" s="1" t="n">
        <v>45911</v>
      </c>
      <c r="D5167" t="inlineStr">
        <is>
          <t>GÄVLEBORGS LÄN</t>
        </is>
      </c>
      <c r="E5167" t="inlineStr">
        <is>
          <t>BOLLNÄS</t>
        </is>
      </c>
      <c r="F5167" t="inlineStr">
        <is>
          <t>Bergvik skog väst AB</t>
        </is>
      </c>
      <c r="G5167" t="n">
        <v>3.6</v>
      </c>
      <c r="H5167" t="n">
        <v>0</v>
      </c>
      <c r="I5167" t="n">
        <v>0</v>
      </c>
      <c r="J5167" t="n">
        <v>0</v>
      </c>
      <c r="K5167" t="n">
        <v>0</v>
      </c>
      <c r="L5167" t="n">
        <v>0</v>
      </c>
      <c r="M5167" t="n">
        <v>0</v>
      </c>
      <c r="N5167" t="n">
        <v>0</v>
      </c>
      <c r="O5167" t="n">
        <v>0</v>
      </c>
      <c r="P5167" t="n">
        <v>0</v>
      </c>
      <c r="Q5167" t="n">
        <v>0</v>
      </c>
      <c r="R5167" s="2" t="inlineStr"/>
    </row>
    <row r="5168" ht="15" customHeight="1">
      <c r="A5168" t="inlineStr">
        <is>
          <t>A 29881-2024</t>
        </is>
      </c>
      <c r="B5168" s="1" t="n">
        <v>45486.76454861111</v>
      </c>
      <c r="C5168" s="1" t="n">
        <v>45911</v>
      </c>
      <c r="D5168" t="inlineStr">
        <is>
          <t>GÄVLEBORGS LÄN</t>
        </is>
      </c>
      <c r="E5168" t="inlineStr">
        <is>
          <t>BOLLNÄS</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15195-2025</t>
        </is>
      </c>
      <c r="B5169" s="1" t="n">
        <v>45744.56231481482</v>
      </c>
      <c r="C5169" s="1" t="n">
        <v>45911</v>
      </c>
      <c r="D5169" t="inlineStr">
        <is>
          <t>GÄVLEBORGS LÄN</t>
        </is>
      </c>
      <c r="E5169" t="inlineStr">
        <is>
          <t>OCKELBO</t>
        </is>
      </c>
      <c r="F5169" t="inlineStr">
        <is>
          <t>Bergvik skog väst AB</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62255-2022</t>
        </is>
      </c>
      <c r="B5170" s="1" t="n">
        <v>44922</v>
      </c>
      <c r="C5170" s="1" t="n">
        <v>45911</v>
      </c>
      <c r="D5170" t="inlineStr">
        <is>
          <t>GÄVLEBORGS LÄN</t>
        </is>
      </c>
      <c r="E5170" t="inlineStr">
        <is>
          <t>GÄVLE</t>
        </is>
      </c>
      <c r="G5170" t="n">
        <v>0.4</v>
      </c>
      <c r="H5170" t="n">
        <v>0</v>
      </c>
      <c r="I5170" t="n">
        <v>0</v>
      </c>
      <c r="J5170" t="n">
        <v>0</v>
      </c>
      <c r="K5170" t="n">
        <v>0</v>
      </c>
      <c r="L5170" t="n">
        <v>0</v>
      </c>
      <c r="M5170" t="n">
        <v>0</v>
      </c>
      <c r="N5170" t="n">
        <v>0</v>
      </c>
      <c r="O5170" t="n">
        <v>0</v>
      </c>
      <c r="P5170" t="n">
        <v>0</v>
      </c>
      <c r="Q5170" t="n">
        <v>0</v>
      </c>
      <c r="R5170" s="2" t="inlineStr"/>
    </row>
    <row r="5171" ht="15" customHeight="1">
      <c r="A5171" t="inlineStr">
        <is>
          <t>A 32505-2025</t>
        </is>
      </c>
      <c r="B5171" s="1" t="n">
        <v>45838.46716435185</v>
      </c>
      <c r="C5171" s="1" t="n">
        <v>45911</v>
      </c>
      <c r="D5171" t="inlineStr">
        <is>
          <t>GÄVLEBORGS LÄN</t>
        </is>
      </c>
      <c r="E5171" t="inlineStr">
        <is>
          <t>NORDANSTIG</t>
        </is>
      </c>
      <c r="G5171" t="n">
        <v>5.8</v>
      </c>
      <c r="H5171" t="n">
        <v>0</v>
      </c>
      <c r="I5171" t="n">
        <v>0</v>
      </c>
      <c r="J5171" t="n">
        <v>0</v>
      </c>
      <c r="K5171" t="n">
        <v>0</v>
      </c>
      <c r="L5171" t="n">
        <v>0</v>
      </c>
      <c r="M5171" t="n">
        <v>0</v>
      </c>
      <c r="N5171" t="n">
        <v>0</v>
      </c>
      <c r="O5171" t="n">
        <v>0</v>
      </c>
      <c r="P5171" t="n">
        <v>0</v>
      </c>
      <c r="Q5171" t="n">
        <v>0</v>
      </c>
      <c r="R5171" s="2" t="inlineStr"/>
    </row>
    <row r="5172" ht="15" customHeight="1">
      <c r="A5172" t="inlineStr">
        <is>
          <t>A 20165-2025</t>
        </is>
      </c>
      <c r="B5172" s="1" t="n">
        <v>45772.57445601852</v>
      </c>
      <c r="C5172" s="1" t="n">
        <v>45911</v>
      </c>
      <c r="D5172" t="inlineStr">
        <is>
          <t>GÄVLEBORGS LÄN</t>
        </is>
      </c>
      <c r="E5172" t="inlineStr">
        <is>
          <t>BOLLNÄS</t>
        </is>
      </c>
      <c r="G5172" t="n">
        <v>2.9</v>
      </c>
      <c r="H5172" t="n">
        <v>0</v>
      </c>
      <c r="I5172" t="n">
        <v>0</v>
      </c>
      <c r="J5172" t="n">
        <v>0</v>
      </c>
      <c r="K5172" t="n">
        <v>0</v>
      </c>
      <c r="L5172" t="n">
        <v>0</v>
      </c>
      <c r="M5172" t="n">
        <v>0</v>
      </c>
      <c r="N5172" t="n">
        <v>0</v>
      </c>
      <c r="O5172" t="n">
        <v>0</v>
      </c>
      <c r="P5172" t="n">
        <v>0</v>
      </c>
      <c r="Q5172" t="n">
        <v>0</v>
      </c>
      <c r="R5172" s="2" t="inlineStr"/>
    </row>
    <row r="5173" ht="15" customHeight="1">
      <c r="A5173" t="inlineStr">
        <is>
          <t>A 37786-2025</t>
        </is>
      </c>
      <c r="B5173" s="1" t="n">
        <v>45881.29412037037</v>
      </c>
      <c r="C5173" s="1" t="n">
        <v>45911</v>
      </c>
      <c r="D5173" t="inlineStr">
        <is>
          <t>GÄVLEBORGS LÄN</t>
        </is>
      </c>
      <c r="E5173" t="inlineStr">
        <is>
          <t>LJUSDAL</t>
        </is>
      </c>
      <c r="F5173" t="inlineStr">
        <is>
          <t>Bergvik skog väst AB</t>
        </is>
      </c>
      <c r="G5173" t="n">
        <v>7.9</v>
      </c>
      <c r="H5173" t="n">
        <v>0</v>
      </c>
      <c r="I5173" t="n">
        <v>0</v>
      </c>
      <c r="J5173" t="n">
        <v>0</v>
      </c>
      <c r="K5173" t="n">
        <v>0</v>
      </c>
      <c r="L5173" t="n">
        <v>0</v>
      </c>
      <c r="M5173" t="n">
        <v>0</v>
      </c>
      <c r="N5173" t="n">
        <v>0</v>
      </c>
      <c r="O5173" t="n">
        <v>0</v>
      </c>
      <c r="P5173" t="n">
        <v>0</v>
      </c>
      <c r="Q5173" t="n">
        <v>0</v>
      </c>
      <c r="R5173" s="2" t="inlineStr"/>
    </row>
    <row r="5174" ht="15" customHeight="1">
      <c r="A5174" t="inlineStr">
        <is>
          <t>A 3077-2025</t>
        </is>
      </c>
      <c r="B5174" s="1" t="n">
        <v>45678.64303240741</v>
      </c>
      <c r="C5174" s="1" t="n">
        <v>45911</v>
      </c>
      <c r="D5174" t="inlineStr">
        <is>
          <t>GÄVLEBORGS LÄN</t>
        </is>
      </c>
      <c r="E5174" t="inlineStr">
        <is>
          <t>HUDIKSVALL</t>
        </is>
      </c>
      <c r="G5174" t="n">
        <v>4.9</v>
      </c>
      <c r="H5174" t="n">
        <v>0</v>
      </c>
      <c r="I5174" t="n">
        <v>0</v>
      </c>
      <c r="J5174" t="n">
        <v>0</v>
      </c>
      <c r="K5174" t="n">
        <v>0</v>
      </c>
      <c r="L5174" t="n">
        <v>0</v>
      </c>
      <c r="M5174" t="n">
        <v>0</v>
      </c>
      <c r="N5174" t="n">
        <v>0</v>
      </c>
      <c r="O5174" t="n">
        <v>0</v>
      </c>
      <c r="P5174" t="n">
        <v>0</v>
      </c>
      <c r="Q5174" t="n">
        <v>0</v>
      </c>
      <c r="R5174" s="2" t="inlineStr"/>
    </row>
    <row r="5175" ht="15" customHeight="1">
      <c r="A5175" t="inlineStr">
        <is>
          <t>A 38104-2025</t>
        </is>
      </c>
      <c r="B5175" s="1" t="n">
        <v>45882.49252314815</v>
      </c>
      <c r="C5175" s="1" t="n">
        <v>45911</v>
      </c>
      <c r="D5175" t="inlineStr">
        <is>
          <t>GÄVLEBORGS LÄN</t>
        </is>
      </c>
      <c r="E5175" t="inlineStr">
        <is>
          <t>NORDANSTIG</t>
        </is>
      </c>
      <c r="G5175" t="n">
        <v>2.9</v>
      </c>
      <c r="H5175" t="n">
        <v>0</v>
      </c>
      <c r="I5175" t="n">
        <v>0</v>
      </c>
      <c r="J5175" t="n">
        <v>0</v>
      </c>
      <c r="K5175" t="n">
        <v>0</v>
      </c>
      <c r="L5175" t="n">
        <v>0</v>
      </c>
      <c r="M5175" t="n">
        <v>0</v>
      </c>
      <c r="N5175" t="n">
        <v>0</v>
      </c>
      <c r="O5175" t="n">
        <v>0</v>
      </c>
      <c r="P5175" t="n">
        <v>0</v>
      </c>
      <c r="Q5175" t="n">
        <v>0</v>
      </c>
      <c r="R5175" s="2" t="inlineStr"/>
    </row>
    <row r="5176" ht="15" customHeight="1">
      <c r="A5176" t="inlineStr">
        <is>
          <t>A 1143-2025</t>
        </is>
      </c>
      <c r="B5176" s="1" t="n">
        <v>45666.7081712963</v>
      </c>
      <c r="C5176" s="1" t="n">
        <v>45911</v>
      </c>
      <c r="D5176" t="inlineStr">
        <is>
          <t>GÄVLEBORGS LÄN</t>
        </is>
      </c>
      <c r="E5176" t="inlineStr">
        <is>
          <t>OCKELBO</t>
        </is>
      </c>
      <c r="G5176" t="n">
        <v>3.5</v>
      </c>
      <c r="H5176" t="n">
        <v>0</v>
      </c>
      <c r="I5176" t="n">
        <v>0</v>
      </c>
      <c r="J5176" t="n">
        <v>0</v>
      </c>
      <c r="K5176" t="n">
        <v>0</v>
      </c>
      <c r="L5176" t="n">
        <v>0</v>
      </c>
      <c r="M5176" t="n">
        <v>0</v>
      </c>
      <c r="N5176" t="n">
        <v>0</v>
      </c>
      <c r="O5176" t="n">
        <v>0</v>
      </c>
      <c r="P5176" t="n">
        <v>0</v>
      </c>
      <c r="Q5176" t="n">
        <v>0</v>
      </c>
      <c r="R5176" s="2" t="inlineStr"/>
    </row>
    <row r="5177" ht="15" customHeight="1">
      <c r="A5177" t="inlineStr">
        <is>
          <t>A 14321-2024</t>
        </is>
      </c>
      <c r="B5177" s="1" t="n">
        <v>45393.69122685185</v>
      </c>
      <c r="C5177" s="1" t="n">
        <v>45911</v>
      </c>
      <c r="D5177" t="inlineStr">
        <is>
          <t>GÄVLEBORGS LÄN</t>
        </is>
      </c>
      <c r="E5177" t="inlineStr">
        <is>
          <t>SÖDERHAMN</t>
        </is>
      </c>
      <c r="G5177" t="n">
        <v>3</v>
      </c>
      <c r="H5177" t="n">
        <v>0</v>
      </c>
      <c r="I5177" t="n">
        <v>0</v>
      </c>
      <c r="J5177" t="n">
        <v>0</v>
      </c>
      <c r="K5177" t="n">
        <v>0</v>
      </c>
      <c r="L5177" t="n">
        <v>0</v>
      </c>
      <c r="M5177" t="n">
        <v>0</v>
      </c>
      <c r="N5177" t="n">
        <v>0</v>
      </c>
      <c r="O5177" t="n">
        <v>0</v>
      </c>
      <c r="P5177" t="n">
        <v>0</v>
      </c>
      <c r="Q5177" t="n">
        <v>0</v>
      </c>
      <c r="R5177" s="2" t="inlineStr"/>
    </row>
    <row r="5178" ht="15" customHeight="1">
      <c r="A5178" t="inlineStr">
        <is>
          <t>A 64589-2023</t>
        </is>
      </c>
      <c r="B5178" s="1" t="n">
        <v>45281</v>
      </c>
      <c r="C5178" s="1" t="n">
        <v>45911</v>
      </c>
      <c r="D5178" t="inlineStr">
        <is>
          <t>GÄVLEBORGS LÄN</t>
        </is>
      </c>
      <c r="E5178" t="inlineStr">
        <is>
          <t>SANDVIKEN</t>
        </is>
      </c>
      <c r="G5178" t="n">
        <v>3.1</v>
      </c>
      <c r="H5178" t="n">
        <v>0</v>
      </c>
      <c r="I5178" t="n">
        <v>0</v>
      </c>
      <c r="J5178" t="n">
        <v>0</v>
      </c>
      <c r="K5178" t="n">
        <v>0</v>
      </c>
      <c r="L5178" t="n">
        <v>0</v>
      </c>
      <c r="M5178" t="n">
        <v>0</v>
      </c>
      <c r="N5178" t="n">
        <v>0</v>
      </c>
      <c r="O5178" t="n">
        <v>0</v>
      </c>
      <c r="P5178" t="n">
        <v>0</v>
      </c>
      <c r="Q5178" t="n">
        <v>0</v>
      </c>
      <c r="R5178" s="2" t="inlineStr"/>
    </row>
    <row r="5179" ht="15" customHeight="1">
      <c r="A5179" t="inlineStr">
        <is>
          <t>A 37983-2025</t>
        </is>
      </c>
      <c r="B5179" s="1" t="n">
        <v>45881.69613425926</v>
      </c>
      <c r="C5179" s="1" t="n">
        <v>45911</v>
      </c>
      <c r="D5179" t="inlineStr">
        <is>
          <t>GÄVLEBORGS LÄN</t>
        </is>
      </c>
      <c r="E5179" t="inlineStr">
        <is>
          <t>BOLLNÄS</t>
        </is>
      </c>
      <c r="G5179" t="n">
        <v>7.5</v>
      </c>
      <c r="H5179" t="n">
        <v>0</v>
      </c>
      <c r="I5179" t="n">
        <v>0</v>
      </c>
      <c r="J5179" t="n">
        <v>0</v>
      </c>
      <c r="K5179" t="n">
        <v>0</v>
      </c>
      <c r="L5179" t="n">
        <v>0</v>
      </c>
      <c r="M5179" t="n">
        <v>0</v>
      </c>
      <c r="N5179" t="n">
        <v>0</v>
      </c>
      <c r="O5179" t="n">
        <v>0</v>
      </c>
      <c r="P5179" t="n">
        <v>0</v>
      </c>
      <c r="Q5179" t="n">
        <v>0</v>
      </c>
      <c r="R5179" s="2" t="inlineStr"/>
    </row>
    <row r="5180" ht="15" customHeight="1">
      <c r="A5180" t="inlineStr">
        <is>
          <t>A 37987-2025</t>
        </is>
      </c>
      <c r="B5180" s="1" t="n">
        <v>45881.7040162037</v>
      </c>
      <c r="C5180" s="1" t="n">
        <v>45911</v>
      </c>
      <c r="D5180" t="inlineStr">
        <is>
          <t>GÄVLEBORGS LÄN</t>
        </is>
      </c>
      <c r="E5180" t="inlineStr">
        <is>
          <t>BOLLNÄS</t>
        </is>
      </c>
      <c r="G5180" t="n">
        <v>5.6</v>
      </c>
      <c r="H5180" t="n">
        <v>0</v>
      </c>
      <c r="I5180" t="n">
        <v>0</v>
      </c>
      <c r="J5180" t="n">
        <v>0</v>
      </c>
      <c r="K5180" t="n">
        <v>0</v>
      </c>
      <c r="L5180" t="n">
        <v>0</v>
      </c>
      <c r="M5180" t="n">
        <v>0</v>
      </c>
      <c r="N5180" t="n">
        <v>0</v>
      </c>
      <c r="O5180" t="n">
        <v>0</v>
      </c>
      <c r="P5180" t="n">
        <v>0</v>
      </c>
      <c r="Q5180" t="n">
        <v>0</v>
      </c>
      <c r="R5180" s="2" t="inlineStr"/>
    </row>
    <row r="5181" ht="15" customHeight="1">
      <c r="A5181" t="inlineStr">
        <is>
          <t>A 28206-2024</t>
        </is>
      </c>
      <c r="B5181" s="1" t="n">
        <v>45477.34099537037</v>
      </c>
      <c r="C5181" s="1" t="n">
        <v>45911</v>
      </c>
      <c r="D5181" t="inlineStr">
        <is>
          <t>GÄVLEBORGS LÄN</t>
        </is>
      </c>
      <c r="E5181" t="inlineStr">
        <is>
          <t>SANDVIKEN</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38009-2025</t>
        </is>
      </c>
      <c r="B5182" s="1" t="n">
        <v>45882.29594907408</v>
      </c>
      <c r="C5182" s="1" t="n">
        <v>45911</v>
      </c>
      <c r="D5182" t="inlineStr">
        <is>
          <t>GÄVLEBORGS LÄN</t>
        </is>
      </c>
      <c r="E5182" t="inlineStr">
        <is>
          <t>LJUSDAL</t>
        </is>
      </c>
      <c r="F5182" t="inlineStr">
        <is>
          <t>Naturvårdsverket</t>
        </is>
      </c>
      <c r="G5182" t="n">
        <v>6.7</v>
      </c>
      <c r="H5182" t="n">
        <v>0</v>
      </c>
      <c r="I5182" t="n">
        <v>0</v>
      </c>
      <c r="J5182" t="n">
        <v>0</v>
      </c>
      <c r="K5182" t="n">
        <v>0</v>
      </c>
      <c r="L5182" t="n">
        <v>0</v>
      </c>
      <c r="M5182" t="n">
        <v>0</v>
      </c>
      <c r="N5182" t="n">
        <v>0</v>
      </c>
      <c r="O5182" t="n">
        <v>0</v>
      </c>
      <c r="P5182" t="n">
        <v>0</v>
      </c>
      <c r="Q5182" t="n">
        <v>0</v>
      </c>
      <c r="R5182" s="2" t="inlineStr"/>
    </row>
    <row r="5183" ht="15" customHeight="1">
      <c r="A5183" t="inlineStr">
        <is>
          <t>A 27037-2024</t>
        </is>
      </c>
      <c r="B5183" s="1" t="n">
        <v>45471.43636574074</v>
      </c>
      <c r="C5183" s="1" t="n">
        <v>45911</v>
      </c>
      <c r="D5183" t="inlineStr">
        <is>
          <t>GÄVLEBORGS LÄN</t>
        </is>
      </c>
      <c r="E5183" t="inlineStr">
        <is>
          <t>BOLLNÄS</t>
        </is>
      </c>
      <c r="F5183" t="inlineStr">
        <is>
          <t>Sveaskog</t>
        </is>
      </c>
      <c r="G5183" t="n">
        <v>6.3</v>
      </c>
      <c r="H5183" t="n">
        <v>0</v>
      </c>
      <c r="I5183" t="n">
        <v>0</v>
      </c>
      <c r="J5183" t="n">
        <v>0</v>
      </c>
      <c r="K5183" t="n">
        <v>0</v>
      </c>
      <c r="L5183" t="n">
        <v>0</v>
      </c>
      <c r="M5183" t="n">
        <v>0</v>
      </c>
      <c r="N5183" t="n">
        <v>0</v>
      </c>
      <c r="O5183" t="n">
        <v>0</v>
      </c>
      <c r="P5183" t="n">
        <v>0</v>
      </c>
      <c r="Q5183" t="n">
        <v>0</v>
      </c>
      <c r="R5183" s="2" t="inlineStr"/>
    </row>
    <row r="5184" ht="15" customHeight="1">
      <c r="A5184" t="inlineStr">
        <is>
          <t>A 33083-2025</t>
        </is>
      </c>
      <c r="B5184" s="1" t="n">
        <v>45840.46547453704</v>
      </c>
      <c r="C5184" s="1" t="n">
        <v>45911</v>
      </c>
      <c r="D5184" t="inlineStr">
        <is>
          <t>GÄVLEBORGS LÄN</t>
        </is>
      </c>
      <c r="E5184" t="inlineStr">
        <is>
          <t>OCKELBO</t>
        </is>
      </c>
      <c r="F5184" t="inlineStr">
        <is>
          <t>Bergvik skog väst AB</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27113-2023</t>
        </is>
      </c>
      <c r="B5185" s="1" t="n">
        <v>45096.43399305556</v>
      </c>
      <c r="C5185" s="1" t="n">
        <v>45911</v>
      </c>
      <c r="D5185" t="inlineStr">
        <is>
          <t>GÄVLEBORGS LÄN</t>
        </is>
      </c>
      <c r="E5185" t="inlineStr">
        <is>
          <t>OVANÅKER</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48336-2023</t>
        </is>
      </c>
      <c r="B5186" s="1" t="n">
        <v>45205</v>
      </c>
      <c r="C5186" s="1" t="n">
        <v>45911</v>
      </c>
      <c r="D5186" t="inlineStr">
        <is>
          <t>GÄVLEBORGS LÄN</t>
        </is>
      </c>
      <c r="E5186" t="inlineStr">
        <is>
          <t>BOLLNÄS</t>
        </is>
      </c>
      <c r="G5186" t="n">
        <v>6.1</v>
      </c>
      <c r="H5186" t="n">
        <v>0</v>
      </c>
      <c r="I5186" t="n">
        <v>0</v>
      </c>
      <c r="J5186" t="n">
        <v>0</v>
      </c>
      <c r="K5186" t="n">
        <v>0</v>
      </c>
      <c r="L5186" t="n">
        <v>0</v>
      </c>
      <c r="M5186" t="n">
        <v>0</v>
      </c>
      <c r="N5186" t="n">
        <v>0</v>
      </c>
      <c r="O5186" t="n">
        <v>0</v>
      </c>
      <c r="P5186" t="n">
        <v>0</v>
      </c>
      <c r="Q5186" t="n">
        <v>0</v>
      </c>
      <c r="R5186" s="2" t="inlineStr"/>
    </row>
    <row r="5187" ht="15" customHeight="1">
      <c r="A5187" t="inlineStr">
        <is>
          <t>A 68079-2021</t>
        </is>
      </c>
      <c r="B5187" s="1" t="n">
        <v>44526.31943287037</v>
      </c>
      <c r="C5187" s="1" t="n">
        <v>45911</v>
      </c>
      <c r="D5187" t="inlineStr">
        <is>
          <t>GÄVLEBORGS LÄN</t>
        </is>
      </c>
      <c r="E5187" t="inlineStr">
        <is>
          <t>HOFORS</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40104-2024</t>
        </is>
      </c>
      <c r="B5188" s="1" t="n">
        <v>45554</v>
      </c>
      <c r="C5188" s="1" t="n">
        <v>45911</v>
      </c>
      <c r="D5188" t="inlineStr">
        <is>
          <t>GÄVLEBORGS LÄN</t>
        </is>
      </c>
      <c r="E5188" t="inlineStr">
        <is>
          <t>NORDANSTIG</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38074-2025</t>
        </is>
      </c>
      <c r="B5189" s="1" t="n">
        <v>45882</v>
      </c>
      <c r="C5189" s="1" t="n">
        <v>45911</v>
      </c>
      <c r="D5189" t="inlineStr">
        <is>
          <t>GÄVLEBORGS LÄN</t>
        </is>
      </c>
      <c r="E5189" t="inlineStr">
        <is>
          <t>BOLLNÄS</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38091-2025</t>
        </is>
      </c>
      <c r="B5190" s="1" t="n">
        <v>45882.48813657407</v>
      </c>
      <c r="C5190" s="1" t="n">
        <v>45911</v>
      </c>
      <c r="D5190" t="inlineStr">
        <is>
          <t>GÄVLEBORGS LÄN</t>
        </is>
      </c>
      <c r="E5190" t="inlineStr">
        <is>
          <t>NORDANSTIG</t>
        </is>
      </c>
      <c r="F5190" t="inlineStr">
        <is>
          <t>Holmen skog AB</t>
        </is>
      </c>
      <c r="G5190" t="n">
        <v>20.2</v>
      </c>
      <c r="H5190" t="n">
        <v>0</v>
      </c>
      <c r="I5190" t="n">
        <v>0</v>
      </c>
      <c r="J5190" t="n">
        <v>0</v>
      </c>
      <c r="K5190" t="n">
        <v>0</v>
      </c>
      <c r="L5190" t="n">
        <v>0</v>
      </c>
      <c r="M5190" t="n">
        <v>0</v>
      </c>
      <c r="N5190" t="n">
        <v>0</v>
      </c>
      <c r="O5190" t="n">
        <v>0</v>
      </c>
      <c r="P5190" t="n">
        <v>0</v>
      </c>
      <c r="Q5190" t="n">
        <v>0</v>
      </c>
      <c r="R5190" s="2" t="inlineStr"/>
    </row>
    <row r="5191" ht="15" customHeight="1">
      <c r="A5191" t="inlineStr">
        <is>
          <t>A 37796-2025</t>
        </is>
      </c>
      <c r="B5191" s="1" t="n">
        <v>45881.33971064815</v>
      </c>
      <c r="C5191" s="1" t="n">
        <v>45911</v>
      </c>
      <c r="D5191" t="inlineStr">
        <is>
          <t>GÄVLEBORGS LÄN</t>
        </is>
      </c>
      <c r="E5191" t="inlineStr">
        <is>
          <t>HUDIKSVALL</t>
        </is>
      </c>
      <c r="G5191" t="n">
        <v>3.1</v>
      </c>
      <c r="H5191" t="n">
        <v>0</v>
      </c>
      <c r="I5191" t="n">
        <v>0</v>
      </c>
      <c r="J5191" t="n">
        <v>0</v>
      </c>
      <c r="K5191" t="n">
        <v>0</v>
      </c>
      <c r="L5191" t="n">
        <v>0</v>
      </c>
      <c r="M5191" t="n">
        <v>0</v>
      </c>
      <c r="N5191" t="n">
        <v>0</v>
      </c>
      <c r="O5191" t="n">
        <v>0</v>
      </c>
      <c r="P5191" t="n">
        <v>0</v>
      </c>
      <c r="Q5191" t="n">
        <v>0</v>
      </c>
      <c r="R5191" s="2" t="inlineStr"/>
    </row>
    <row r="5192" ht="15" customHeight="1">
      <c r="A5192" t="inlineStr">
        <is>
          <t>A 37804-2025</t>
        </is>
      </c>
      <c r="B5192" s="1" t="n">
        <v>45881.34737268519</v>
      </c>
      <c r="C5192" s="1" t="n">
        <v>45911</v>
      </c>
      <c r="D5192" t="inlineStr">
        <is>
          <t>GÄVLEBORGS LÄN</t>
        </is>
      </c>
      <c r="E5192" t="inlineStr">
        <is>
          <t>HUDIKSVALL</t>
        </is>
      </c>
      <c r="F5192" t="inlineStr">
        <is>
          <t>Holmen skog AB</t>
        </is>
      </c>
      <c r="G5192" t="n">
        <v>25.3</v>
      </c>
      <c r="H5192" t="n">
        <v>0</v>
      </c>
      <c r="I5192" t="n">
        <v>0</v>
      </c>
      <c r="J5192" t="n">
        <v>0</v>
      </c>
      <c r="K5192" t="n">
        <v>0</v>
      </c>
      <c r="L5192" t="n">
        <v>0</v>
      </c>
      <c r="M5192" t="n">
        <v>0</v>
      </c>
      <c r="N5192" t="n">
        <v>0</v>
      </c>
      <c r="O5192" t="n">
        <v>0</v>
      </c>
      <c r="P5192" t="n">
        <v>0</v>
      </c>
      <c r="Q5192" t="n">
        <v>0</v>
      </c>
      <c r="R5192" s="2" t="inlineStr"/>
    </row>
    <row r="5193" ht="15" customHeight="1">
      <c r="A5193" t="inlineStr">
        <is>
          <t>A 68112-2021</t>
        </is>
      </c>
      <c r="B5193" s="1" t="n">
        <v>44526.37672453704</v>
      </c>
      <c r="C5193" s="1" t="n">
        <v>45911</v>
      </c>
      <c r="D5193" t="inlineStr">
        <is>
          <t>GÄVLEBORGS LÄN</t>
        </is>
      </c>
      <c r="E5193" t="inlineStr">
        <is>
          <t>BOLLNÄS</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25532-2023</t>
        </is>
      </c>
      <c r="B5194" s="1" t="n">
        <v>45089.5450462963</v>
      </c>
      <c r="C5194" s="1" t="n">
        <v>45911</v>
      </c>
      <c r="D5194" t="inlineStr">
        <is>
          <t>GÄVLEBORGS LÄN</t>
        </is>
      </c>
      <c r="E5194" t="inlineStr">
        <is>
          <t>GÄVLE</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32736-2025</t>
        </is>
      </c>
      <c r="B5195" s="1" t="n">
        <v>45839</v>
      </c>
      <c r="C5195" s="1" t="n">
        <v>45911</v>
      </c>
      <c r="D5195" t="inlineStr">
        <is>
          <t>GÄVLEBORGS LÄN</t>
        </is>
      </c>
      <c r="E5195" t="inlineStr">
        <is>
          <t>NORDANSTIG</t>
        </is>
      </c>
      <c r="F5195" t="inlineStr">
        <is>
          <t>Holmen skog AB</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44633-2024</t>
        </is>
      </c>
      <c r="B5196" s="1" t="n">
        <v>45574</v>
      </c>
      <c r="C5196" s="1" t="n">
        <v>45911</v>
      </c>
      <c r="D5196" t="inlineStr">
        <is>
          <t>GÄVLEBORGS LÄN</t>
        </is>
      </c>
      <c r="E5196" t="inlineStr">
        <is>
          <t>LJUSDAL</t>
        </is>
      </c>
      <c r="F5196" t="inlineStr">
        <is>
          <t>SCA</t>
        </is>
      </c>
      <c r="G5196" t="n">
        <v>5.2</v>
      </c>
      <c r="H5196" t="n">
        <v>0</v>
      </c>
      <c r="I5196" t="n">
        <v>0</v>
      </c>
      <c r="J5196" t="n">
        <v>0</v>
      </c>
      <c r="K5196" t="n">
        <v>0</v>
      </c>
      <c r="L5196" t="n">
        <v>0</v>
      </c>
      <c r="M5196" t="n">
        <v>0</v>
      </c>
      <c r="N5196" t="n">
        <v>0</v>
      </c>
      <c r="O5196" t="n">
        <v>0</v>
      </c>
      <c r="P5196" t="n">
        <v>0</v>
      </c>
      <c r="Q5196" t="n">
        <v>0</v>
      </c>
      <c r="R5196" s="2" t="inlineStr"/>
    </row>
    <row r="5197" ht="15" customHeight="1">
      <c r="A5197" t="inlineStr">
        <is>
          <t>A 44687-2024</t>
        </is>
      </c>
      <c r="B5197" s="1" t="n">
        <v>45574.55350694444</v>
      </c>
      <c r="C5197" s="1" t="n">
        <v>45911</v>
      </c>
      <c r="D5197" t="inlineStr">
        <is>
          <t>GÄVLEBORGS LÄN</t>
        </is>
      </c>
      <c r="E5197" t="inlineStr">
        <is>
          <t>HUDIKSVALL</t>
        </is>
      </c>
      <c r="G5197" t="n">
        <v>17.3</v>
      </c>
      <c r="H5197" t="n">
        <v>0</v>
      </c>
      <c r="I5197" t="n">
        <v>0</v>
      </c>
      <c r="J5197" t="n">
        <v>0</v>
      </c>
      <c r="K5197" t="n">
        <v>0</v>
      </c>
      <c r="L5197" t="n">
        <v>0</v>
      </c>
      <c r="M5197" t="n">
        <v>0</v>
      </c>
      <c r="N5197" t="n">
        <v>0</v>
      </c>
      <c r="O5197" t="n">
        <v>0</v>
      </c>
      <c r="P5197" t="n">
        <v>0</v>
      </c>
      <c r="Q5197" t="n">
        <v>0</v>
      </c>
      <c r="R5197" s="2" t="inlineStr"/>
    </row>
    <row r="5198" ht="15" customHeight="1">
      <c r="A5198" t="inlineStr">
        <is>
          <t>A 33008-2025</t>
        </is>
      </c>
      <c r="B5198" s="1" t="n">
        <v>45840.35980324074</v>
      </c>
      <c r="C5198" s="1" t="n">
        <v>45911</v>
      </c>
      <c r="D5198" t="inlineStr">
        <is>
          <t>GÄVLEBORGS LÄN</t>
        </is>
      </c>
      <c r="E5198" t="inlineStr">
        <is>
          <t>OVANÅKER</t>
        </is>
      </c>
      <c r="F5198" t="inlineStr">
        <is>
          <t>Bergvik skog väst AB</t>
        </is>
      </c>
      <c r="G5198" t="n">
        <v>6.1</v>
      </c>
      <c r="H5198" t="n">
        <v>0</v>
      </c>
      <c r="I5198" t="n">
        <v>0</v>
      </c>
      <c r="J5198" t="n">
        <v>0</v>
      </c>
      <c r="K5198" t="n">
        <v>0</v>
      </c>
      <c r="L5198" t="n">
        <v>0</v>
      </c>
      <c r="M5198" t="n">
        <v>0</v>
      </c>
      <c r="N5198" t="n">
        <v>0</v>
      </c>
      <c r="O5198" t="n">
        <v>0</v>
      </c>
      <c r="P5198" t="n">
        <v>0</v>
      </c>
      <c r="Q5198" t="n">
        <v>0</v>
      </c>
      <c r="R5198" s="2" t="inlineStr"/>
    </row>
    <row r="5199" ht="15" customHeight="1">
      <c r="A5199" t="inlineStr">
        <is>
          <t>A 44688-2024</t>
        </is>
      </c>
      <c r="B5199" s="1" t="n">
        <v>45574.55434027778</v>
      </c>
      <c r="C5199" s="1" t="n">
        <v>45911</v>
      </c>
      <c r="D5199" t="inlineStr">
        <is>
          <t>GÄVLEBORGS LÄN</t>
        </is>
      </c>
      <c r="E5199" t="inlineStr">
        <is>
          <t>HUDIKSVALL</t>
        </is>
      </c>
      <c r="G5199" t="n">
        <v>66.59999999999999</v>
      </c>
      <c r="H5199" t="n">
        <v>0</v>
      </c>
      <c r="I5199" t="n">
        <v>0</v>
      </c>
      <c r="J5199" t="n">
        <v>0</v>
      </c>
      <c r="K5199" t="n">
        <v>0</v>
      </c>
      <c r="L5199" t="n">
        <v>0</v>
      </c>
      <c r="M5199" t="n">
        <v>0</v>
      </c>
      <c r="N5199" t="n">
        <v>0</v>
      </c>
      <c r="O5199" t="n">
        <v>0</v>
      </c>
      <c r="P5199" t="n">
        <v>0</v>
      </c>
      <c r="Q5199" t="n">
        <v>0</v>
      </c>
      <c r="R5199" s="2" t="inlineStr"/>
    </row>
    <row r="5200" ht="15" customHeight="1">
      <c r="A5200" t="inlineStr">
        <is>
          <t>A 4069-2024</t>
        </is>
      </c>
      <c r="B5200" s="1" t="n">
        <v>45323.56510416666</v>
      </c>
      <c r="C5200" s="1" t="n">
        <v>45911</v>
      </c>
      <c r="D5200" t="inlineStr">
        <is>
          <t>GÄVLEBORGS LÄN</t>
        </is>
      </c>
      <c r="E5200" t="inlineStr">
        <is>
          <t>OCKELBO</t>
        </is>
      </c>
      <c r="G5200" t="n">
        <v>3</v>
      </c>
      <c r="H5200" t="n">
        <v>0</v>
      </c>
      <c r="I5200" t="n">
        <v>0</v>
      </c>
      <c r="J5200" t="n">
        <v>0</v>
      </c>
      <c r="K5200" t="n">
        <v>0</v>
      </c>
      <c r="L5200" t="n">
        <v>0</v>
      </c>
      <c r="M5200" t="n">
        <v>0</v>
      </c>
      <c r="N5200" t="n">
        <v>0</v>
      </c>
      <c r="O5200" t="n">
        <v>0</v>
      </c>
      <c r="P5200" t="n">
        <v>0</v>
      </c>
      <c r="Q5200" t="n">
        <v>0</v>
      </c>
      <c r="R5200" s="2" t="inlineStr"/>
    </row>
    <row r="5201" ht="15" customHeight="1">
      <c r="A5201" t="inlineStr">
        <is>
          <t>A 33634-2024</t>
        </is>
      </c>
      <c r="B5201" s="1" t="n">
        <v>45520.43453703704</v>
      </c>
      <c r="C5201" s="1" t="n">
        <v>45911</v>
      </c>
      <c r="D5201" t="inlineStr">
        <is>
          <t>GÄVLEBORGS LÄN</t>
        </is>
      </c>
      <c r="E5201" t="inlineStr">
        <is>
          <t>OVANÅKER</t>
        </is>
      </c>
      <c r="F5201" t="inlineStr">
        <is>
          <t>Bergvik skog öst AB</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33635-2024</t>
        </is>
      </c>
      <c r="B5202" s="1" t="n">
        <v>45520.4345949074</v>
      </c>
      <c r="C5202" s="1" t="n">
        <v>45911</v>
      </c>
      <c r="D5202" t="inlineStr">
        <is>
          <t>GÄVLEBORGS LÄN</t>
        </is>
      </c>
      <c r="E5202" t="inlineStr">
        <is>
          <t>GÄVLE</t>
        </is>
      </c>
      <c r="G5202" t="n">
        <v>3.9</v>
      </c>
      <c r="H5202" t="n">
        <v>0</v>
      </c>
      <c r="I5202" t="n">
        <v>0</v>
      </c>
      <c r="J5202" t="n">
        <v>0</v>
      </c>
      <c r="K5202" t="n">
        <v>0</v>
      </c>
      <c r="L5202" t="n">
        <v>0</v>
      </c>
      <c r="M5202" t="n">
        <v>0</v>
      </c>
      <c r="N5202" t="n">
        <v>0</v>
      </c>
      <c r="O5202" t="n">
        <v>0</v>
      </c>
      <c r="P5202" t="n">
        <v>0</v>
      </c>
      <c r="Q5202" t="n">
        <v>0</v>
      </c>
      <c r="R5202" s="2" t="inlineStr"/>
    </row>
    <row r="5203" ht="15" customHeight="1">
      <c r="A5203" t="inlineStr">
        <is>
          <t>A 33637-2024</t>
        </is>
      </c>
      <c r="B5203" s="1" t="n">
        <v>45520.44162037037</v>
      </c>
      <c r="C5203" s="1" t="n">
        <v>45911</v>
      </c>
      <c r="D5203" t="inlineStr">
        <is>
          <t>GÄVLEBORGS LÄN</t>
        </is>
      </c>
      <c r="E5203" t="inlineStr">
        <is>
          <t>GÄVLE</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37978-2025</t>
        </is>
      </c>
      <c r="B5204" s="1" t="n">
        <v>45881.67885416667</v>
      </c>
      <c r="C5204" s="1" t="n">
        <v>45911</v>
      </c>
      <c r="D5204" t="inlineStr">
        <is>
          <t>GÄVLEBORGS LÄN</t>
        </is>
      </c>
      <c r="E5204" t="inlineStr">
        <is>
          <t>LJUSDAL</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37989-2025</t>
        </is>
      </c>
      <c r="B5205" s="1" t="n">
        <v>45881.70878472222</v>
      </c>
      <c r="C5205" s="1" t="n">
        <v>45911</v>
      </c>
      <c r="D5205" t="inlineStr">
        <is>
          <t>GÄVLEBORGS LÄN</t>
        </is>
      </c>
      <c r="E5205" t="inlineStr">
        <is>
          <t>BOLLNÄS</t>
        </is>
      </c>
      <c r="G5205" t="n">
        <v>2.5</v>
      </c>
      <c r="H5205" t="n">
        <v>0</v>
      </c>
      <c r="I5205" t="n">
        <v>0</v>
      </c>
      <c r="J5205" t="n">
        <v>0</v>
      </c>
      <c r="K5205" t="n">
        <v>0</v>
      </c>
      <c r="L5205" t="n">
        <v>0</v>
      </c>
      <c r="M5205" t="n">
        <v>0</v>
      </c>
      <c r="N5205" t="n">
        <v>0</v>
      </c>
      <c r="O5205" t="n">
        <v>0</v>
      </c>
      <c r="P5205" t="n">
        <v>0</v>
      </c>
      <c r="Q5205" t="n">
        <v>0</v>
      </c>
      <c r="R5205" s="2" t="inlineStr"/>
    </row>
    <row r="5206" ht="15" customHeight="1">
      <c r="A5206" t="inlineStr">
        <is>
          <t>A 39208-2024</t>
        </is>
      </c>
      <c r="B5206" s="1" t="n">
        <v>45548.8325462963</v>
      </c>
      <c r="C5206" s="1" t="n">
        <v>45911</v>
      </c>
      <c r="D5206" t="inlineStr">
        <is>
          <t>GÄVLEBORGS LÄN</t>
        </is>
      </c>
      <c r="E5206" t="inlineStr">
        <is>
          <t>SÖDERHAMN</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32011-2024</t>
        </is>
      </c>
      <c r="B5207" s="1" t="n">
        <v>45510</v>
      </c>
      <c r="C5207" s="1" t="n">
        <v>45911</v>
      </c>
      <c r="D5207" t="inlineStr">
        <is>
          <t>GÄVLEBORGS LÄN</t>
        </is>
      </c>
      <c r="E5207" t="inlineStr">
        <is>
          <t>OCKELBO</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33176-2025</t>
        </is>
      </c>
      <c r="B5208" s="1" t="n">
        <v>45840.58721064815</v>
      </c>
      <c r="C5208" s="1" t="n">
        <v>45911</v>
      </c>
      <c r="D5208" t="inlineStr">
        <is>
          <t>GÄVLEBORGS LÄN</t>
        </is>
      </c>
      <c r="E5208" t="inlineStr">
        <is>
          <t>HUDIKSVALL</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19973-2021</t>
        </is>
      </c>
      <c r="B5209" s="1" t="n">
        <v>44313</v>
      </c>
      <c r="C5209" s="1" t="n">
        <v>45911</v>
      </c>
      <c r="D5209" t="inlineStr">
        <is>
          <t>GÄVLEBORGS LÄN</t>
        </is>
      </c>
      <c r="E5209" t="inlineStr">
        <is>
          <t>LJUSDAL</t>
        </is>
      </c>
      <c r="F5209" t="inlineStr">
        <is>
          <t>Sveaskog</t>
        </is>
      </c>
      <c r="G5209" t="n">
        <v>38.9</v>
      </c>
      <c r="H5209" t="n">
        <v>0</v>
      </c>
      <c r="I5209" t="n">
        <v>0</v>
      </c>
      <c r="J5209" t="n">
        <v>0</v>
      </c>
      <c r="K5209" t="n">
        <v>0</v>
      </c>
      <c r="L5209" t="n">
        <v>0</v>
      </c>
      <c r="M5209" t="n">
        <v>0</v>
      </c>
      <c r="N5209" t="n">
        <v>0</v>
      </c>
      <c r="O5209" t="n">
        <v>0</v>
      </c>
      <c r="P5209" t="n">
        <v>0</v>
      </c>
      <c r="Q5209" t="n">
        <v>0</v>
      </c>
      <c r="R5209" s="2" t="inlineStr"/>
    </row>
    <row r="5210" ht="15" customHeight="1">
      <c r="A5210" t="inlineStr">
        <is>
          <t>A 37984-2025</t>
        </is>
      </c>
      <c r="B5210" s="1" t="n">
        <v>45881.6999074074</v>
      </c>
      <c r="C5210" s="1" t="n">
        <v>45911</v>
      </c>
      <c r="D5210" t="inlineStr">
        <is>
          <t>GÄVLEBORGS LÄN</t>
        </is>
      </c>
      <c r="E5210" t="inlineStr">
        <is>
          <t>BOLLNÄS</t>
        </is>
      </c>
      <c r="G5210" t="n">
        <v>3.7</v>
      </c>
      <c r="H5210" t="n">
        <v>0</v>
      </c>
      <c r="I5210" t="n">
        <v>0</v>
      </c>
      <c r="J5210" t="n">
        <v>0</v>
      </c>
      <c r="K5210" t="n">
        <v>0</v>
      </c>
      <c r="L5210" t="n">
        <v>0</v>
      </c>
      <c r="M5210" t="n">
        <v>0</v>
      </c>
      <c r="N5210" t="n">
        <v>0</v>
      </c>
      <c r="O5210" t="n">
        <v>0</v>
      </c>
      <c r="P5210" t="n">
        <v>0</v>
      </c>
      <c r="Q5210" t="n">
        <v>0</v>
      </c>
      <c r="R5210" s="2" t="inlineStr"/>
    </row>
    <row r="5211" ht="15" customHeight="1">
      <c r="A5211" t="inlineStr">
        <is>
          <t>A 37988-2025</t>
        </is>
      </c>
      <c r="B5211" s="1" t="n">
        <v>45881.70454861111</v>
      </c>
      <c r="C5211" s="1" t="n">
        <v>45911</v>
      </c>
      <c r="D5211" t="inlineStr">
        <is>
          <t>GÄVLEBORGS LÄN</t>
        </is>
      </c>
      <c r="E5211" t="inlineStr">
        <is>
          <t>HOFORS</t>
        </is>
      </c>
      <c r="F5211" t="inlineStr">
        <is>
          <t>Sveaskog</t>
        </is>
      </c>
      <c r="G5211" t="n">
        <v>5.7</v>
      </c>
      <c r="H5211" t="n">
        <v>0</v>
      </c>
      <c r="I5211" t="n">
        <v>0</v>
      </c>
      <c r="J5211" t="n">
        <v>0</v>
      </c>
      <c r="K5211" t="n">
        <v>0</v>
      </c>
      <c r="L5211" t="n">
        <v>0</v>
      </c>
      <c r="M5211" t="n">
        <v>0</v>
      </c>
      <c r="N5211" t="n">
        <v>0</v>
      </c>
      <c r="O5211" t="n">
        <v>0</v>
      </c>
      <c r="P5211" t="n">
        <v>0</v>
      </c>
      <c r="Q5211" t="n">
        <v>0</v>
      </c>
      <c r="R5211" s="2" t="inlineStr"/>
    </row>
    <row r="5212" ht="15" customHeight="1">
      <c r="A5212" t="inlineStr">
        <is>
          <t>A 38259-2025</t>
        </is>
      </c>
      <c r="B5212" s="1" t="n">
        <v>45883.39480324074</v>
      </c>
      <c r="C5212" s="1" t="n">
        <v>45911</v>
      </c>
      <c r="D5212" t="inlineStr">
        <is>
          <t>GÄVLEBORGS LÄN</t>
        </is>
      </c>
      <c r="E5212" t="inlineStr">
        <is>
          <t>HUDIKSVALL</t>
        </is>
      </c>
      <c r="G5212" t="n">
        <v>3.3</v>
      </c>
      <c r="H5212" t="n">
        <v>0</v>
      </c>
      <c r="I5212" t="n">
        <v>0</v>
      </c>
      <c r="J5212" t="n">
        <v>0</v>
      </c>
      <c r="K5212" t="n">
        <v>0</v>
      </c>
      <c r="L5212" t="n">
        <v>0</v>
      </c>
      <c r="M5212" t="n">
        <v>0</v>
      </c>
      <c r="N5212" t="n">
        <v>0</v>
      </c>
      <c r="O5212" t="n">
        <v>0</v>
      </c>
      <c r="P5212" t="n">
        <v>0</v>
      </c>
      <c r="Q5212" t="n">
        <v>0</v>
      </c>
      <c r="R5212" s="2" t="inlineStr"/>
    </row>
    <row r="5213" ht="15" customHeight="1">
      <c r="A5213" t="inlineStr">
        <is>
          <t>A 38646-2025</t>
        </is>
      </c>
      <c r="B5213" s="1" t="n">
        <v>45884.57827546296</v>
      </c>
      <c r="C5213" s="1" t="n">
        <v>45911</v>
      </c>
      <c r="D5213" t="inlineStr">
        <is>
          <t>GÄVLEBORGS LÄN</t>
        </is>
      </c>
      <c r="E5213" t="inlineStr">
        <is>
          <t>LJUSDAL</t>
        </is>
      </c>
      <c r="F5213" t="inlineStr">
        <is>
          <t>Allmännings- och besparingsskogar</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55811-2023</t>
        </is>
      </c>
      <c r="B5214" s="1" t="n">
        <v>45239</v>
      </c>
      <c r="C5214" s="1" t="n">
        <v>45911</v>
      </c>
      <c r="D5214" t="inlineStr">
        <is>
          <t>GÄVLEBORGS LÄN</t>
        </is>
      </c>
      <c r="E5214" t="inlineStr">
        <is>
          <t>OVANÅKER</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50692-2024</t>
        </is>
      </c>
      <c r="B5215" s="1" t="n">
        <v>45602.34263888889</v>
      </c>
      <c r="C5215" s="1" t="n">
        <v>45911</v>
      </c>
      <c r="D5215" t="inlineStr">
        <is>
          <t>GÄVLEBORGS LÄN</t>
        </is>
      </c>
      <c r="E5215" t="inlineStr">
        <is>
          <t>OCKELBO</t>
        </is>
      </c>
      <c r="F5215" t="inlineStr">
        <is>
          <t>Bergvik skog väst AB</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50701-2024</t>
        </is>
      </c>
      <c r="B5216" s="1" t="n">
        <v>45602.36033564815</v>
      </c>
      <c r="C5216" s="1" t="n">
        <v>45911</v>
      </c>
      <c r="D5216" t="inlineStr">
        <is>
          <t>GÄVLEBORGS LÄN</t>
        </is>
      </c>
      <c r="E5216" t="inlineStr">
        <is>
          <t>SANDVIKEN</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30717-2024</t>
        </is>
      </c>
      <c r="B5217" s="1" t="n">
        <v>45496.48064814815</v>
      </c>
      <c r="C5217" s="1" t="n">
        <v>45911</v>
      </c>
      <c r="D5217" t="inlineStr">
        <is>
          <t>GÄVLEBORGS LÄN</t>
        </is>
      </c>
      <c r="E5217" t="inlineStr">
        <is>
          <t>NORDANSTIG</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37458-2024</t>
        </is>
      </c>
      <c r="B5218" s="1" t="n">
        <v>45540.71457175926</v>
      </c>
      <c r="C5218" s="1" t="n">
        <v>45911</v>
      </c>
      <c r="D5218" t="inlineStr">
        <is>
          <t>GÄVLEBORGS LÄN</t>
        </is>
      </c>
      <c r="E5218" t="inlineStr">
        <is>
          <t>SANDVIKEN</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50765-2024</t>
        </is>
      </c>
      <c r="B5219" s="1" t="n">
        <v>45602.4396875</v>
      </c>
      <c r="C5219" s="1" t="n">
        <v>45911</v>
      </c>
      <c r="D5219" t="inlineStr">
        <is>
          <t>GÄVLEBORGS LÄN</t>
        </is>
      </c>
      <c r="E5219" t="inlineStr">
        <is>
          <t>SANDVIKEN</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38439-2025</t>
        </is>
      </c>
      <c r="B5220" s="1" t="n">
        <v>45883.64783564815</v>
      </c>
      <c r="C5220" s="1" t="n">
        <v>45911</v>
      </c>
      <c r="D5220" t="inlineStr">
        <is>
          <t>GÄVLEBORGS LÄN</t>
        </is>
      </c>
      <c r="E5220" t="inlineStr">
        <is>
          <t>SANDVIKEN</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38517-2025</t>
        </is>
      </c>
      <c r="B5221" s="1" t="n">
        <v>45884.39716435185</v>
      </c>
      <c r="C5221" s="1" t="n">
        <v>45911</v>
      </c>
      <c r="D5221" t="inlineStr">
        <is>
          <t>GÄVLEBORGS LÄN</t>
        </is>
      </c>
      <c r="E5221" t="inlineStr">
        <is>
          <t>GÄVLE</t>
        </is>
      </c>
      <c r="F5221" t="inlineStr">
        <is>
          <t>Bergvik skog öst AB</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31735-2024</t>
        </is>
      </c>
      <c r="B5222" s="1" t="n">
        <v>45509.37269675926</v>
      </c>
      <c r="C5222" s="1" t="n">
        <v>45911</v>
      </c>
      <c r="D5222" t="inlineStr">
        <is>
          <t>GÄVLEBORGS LÄN</t>
        </is>
      </c>
      <c r="E5222" t="inlineStr">
        <is>
          <t>GÄVLE</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38316-2025</t>
        </is>
      </c>
      <c r="B5223" s="1" t="n">
        <v>45883.47950231482</v>
      </c>
      <c r="C5223" s="1" t="n">
        <v>45911</v>
      </c>
      <c r="D5223" t="inlineStr">
        <is>
          <t>GÄVLEBORGS LÄN</t>
        </is>
      </c>
      <c r="E5223" t="inlineStr">
        <is>
          <t>LJUSDAL</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38557-2025</t>
        </is>
      </c>
      <c r="B5224" s="1" t="n">
        <v>45884.44524305555</v>
      </c>
      <c r="C5224" s="1" t="n">
        <v>45911</v>
      </c>
      <c r="D5224" t="inlineStr">
        <is>
          <t>GÄVLEBORGS LÄN</t>
        </is>
      </c>
      <c r="E5224" t="inlineStr">
        <is>
          <t>LJUSDAL</t>
        </is>
      </c>
      <c r="F5224" t="inlineStr">
        <is>
          <t>Sveaskog</t>
        </is>
      </c>
      <c r="G5224" t="n">
        <v>3.6</v>
      </c>
      <c r="H5224" t="n">
        <v>0</v>
      </c>
      <c r="I5224" t="n">
        <v>0</v>
      </c>
      <c r="J5224" t="n">
        <v>0</v>
      </c>
      <c r="K5224" t="n">
        <v>0</v>
      </c>
      <c r="L5224" t="n">
        <v>0</v>
      </c>
      <c r="M5224" t="n">
        <v>0</v>
      </c>
      <c r="N5224" t="n">
        <v>0</v>
      </c>
      <c r="O5224" t="n">
        <v>0</v>
      </c>
      <c r="P5224" t="n">
        <v>0</v>
      </c>
      <c r="Q5224" t="n">
        <v>0</v>
      </c>
      <c r="R5224" s="2" t="inlineStr"/>
    </row>
    <row r="5225" ht="15" customHeight="1">
      <c r="A5225" t="inlineStr">
        <is>
          <t>A 38559-2025</t>
        </is>
      </c>
      <c r="B5225" s="1" t="n">
        <v>45884.44716435186</v>
      </c>
      <c r="C5225" s="1" t="n">
        <v>45911</v>
      </c>
      <c r="D5225" t="inlineStr">
        <is>
          <t>GÄVLEBORGS LÄN</t>
        </is>
      </c>
      <c r="E5225" t="inlineStr">
        <is>
          <t>LJUSDAL</t>
        </is>
      </c>
      <c r="F5225" t="inlineStr">
        <is>
          <t>Sveaskog</t>
        </is>
      </c>
      <c r="G5225" t="n">
        <v>3.6</v>
      </c>
      <c r="H5225" t="n">
        <v>0</v>
      </c>
      <c r="I5225" t="n">
        <v>0</v>
      </c>
      <c r="J5225" t="n">
        <v>0</v>
      </c>
      <c r="K5225" t="n">
        <v>0</v>
      </c>
      <c r="L5225" t="n">
        <v>0</v>
      </c>
      <c r="M5225" t="n">
        <v>0</v>
      </c>
      <c r="N5225" t="n">
        <v>0</v>
      </c>
      <c r="O5225" t="n">
        <v>0</v>
      </c>
      <c r="P5225" t="n">
        <v>0</v>
      </c>
      <c r="Q5225" t="n">
        <v>0</v>
      </c>
      <c r="R5225" s="2" t="inlineStr"/>
    </row>
    <row r="5226" ht="15" customHeight="1">
      <c r="A5226" t="inlineStr">
        <is>
          <t>A 38573-2025</t>
        </is>
      </c>
      <c r="B5226" s="1" t="n">
        <v>45884.46380787037</v>
      </c>
      <c r="C5226" s="1" t="n">
        <v>45911</v>
      </c>
      <c r="D5226" t="inlineStr">
        <is>
          <t>GÄVLEBORGS LÄN</t>
        </is>
      </c>
      <c r="E5226" t="inlineStr">
        <is>
          <t>LJUSDAL</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31916-2024</t>
        </is>
      </c>
      <c r="B5227" s="1" t="n">
        <v>45510.39054398148</v>
      </c>
      <c r="C5227" s="1" t="n">
        <v>45911</v>
      </c>
      <c r="D5227" t="inlineStr">
        <is>
          <t>GÄVLEBORGS LÄN</t>
        </is>
      </c>
      <c r="E5227" t="inlineStr">
        <is>
          <t>SÖDERHAMN</t>
        </is>
      </c>
      <c r="F5227" t="inlineStr">
        <is>
          <t>Bergvik skog väst AB</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32278-2024</t>
        </is>
      </c>
      <c r="B5228" s="1" t="n">
        <v>45512.37289351852</v>
      </c>
      <c r="C5228" s="1" t="n">
        <v>45911</v>
      </c>
      <c r="D5228" t="inlineStr">
        <is>
          <t>GÄVLEBORGS LÄN</t>
        </is>
      </c>
      <c r="E5228" t="inlineStr">
        <is>
          <t>HUDIKSVALL</t>
        </is>
      </c>
      <c r="F5228" t="inlineStr">
        <is>
          <t>Holmen skog AB</t>
        </is>
      </c>
      <c r="G5228" t="n">
        <v>7.4</v>
      </c>
      <c r="H5228" t="n">
        <v>0</v>
      </c>
      <c r="I5228" t="n">
        <v>0</v>
      </c>
      <c r="J5228" t="n">
        <v>0</v>
      </c>
      <c r="K5228" t="n">
        <v>0</v>
      </c>
      <c r="L5228" t="n">
        <v>0</v>
      </c>
      <c r="M5228" t="n">
        <v>0</v>
      </c>
      <c r="N5228" t="n">
        <v>0</v>
      </c>
      <c r="O5228" t="n">
        <v>0</v>
      </c>
      <c r="P5228" t="n">
        <v>0</v>
      </c>
      <c r="Q5228" t="n">
        <v>0</v>
      </c>
      <c r="R5228" s="2" t="inlineStr"/>
    </row>
    <row r="5229" ht="15" customHeight="1">
      <c r="A5229" t="inlineStr">
        <is>
          <t>A 38246-2025</t>
        </is>
      </c>
      <c r="B5229" s="1" t="n">
        <v>45883.36712962963</v>
      </c>
      <c r="C5229" s="1" t="n">
        <v>45911</v>
      </c>
      <c r="D5229" t="inlineStr">
        <is>
          <t>GÄVLEBORGS LÄN</t>
        </is>
      </c>
      <c r="E5229" t="inlineStr">
        <is>
          <t>NORDANSTIG</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53399-2024</t>
        </is>
      </c>
      <c r="B5230" s="1" t="n">
        <v>45614.48822916667</v>
      </c>
      <c r="C5230" s="1" t="n">
        <v>45911</v>
      </c>
      <c r="D5230" t="inlineStr">
        <is>
          <t>GÄVLEBORGS LÄN</t>
        </is>
      </c>
      <c r="E5230" t="inlineStr">
        <is>
          <t>OVANÅKER</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48291-2024</t>
        </is>
      </c>
      <c r="B5231" s="1" t="n">
        <v>45590.45619212963</v>
      </c>
      <c r="C5231" s="1" t="n">
        <v>45911</v>
      </c>
      <c r="D5231" t="inlineStr">
        <is>
          <t>GÄVLEBORGS LÄN</t>
        </is>
      </c>
      <c r="E5231" t="inlineStr">
        <is>
          <t>GÄVLE</t>
        </is>
      </c>
      <c r="F5231" t="inlineStr">
        <is>
          <t>Bergvik skog väst AB</t>
        </is>
      </c>
      <c r="G5231" t="n">
        <v>10.3</v>
      </c>
      <c r="H5231" t="n">
        <v>0</v>
      </c>
      <c r="I5231" t="n">
        <v>0</v>
      </c>
      <c r="J5231" t="n">
        <v>0</v>
      </c>
      <c r="K5231" t="n">
        <v>0</v>
      </c>
      <c r="L5231" t="n">
        <v>0</v>
      </c>
      <c r="M5231" t="n">
        <v>0</v>
      </c>
      <c r="N5231" t="n">
        <v>0</v>
      </c>
      <c r="O5231" t="n">
        <v>0</v>
      </c>
      <c r="P5231" t="n">
        <v>0</v>
      </c>
      <c r="Q5231" t="n">
        <v>0</v>
      </c>
      <c r="R5231" s="2" t="inlineStr"/>
    </row>
    <row r="5232" ht="15" customHeight="1">
      <c r="A5232" t="inlineStr">
        <is>
          <t>A 28523-2023</t>
        </is>
      </c>
      <c r="B5232" s="1" t="n">
        <v>45103.4828587963</v>
      </c>
      <c r="C5232" s="1" t="n">
        <v>45911</v>
      </c>
      <c r="D5232" t="inlineStr">
        <is>
          <t>GÄVLEBORGS LÄN</t>
        </is>
      </c>
      <c r="E5232" t="inlineStr">
        <is>
          <t>BOLLNÄS</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61422-2024</t>
        </is>
      </c>
      <c r="B5233" s="1" t="n">
        <v>45646.45193287037</v>
      </c>
      <c r="C5233" s="1" t="n">
        <v>45911</v>
      </c>
      <c r="D5233" t="inlineStr">
        <is>
          <t>GÄVLEBORGS LÄN</t>
        </is>
      </c>
      <c r="E5233" t="inlineStr">
        <is>
          <t>NORDANSTIG</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36647-2025</t>
        </is>
      </c>
      <c r="B5234" s="1" t="n">
        <v>45872</v>
      </c>
      <c r="C5234" s="1" t="n">
        <v>45911</v>
      </c>
      <c r="D5234" t="inlineStr">
        <is>
          <t>GÄVLEBORGS LÄN</t>
        </is>
      </c>
      <c r="E5234" t="inlineStr">
        <is>
          <t>HUDIKSVALL</t>
        </is>
      </c>
      <c r="F5234" t="inlineStr">
        <is>
          <t>Holmen skog AB</t>
        </is>
      </c>
      <c r="G5234" t="n">
        <v>8.199999999999999</v>
      </c>
      <c r="H5234" t="n">
        <v>0</v>
      </c>
      <c r="I5234" t="n">
        <v>0</v>
      </c>
      <c r="J5234" t="n">
        <v>0</v>
      </c>
      <c r="K5234" t="n">
        <v>0</v>
      </c>
      <c r="L5234" t="n">
        <v>0</v>
      </c>
      <c r="M5234" t="n">
        <v>0</v>
      </c>
      <c r="N5234" t="n">
        <v>0</v>
      </c>
      <c r="O5234" t="n">
        <v>0</v>
      </c>
      <c r="P5234" t="n">
        <v>0</v>
      </c>
      <c r="Q5234" t="n">
        <v>0</v>
      </c>
      <c r="R5234" s="2" t="inlineStr"/>
    </row>
    <row r="5235" ht="15" customHeight="1">
      <c r="A5235" t="inlineStr">
        <is>
          <t>A 33941-2025</t>
        </is>
      </c>
      <c r="B5235" s="1" t="n">
        <v>45842.64204861111</v>
      </c>
      <c r="C5235" s="1" t="n">
        <v>45911</v>
      </c>
      <c r="D5235" t="inlineStr">
        <is>
          <t>GÄVLEBORGS LÄN</t>
        </is>
      </c>
      <c r="E5235" t="inlineStr">
        <is>
          <t>SÖDERHAMN</t>
        </is>
      </c>
      <c r="G5235" t="n">
        <v>4</v>
      </c>
      <c r="H5235" t="n">
        <v>0</v>
      </c>
      <c r="I5235" t="n">
        <v>0</v>
      </c>
      <c r="J5235" t="n">
        <v>0</v>
      </c>
      <c r="K5235" t="n">
        <v>0</v>
      </c>
      <c r="L5235" t="n">
        <v>0</v>
      </c>
      <c r="M5235" t="n">
        <v>0</v>
      </c>
      <c r="N5235" t="n">
        <v>0</v>
      </c>
      <c r="O5235" t="n">
        <v>0</v>
      </c>
      <c r="P5235" t="n">
        <v>0</v>
      </c>
      <c r="Q5235" t="n">
        <v>0</v>
      </c>
      <c r="R5235" s="2" t="inlineStr"/>
    </row>
    <row r="5236" ht="15" customHeight="1">
      <c r="A5236" t="inlineStr">
        <is>
          <t>A 24834-2024</t>
        </is>
      </c>
      <c r="B5236" s="1" t="n">
        <v>45461.39347222223</v>
      </c>
      <c r="C5236" s="1" t="n">
        <v>45911</v>
      </c>
      <c r="D5236" t="inlineStr">
        <is>
          <t>GÄVLEBORGS LÄN</t>
        </is>
      </c>
      <c r="E5236" t="inlineStr">
        <is>
          <t>HUDIKSVALL</t>
        </is>
      </c>
      <c r="F5236" t="inlineStr">
        <is>
          <t>Holmen skog AB</t>
        </is>
      </c>
      <c r="G5236" t="n">
        <v>3.4</v>
      </c>
      <c r="H5236" t="n">
        <v>0</v>
      </c>
      <c r="I5236" t="n">
        <v>0</v>
      </c>
      <c r="J5236" t="n">
        <v>0</v>
      </c>
      <c r="K5236" t="n">
        <v>0</v>
      </c>
      <c r="L5236" t="n">
        <v>0</v>
      </c>
      <c r="M5236" t="n">
        <v>0</v>
      </c>
      <c r="N5236" t="n">
        <v>0</v>
      </c>
      <c r="O5236" t="n">
        <v>0</v>
      </c>
      <c r="P5236" t="n">
        <v>0</v>
      </c>
      <c r="Q5236" t="n">
        <v>0</v>
      </c>
      <c r="R5236" s="2" t="inlineStr"/>
    </row>
    <row r="5237" ht="15" customHeight="1">
      <c r="A5237" t="inlineStr">
        <is>
          <t>A 33942-2025</t>
        </is>
      </c>
      <c r="B5237" s="1" t="n">
        <v>45842.6433912037</v>
      </c>
      <c r="C5237" s="1" t="n">
        <v>45911</v>
      </c>
      <c r="D5237" t="inlineStr">
        <is>
          <t>GÄVLEBORGS LÄN</t>
        </is>
      </c>
      <c r="E5237" t="inlineStr">
        <is>
          <t>SÖDERHAMN</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52961-2024</t>
        </is>
      </c>
      <c r="B5238" s="1" t="n">
        <v>45611.30515046296</v>
      </c>
      <c r="C5238" s="1" t="n">
        <v>45911</v>
      </c>
      <c r="D5238" t="inlineStr">
        <is>
          <t>GÄVLEBORGS LÄN</t>
        </is>
      </c>
      <c r="E5238" t="inlineStr">
        <is>
          <t>OVANÅKER</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52962-2024</t>
        </is>
      </c>
      <c r="B5239" s="1" t="n">
        <v>45611.30649305556</v>
      </c>
      <c r="C5239" s="1" t="n">
        <v>45911</v>
      </c>
      <c r="D5239" t="inlineStr">
        <is>
          <t>GÄVLEBORGS LÄN</t>
        </is>
      </c>
      <c r="E5239" t="inlineStr">
        <is>
          <t>HUDIKSVALL</t>
        </is>
      </c>
      <c r="G5239" t="n">
        <v>5.3</v>
      </c>
      <c r="H5239" t="n">
        <v>0</v>
      </c>
      <c r="I5239" t="n">
        <v>0</v>
      </c>
      <c r="J5239" t="n">
        <v>0</v>
      </c>
      <c r="K5239" t="n">
        <v>0</v>
      </c>
      <c r="L5239" t="n">
        <v>0</v>
      </c>
      <c r="M5239" t="n">
        <v>0</v>
      </c>
      <c r="N5239" t="n">
        <v>0</v>
      </c>
      <c r="O5239" t="n">
        <v>0</v>
      </c>
      <c r="P5239" t="n">
        <v>0</v>
      </c>
      <c r="Q5239" t="n">
        <v>0</v>
      </c>
      <c r="R5239" s="2" t="inlineStr"/>
    </row>
    <row r="5240" ht="15" customHeight="1">
      <c r="A5240" t="inlineStr">
        <is>
          <t>A 52986-2024</t>
        </is>
      </c>
      <c r="B5240" s="1" t="n">
        <v>45611.35953703704</v>
      </c>
      <c r="C5240" s="1" t="n">
        <v>45911</v>
      </c>
      <c r="D5240" t="inlineStr">
        <is>
          <t>GÄVLEBORGS LÄN</t>
        </is>
      </c>
      <c r="E5240" t="inlineStr">
        <is>
          <t>HUDIKSVALL</t>
        </is>
      </c>
      <c r="G5240" t="n">
        <v>3.8</v>
      </c>
      <c r="H5240" t="n">
        <v>0</v>
      </c>
      <c r="I5240" t="n">
        <v>0</v>
      </c>
      <c r="J5240" t="n">
        <v>0</v>
      </c>
      <c r="K5240" t="n">
        <v>0</v>
      </c>
      <c r="L5240" t="n">
        <v>0</v>
      </c>
      <c r="M5240" t="n">
        <v>0</v>
      </c>
      <c r="N5240" t="n">
        <v>0</v>
      </c>
      <c r="O5240" t="n">
        <v>0</v>
      </c>
      <c r="P5240" t="n">
        <v>0</v>
      </c>
      <c r="Q5240" t="n">
        <v>0</v>
      </c>
      <c r="R5240" s="2" t="inlineStr"/>
    </row>
    <row r="5241" ht="15" customHeight="1">
      <c r="A5241" t="inlineStr">
        <is>
          <t>A 43310-2024</t>
        </is>
      </c>
      <c r="B5241" s="1" t="n">
        <v>45568.44828703703</v>
      </c>
      <c r="C5241" s="1" t="n">
        <v>45911</v>
      </c>
      <c r="D5241" t="inlineStr">
        <is>
          <t>GÄVLEBORGS LÄN</t>
        </is>
      </c>
      <c r="E5241" t="inlineStr">
        <is>
          <t>BOLLNÄS</t>
        </is>
      </c>
      <c r="G5241" t="n">
        <v>3.1</v>
      </c>
      <c r="H5241" t="n">
        <v>0</v>
      </c>
      <c r="I5241" t="n">
        <v>0</v>
      </c>
      <c r="J5241" t="n">
        <v>0</v>
      </c>
      <c r="K5241" t="n">
        <v>0</v>
      </c>
      <c r="L5241" t="n">
        <v>0</v>
      </c>
      <c r="M5241" t="n">
        <v>0</v>
      </c>
      <c r="N5241" t="n">
        <v>0</v>
      </c>
      <c r="O5241" t="n">
        <v>0</v>
      </c>
      <c r="P5241" t="n">
        <v>0</v>
      </c>
      <c r="Q5241" t="n">
        <v>0</v>
      </c>
      <c r="R5241" s="2" t="inlineStr"/>
    </row>
    <row r="5242" ht="15" customHeight="1">
      <c r="A5242" t="inlineStr">
        <is>
          <t>A 38514-2025</t>
        </is>
      </c>
      <c r="B5242" s="1" t="n">
        <v>45884.3940162037</v>
      </c>
      <c r="C5242" s="1" t="n">
        <v>45911</v>
      </c>
      <c r="D5242" t="inlineStr">
        <is>
          <t>GÄVLEBORGS LÄN</t>
        </is>
      </c>
      <c r="E5242" t="inlineStr">
        <is>
          <t>NORDANSTIG</t>
        </is>
      </c>
      <c r="F5242" t="inlineStr">
        <is>
          <t>Holmen skog AB</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33944-2025</t>
        </is>
      </c>
      <c r="B5243" s="1" t="n">
        <v>45842.64752314815</v>
      </c>
      <c r="C5243" s="1" t="n">
        <v>45911</v>
      </c>
      <c r="D5243" t="inlineStr">
        <is>
          <t>GÄVLEBORGS LÄN</t>
        </is>
      </c>
      <c r="E5243" t="inlineStr">
        <is>
          <t>BOLLNÄS</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58598-2024</t>
        </is>
      </c>
      <c r="B5244" s="1" t="n">
        <v>45635.54087962963</v>
      </c>
      <c r="C5244" s="1" t="n">
        <v>45911</v>
      </c>
      <c r="D5244" t="inlineStr">
        <is>
          <t>GÄVLEBORGS LÄN</t>
        </is>
      </c>
      <c r="E5244" t="inlineStr">
        <is>
          <t>LJUSDAL</t>
        </is>
      </c>
      <c r="F5244" t="inlineStr">
        <is>
          <t>Allmännings- och besparingsskogar</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34913-2023</t>
        </is>
      </c>
      <c r="B5245" s="1" t="n">
        <v>45142.46318287037</v>
      </c>
      <c r="C5245" s="1" t="n">
        <v>45911</v>
      </c>
      <c r="D5245" t="inlineStr">
        <is>
          <t>GÄVLEBORGS LÄN</t>
        </is>
      </c>
      <c r="E5245" t="inlineStr">
        <is>
          <t>NORDANSTIG</t>
        </is>
      </c>
      <c r="F5245" t="inlineStr">
        <is>
          <t>Holmen skog AB</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34918-2023</t>
        </is>
      </c>
      <c r="B5246" s="1" t="n">
        <v>45142.47361111111</v>
      </c>
      <c r="C5246" s="1" t="n">
        <v>45911</v>
      </c>
      <c r="D5246" t="inlineStr">
        <is>
          <t>GÄVLEBORGS LÄN</t>
        </is>
      </c>
      <c r="E5246" t="inlineStr">
        <is>
          <t>NORDANSTIG</t>
        </is>
      </c>
      <c r="F5246" t="inlineStr">
        <is>
          <t>Holmen skog AB</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59924-2024</t>
        </is>
      </c>
      <c r="B5247" s="1" t="n">
        <v>45641</v>
      </c>
      <c r="C5247" s="1" t="n">
        <v>45911</v>
      </c>
      <c r="D5247" t="inlineStr">
        <is>
          <t>GÄVLEBORGS LÄN</t>
        </is>
      </c>
      <c r="E5247" t="inlineStr">
        <is>
          <t>NORDANSTIG</t>
        </is>
      </c>
      <c r="G5247" t="n">
        <v>4.3</v>
      </c>
      <c r="H5247" t="n">
        <v>0</v>
      </c>
      <c r="I5247" t="n">
        <v>0</v>
      </c>
      <c r="J5247" t="n">
        <v>0</v>
      </c>
      <c r="K5247" t="n">
        <v>0</v>
      </c>
      <c r="L5247" t="n">
        <v>0</v>
      </c>
      <c r="M5247" t="n">
        <v>0</v>
      </c>
      <c r="N5247" t="n">
        <v>0</v>
      </c>
      <c r="O5247" t="n">
        <v>0</v>
      </c>
      <c r="P5247" t="n">
        <v>0</v>
      </c>
      <c r="Q5247" t="n">
        <v>0</v>
      </c>
      <c r="R5247" s="2" t="inlineStr"/>
    </row>
    <row r="5248" ht="15" customHeight="1">
      <c r="A5248" t="inlineStr">
        <is>
          <t>A 24910-2024</t>
        </is>
      </c>
      <c r="B5248" s="1" t="n">
        <v>45461.59956018518</v>
      </c>
      <c r="C5248" s="1" t="n">
        <v>45911</v>
      </c>
      <c r="D5248" t="inlineStr">
        <is>
          <t>GÄVLEBORGS LÄN</t>
        </is>
      </c>
      <c r="E5248" t="inlineStr">
        <is>
          <t>SÖDERHAMN</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24911-2024</t>
        </is>
      </c>
      <c r="B5249" s="1" t="n">
        <v>45461.60027777778</v>
      </c>
      <c r="C5249" s="1" t="n">
        <v>45911</v>
      </c>
      <c r="D5249" t="inlineStr">
        <is>
          <t>GÄVLEBORGS LÄN</t>
        </is>
      </c>
      <c r="E5249" t="inlineStr">
        <is>
          <t>LJUSDAL</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59945-2024</t>
        </is>
      </c>
      <c r="B5250" s="1" t="n">
        <v>45642.33392361111</v>
      </c>
      <c r="C5250" s="1" t="n">
        <v>45911</v>
      </c>
      <c r="D5250" t="inlineStr">
        <is>
          <t>GÄVLEBORGS LÄN</t>
        </is>
      </c>
      <c r="E5250" t="inlineStr">
        <is>
          <t>NORDANSTIG</t>
        </is>
      </c>
      <c r="F5250" t="inlineStr">
        <is>
          <t>Holmen skog AB</t>
        </is>
      </c>
      <c r="G5250" t="n">
        <v>8.1</v>
      </c>
      <c r="H5250" t="n">
        <v>0</v>
      </c>
      <c r="I5250" t="n">
        <v>0</v>
      </c>
      <c r="J5250" t="n">
        <v>0</v>
      </c>
      <c r="K5250" t="n">
        <v>0</v>
      </c>
      <c r="L5250" t="n">
        <v>0</v>
      </c>
      <c r="M5250" t="n">
        <v>0</v>
      </c>
      <c r="N5250" t="n">
        <v>0</v>
      </c>
      <c r="O5250" t="n">
        <v>0</v>
      </c>
      <c r="P5250" t="n">
        <v>0</v>
      </c>
      <c r="Q5250" t="n">
        <v>0</v>
      </c>
      <c r="R5250" s="2" t="inlineStr"/>
    </row>
    <row r="5251" ht="15" customHeight="1">
      <c r="A5251" t="inlineStr">
        <is>
          <t>A 55446-2021</t>
        </is>
      </c>
      <c r="B5251" s="1" t="n">
        <v>44475.57178240741</v>
      </c>
      <c r="C5251" s="1" t="n">
        <v>45911</v>
      </c>
      <c r="D5251" t="inlineStr">
        <is>
          <t>GÄVLEBORGS LÄN</t>
        </is>
      </c>
      <c r="E5251" t="inlineStr">
        <is>
          <t>LJUSDAL</t>
        </is>
      </c>
      <c r="F5251" t="inlineStr">
        <is>
          <t>Holmen skog AB</t>
        </is>
      </c>
      <c r="G5251" t="n">
        <v>4.9</v>
      </c>
      <c r="H5251" t="n">
        <v>0</v>
      </c>
      <c r="I5251" t="n">
        <v>0</v>
      </c>
      <c r="J5251" t="n">
        <v>0</v>
      </c>
      <c r="K5251" t="n">
        <v>0</v>
      </c>
      <c r="L5251" t="n">
        <v>0</v>
      </c>
      <c r="M5251" t="n">
        <v>0</v>
      </c>
      <c r="N5251" t="n">
        <v>0</v>
      </c>
      <c r="O5251" t="n">
        <v>0</v>
      </c>
      <c r="P5251" t="n">
        <v>0</v>
      </c>
      <c r="Q5251" t="n">
        <v>0</v>
      </c>
      <c r="R5251" s="2" t="inlineStr"/>
    </row>
    <row r="5252" ht="15" customHeight="1">
      <c r="A5252" t="inlineStr">
        <is>
          <t>A 54156-2024</t>
        </is>
      </c>
      <c r="B5252" s="1" t="n">
        <v>45616</v>
      </c>
      <c r="C5252" s="1" t="n">
        <v>45911</v>
      </c>
      <c r="D5252" t="inlineStr">
        <is>
          <t>GÄVLEBORGS LÄN</t>
        </is>
      </c>
      <c r="E5252" t="inlineStr">
        <is>
          <t>NORDANSTIG</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59974-2024</t>
        </is>
      </c>
      <c r="B5253" s="1" t="n">
        <v>45642.36561342593</v>
      </c>
      <c r="C5253" s="1" t="n">
        <v>45911</v>
      </c>
      <c r="D5253" t="inlineStr">
        <is>
          <t>GÄVLEBORGS LÄN</t>
        </is>
      </c>
      <c r="E5253" t="inlineStr">
        <is>
          <t>OVANÅKER</t>
        </is>
      </c>
      <c r="G5253" t="n">
        <v>4.6</v>
      </c>
      <c r="H5253" t="n">
        <v>0</v>
      </c>
      <c r="I5253" t="n">
        <v>0</v>
      </c>
      <c r="J5253" t="n">
        <v>0</v>
      </c>
      <c r="K5253" t="n">
        <v>0</v>
      </c>
      <c r="L5253" t="n">
        <v>0</v>
      </c>
      <c r="M5253" t="n">
        <v>0</v>
      </c>
      <c r="N5253" t="n">
        <v>0</v>
      </c>
      <c r="O5253" t="n">
        <v>0</v>
      </c>
      <c r="P5253" t="n">
        <v>0</v>
      </c>
      <c r="Q5253" t="n">
        <v>0</v>
      </c>
      <c r="R5253" s="2" t="inlineStr"/>
    </row>
    <row r="5254" ht="15" customHeight="1">
      <c r="A5254" t="inlineStr">
        <is>
          <t>A 33714-2025</t>
        </is>
      </c>
      <c r="B5254" s="1" t="n">
        <v>45841</v>
      </c>
      <c r="C5254" s="1" t="n">
        <v>45911</v>
      </c>
      <c r="D5254" t="inlineStr">
        <is>
          <t>GÄVLEBORGS LÄN</t>
        </is>
      </c>
      <c r="E5254" t="inlineStr">
        <is>
          <t>HUDIKSVALL</t>
        </is>
      </c>
      <c r="F5254" t="inlineStr">
        <is>
          <t>Holmen skog AB</t>
        </is>
      </c>
      <c r="G5254" t="n">
        <v>3.8</v>
      </c>
      <c r="H5254" t="n">
        <v>0</v>
      </c>
      <c r="I5254" t="n">
        <v>0</v>
      </c>
      <c r="J5254" t="n">
        <v>0</v>
      </c>
      <c r="K5254" t="n">
        <v>0</v>
      </c>
      <c r="L5254" t="n">
        <v>0</v>
      </c>
      <c r="M5254" t="n">
        <v>0</v>
      </c>
      <c r="N5254" t="n">
        <v>0</v>
      </c>
      <c r="O5254" t="n">
        <v>0</v>
      </c>
      <c r="P5254" t="n">
        <v>0</v>
      </c>
      <c r="Q5254" t="n">
        <v>0</v>
      </c>
      <c r="R5254" s="2" t="inlineStr"/>
    </row>
    <row r="5255" ht="15" customHeight="1">
      <c r="A5255" t="inlineStr">
        <is>
          <t>A 32420-2021</t>
        </is>
      </c>
      <c r="B5255" s="1" t="n">
        <v>44371.69201388889</v>
      </c>
      <c r="C5255" s="1" t="n">
        <v>45911</v>
      </c>
      <c r="D5255" t="inlineStr">
        <is>
          <t>GÄVLEBORGS LÄN</t>
        </is>
      </c>
      <c r="E5255" t="inlineStr">
        <is>
          <t>OVANÅKER</t>
        </is>
      </c>
      <c r="F5255" t="inlineStr">
        <is>
          <t>Bergvik skog väst AB</t>
        </is>
      </c>
      <c r="G5255" t="n">
        <v>3.2</v>
      </c>
      <c r="H5255" t="n">
        <v>0</v>
      </c>
      <c r="I5255" t="n">
        <v>0</v>
      </c>
      <c r="J5255" t="n">
        <v>0</v>
      </c>
      <c r="K5255" t="n">
        <v>0</v>
      </c>
      <c r="L5255" t="n">
        <v>0</v>
      </c>
      <c r="M5255" t="n">
        <v>0</v>
      </c>
      <c r="N5255" t="n">
        <v>0</v>
      </c>
      <c r="O5255" t="n">
        <v>0</v>
      </c>
      <c r="P5255" t="n">
        <v>0</v>
      </c>
      <c r="Q5255" t="n">
        <v>0</v>
      </c>
      <c r="R5255" s="2" t="inlineStr"/>
    </row>
    <row r="5256" ht="15" customHeight="1">
      <c r="A5256" t="inlineStr">
        <is>
          <t>A 38320-2025</t>
        </is>
      </c>
      <c r="B5256" s="1" t="n">
        <v>45883.48733796296</v>
      </c>
      <c r="C5256" s="1" t="n">
        <v>45911</v>
      </c>
      <c r="D5256" t="inlineStr">
        <is>
          <t>GÄVLEBORGS LÄN</t>
        </is>
      </c>
      <c r="E5256" t="inlineStr">
        <is>
          <t>SANDVIKEN</t>
        </is>
      </c>
      <c r="F5256" t="inlineStr">
        <is>
          <t>Bergvik skog öst AB</t>
        </is>
      </c>
      <c r="G5256" t="n">
        <v>3</v>
      </c>
      <c r="H5256" t="n">
        <v>0</v>
      </c>
      <c r="I5256" t="n">
        <v>0</v>
      </c>
      <c r="J5256" t="n">
        <v>0</v>
      </c>
      <c r="K5256" t="n">
        <v>0</v>
      </c>
      <c r="L5256" t="n">
        <v>0</v>
      </c>
      <c r="M5256" t="n">
        <v>0</v>
      </c>
      <c r="N5256" t="n">
        <v>0</v>
      </c>
      <c r="O5256" t="n">
        <v>0</v>
      </c>
      <c r="P5256" t="n">
        <v>0</v>
      </c>
      <c r="Q5256" t="n">
        <v>0</v>
      </c>
      <c r="R5256" s="2" t="inlineStr"/>
    </row>
    <row r="5257" ht="15" customHeight="1">
      <c r="A5257" t="inlineStr">
        <is>
          <t>A 38321-2025</t>
        </is>
      </c>
      <c r="B5257" s="1" t="n">
        <v>45883.48945601852</v>
      </c>
      <c r="C5257" s="1" t="n">
        <v>45911</v>
      </c>
      <c r="D5257" t="inlineStr">
        <is>
          <t>GÄVLEBORGS LÄN</t>
        </is>
      </c>
      <c r="E5257" t="inlineStr">
        <is>
          <t>SANDVIKEN</t>
        </is>
      </c>
      <c r="F5257" t="inlineStr">
        <is>
          <t>Bergvik skog öst AB</t>
        </is>
      </c>
      <c r="G5257" t="n">
        <v>0.4</v>
      </c>
      <c r="H5257" t="n">
        <v>0</v>
      </c>
      <c r="I5257" t="n">
        <v>0</v>
      </c>
      <c r="J5257" t="n">
        <v>0</v>
      </c>
      <c r="K5257" t="n">
        <v>0</v>
      </c>
      <c r="L5257" t="n">
        <v>0</v>
      </c>
      <c r="M5257" t="n">
        <v>0</v>
      </c>
      <c r="N5257" t="n">
        <v>0</v>
      </c>
      <c r="O5257" t="n">
        <v>0</v>
      </c>
      <c r="P5257" t="n">
        <v>0</v>
      </c>
      <c r="Q5257" t="n">
        <v>0</v>
      </c>
      <c r="R5257" s="2" t="inlineStr"/>
    </row>
    <row r="5258" ht="15" customHeight="1">
      <c r="A5258" t="inlineStr">
        <is>
          <t>A 38369-2025</t>
        </is>
      </c>
      <c r="B5258" s="1" t="n">
        <v>45883.55640046296</v>
      </c>
      <c r="C5258" s="1" t="n">
        <v>45911</v>
      </c>
      <c r="D5258" t="inlineStr">
        <is>
          <t>GÄVLEBORGS LÄN</t>
        </is>
      </c>
      <c r="E5258" t="inlineStr">
        <is>
          <t>NORDANSTIG</t>
        </is>
      </c>
      <c r="G5258" t="n">
        <v>5.8</v>
      </c>
      <c r="H5258" t="n">
        <v>0</v>
      </c>
      <c r="I5258" t="n">
        <v>0</v>
      </c>
      <c r="J5258" t="n">
        <v>0</v>
      </c>
      <c r="K5258" t="n">
        <v>0</v>
      </c>
      <c r="L5258" t="n">
        <v>0</v>
      </c>
      <c r="M5258" t="n">
        <v>0</v>
      </c>
      <c r="N5258" t="n">
        <v>0</v>
      </c>
      <c r="O5258" t="n">
        <v>0</v>
      </c>
      <c r="P5258" t="n">
        <v>0</v>
      </c>
      <c r="Q5258" t="n">
        <v>0</v>
      </c>
      <c r="R5258" s="2" t="inlineStr"/>
    </row>
    <row r="5259" ht="15" customHeight="1">
      <c r="A5259" t="inlineStr">
        <is>
          <t>A 19700-2023</t>
        </is>
      </c>
      <c r="B5259" s="1" t="n">
        <v>45051.44525462963</v>
      </c>
      <c r="C5259" s="1" t="n">
        <v>45911</v>
      </c>
      <c r="D5259" t="inlineStr">
        <is>
          <t>GÄVLEBORGS LÄN</t>
        </is>
      </c>
      <c r="E5259" t="inlineStr">
        <is>
          <t>SÖDERHAMN</t>
        </is>
      </c>
      <c r="F5259" t="inlineStr">
        <is>
          <t>Bergvik skog väst AB</t>
        </is>
      </c>
      <c r="G5259" t="n">
        <v>4.1</v>
      </c>
      <c r="H5259" t="n">
        <v>0</v>
      </c>
      <c r="I5259" t="n">
        <v>0</v>
      </c>
      <c r="J5259" t="n">
        <v>0</v>
      </c>
      <c r="K5259" t="n">
        <v>0</v>
      </c>
      <c r="L5259" t="n">
        <v>0</v>
      </c>
      <c r="M5259" t="n">
        <v>0</v>
      </c>
      <c r="N5259" t="n">
        <v>0</v>
      </c>
      <c r="O5259" t="n">
        <v>0</v>
      </c>
      <c r="P5259" t="n">
        <v>0</v>
      </c>
      <c r="Q5259" t="n">
        <v>0</v>
      </c>
      <c r="R5259" s="2" t="inlineStr"/>
    </row>
    <row r="5260" ht="15" customHeight="1">
      <c r="A5260" t="inlineStr">
        <is>
          <t>A 18430-2021</t>
        </is>
      </c>
      <c r="B5260" s="1" t="n">
        <v>44305.68789351852</v>
      </c>
      <c r="C5260" s="1" t="n">
        <v>45911</v>
      </c>
      <c r="D5260" t="inlineStr">
        <is>
          <t>GÄVLEBORGS LÄN</t>
        </is>
      </c>
      <c r="E5260" t="inlineStr">
        <is>
          <t>NORDANSTIG</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60602-2024</t>
        </is>
      </c>
      <c r="B5261" s="1" t="n">
        <v>45644.37484953704</v>
      </c>
      <c r="C5261" s="1" t="n">
        <v>45911</v>
      </c>
      <c r="D5261" t="inlineStr">
        <is>
          <t>GÄVLEBORGS LÄN</t>
        </is>
      </c>
      <c r="E5261" t="inlineStr">
        <is>
          <t>GÄVLE</t>
        </is>
      </c>
      <c r="G5261" t="n">
        <v>4</v>
      </c>
      <c r="H5261" t="n">
        <v>0</v>
      </c>
      <c r="I5261" t="n">
        <v>0</v>
      </c>
      <c r="J5261" t="n">
        <v>0</v>
      </c>
      <c r="K5261" t="n">
        <v>0</v>
      </c>
      <c r="L5261" t="n">
        <v>0</v>
      </c>
      <c r="M5261" t="n">
        <v>0</v>
      </c>
      <c r="N5261" t="n">
        <v>0</v>
      </c>
      <c r="O5261" t="n">
        <v>0</v>
      </c>
      <c r="P5261" t="n">
        <v>0</v>
      </c>
      <c r="Q5261" t="n">
        <v>0</v>
      </c>
      <c r="R5261" s="2" t="inlineStr"/>
    </row>
    <row r="5262" ht="15" customHeight="1">
      <c r="A5262" t="inlineStr">
        <is>
          <t>A 36086-2024</t>
        </is>
      </c>
      <c r="B5262" s="1" t="n">
        <v>45533.67511574074</v>
      </c>
      <c r="C5262" s="1" t="n">
        <v>45911</v>
      </c>
      <c r="D5262" t="inlineStr">
        <is>
          <t>GÄVLEBORGS LÄN</t>
        </is>
      </c>
      <c r="E5262" t="inlineStr">
        <is>
          <t>HUDIKSVALL</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33335-2025</t>
        </is>
      </c>
      <c r="B5263" s="1" t="n">
        <v>45841.35607638889</v>
      </c>
      <c r="C5263" s="1" t="n">
        <v>45911</v>
      </c>
      <c r="D5263" t="inlineStr">
        <is>
          <t>GÄVLEBORGS LÄN</t>
        </is>
      </c>
      <c r="E5263" t="inlineStr">
        <is>
          <t>OVANÅKER</t>
        </is>
      </c>
      <c r="F5263" t="inlineStr">
        <is>
          <t>Bergvik skog väst AB</t>
        </is>
      </c>
      <c r="G5263" t="n">
        <v>3.8</v>
      </c>
      <c r="H5263" t="n">
        <v>0</v>
      </c>
      <c r="I5263" t="n">
        <v>0</v>
      </c>
      <c r="J5263" t="n">
        <v>0</v>
      </c>
      <c r="K5263" t="n">
        <v>0</v>
      </c>
      <c r="L5263" t="n">
        <v>0</v>
      </c>
      <c r="M5263" t="n">
        <v>0</v>
      </c>
      <c r="N5263" t="n">
        <v>0</v>
      </c>
      <c r="O5263" t="n">
        <v>0</v>
      </c>
      <c r="P5263" t="n">
        <v>0</v>
      </c>
      <c r="Q5263" t="n">
        <v>0</v>
      </c>
      <c r="R5263" s="2" t="inlineStr"/>
    </row>
    <row r="5264" ht="15" customHeight="1">
      <c r="A5264" t="inlineStr">
        <is>
          <t>A 41555-2024</t>
        </is>
      </c>
      <c r="B5264" s="1" t="n">
        <v>45560.5277199074</v>
      </c>
      <c r="C5264" s="1" t="n">
        <v>45911</v>
      </c>
      <c r="D5264" t="inlineStr">
        <is>
          <t>GÄVLEBORGS LÄN</t>
        </is>
      </c>
      <c r="E5264" t="inlineStr">
        <is>
          <t>HUDIKSVALL</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33355-2025</t>
        </is>
      </c>
      <c r="B5265" s="1" t="n">
        <v>45841.37690972222</v>
      </c>
      <c r="C5265" s="1" t="n">
        <v>45911</v>
      </c>
      <c r="D5265" t="inlineStr">
        <is>
          <t>GÄVLEBORGS LÄN</t>
        </is>
      </c>
      <c r="E5265" t="inlineStr">
        <is>
          <t>NORDANSTIG</t>
        </is>
      </c>
      <c r="F5265" t="inlineStr">
        <is>
          <t>Holmen skog AB</t>
        </is>
      </c>
      <c r="G5265" t="n">
        <v>34.6</v>
      </c>
      <c r="H5265" t="n">
        <v>0</v>
      </c>
      <c r="I5265" t="n">
        <v>0</v>
      </c>
      <c r="J5265" t="n">
        <v>0</v>
      </c>
      <c r="K5265" t="n">
        <v>0</v>
      </c>
      <c r="L5265" t="n">
        <v>0</v>
      </c>
      <c r="M5265" t="n">
        <v>0</v>
      </c>
      <c r="N5265" t="n">
        <v>0</v>
      </c>
      <c r="O5265" t="n">
        <v>0</v>
      </c>
      <c r="P5265" t="n">
        <v>0</v>
      </c>
      <c r="Q5265" t="n">
        <v>0</v>
      </c>
      <c r="R5265" s="2" t="inlineStr"/>
    </row>
    <row r="5266" ht="15" customHeight="1">
      <c r="A5266" t="inlineStr">
        <is>
          <t>A 36084-2024</t>
        </is>
      </c>
      <c r="B5266" s="1" t="n">
        <v>45533.67208333333</v>
      </c>
      <c r="C5266" s="1" t="n">
        <v>45911</v>
      </c>
      <c r="D5266" t="inlineStr">
        <is>
          <t>GÄVLEBORGS LÄN</t>
        </is>
      </c>
      <c r="E5266" t="inlineStr">
        <is>
          <t>HUDIKSVALL</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18479-2024</t>
        </is>
      </c>
      <c r="B5267" s="1" t="n">
        <v>45425.5177662037</v>
      </c>
      <c r="C5267" s="1" t="n">
        <v>45911</v>
      </c>
      <c r="D5267" t="inlineStr">
        <is>
          <t>GÄVLEBORGS LÄN</t>
        </is>
      </c>
      <c r="E5267" t="inlineStr">
        <is>
          <t>NORDANSTIG</t>
        </is>
      </c>
      <c r="G5267" t="n">
        <v>7.6</v>
      </c>
      <c r="H5267" t="n">
        <v>0</v>
      </c>
      <c r="I5267" t="n">
        <v>0</v>
      </c>
      <c r="J5267" t="n">
        <v>0</v>
      </c>
      <c r="K5267" t="n">
        <v>0</v>
      </c>
      <c r="L5267" t="n">
        <v>0</v>
      </c>
      <c r="M5267" t="n">
        <v>0</v>
      </c>
      <c r="N5267" t="n">
        <v>0</v>
      </c>
      <c r="O5267" t="n">
        <v>0</v>
      </c>
      <c r="P5267" t="n">
        <v>0</v>
      </c>
      <c r="Q5267" t="n">
        <v>0</v>
      </c>
      <c r="R5267" s="2" t="inlineStr"/>
    </row>
    <row r="5268" ht="15" customHeight="1">
      <c r="A5268" t="inlineStr">
        <is>
          <t>A 18492-2024</t>
        </is>
      </c>
      <c r="B5268" s="1" t="n">
        <v>45425</v>
      </c>
      <c r="C5268" s="1" t="n">
        <v>45911</v>
      </c>
      <c r="D5268" t="inlineStr">
        <is>
          <t>GÄVLEBORGS LÄN</t>
        </is>
      </c>
      <c r="E5268" t="inlineStr">
        <is>
          <t>SÖDERHAMN</t>
        </is>
      </c>
      <c r="G5268" t="n">
        <v>2.7</v>
      </c>
      <c r="H5268" t="n">
        <v>0</v>
      </c>
      <c r="I5268" t="n">
        <v>0</v>
      </c>
      <c r="J5268" t="n">
        <v>0</v>
      </c>
      <c r="K5268" t="n">
        <v>0</v>
      </c>
      <c r="L5268" t="n">
        <v>0</v>
      </c>
      <c r="M5268" t="n">
        <v>0</v>
      </c>
      <c r="N5268" t="n">
        <v>0</v>
      </c>
      <c r="O5268" t="n">
        <v>0</v>
      </c>
      <c r="P5268" t="n">
        <v>0</v>
      </c>
      <c r="Q5268" t="n">
        <v>0</v>
      </c>
      <c r="R5268" s="2" t="inlineStr"/>
    </row>
    <row r="5269" ht="15" customHeight="1">
      <c r="A5269" t="inlineStr">
        <is>
          <t>A 18493-2024</t>
        </is>
      </c>
      <c r="B5269" s="1" t="n">
        <v>45425.56045138889</v>
      </c>
      <c r="C5269" s="1" t="n">
        <v>45911</v>
      </c>
      <c r="D5269" t="inlineStr">
        <is>
          <t>GÄVLEBORGS LÄN</t>
        </is>
      </c>
      <c r="E5269" t="inlineStr">
        <is>
          <t>HUDIKSVALL</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11410-2025</t>
        </is>
      </c>
      <c r="B5270" s="1" t="n">
        <v>45726.59032407407</v>
      </c>
      <c r="C5270" s="1" t="n">
        <v>45911</v>
      </c>
      <c r="D5270" t="inlineStr">
        <is>
          <t>GÄVLEBORGS LÄN</t>
        </is>
      </c>
      <c r="E5270" t="inlineStr">
        <is>
          <t>GÄVLE</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11417-2025</t>
        </is>
      </c>
      <c r="B5271" s="1" t="n">
        <v>45726.59607638889</v>
      </c>
      <c r="C5271" s="1" t="n">
        <v>45911</v>
      </c>
      <c r="D5271" t="inlineStr">
        <is>
          <t>GÄVLEBORGS LÄN</t>
        </is>
      </c>
      <c r="E5271" t="inlineStr">
        <is>
          <t>GÄVLE</t>
        </is>
      </c>
      <c r="F5271" t="inlineStr">
        <is>
          <t>Bergvik skog öst AB</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39710-2023</t>
        </is>
      </c>
      <c r="B5272" s="1" t="n">
        <v>45167.61197916666</v>
      </c>
      <c r="C5272" s="1" t="n">
        <v>45911</v>
      </c>
      <c r="D5272" t="inlineStr">
        <is>
          <t>GÄVLEBORGS LÄN</t>
        </is>
      </c>
      <c r="E5272" t="inlineStr">
        <is>
          <t>OCKELBO</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21724-2021</t>
        </is>
      </c>
      <c r="B5273" s="1" t="n">
        <v>44322</v>
      </c>
      <c r="C5273" s="1" t="n">
        <v>45911</v>
      </c>
      <c r="D5273" t="inlineStr">
        <is>
          <t>GÄVLEBORGS LÄN</t>
        </is>
      </c>
      <c r="E5273" t="inlineStr">
        <is>
          <t>LJUSDAL</t>
        </is>
      </c>
      <c r="F5273" t="inlineStr">
        <is>
          <t>Sveaskog</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8774-2025</t>
        </is>
      </c>
      <c r="B5274" s="1" t="n">
        <v>45712.61496527777</v>
      </c>
      <c r="C5274" s="1" t="n">
        <v>45911</v>
      </c>
      <c r="D5274" t="inlineStr">
        <is>
          <t>GÄVLEBORGS LÄN</t>
        </is>
      </c>
      <c r="E5274" t="inlineStr">
        <is>
          <t>BOLLNÄS</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57478-2024</t>
        </is>
      </c>
      <c r="B5275" s="1" t="n">
        <v>45630.34912037037</v>
      </c>
      <c r="C5275" s="1" t="n">
        <v>45911</v>
      </c>
      <c r="D5275" t="inlineStr">
        <is>
          <t>GÄVLEBORGS LÄN</t>
        </is>
      </c>
      <c r="E5275" t="inlineStr">
        <is>
          <t>OVANÅKER</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14807-2023</t>
        </is>
      </c>
      <c r="B5276" s="1" t="n">
        <v>45014.63493055556</v>
      </c>
      <c r="C5276" s="1" t="n">
        <v>45911</v>
      </c>
      <c r="D5276" t="inlineStr">
        <is>
          <t>GÄVLEBORGS LÄN</t>
        </is>
      </c>
      <c r="E5276" t="inlineStr">
        <is>
          <t>GÄVLE</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32123-2024</t>
        </is>
      </c>
      <c r="B5277" s="1" t="n">
        <v>45511.46820601852</v>
      </c>
      <c r="C5277" s="1" t="n">
        <v>45911</v>
      </c>
      <c r="D5277" t="inlineStr">
        <is>
          <t>GÄVLEBORGS LÄN</t>
        </is>
      </c>
      <c r="E5277" t="inlineStr">
        <is>
          <t>OCKELBO</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49533-2024</t>
        </is>
      </c>
      <c r="B5278" s="1" t="n">
        <v>45596.42138888889</v>
      </c>
      <c r="C5278" s="1" t="n">
        <v>45911</v>
      </c>
      <c r="D5278" t="inlineStr">
        <is>
          <t>GÄVLEBORGS LÄN</t>
        </is>
      </c>
      <c r="E5278" t="inlineStr">
        <is>
          <t>SANDVIKEN</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52125-2024</t>
        </is>
      </c>
      <c r="B5279" s="1" t="n">
        <v>45608.46461805556</v>
      </c>
      <c r="C5279" s="1" t="n">
        <v>45911</v>
      </c>
      <c r="D5279" t="inlineStr">
        <is>
          <t>GÄVLEBORGS LÄN</t>
        </is>
      </c>
      <c r="E5279" t="inlineStr">
        <is>
          <t>OCKELBO</t>
        </is>
      </c>
      <c r="G5279" t="n">
        <v>8.5</v>
      </c>
      <c r="H5279" t="n">
        <v>0</v>
      </c>
      <c r="I5279" t="n">
        <v>0</v>
      </c>
      <c r="J5279" t="n">
        <v>0</v>
      </c>
      <c r="K5279" t="n">
        <v>0</v>
      </c>
      <c r="L5279" t="n">
        <v>0</v>
      </c>
      <c r="M5279" t="n">
        <v>0</v>
      </c>
      <c r="N5279" t="n">
        <v>0</v>
      </c>
      <c r="O5279" t="n">
        <v>0</v>
      </c>
      <c r="P5279" t="n">
        <v>0</v>
      </c>
      <c r="Q5279" t="n">
        <v>0</v>
      </c>
      <c r="R5279" s="2" t="inlineStr"/>
    </row>
    <row r="5280" ht="15" customHeight="1">
      <c r="A5280" t="inlineStr">
        <is>
          <t>A 61492-2024</t>
        </is>
      </c>
      <c r="B5280" s="1" t="n">
        <v>45646.55134259259</v>
      </c>
      <c r="C5280" s="1" t="n">
        <v>45911</v>
      </c>
      <c r="D5280" t="inlineStr">
        <is>
          <t>GÄVLEBORGS LÄN</t>
        </is>
      </c>
      <c r="E5280" t="inlineStr">
        <is>
          <t>GÄVLE</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59912-2024</t>
        </is>
      </c>
      <c r="B5281" s="1" t="n">
        <v>45641</v>
      </c>
      <c r="C5281" s="1" t="n">
        <v>45911</v>
      </c>
      <c r="D5281" t="inlineStr">
        <is>
          <t>GÄVLEBORGS LÄN</t>
        </is>
      </c>
      <c r="E5281" t="inlineStr">
        <is>
          <t>NORDANSTIG</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55906-2024</t>
        </is>
      </c>
      <c r="B5282" s="1" t="n">
        <v>45623.58407407408</v>
      </c>
      <c r="C5282" s="1" t="n">
        <v>45911</v>
      </c>
      <c r="D5282" t="inlineStr">
        <is>
          <t>GÄVLEBORGS LÄN</t>
        </is>
      </c>
      <c r="E5282" t="inlineStr">
        <is>
          <t>OCKELBO</t>
        </is>
      </c>
      <c r="F5282" t="inlineStr">
        <is>
          <t>Bergvik skog väst AB</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33333-2025</t>
        </is>
      </c>
      <c r="B5283" s="1" t="n">
        <v>45841.35502314815</v>
      </c>
      <c r="C5283" s="1" t="n">
        <v>45911</v>
      </c>
      <c r="D5283" t="inlineStr">
        <is>
          <t>GÄVLEBORGS LÄN</t>
        </is>
      </c>
      <c r="E5283" t="inlineStr">
        <is>
          <t>LJUSDAL</t>
        </is>
      </c>
      <c r="F5283" t="inlineStr">
        <is>
          <t>Sveaskog</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33337-2025</t>
        </is>
      </c>
      <c r="B5284" s="1" t="n">
        <v>45841.35680555556</v>
      </c>
      <c r="C5284" s="1" t="n">
        <v>45911</v>
      </c>
      <c r="D5284" t="inlineStr">
        <is>
          <t>GÄVLEBORGS LÄN</t>
        </is>
      </c>
      <c r="E5284" t="inlineStr">
        <is>
          <t>LJUSDAL</t>
        </is>
      </c>
      <c r="F5284" t="inlineStr">
        <is>
          <t>Sveaskog</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33585-2025</t>
        </is>
      </c>
      <c r="B5285" s="1" t="n">
        <v>45841.59462962963</v>
      </c>
      <c r="C5285" s="1" t="n">
        <v>45911</v>
      </c>
      <c r="D5285" t="inlineStr">
        <is>
          <t>GÄVLEBORGS LÄN</t>
        </is>
      </c>
      <c r="E5285" t="inlineStr">
        <is>
          <t>LJUSDAL</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33339-2025</t>
        </is>
      </c>
      <c r="B5286" s="1" t="n">
        <v>45841.36012731482</v>
      </c>
      <c r="C5286" s="1" t="n">
        <v>45911</v>
      </c>
      <c r="D5286" t="inlineStr">
        <is>
          <t>GÄVLEBORGS LÄN</t>
        </is>
      </c>
      <c r="E5286" t="inlineStr">
        <is>
          <t>NORDANSTIG</t>
        </is>
      </c>
      <c r="F5286" t="inlineStr">
        <is>
          <t>Holmen skog AB</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61694-2020</t>
        </is>
      </c>
      <c r="B5287" s="1" t="n">
        <v>44158</v>
      </c>
      <c r="C5287" s="1" t="n">
        <v>45911</v>
      </c>
      <c r="D5287" t="inlineStr">
        <is>
          <t>GÄVLEBORGS LÄN</t>
        </is>
      </c>
      <c r="E5287" t="inlineStr">
        <is>
          <t>GÄVLE</t>
        </is>
      </c>
      <c r="G5287" t="n">
        <v>11.8</v>
      </c>
      <c r="H5287" t="n">
        <v>0</v>
      </c>
      <c r="I5287" t="n">
        <v>0</v>
      </c>
      <c r="J5287" t="n">
        <v>0</v>
      </c>
      <c r="K5287" t="n">
        <v>0</v>
      </c>
      <c r="L5287" t="n">
        <v>0</v>
      </c>
      <c r="M5287" t="n">
        <v>0</v>
      </c>
      <c r="N5287" t="n">
        <v>0</v>
      </c>
      <c r="O5287" t="n">
        <v>0</v>
      </c>
      <c r="P5287" t="n">
        <v>0</v>
      </c>
      <c r="Q5287" t="n">
        <v>0</v>
      </c>
      <c r="R5287" s="2" t="inlineStr"/>
    </row>
    <row r="5288" ht="15" customHeight="1">
      <c r="A5288" t="inlineStr">
        <is>
          <t>A 33395-2025</t>
        </is>
      </c>
      <c r="B5288" s="1" t="n">
        <v>45841.41876157407</v>
      </c>
      <c r="C5288" s="1" t="n">
        <v>45911</v>
      </c>
      <c r="D5288" t="inlineStr">
        <is>
          <t>GÄVLEBORGS LÄN</t>
        </is>
      </c>
      <c r="E5288" t="inlineStr">
        <is>
          <t>SÖDERHAMN</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33426-2025</t>
        </is>
      </c>
      <c r="B5289" s="1" t="n">
        <v>45841.44555555555</v>
      </c>
      <c r="C5289" s="1" t="n">
        <v>45911</v>
      </c>
      <c r="D5289" t="inlineStr">
        <is>
          <t>GÄVLEBORGS LÄN</t>
        </is>
      </c>
      <c r="E5289" t="inlineStr">
        <is>
          <t>OVANÅKER</t>
        </is>
      </c>
      <c r="F5289" t="inlineStr">
        <is>
          <t>Bergvik skog väst AB</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38217-2025</t>
        </is>
      </c>
      <c r="B5290" s="1" t="n">
        <v>45883.30810185185</v>
      </c>
      <c r="C5290" s="1" t="n">
        <v>45911</v>
      </c>
      <c r="D5290" t="inlineStr">
        <is>
          <t>GÄVLEBORGS LÄN</t>
        </is>
      </c>
      <c r="E5290" t="inlineStr">
        <is>
          <t>OVANÅKER</t>
        </is>
      </c>
      <c r="G5290" t="n">
        <v>9.4</v>
      </c>
      <c r="H5290" t="n">
        <v>0</v>
      </c>
      <c r="I5290" t="n">
        <v>0</v>
      </c>
      <c r="J5290" t="n">
        <v>0</v>
      </c>
      <c r="K5290" t="n">
        <v>0</v>
      </c>
      <c r="L5290" t="n">
        <v>0</v>
      </c>
      <c r="M5290" t="n">
        <v>0</v>
      </c>
      <c r="N5290" t="n">
        <v>0</v>
      </c>
      <c r="O5290" t="n">
        <v>0</v>
      </c>
      <c r="P5290" t="n">
        <v>0</v>
      </c>
      <c r="Q5290" t="n">
        <v>0</v>
      </c>
      <c r="R5290" s="2" t="inlineStr"/>
    </row>
    <row r="5291" ht="15" customHeight="1">
      <c r="A5291" t="inlineStr">
        <is>
          <t>A 38359-2025</t>
        </is>
      </c>
      <c r="B5291" s="1" t="n">
        <v>45883.53280092592</v>
      </c>
      <c r="C5291" s="1" t="n">
        <v>45911</v>
      </c>
      <c r="D5291" t="inlineStr">
        <is>
          <t>GÄVLEBORGS LÄN</t>
        </is>
      </c>
      <c r="E5291" t="inlineStr">
        <is>
          <t>LJUSDAL</t>
        </is>
      </c>
      <c r="G5291" t="n">
        <v>4.4</v>
      </c>
      <c r="H5291" t="n">
        <v>0</v>
      </c>
      <c r="I5291" t="n">
        <v>0</v>
      </c>
      <c r="J5291" t="n">
        <v>0</v>
      </c>
      <c r="K5291" t="n">
        <v>0</v>
      </c>
      <c r="L5291" t="n">
        <v>0</v>
      </c>
      <c r="M5291" t="n">
        <v>0</v>
      </c>
      <c r="N5291" t="n">
        <v>0</v>
      </c>
      <c r="O5291" t="n">
        <v>0</v>
      </c>
      <c r="P5291" t="n">
        <v>0</v>
      </c>
      <c r="Q5291" t="n">
        <v>0</v>
      </c>
      <c r="R5291" s="2" t="inlineStr"/>
    </row>
    <row r="5292" ht="15" customHeight="1">
      <c r="A5292" t="inlineStr">
        <is>
          <t>A 57970-2022</t>
        </is>
      </c>
      <c r="B5292" s="1" t="n">
        <v>44900</v>
      </c>
      <c r="C5292" s="1" t="n">
        <v>45911</v>
      </c>
      <c r="D5292" t="inlineStr">
        <is>
          <t>GÄVLEBORGS LÄN</t>
        </is>
      </c>
      <c r="E5292" t="inlineStr">
        <is>
          <t>NORDANSTIG</t>
        </is>
      </c>
      <c r="G5292" t="n">
        <v>5</v>
      </c>
      <c r="H5292" t="n">
        <v>0</v>
      </c>
      <c r="I5292" t="n">
        <v>0</v>
      </c>
      <c r="J5292" t="n">
        <v>0</v>
      </c>
      <c r="K5292" t="n">
        <v>0</v>
      </c>
      <c r="L5292" t="n">
        <v>0</v>
      </c>
      <c r="M5292" t="n">
        <v>0</v>
      </c>
      <c r="N5292" t="n">
        <v>0</v>
      </c>
      <c r="O5292" t="n">
        <v>0</v>
      </c>
      <c r="P5292" t="n">
        <v>0</v>
      </c>
      <c r="Q5292" t="n">
        <v>0</v>
      </c>
      <c r="R5292" s="2" t="inlineStr"/>
    </row>
    <row r="5293" ht="15" customHeight="1">
      <c r="A5293" t="inlineStr">
        <is>
          <t>A 38252-2025</t>
        </is>
      </c>
      <c r="B5293" s="1" t="n">
        <v>45883.37849537037</v>
      </c>
      <c r="C5293" s="1" t="n">
        <v>45911</v>
      </c>
      <c r="D5293" t="inlineStr">
        <is>
          <t>GÄVLEBORGS LÄN</t>
        </is>
      </c>
      <c r="E5293" t="inlineStr">
        <is>
          <t>BOLLNÄS</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33350-2025</t>
        </is>
      </c>
      <c r="B5294" s="1" t="n">
        <v>45841</v>
      </c>
      <c r="C5294" s="1" t="n">
        <v>45911</v>
      </c>
      <c r="D5294" t="inlineStr">
        <is>
          <t>GÄVLEBORGS LÄN</t>
        </is>
      </c>
      <c r="E5294" t="inlineStr">
        <is>
          <t>SANDVIKEN</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38545-2025</t>
        </is>
      </c>
      <c r="B5295" s="1" t="n">
        <v>45884.43402777778</v>
      </c>
      <c r="C5295" s="1" t="n">
        <v>45911</v>
      </c>
      <c r="D5295" t="inlineStr">
        <is>
          <t>GÄVLEBORGS LÄN</t>
        </is>
      </c>
      <c r="E5295" t="inlineStr">
        <is>
          <t>SÖDERHAMN</t>
        </is>
      </c>
      <c r="G5295" t="n">
        <v>2.3</v>
      </c>
      <c r="H5295" t="n">
        <v>0</v>
      </c>
      <c r="I5295" t="n">
        <v>0</v>
      </c>
      <c r="J5295" t="n">
        <v>0</v>
      </c>
      <c r="K5295" t="n">
        <v>0</v>
      </c>
      <c r="L5295" t="n">
        <v>0</v>
      </c>
      <c r="M5295" t="n">
        <v>0</v>
      </c>
      <c r="N5295" t="n">
        <v>0</v>
      </c>
      <c r="O5295" t="n">
        <v>0</v>
      </c>
      <c r="P5295" t="n">
        <v>0</v>
      </c>
      <c r="Q5295" t="n">
        <v>0</v>
      </c>
      <c r="R5295" s="2" t="inlineStr"/>
      <c r="U5295">
        <f>HYPERLINK("https://klasma.github.io/Logging_2182/knärot/A 38545-2025 karta knärot.png", "A 38545-2025")</f>
        <v/>
      </c>
      <c r="V5295">
        <f>HYPERLINK("https://klasma.github.io/Logging_2182/klagomål/A 38545-2025 FSC-klagomål.docx", "A 38545-2025")</f>
        <v/>
      </c>
      <c r="W5295">
        <f>HYPERLINK("https://klasma.github.io/Logging_2182/klagomålsmail/A 38545-2025 FSC-klagomål mail.docx", "A 38545-2025")</f>
        <v/>
      </c>
      <c r="X5295">
        <f>HYPERLINK("https://klasma.github.io/Logging_2182/tillsyn/A 38545-2025 tillsynsbegäran.docx", "A 38545-2025")</f>
        <v/>
      </c>
      <c r="Y5295">
        <f>HYPERLINK("https://klasma.github.io/Logging_2182/tillsynsmail/A 38545-2025 tillsynsbegäran mail.docx", "A 38545-2025")</f>
        <v/>
      </c>
    </row>
    <row r="5296" ht="15" customHeight="1">
      <c r="A5296" t="inlineStr">
        <is>
          <t>A 38563-2025</t>
        </is>
      </c>
      <c r="B5296" s="1" t="n">
        <v>45884.44887731481</v>
      </c>
      <c r="C5296" s="1" t="n">
        <v>45911</v>
      </c>
      <c r="D5296" t="inlineStr">
        <is>
          <t>GÄVLEBORGS LÄN</t>
        </is>
      </c>
      <c r="E5296" t="inlineStr">
        <is>
          <t>BOLLNÄS</t>
        </is>
      </c>
      <c r="F5296" t="inlineStr">
        <is>
          <t>Kyrkan</t>
        </is>
      </c>
      <c r="G5296" t="n">
        <v>8.6</v>
      </c>
      <c r="H5296" t="n">
        <v>0</v>
      </c>
      <c r="I5296" t="n">
        <v>0</v>
      </c>
      <c r="J5296" t="n">
        <v>0</v>
      </c>
      <c r="K5296" t="n">
        <v>0</v>
      </c>
      <c r="L5296" t="n">
        <v>0</v>
      </c>
      <c r="M5296" t="n">
        <v>0</v>
      </c>
      <c r="N5296" t="n">
        <v>0</v>
      </c>
      <c r="O5296" t="n">
        <v>0</v>
      </c>
      <c r="P5296" t="n">
        <v>0</v>
      </c>
      <c r="Q5296" t="n">
        <v>0</v>
      </c>
      <c r="R5296" s="2" t="inlineStr"/>
    </row>
    <row r="5297" ht="15" customHeight="1">
      <c r="A5297" t="inlineStr">
        <is>
          <t>A 38565-2025</t>
        </is>
      </c>
      <c r="B5297" s="1" t="n">
        <v>45884.45385416667</v>
      </c>
      <c r="C5297" s="1" t="n">
        <v>45911</v>
      </c>
      <c r="D5297" t="inlineStr">
        <is>
          <t>GÄVLEBORGS LÄN</t>
        </is>
      </c>
      <c r="E5297" t="inlineStr">
        <is>
          <t>GÄVLE</t>
        </is>
      </c>
      <c r="F5297" t="inlineStr">
        <is>
          <t>Bergvik skog öst AB</t>
        </is>
      </c>
      <c r="G5297" t="n">
        <v>3</v>
      </c>
      <c r="H5297" t="n">
        <v>0</v>
      </c>
      <c r="I5297" t="n">
        <v>0</v>
      </c>
      <c r="J5297" t="n">
        <v>0</v>
      </c>
      <c r="K5297" t="n">
        <v>0</v>
      </c>
      <c r="L5297" t="n">
        <v>0</v>
      </c>
      <c r="M5297" t="n">
        <v>0</v>
      </c>
      <c r="N5297" t="n">
        <v>0</v>
      </c>
      <c r="O5297" t="n">
        <v>0</v>
      </c>
      <c r="P5297" t="n">
        <v>0</v>
      </c>
      <c r="Q5297" t="n">
        <v>0</v>
      </c>
      <c r="R5297" s="2" t="inlineStr"/>
    </row>
    <row r="5298" ht="15" customHeight="1">
      <c r="A5298" t="inlineStr">
        <is>
          <t>A 38569-2025</t>
        </is>
      </c>
      <c r="B5298" s="1" t="n">
        <v>45884.45657407407</v>
      </c>
      <c r="C5298" s="1" t="n">
        <v>45911</v>
      </c>
      <c r="D5298" t="inlineStr">
        <is>
          <t>GÄVLEBORGS LÄN</t>
        </is>
      </c>
      <c r="E5298" t="inlineStr">
        <is>
          <t>GÄVLE</t>
        </is>
      </c>
      <c r="F5298" t="inlineStr">
        <is>
          <t>Bergvik skog öst AB</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27969-2024</t>
        </is>
      </c>
      <c r="B5299" s="1" t="n">
        <v>45476.38328703704</v>
      </c>
      <c r="C5299" s="1" t="n">
        <v>45911</v>
      </c>
      <c r="D5299" t="inlineStr">
        <is>
          <t>GÄVLEBORGS LÄN</t>
        </is>
      </c>
      <c r="E5299" t="inlineStr">
        <is>
          <t>SANDVIKEN</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33965-2025</t>
        </is>
      </c>
      <c r="B5300" s="1" t="n">
        <v>45842</v>
      </c>
      <c r="C5300" s="1" t="n">
        <v>45911</v>
      </c>
      <c r="D5300" t="inlineStr">
        <is>
          <t>GÄVLEBORGS LÄN</t>
        </is>
      </c>
      <c r="E5300" t="inlineStr">
        <is>
          <t>HUDIKSVALL</t>
        </is>
      </c>
      <c r="F5300" t="inlineStr">
        <is>
          <t>Holmen skog AB</t>
        </is>
      </c>
      <c r="G5300" t="n">
        <v>32.2</v>
      </c>
      <c r="H5300" t="n">
        <v>0</v>
      </c>
      <c r="I5300" t="n">
        <v>0</v>
      </c>
      <c r="J5300" t="n">
        <v>0</v>
      </c>
      <c r="K5300" t="n">
        <v>0</v>
      </c>
      <c r="L5300" t="n">
        <v>0</v>
      </c>
      <c r="M5300" t="n">
        <v>0</v>
      </c>
      <c r="N5300" t="n">
        <v>0</v>
      </c>
      <c r="O5300" t="n">
        <v>0</v>
      </c>
      <c r="P5300" t="n">
        <v>0</v>
      </c>
      <c r="Q5300" t="n">
        <v>0</v>
      </c>
      <c r="R5300" s="2" t="inlineStr"/>
    </row>
    <row r="5301" ht="15" customHeight="1">
      <c r="A5301" t="inlineStr">
        <is>
          <t>A 60197-2024</t>
        </is>
      </c>
      <c r="B5301" s="1" t="n">
        <v>45642.6599537037</v>
      </c>
      <c r="C5301" s="1" t="n">
        <v>45911</v>
      </c>
      <c r="D5301" t="inlineStr">
        <is>
          <t>GÄVLEBORGS LÄN</t>
        </is>
      </c>
      <c r="E5301" t="inlineStr">
        <is>
          <t>LJUSDAL</t>
        </is>
      </c>
      <c r="G5301" t="n">
        <v>4.9</v>
      </c>
      <c r="H5301" t="n">
        <v>0</v>
      </c>
      <c r="I5301" t="n">
        <v>0</v>
      </c>
      <c r="J5301" t="n">
        <v>0</v>
      </c>
      <c r="K5301" t="n">
        <v>0</v>
      </c>
      <c r="L5301" t="n">
        <v>0</v>
      </c>
      <c r="M5301" t="n">
        <v>0</v>
      </c>
      <c r="N5301" t="n">
        <v>0</v>
      </c>
      <c r="O5301" t="n">
        <v>0</v>
      </c>
      <c r="P5301" t="n">
        <v>0</v>
      </c>
      <c r="Q5301" t="n">
        <v>0</v>
      </c>
      <c r="R5301" s="2" t="inlineStr"/>
    </row>
    <row r="5302" ht="15" customHeight="1">
      <c r="A5302" t="inlineStr">
        <is>
          <t>A 12451-2023</t>
        </is>
      </c>
      <c r="B5302" s="1" t="n">
        <v>44999.57931712963</v>
      </c>
      <c r="C5302" s="1" t="n">
        <v>45911</v>
      </c>
      <c r="D5302" t="inlineStr">
        <is>
          <t>GÄVLEBORGS LÄN</t>
        </is>
      </c>
      <c r="E5302" t="inlineStr">
        <is>
          <t>BOLLNÄS</t>
        </is>
      </c>
      <c r="G5302" t="n">
        <v>0.2</v>
      </c>
      <c r="H5302" t="n">
        <v>0</v>
      </c>
      <c r="I5302" t="n">
        <v>0</v>
      </c>
      <c r="J5302" t="n">
        <v>0</v>
      </c>
      <c r="K5302" t="n">
        <v>0</v>
      </c>
      <c r="L5302" t="n">
        <v>0</v>
      </c>
      <c r="M5302" t="n">
        <v>0</v>
      </c>
      <c r="N5302" t="n">
        <v>0</v>
      </c>
      <c r="O5302" t="n">
        <v>0</v>
      </c>
      <c r="P5302" t="n">
        <v>0</v>
      </c>
      <c r="Q5302" t="n">
        <v>0</v>
      </c>
      <c r="R5302" s="2" t="inlineStr"/>
    </row>
    <row r="5303" ht="15" customHeight="1">
      <c r="A5303" t="inlineStr">
        <is>
          <t>A 54385-2024</t>
        </is>
      </c>
      <c r="B5303" s="1" t="n">
        <v>45617.44668981482</v>
      </c>
      <c r="C5303" s="1" t="n">
        <v>45911</v>
      </c>
      <c r="D5303" t="inlineStr">
        <is>
          <t>GÄVLEBORGS LÄN</t>
        </is>
      </c>
      <c r="E5303" t="inlineStr">
        <is>
          <t>NORDANSTIG</t>
        </is>
      </c>
      <c r="F5303" t="inlineStr">
        <is>
          <t>Holmen skog AB</t>
        </is>
      </c>
      <c r="G5303" t="n">
        <v>2.9</v>
      </c>
      <c r="H5303" t="n">
        <v>0</v>
      </c>
      <c r="I5303" t="n">
        <v>0</v>
      </c>
      <c r="J5303" t="n">
        <v>0</v>
      </c>
      <c r="K5303" t="n">
        <v>0</v>
      </c>
      <c r="L5303" t="n">
        <v>0</v>
      </c>
      <c r="M5303" t="n">
        <v>0</v>
      </c>
      <c r="N5303" t="n">
        <v>0</v>
      </c>
      <c r="O5303" t="n">
        <v>0</v>
      </c>
      <c r="P5303" t="n">
        <v>0</v>
      </c>
      <c r="Q5303" t="n">
        <v>0</v>
      </c>
      <c r="R5303" s="2" t="inlineStr"/>
    </row>
    <row r="5304" ht="15" customHeight="1">
      <c r="A5304" t="inlineStr">
        <is>
          <t>A 34312-2021</t>
        </is>
      </c>
      <c r="B5304" s="1" t="n">
        <v>44379</v>
      </c>
      <c r="C5304" s="1" t="n">
        <v>45911</v>
      </c>
      <c r="D5304" t="inlineStr">
        <is>
          <t>GÄVLEBORGS LÄN</t>
        </is>
      </c>
      <c r="E5304" t="inlineStr">
        <is>
          <t>SANDVIKEN</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53138-2024</t>
        </is>
      </c>
      <c r="B5305" s="1" t="n">
        <v>45611.59840277778</v>
      </c>
      <c r="C5305" s="1" t="n">
        <v>45911</v>
      </c>
      <c r="D5305" t="inlineStr">
        <is>
          <t>GÄVLEBORGS LÄN</t>
        </is>
      </c>
      <c r="E5305" t="inlineStr">
        <is>
          <t>GÄVLE</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5964-2025</t>
        </is>
      </c>
      <c r="B5306" s="1" t="n">
        <v>45695</v>
      </c>
      <c r="C5306" s="1" t="n">
        <v>45911</v>
      </c>
      <c r="D5306" t="inlineStr">
        <is>
          <t>GÄVLEBORGS LÄN</t>
        </is>
      </c>
      <c r="E5306" t="inlineStr">
        <is>
          <t>NORDANSTIG</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38248-2025</t>
        </is>
      </c>
      <c r="B5307" s="1" t="n">
        <v>45883.36921296296</v>
      </c>
      <c r="C5307" s="1" t="n">
        <v>45911</v>
      </c>
      <c r="D5307" t="inlineStr">
        <is>
          <t>GÄVLEBORGS LÄN</t>
        </is>
      </c>
      <c r="E5307" t="inlineStr">
        <is>
          <t>BOLLNÄS</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38251-2025</t>
        </is>
      </c>
      <c r="B5308" s="1" t="n">
        <v>45883.375</v>
      </c>
      <c r="C5308" s="1" t="n">
        <v>45911</v>
      </c>
      <c r="D5308" t="inlineStr">
        <is>
          <t>GÄVLEBORGS LÄN</t>
        </is>
      </c>
      <c r="E5308" t="inlineStr">
        <is>
          <t>BOLLNÄS</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38650-2025</t>
        </is>
      </c>
      <c r="B5309" s="1" t="n">
        <v>45884.5896875</v>
      </c>
      <c r="C5309" s="1" t="n">
        <v>45911</v>
      </c>
      <c r="D5309" t="inlineStr">
        <is>
          <t>GÄVLEBORGS LÄN</t>
        </is>
      </c>
      <c r="E5309" t="inlineStr">
        <is>
          <t>OCKELBO</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38337-2025</t>
        </is>
      </c>
      <c r="B5310" s="1" t="n">
        <v>45883.49261574074</v>
      </c>
      <c r="C5310" s="1" t="n">
        <v>45911</v>
      </c>
      <c r="D5310" t="inlineStr">
        <is>
          <t>GÄVLEBORGS LÄN</t>
        </is>
      </c>
      <c r="E5310" t="inlineStr">
        <is>
          <t>SANDVIKEN</t>
        </is>
      </c>
      <c r="F5310" t="inlineStr">
        <is>
          <t>Bergvik skog öst AB</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53444-2024</t>
        </is>
      </c>
      <c r="B5311" s="1" t="n">
        <v>45614.54</v>
      </c>
      <c r="C5311" s="1" t="n">
        <v>45911</v>
      </c>
      <c r="D5311" t="inlineStr">
        <is>
          <t>GÄVLEBORGS LÄN</t>
        </is>
      </c>
      <c r="E5311" t="inlineStr">
        <is>
          <t>OVANÅKER</t>
        </is>
      </c>
      <c r="G5311" t="n">
        <v>2.8</v>
      </c>
      <c r="H5311" t="n">
        <v>0</v>
      </c>
      <c r="I5311" t="n">
        <v>0</v>
      </c>
      <c r="J5311" t="n">
        <v>0</v>
      </c>
      <c r="K5311" t="n">
        <v>0</v>
      </c>
      <c r="L5311" t="n">
        <v>0</v>
      </c>
      <c r="M5311" t="n">
        <v>0</v>
      </c>
      <c r="N5311" t="n">
        <v>0</v>
      </c>
      <c r="O5311" t="n">
        <v>0</v>
      </c>
      <c r="P5311" t="n">
        <v>0</v>
      </c>
      <c r="Q5311" t="n">
        <v>0</v>
      </c>
      <c r="R5311" s="2" t="inlineStr"/>
    </row>
    <row r="5312" ht="15" customHeight="1">
      <c r="A5312" t="inlineStr">
        <is>
          <t>A 6083-2025</t>
        </is>
      </c>
      <c r="B5312" s="1" t="n">
        <v>45697.61344907407</v>
      </c>
      <c r="C5312" s="1" t="n">
        <v>45911</v>
      </c>
      <c r="D5312" t="inlineStr">
        <is>
          <t>GÄVLEBORGS LÄN</t>
        </is>
      </c>
      <c r="E5312" t="inlineStr">
        <is>
          <t>HUDIKSVALL</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58099-2024</t>
        </is>
      </c>
      <c r="B5313" s="1" t="n">
        <v>45632.36650462963</v>
      </c>
      <c r="C5313" s="1" t="n">
        <v>45911</v>
      </c>
      <c r="D5313" t="inlineStr">
        <is>
          <t>GÄVLEBORGS LÄN</t>
        </is>
      </c>
      <c r="E5313" t="inlineStr">
        <is>
          <t>SÖDERHAMN</t>
        </is>
      </c>
      <c r="F5313" t="inlineStr">
        <is>
          <t>Bergvik skog väst AB</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12398-2023</t>
        </is>
      </c>
      <c r="B5314" s="1" t="n">
        <v>44999.49780092593</v>
      </c>
      <c r="C5314" s="1" t="n">
        <v>45911</v>
      </c>
      <c r="D5314" t="inlineStr">
        <is>
          <t>GÄVLEBORGS LÄN</t>
        </is>
      </c>
      <c r="E5314" t="inlineStr">
        <is>
          <t>NORDANSTIG</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37391-2025</t>
        </is>
      </c>
      <c r="B5315" s="1" t="n">
        <v>45877.40203703703</v>
      </c>
      <c r="C5315" s="1" t="n">
        <v>45911</v>
      </c>
      <c r="D5315" t="inlineStr">
        <is>
          <t>GÄVLEBORGS LÄN</t>
        </is>
      </c>
      <c r="E5315" t="inlineStr">
        <is>
          <t>OVANÅKER</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47504-2024</t>
        </is>
      </c>
      <c r="B5316" s="1" t="n">
        <v>45587.604375</v>
      </c>
      <c r="C5316" s="1" t="n">
        <v>45911</v>
      </c>
      <c r="D5316" t="inlineStr">
        <is>
          <t>GÄVLEBORGS LÄN</t>
        </is>
      </c>
      <c r="E5316" t="inlineStr">
        <is>
          <t>HOFORS</t>
        </is>
      </c>
      <c r="F5316" t="inlineStr">
        <is>
          <t>Sveaskog</t>
        </is>
      </c>
      <c r="G5316" t="n">
        <v>5.9</v>
      </c>
      <c r="H5316" t="n">
        <v>0</v>
      </c>
      <c r="I5316" t="n">
        <v>0</v>
      </c>
      <c r="J5316" t="n">
        <v>0</v>
      </c>
      <c r="K5316" t="n">
        <v>0</v>
      </c>
      <c r="L5316" t="n">
        <v>0</v>
      </c>
      <c r="M5316" t="n">
        <v>0</v>
      </c>
      <c r="N5316" t="n">
        <v>0</v>
      </c>
      <c r="O5316" t="n">
        <v>0</v>
      </c>
      <c r="P5316" t="n">
        <v>0</v>
      </c>
      <c r="Q5316" t="n">
        <v>0</v>
      </c>
      <c r="R5316" s="2" t="inlineStr"/>
    </row>
    <row r="5317" ht="15" customHeight="1">
      <c r="A5317" t="inlineStr">
        <is>
          <t>A 34449-2023</t>
        </is>
      </c>
      <c r="B5317" s="1" t="n">
        <v>45139.67980324074</v>
      </c>
      <c r="C5317" s="1" t="n">
        <v>45911</v>
      </c>
      <c r="D5317" t="inlineStr">
        <is>
          <t>GÄVLEBORGS LÄN</t>
        </is>
      </c>
      <c r="E5317" t="inlineStr">
        <is>
          <t>OCKELBO</t>
        </is>
      </c>
      <c r="G5317" t="n">
        <v>3.4</v>
      </c>
      <c r="H5317" t="n">
        <v>0</v>
      </c>
      <c r="I5317" t="n">
        <v>0</v>
      </c>
      <c r="J5317" t="n">
        <v>0</v>
      </c>
      <c r="K5317" t="n">
        <v>0</v>
      </c>
      <c r="L5317" t="n">
        <v>0</v>
      </c>
      <c r="M5317" t="n">
        <v>0</v>
      </c>
      <c r="N5317" t="n">
        <v>0</v>
      </c>
      <c r="O5317" t="n">
        <v>0</v>
      </c>
      <c r="P5317" t="n">
        <v>0</v>
      </c>
      <c r="Q5317" t="n">
        <v>0</v>
      </c>
      <c r="R5317" s="2" t="inlineStr"/>
    </row>
    <row r="5318" ht="15" customHeight="1">
      <c r="A5318" t="inlineStr">
        <is>
          <t>A 38218-2025</t>
        </is>
      </c>
      <c r="B5318" s="1" t="n">
        <v>45883.32168981482</v>
      </c>
      <c r="C5318" s="1" t="n">
        <v>45911</v>
      </c>
      <c r="D5318" t="inlineStr">
        <is>
          <t>GÄVLEBORGS LÄN</t>
        </is>
      </c>
      <c r="E5318" t="inlineStr">
        <is>
          <t>SÖDERHAMN</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38295-2025</t>
        </is>
      </c>
      <c r="B5319" s="1" t="n">
        <v>45883.45166666667</v>
      </c>
      <c r="C5319" s="1" t="n">
        <v>45911</v>
      </c>
      <c r="D5319" t="inlineStr">
        <is>
          <t>GÄVLEBORGS LÄN</t>
        </is>
      </c>
      <c r="E5319" t="inlineStr">
        <is>
          <t>NORDANSTIG</t>
        </is>
      </c>
      <c r="G5319" t="n">
        <v>0.3</v>
      </c>
      <c r="H5319" t="n">
        <v>0</v>
      </c>
      <c r="I5319" t="n">
        <v>0</v>
      </c>
      <c r="J5319" t="n">
        <v>0</v>
      </c>
      <c r="K5319" t="n">
        <v>0</v>
      </c>
      <c r="L5319" t="n">
        <v>0</v>
      </c>
      <c r="M5319" t="n">
        <v>0</v>
      </c>
      <c r="N5319" t="n">
        <v>0</v>
      </c>
      <c r="O5319" t="n">
        <v>0</v>
      </c>
      <c r="P5319" t="n">
        <v>0</v>
      </c>
      <c r="Q5319" t="n">
        <v>0</v>
      </c>
      <c r="R5319" s="2" t="inlineStr"/>
    </row>
    <row r="5320" ht="15" customHeight="1">
      <c r="A5320" t="inlineStr">
        <is>
          <t>A 22385-2023</t>
        </is>
      </c>
      <c r="B5320" s="1" t="n">
        <v>45070.61877314815</v>
      </c>
      <c r="C5320" s="1" t="n">
        <v>45911</v>
      </c>
      <c r="D5320" t="inlineStr">
        <is>
          <t>GÄVLEBORGS LÄN</t>
        </is>
      </c>
      <c r="E5320" t="inlineStr">
        <is>
          <t>OCKELBO</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45221-2021</t>
        </is>
      </c>
      <c r="B5321" s="1" t="n">
        <v>44439.57211805556</v>
      </c>
      <c r="C5321" s="1" t="n">
        <v>45911</v>
      </c>
      <c r="D5321" t="inlineStr">
        <is>
          <t>GÄVLEBORGS LÄN</t>
        </is>
      </c>
      <c r="E5321" t="inlineStr">
        <is>
          <t>SANDVIKEN</t>
        </is>
      </c>
      <c r="F5321" t="inlineStr">
        <is>
          <t>Bergvik skog öst AB</t>
        </is>
      </c>
      <c r="G5321" t="n">
        <v>7.6</v>
      </c>
      <c r="H5321" t="n">
        <v>0</v>
      </c>
      <c r="I5321" t="n">
        <v>0</v>
      </c>
      <c r="J5321" t="n">
        <v>0</v>
      </c>
      <c r="K5321" t="n">
        <v>0</v>
      </c>
      <c r="L5321" t="n">
        <v>0</v>
      </c>
      <c r="M5321" t="n">
        <v>0</v>
      </c>
      <c r="N5321" t="n">
        <v>0</v>
      </c>
      <c r="O5321" t="n">
        <v>0</v>
      </c>
      <c r="P5321" t="n">
        <v>0</v>
      </c>
      <c r="Q5321" t="n">
        <v>0</v>
      </c>
      <c r="R5321" s="2" t="inlineStr"/>
    </row>
    <row r="5322" ht="15" customHeight="1">
      <c r="A5322" t="inlineStr">
        <is>
          <t>A 38648-2025</t>
        </is>
      </c>
      <c r="B5322" s="1" t="n">
        <v>45884.5805787037</v>
      </c>
      <c r="C5322" s="1" t="n">
        <v>45911</v>
      </c>
      <c r="D5322" t="inlineStr">
        <is>
          <t>GÄVLEBORGS LÄN</t>
        </is>
      </c>
      <c r="E5322" t="inlineStr">
        <is>
          <t>LJUSDAL</t>
        </is>
      </c>
      <c r="F5322" t="inlineStr">
        <is>
          <t>Allmännings- och besparingsskogar</t>
        </is>
      </c>
      <c r="G5322" t="n">
        <v>3.2</v>
      </c>
      <c r="H5322" t="n">
        <v>0</v>
      </c>
      <c r="I5322" t="n">
        <v>0</v>
      </c>
      <c r="J5322" t="n">
        <v>0</v>
      </c>
      <c r="K5322" t="n">
        <v>0</v>
      </c>
      <c r="L5322" t="n">
        <v>0</v>
      </c>
      <c r="M5322" t="n">
        <v>0</v>
      </c>
      <c r="N5322" t="n">
        <v>0</v>
      </c>
      <c r="O5322" t="n">
        <v>0</v>
      </c>
      <c r="P5322" t="n">
        <v>0</v>
      </c>
      <c r="Q5322" t="n">
        <v>0</v>
      </c>
      <c r="R5322" s="2" t="inlineStr"/>
    </row>
    <row r="5323" ht="15" customHeight="1">
      <c r="A5323" t="inlineStr">
        <is>
          <t>A 33399-2025</t>
        </is>
      </c>
      <c r="B5323" s="1" t="n">
        <v>45841.42106481481</v>
      </c>
      <c r="C5323" s="1" t="n">
        <v>45911</v>
      </c>
      <c r="D5323" t="inlineStr">
        <is>
          <t>GÄVLEBORGS LÄN</t>
        </is>
      </c>
      <c r="E5323" t="inlineStr">
        <is>
          <t>SÖDERHAMN</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6324-2023</t>
        </is>
      </c>
      <c r="B5324" s="1" t="n">
        <v>44965.48253472222</v>
      </c>
      <c r="C5324" s="1" t="n">
        <v>45911</v>
      </c>
      <c r="D5324" t="inlineStr">
        <is>
          <t>GÄVLEBORGS LÄN</t>
        </is>
      </c>
      <c r="E5324" t="inlineStr">
        <is>
          <t>NORDANSTIG</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6432-2023</t>
        </is>
      </c>
      <c r="B5325" s="1" t="n">
        <v>44965.82097222222</v>
      </c>
      <c r="C5325" s="1" t="n">
        <v>45911</v>
      </c>
      <c r="D5325" t="inlineStr">
        <is>
          <t>GÄVLEBORGS LÄN</t>
        </is>
      </c>
      <c r="E5325" t="inlineStr">
        <is>
          <t>LJUSDAL</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38627-2025</t>
        </is>
      </c>
      <c r="B5326" s="1" t="n">
        <v>45884.55796296296</v>
      </c>
      <c r="C5326" s="1" t="n">
        <v>45911</v>
      </c>
      <c r="D5326" t="inlineStr">
        <is>
          <t>GÄVLEBORGS LÄN</t>
        </is>
      </c>
      <c r="E5326" t="inlineStr">
        <is>
          <t>GÄVLE</t>
        </is>
      </c>
      <c r="F5326" t="inlineStr">
        <is>
          <t>Bergvik skog väst AB</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33635-2025</t>
        </is>
      </c>
      <c r="B5327" s="1" t="n">
        <v>45841.64511574074</v>
      </c>
      <c r="C5327" s="1" t="n">
        <v>45911</v>
      </c>
      <c r="D5327" t="inlineStr">
        <is>
          <t>GÄVLEBORGS LÄN</t>
        </is>
      </c>
      <c r="E5327" t="inlineStr">
        <is>
          <t>OVANÅKER</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33532-2025</t>
        </is>
      </c>
      <c r="B5328" s="1" t="n">
        <v>45841.55648148148</v>
      </c>
      <c r="C5328" s="1" t="n">
        <v>45911</v>
      </c>
      <c r="D5328" t="inlineStr">
        <is>
          <t>GÄVLEBORGS LÄN</t>
        </is>
      </c>
      <c r="E5328" t="inlineStr">
        <is>
          <t>NORDANSTIG</t>
        </is>
      </c>
      <c r="F5328" t="inlineStr">
        <is>
          <t>Holmen skog AB</t>
        </is>
      </c>
      <c r="G5328" t="n">
        <v>4.8</v>
      </c>
      <c r="H5328" t="n">
        <v>0</v>
      </c>
      <c r="I5328" t="n">
        <v>0</v>
      </c>
      <c r="J5328" t="n">
        <v>0</v>
      </c>
      <c r="K5328" t="n">
        <v>0</v>
      </c>
      <c r="L5328" t="n">
        <v>0</v>
      </c>
      <c r="M5328" t="n">
        <v>0</v>
      </c>
      <c r="N5328" t="n">
        <v>0</v>
      </c>
      <c r="O5328" t="n">
        <v>0</v>
      </c>
      <c r="P5328" t="n">
        <v>0</v>
      </c>
      <c r="Q5328" t="n">
        <v>0</v>
      </c>
      <c r="R5328" s="2" t="inlineStr"/>
    </row>
    <row r="5329" ht="15" customHeight="1">
      <c r="A5329" t="inlineStr">
        <is>
          <t>A 38629-2025</t>
        </is>
      </c>
      <c r="B5329" s="1" t="n">
        <v>45884.55987268518</v>
      </c>
      <c r="C5329" s="1" t="n">
        <v>45911</v>
      </c>
      <c r="D5329" t="inlineStr">
        <is>
          <t>GÄVLEBORGS LÄN</t>
        </is>
      </c>
      <c r="E5329" t="inlineStr">
        <is>
          <t>BOLLNÄS</t>
        </is>
      </c>
      <c r="F5329" t="inlineStr">
        <is>
          <t>Sveaskog</t>
        </is>
      </c>
      <c r="G5329" t="n">
        <v>3.4</v>
      </c>
      <c r="H5329" t="n">
        <v>0</v>
      </c>
      <c r="I5329" t="n">
        <v>0</v>
      </c>
      <c r="J5329" t="n">
        <v>0</v>
      </c>
      <c r="K5329" t="n">
        <v>0</v>
      </c>
      <c r="L5329" t="n">
        <v>0</v>
      </c>
      <c r="M5329" t="n">
        <v>0</v>
      </c>
      <c r="N5329" t="n">
        <v>0</v>
      </c>
      <c r="O5329" t="n">
        <v>0</v>
      </c>
      <c r="P5329" t="n">
        <v>0</v>
      </c>
      <c r="Q5329" t="n">
        <v>0</v>
      </c>
      <c r="R5329" s="2" t="inlineStr"/>
    </row>
    <row r="5330" ht="15" customHeight="1">
      <c r="A5330" t="inlineStr">
        <is>
          <t>A 38633-2025</t>
        </is>
      </c>
      <c r="B5330" s="1" t="n">
        <v>45884.5646875</v>
      </c>
      <c r="C5330" s="1" t="n">
        <v>45911</v>
      </c>
      <c r="D5330" t="inlineStr">
        <is>
          <t>GÄVLEBORGS LÄN</t>
        </is>
      </c>
      <c r="E5330" t="inlineStr">
        <is>
          <t>HUDIKSVALL</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38641-2025</t>
        </is>
      </c>
      <c r="B5331" s="1" t="n">
        <v>45884.57607638889</v>
      </c>
      <c r="C5331" s="1" t="n">
        <v>45911</v>
      </c>
      <c r="D5331" t="inlineStr">
        <is>
          <t>GÄVLEBORGS LÄN</t>
        </is>
      </c>
      <c r="E5331" t="inlineStr">
        <is>
          <t>LJUSDAL</t>
        </is>
      </c>
      <c r="G5331" t="n">
        <v>9.1</v>
      </c>
      <c r="H5331" t="n">
        <v>0</v>
      </c>
      <c r="I5331" t="n">
        <v>0</v>
      </c>
      <c r="J5331" t="n">
        <v>0</v>
      </c>
      <c r="K5331" t="n">
        <v>0</v>
      </c>
      <c r="L5331" t="n">
        <v>0</v>
      </c>
      <c r="M5331" t="n">
        <v>0</v>
      </c>
      <c r="N5331" t="n">
        <v>0</v>
      </c>
      <c r="O5331" t="n">
        <v>0</v>
      </c>
      <c r="P5331" t="n">
        <v>0</v>
      </c>
      <c r="Q5331" t="n">
        <v>0</v>
      </c>
      <c r="R5331" s="2" t="inlineStr"/>
    </row>
    <row r="5332" ht="15" customHeight="1">
      <c r="A5332" t="inlineStr">
        <is>
          <t>A 38642-2025</t>
        </is>
      </c>
      <c r="B5332" s="1" t="n">
        <v>45884.57646990741</v>
      </c>
      <c r="C5332" s="1" t="n">
        <v>45911</v>
      </c>
      <c r="D5332" t="inlineStr">
        <is>
          <t>GÄVLEBORGS LÄN</t>
        </is>
      </c>
      <c r="E5332" t="inlineStr">
        <is>
          <t>LJUSDAL</t>
        </is>
      </c>
      <c r="F5332" t="inlineStr">
        <is>
          <t>Allmännings- och besparingsskogar</t>
        </is>
      </c>
      <c r="G5332" t="n">
        <v>9.5</v>
      </c>
      <c r="H5332" t="n">
        <v>0</v>
      </c>
      <c r="I5332" t="n">
        <v>0</v>
      </c>
      <c r="J5332" t="n">
        <v>0</v>
      </c>
      <c r="K5332" t="n">
        <v>0</v>
      </c>
      <c r="L5332" t="n">
        <v>0</v>
      </c>
      <c r="M5332" t="n">
        <v>0</v>
      </c>
      <c r="N5332" t="n">
        <v>0</v>
      </c>
      <c r="O5332" t="n">
        <v>0</v>
      </c>
      <c r="P5332" t="n">
        <v>0</v>
      </c>
      <c r="Q5332" t="n">
        <v>0</v>
      </c>
      <c r="R5332" s="2" t="inlineStr"/>
    </row>
    <row r="5333" ht="15" customHeight="1">
      <c r="A5333" t="inlineStr">
        <is>
          <t>A 50898-2023</t>
        </is>
      </c>
      <c r="B5333" s="1" t="n">
        <v>45218.40636574074</v>
      </c>
      <c r="C5333" s="1" t="n">
        <v>45911</v>
      </c>
      <c r="D5333" t="inlineStr">
        <is>
          <t>GÄVLEBORGS LÄN</t>
        </is>
      </c>
      <c r="E5333" t="inlineStr">
        <is>
          <t>HUDIKSVALL</t>
        </is>
      </c>
      <c r="F5333" t="inlineStr">
        <is>
          <t>Holmen skog AB</t>
        </is>
      </c>
      <c r="G5333" t="n">
        <v>6.5</v>
      </c>
      <c r="H5333" t="n">
        <v>0</v>
      </c>
      <c r="I5333" t="n">
        <v>0</v>
      </c>
      <c r="J5333" t="n">
        <v>0</v>
      </c>
      <c r="K5333" t="n">
        <v>0</v>
      </c>
      <c r="L5333" t="n">
        <v>0</v>
      </c>
      <c r="M5333" t="n">
        <v>0</v>
      </c>
      <c r="N5333" t="n">
        <v>0</v>
      </c>
      <c r="O5333" t="n">
        <v>0</v>
      </c>
      <c r="P5333" t="n">
        <v>0</v>
      </c>
      <c r="Q5333" t="n">
        <v>0</v>
      </c>
      <c r="R5333" s="2" t="inlineStr"/>
    </row>
    <row r="5334" ht="15" customHeight="1">
      <c r="A5334" t="inlineStr">
        <is>
          <t>A 33384-2025</t>
        </is>
      </c>
      <c r="B5334" s="1" t="n">
        <v>45841.40467592593</v>
      </c>
      <c r="C5334" s="1" t="n">
        <v>45911</v>
      </c>
      <c r="D5334" t="inlineStr">
        <is>
          <t>GÄVLEBORGS LÄN</t>
        </is>
      </c>
      <c r="E5334" t="inlineStr">
        <is>
          <t>OCKELBO</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61456-2024</t>
        </is>
      </c>
      <c r="B5335" s="1" t="n">
        <v>45646.4966087963</v>
      </c>
      <c r="C5335" s="1" t="n">
        <v>45911</v>
      </c>
      <c r="D5335" t="inlineStr">
        <is>
          <t>GÄVLEBORGS LÄN</t>
        </is>
      </c>
      <c r="E5335" t="inlineStr">
        <is>
          <t>OCKELBO</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60796-2023</t>
        </is>
      </c>
      <c r="B5336" s="1" t="n">
        <v>45260.65974537037</v>
      </c>
      <c r="C5336" s="1" t="n">
        <v>45911</v>
      </c>
      <c r="D5336" t="inlineStr">
        <is>
          <t>GÄVLEBORGS LÄN</t>
        </is>
      </c>
      <c r="E5336" t="inlineStr">
        <is>
          <t>HUDIKSVALL</t>
        </is>
      </c>
      <c r="F5336" t="inlineStr">
        <is>
          <t>Holmen skog AB</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60798-2023</t>
        </is>
      </c>
      <c r="B5337" s="1" t="n">
        <v>45260</v>
      </c>
      <c r="C5337" s="1" t="n">
        <v>45911</v>
      </c>
      <c r="D5337" t="inlineStr">
        <is>
          <t>GÄVLEBORGS LÄN</t>
        </is>
      </c>
      <c r="E5337" t="inlineStr">
        <is>
          <t>SANDVIKEN</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60801-2023</t>
        </is>
      </c>
      <c r="B5338" s="1" t="n">
        <v>45260</v>
      </c>
      <c r="C5338" s="1" t="n">
        <v>45911</v>
      </c>
      <c r="D5338" t="inlineStr">
        <is>
          <t>GÄVLEBORGS LÄN</t>
        </is>
      </c>
      <c r="E5338" t="inlineStr">
        <is>
          <t>HUDIKSVALL</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71995-2021</t>
        </is>
      </c>
      <c r="B5339" s="1" t="n">
        <v>44544.38899305555</v>
      </c>
      <c r="C5339" s="1" t="n">
        <v>45911</v>
      </c>
      <c r="D5339" t="inlineStr">
        <is>
          <t>GÄVLEBORGS LÄN</t>
        </is>
      </c>
      <c r="E5339" t="inlineStr">
        <is>
          <t>SANDVIKEN</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7129-2025</t>
        </is>
      </c>
      <c r="B5340" s="1" t="n">
        <v>45702</v>
      </c>
      <c r="C5340" s="1" t="n">
        <v>45911</v>
      </c>
      <c r="D5340" t="inlineStr">
        <is>
          <t>GÄVLEBORGS LÄN</t>
        </is>
      </c>
      <c r="E5340" t="inlineStr">
        <is>
          <t>BOLLNÄS</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38423-2025</t>
        </is>
      </c>
      <c r="B5341" s="1" t="n">
        <v>45883.63326388889</v>
      </c>
      <c r="C5341" s="1" t="n">
        <v>45911</v>
      </c>
      <c r="D5341" t="inlineStr">
        <is>
          <t>GÄVLEBORGS LÄN</t>
        </is>
      </c>
      <c r="E5341" t="inlineStr">
        <is>
          <t>SANDVIKEN</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3877-2024</t>
        </is>
      </c>
      <c r="B5342" s="1" t="n">
        <v>45322</v>
      </c>
      <c r="C5342" s="1" t="n">
        <v>45911</v>
      </c>
      <c r="D5342" t="inlineStr">
        <is>
          <t>GÄVLEBORGS LÄN</t>
        </is>
      </c>
      <c r="E5342" t="inlineStr">
        <is>
          <t>OVANÅKER</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60872-2024</t>
        </is>
      </c>
      <c r="B5343" s="1" t="n">
        <v>45644</v>
      </c>
      <c r="C5343" s="1" t="n">
        <v>45911</v>
      </c>
      <c r="D5343" t="inlineStr">
        <is>
          <t>GÄVLEBORGS LÄN</t>
        </is>
      </c>
      <c r="E5343" t="inlineStr">
        <is>
          <t>HUDIKSVALL</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33459-2025</t>
        </is>
      </c>
      <c r="B5344" s="1" t="n">
        <v>45841.47872685185</v>
      </c>
      <c r="C5344" s="1" t="n">
        <v>45911</v>
      </c>
      <c r="D5344" t="inlineStr">
        <is>
          <t>GÄVLEBORGS LÄN</t>
        </is>
      </c>
      <c r="E5344" t="inlineStr">
        <is>
          <t>OVANÅKER</t>
        </is>
      </c>
      <c r="F5344" t="inlineStr">
        <is>
          <t>Bergvik skog väst AB</t>
        </is>
      </c>
      <c r="G5344" t="n">
        <v>4.7</v>
      </c>
      <c r="H5344" t="n">
        <v>0</v>
      </c>
      <c r="I5344" t="n">
        <v>0</v>
      </c>
      <c r="J5344" t="n">
        <v>0</v>
      </c>
      <c r="K5344" t="n">
        <v>0</v>
      </c>
      <c r="L5344" t="n">
        <v>0</v>
      </c>
      <c r="M5344" t="n">
        <v>0</v>
      </c>
      <c r="N5344" t="n">
        <v>0</v>
      </c>
      <c r="O5344" t="n">
        <v>0</v>
      </c>
      <c r="P5344" t="n">
        <v>0</v>
      </c>
      <c r="Q5344" t="n">
        <v>0</v>
      </c>
      <c r="R5344" s="2" t="inlineStr"/>
    </row>
    <row r="5345" ht="15" customHeight="1">
      <c r="A5345" t="inlineStr">
        <is>
          <t>A 17412-2023</t>
        </is>
      </c>
      <c r="B5345" s="1" t="n">
        <v>45035</v>
      </c>
      <c r="C5345" s="1" t="n">
        <v>45911</v>
      </c>
      <c r="D5345" t="inlineStr">
        <is>
          <t>GÄVLEBORGS LÄN</t>
        </is>
      </c>
      <c r="E5345" t="inlineStr">
        <is>
          <t>SÖDERHAMN</t>
        </is>
      </c>
      <c r="G5345" t="n">
        <v>4.8</v>
      </c>
      <c r="H5345" t="n">
        <v>0</v>
      </c>
      <c r="I5345" t="n">
        <v>0</v>
      </c>
      <c r="J5345" t="n">
        <v>0</v>
      </c>
      <c r="K5345" t="n">
        <v>0</v>
      </c>
      <c r="L5345" t="n">
        <v>0</v>
      </c>
      <c r="M5345" t="n">
        <v>0</v>
      </c>
      <c r="N5345" t="n">
        <v>0</v>
      </c>
      <c r="O5345" t="n">
        <v>0</v>
      </c>
      <c r="P5345" t="n">
        <v>0</v>
      </c>
      <c r="Q5345" t="n">
        <v>0</v>
      </c>
      <c r="R5345" s="2" t="inlineStr"/>
    </row>
    <row r="5346" ht="15" customHeight="1">
      <c r="A5346" t="inlineStr">
        <is>
          <t>A 38673-2025</t>
        </is>
      </c>
      <c r="B5346" s="1" t="n">
        <v>45884.63460648148</v>
      </c>
      <c r="C5346" s="1" t="n">
        <v>45911</v>
      </c>
      <c r="D5346" t="inlineStr">
        <is>
          <t>GÄVLEBORGS LÄN</t>
        </is>
      </c>
      <c r="E5346" t="inlineStr">
        <is>
          <t>SANDVIKEN</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61056-2024</t>
        </is>
      </c>
      <c r="B5347" s="1" t="n">
        <v>45645.48956018518</v>
      </c>
      <c r="C5347" s="1" t="n">
        <v>45911</v>
      </c>
      <c r="D5347" t="inlineStr">
        <is>
          <t>GÄVLEBORGS LÄN</t>
        </is>
      </c>
      <c r="E5347" t="inlineStr">
        <is>
          <t>GÄVLE</t>
        </is>
      </c>
      <c r="F5347" t="inlineStr">
        <is>
          <t>Bergvik skog öst AB</t>
        </is>
      </c>
      <c r="G5347" t="n">
        <v>5.3</v>
      </c>
      <c r="H5347" t="n">
        <v>0</v>
      </c>
      <c r="I5347" t="n">
        <v>0</v>
      </c>
      <c r="J5347" t="n">
        <v>0</v>
      </c>
      <c r="K5347" t="n">
        <v>0</v>
      </c>
      <c r="L5347" t="n">
        <v>0</v>
      </c>
      <c r="M5347" t="n">
        <v>0</v>
      </c>
      <c r="N5347" t="n">
        <v>0</v>
      </c>
      <c r="O5347" t="n">
        <v>0</v>
      </c>
      <c r="P5347" t="n">
        <v>0</v>
      </c>
      <c r="Q5347" t="n">
        <v>0</v>
      </c>
      <c r="R5347" s="2" t="inlineStr"/>
    </row>
    <row r="5348" ht="15" customHeight="1">
      <c r="A5348" t="inlineStr">
        <is>
          <t>A 60962-2024</t>
        </is>
      </c>
      <c r="B5348" s="1" t="n">
        <v>45645.39519675926</v>
      </c>
      <c r="C5348" s="1" t="n">
        <v>45911</v>
      </c>
      <c r="D5348" t="inlineStr">
        <is>
          <t>GÄVLEBORGS LÄN</t>
        </is>
      </c>
      <c r="E5348" t="inlineStr">
        <is>
          <t>OCKELBO</t>
        </is>
      </c>
      <c r="F5348" t="inlineStr">
        <is>
          <t>Kyrkan</t>
        </is>
      </c>
      <c r="G5348" t="n">
        <v>5.9</v>
      </c>
      <c r="H5348" t="n">
        <v>0</v>
      </c>
      <c r="I5348" t="n">
        <v>0</v>
      </c>
      <c r="J5348" t="n">
        <v>0</v>
      </c>
      <c r="K5348" t="n">
        <v>0</v>
      </c>
      <c r="L5348" t="n">
        <v>0</v>
      </c>
      <c r="M5348" t="n">
        <v>0</v>
      </c>
      <c r="N5348" t="n">
        <v>0</v>
      </c>
      <c r="O5348" t="n">
        <v>0</v>
      </c>
      <c r="P5348" t="n">
        <v>0</v>
      </c>
      <c r="Q5348" t="n">
        <v>0</v>
      </c>
      <c r="R5348" s="2" t="inlineStr"/>
    </row>
    <row r="5349" ht="15" customHeight="1">
      <c r="A5349" t="inlineStr">
        <is>
          <t>A 13805-2022</t>
        </is>
      </c>
      <c r="B5349" s="1" t="n">
        <v>44649.58061342593</v>
      </c>
      <c r="C5349" s="1" t="n">
        <v>45911</v>
      </c>
      <c r="D5349" t="inlineStr">
        <is>
          <t>GÄVLEBORGS LÄN</t>
        </is>
      </c>
      <c r="E5349" t="inlineStr">
        <is>
          <t>SÖDERHAMN</t>
        </is>
      </c>
      <c r="G5349" t="n">
        <v>4.1</v>
      </c>
      <c r="H5349" t="n">
        <v>0</v>
      </c>
      <c r="I5349" t="n">
        <v>0</v>
      </c>
      <c r="J5349" t="n">
        <v>0</v>
      </c>
      <c r="K5349" t="n">
        <v>0</v>
      </c>
      <c r="L5349" t="n">
        <v>0</v>
      </c>
      <c r="M5349" t="n">
        <v>0</v>
      </c>
      <c r="N5349" t="n">
        <v>0</v>
      </c>
      <c r="O5349" t="n">
        <v>0</v>
      </c>
      <c r="P5349" t="n">
        <v>0</v>
      </c>
      <c r="Q5349" t="n">
        <v>0</v>
      </c>
      <c r="R5349" s="2" t="inlineStr"/>
    </row>
    <row r="5350" ht="15" customHeight="1">
      <c r="A5350" t="inlineStr">
        <is>
          <t>A 31062-2023</t>
        </is>
      </c>
      <c r="B5350" s="1" t="n">
        <v>45113</v>
      </c>
      <c r="C5350" s="1" t="n">
        <v>45911</v>
      </c>
      <c r="D5350" t="inlineStr">
        <is>
          <t>GÄVLEBORGS LÄN</t>
        </is>
      </c>
      <c r="E5350" t="inlineStr">
        <is>
          <t>GÄVLE</t>
        </is>
      </c>
      <c r="F5350" t="inlineStr">
        <is>
          <t>Kommuner</t>
        </is>
      </c>
      <c r="G5350" t="n">
        <v>3.2</v>
      </c>
      <c r="H5350" t="n">
        <v>0</v>
      </c>
      <c r="I5350" t="n">
        <v>0</v>
      </c>
      <c r="J5350" t="n">
        <v>0</v>
      </c>
      <c r="K5350" t="n">
        <v>0</v>
      </c>
      <c r="L5350" t="n">
        <v>0</v>
      </c>
      <c r="M5350" t="n">
        <v>0</v>
      </c>
      <c r="N5350" t="n">
        <v>0</v>
      </c>
      <c r="O5350" t="n">
        <v>0</v>
      </c>
      <c r="P5350" t="n">
        <v>0</v>
      </c>
      <c r="Q5350" t="n">
        <v>0</v>
      </c>
      <c r="R5350" s="2" t="inlineStr"/>
    </row>
    <row r="5351" ht="15" customHeight="1">
      <c r="A5351" t="inlineStr">
        <is>
          <t>A 17411-2025</t>
        </is>
      </c>
      <c r="B5351" s="1" t="n">
        <v>45757.37238425926</v>
      </c>
      <c r="C5351" s="1" t="n">
        <v>45911</v>
      </c>
      <c r="D5351" t="inlineStr">
        <is>
          <t>GÄVLEBORGS LÄN</t>
        </is>
      </c>
      <c r="E5351" t="inlineStr">
        <is>
          <t>SANDVIKEN</t>
        </is>
      </c>
      <c r="F5351" t="inlineStr">
        <is>
          <t>Bergvik skog öst AB</t>
        </is>
      </c>
      <c r="G5351" t="n">
        <v>9.6</v>
      </c>
      <c r="H5351" t="n">
        <v>0</v>
      </c>
      <c r="I5351" t="n">
        <v>0</v>
      </c>
      <c r="J5351" t="n">
        <v>0</v>
      </c>
      <c r="K5351" t="n">
        <v>0</v>
      </c>
      <c r="L5351" t="n">
        <v>0</v>
      </c>
      <c r="M5351" t="n">
        <v>0</v>
      </c>
      <c r="N5351" t="n">
        <v>0</v>
      </c>
      <c r="O5351" t="n">
        <v>0</v>
      </c>
      <c r="P5351" t="n">
        <v>0</v>
      </c>
      <c r="Q5351" t="n">
        <v>0</v>
      </c>
      <c r="R5351" s="2" t="inlineStr"/>
    </row>
    <row r="5352" ht="15" customHeight="1">
      <c r="A5352" t="inlineStr">
        <is>
          <t>A 12815-2025</t>
        </is>
      </c>
      <c r="B5352" s="1" t="n">
        <v>45733.62225694444</v>
      </c>
      <c r="C5352" s="1" t="n">
        <v>45911</v>
      </c>
      <c r="D5352" t="inlineStr">
        <is>
          <t>GÄVLEBORGS LÄN</t>
        </is>
      </c>
      <c r="E5352" t="inlineStr">
        <is>
          <t>BOLLNÄS</t>
        </is>
      </c>
      <c r="G5352" t="n">
        <v>2.9</v>
      </c>
      <c r="H5352" t="n">
        <v>0</v>
      </c>
      <c r="I5352" t="n">
        <v>0</v>
      </c>
      <c r="J5352" t="n">
        <v>0</v>
      </c>
      <c r="K5352" t="n">
        <v>0</v>
      </c>
      <c r="L5352" t="n">
        <v>0</v>
      </c>
      <c r="M5352" t="n">
        <v>0</v>
      </c>
      <c r="N5352" t="n">
        <v>0</v>
      </c>
      <c r="O5352" t="n">
        <v>0</v>
      </c>
      <c r="P5352" t="n">
        <v>0</v>
      </c>
      <c r="Q5352" t="n">
        <v>0</v>
      </c>
      <c r="R5352" s="2" t="inlineStr"/>
    </row>
    <row r="5353" ht="15" customHeight="1">
      <c r="A5353" t="inlineStr">
        <is>
          <t>A 16925-2021</t>
        </is>
      </c>
      <c r="B5353" s="1" t="n">
        <v>44295</v>
      </c>
      <c r="C5353" s="1" t="n">
        <v>45911</v>
      </c>
      <c r="D5353" t="inlineStr">
        <is>
          <t>GÄVLEBORGS LÄN</t>
        </is>
      </c>
      <c r="E5353" t="inlineStr">
        <is>
          <t>LJUSDAL</t>
        </is>
      </c>
      <c r="F5353" t="inlineStr">
        <is>
          <t>Bergvik skog väst AB</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23023-2022</t>
        </is>
      </c>
      <c r="B5354" s="1" t="n">
        <v>44719.38415509259</v>
      </c>
      <c r="C5354" s="1" t="n">
        <v>45911</v>
      </c>
      <c r="D5354" t="inlineStr">
        <is>
          <t>GÄVLEBORGS LÄN</t>
        </is>
      </c>
      <c r="E5354" t="inlineStr">
        <is>
          <t>OVANÅKER</t>
        </is>
      </c>
      <c r="G5354" t="n">
        <v>6.1</v>
      </c>
      <c r="H5354" t="n">
        <v>0</v>
      </c>
      <c r="I5354" t="n">
        <v>0</v>
      </c>
      <c r="J5354" t="n">
        <v>0</v>
      </c>
      <c r="K5354" t="n">
        <v>0</v>
      </c>
      <c r="L5354" t="n">
        <v>0</v>
      </c>
      <c r="M5354" t="n">
        <v>0</v>
      </c>
      <c r="N5354" t="n">
        <v>0</v>
      </c>
      <c r="O5354" t="n">
        <v>0</v>
      </c>
      <c r="P5354" t="n">
        <v>0</v>
      </c>
      <c r="Q5354" t="n">
        <v>0</v>
      </c>
      <c r="R5354" s="2" t="inlineStr"/>
    </row>
    <row r="5355" ht="15" customHeight="1">
      <c r="A5355" t="inlineStr">
        <is>
          <t>A 781-2025</t>
        </is>
      </c>
      <c r="B5355" s="1" t="n">
        <v>45665.4825</v>
      </c>
      <c r="C5355" s="1" t="n">
        <v>45911</v>
      </c>
      <c r="D5355" t="inlineStr">
        <is>
          <t>GÄVLEBORGS LÄN</t>
        </is>
      </c>
      <c r="E5355" t="inlineStr">
        <is>
          <t>SANDVIKEN</t>
        </is>
      </c>
      <c r="G5355" t="n">
        <v>6.3</v>
      </c>
      <c r="H5355" t="n">
        <v>0</v>
      </c>
      <c r="I5355" t="n">
        <v>0</v>
      </c>
      <c r="J5355" t="n">
        <v>0</v>
      </c>
      <c r="K5355" t="n">
        <v>0</v>
      </c>
      <c r="L5355" t="n">
        <v>0</v>
      </c>
      <c r="M5355" t="n">
        <v>0</v>
      </c>
      <c r="N5355" t="n">
        <v>0</v>
      </c>
      <c r="O5355" t="n">
        <v>0</v>
      </c>
      <c r="P5355" t="n">
        <v>0</v>
      </c>
      <c r="Q5355" t="n">
        <v>0</v>
      </c>
      <c r="R5355" s="2" t="inlineStr"/>
    </row>
    <row r="5356" ht="15" customHeight="1">
      <c r="A5356" t="inlineStr">
        <is>
          <t>A 44177-2022</t>
        </is>
      </c>
      <c r="B5356" s="1" t="n">
        <v>44839</v>
      </c>
      <c r="C5356" s="1" t="n">
        <v>45911</v>
      </c>
      <c r="D5356" t="inlineStr">
        <is>
          <t>GÄVLEBORGS LÄN</t>
        </is>
      </c>
      <c r="E5356" t="inlineStr">
        <is>
          <t>BOLLNÄS</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6724-2024</t>
        </is>
      </c>
      <c r="B5357" s="1" t="n">
        <v>45342.3765162037</v>
      </c>
      <c r="C5357" s="1" t="n">
        <v>45911</v>
      </c>
      <c r="D5357" t="inlineStr">
        <is>
          <t>GÄVLEBORGS LÄN</t>
        </is>
      </c>
      <c r="E5357" t="inlineStr">
        <is>
          <t>LJUSDAL</t>
        </is>
      </c>
      <c r="F5357" t="inlineStr">
        <is>
          <t>Bergvik skog väst AB</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33803-2025</t>
        </is>
      </c>
      <c r="B5358" s="1" t="n">
        <v>45842.44728009259</v>
      </c>
      <c r="C5358" s="1" t="n">
        <v>45911</v>
      </c>
      <c r="D5358" t="inlineStr">
        <is>
          <t>GÄVLEBORGS LÄN</t>
        </is>
      </c>
      <c r="E5358" t="inlineStr">
        <is>
          <t>LJUSDAL</t>
        </is>
      </c>
      <c r="F5358" t="inlineStr">
        <is>
          <t>Sveaskog</t>
        </is>
      </c>
      <c r="G5358" t="n">
        <v>5.7</v>
      </c>
      <c r="H5358" t="n">
        <v>0</v>
      </c>
      <c r="I5358" t="n">
        <v>0</v>
      </c>
      <c r="J5358" t="n">
        <v>0</v>
      </c>
      <c r="K5358" t="n">
        <v>0</v>
      </c>
      <c r="L5358" t="n">
        <v>0</v>
      </c>
      <c r="M5358" t="n">
        <v>0</v>
      </c>
      <c r="N5358" t="n">
        <v>0</v>
      </c>
      <c r="O5358" t="n">
        <v>0</v>
      </c>
      <c r="P5358" t="n">
        <v>0</v>
      </c>
      <c r="Q5358" t="n">
        <v>0</v>
      </c>
      <c r="R5358" s="2" t="inlineStr"/>
    </row>
    <row r="5359" ht="15" customHeight="1">
      <c r="A5359" t="inlineStr">
        <is>
          <t>A 18438-2024</t>
        </is>
      </c>
      <c r="B5359" s="1" t="n">
        <v>45425.44804398148</v>
      </c>
      <c r="C5359" s="1" t="n">
        <v>45911</v>
      </c>
      <c r="D5359" t="inlineStr">
        <is>
          <t>GÄVLEBORGS LÄN</t>
        </is>
      </c>
      <c r="E5359" t="inlineStr">
        <is>
          <t>BOLLNÄS</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25655-2024</t>
        </is>
      </c>
      <c r="B5360" s="1" t="n">
        <v>45463.68395833333</v>
      </c>
      <c r="C5360" s="1" t="n">
        <v>45911</v>
      </c>
      <c r="D5360" t="inlineStr">
        <is>
          <t>GÄVLEBORGS LÄN</t>
        </is>
      </c>
      <c r="E5360" t="inlineStr">
        <is>
          <t>GÄVLE</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25182-2024</t>
        </is>
      </c>
      <c r="B5361" s="1" t="n">
        <v>45462.55569444445</v>
      </c>
      <c r="C5361" s="1" t="n">
        <v>45911</v>
      </c>
      <c r="D5361" t="inlineStr">
        <is>
          <t>GÄVLEBORGS LÄN</t>
        </is>
      </c>
      <c r="E5361" t="inlineStr">
        <is>
          <t>HUDIKSVALL</t>
        </is>
      </c>
      <c r="F5361" t="inlineStr">
        <is>
          <t>Holmen skog AB</t>
        </is>
      </c>
      <c r="G5361" t="n">
        <v>3.5</v>
      </c>
      <c r="H5361" t="n">
        <v>0</v>
      </c>
      <c r="I5361" t="n">
        <v>0</v>
      </c>
      <c r="J5361" t="n">
        <v>0</v>
      </c>
      <c r="K5361" t="n">
        <v>0</v>
      </c>
      <c r="L5361" t="n">
        <v>0</v>
      </c>
      <c r="M5361" t="n">
        <v>0</v>
      </c>
      <c r="N5361" t="n">
        <v>0</v>
      </c>
      <c r="O5361" t="n">
        <v>0</v>
      </c>
      <c r="P5361" t="n">
        <v>0</v>
      </c>
      <c r="Q5361" t="n">
        <v>0</v>
      </c>
      <c r="R5361" s="2" t="inlineStr"/>
    </row>
    <row r="5362" ht="15" customHeight="1">
      <c r="A5362" t="inlineStr">
        <is>
          <t>A 57781-2024</t>
        </is>
      </c>
      <c r="B5362" s="1" t="n">
        <v>45631</v>
      </c>
      <c r="C5362" s="1" t="n">
        <v>45911</v>
      </c>
      <c r="D5362" t="inlineStr">
        <is>
          <t>GÄVLEBORGS LÄN</t>
        </is>
      </c>
      <c r="E5362" t="inlineStr">
        <is>
          <t>BOLLNÄS</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38420-2025</t>
        </is>
      </c>
      <c r="B5363" s="1" t="n">
        <v>45883.62131944444</v>
      </c>
      <c r="C5363" s="1" t="n">
        <v>45911</v>
      </c>
      <c r="D5363" t="inlineStr">
        <is>
          <t>GÄVLEBORGS LÄN</t>
        </is>
      </c>
      <c r="E5363" t="inlineStr">
        <is>
          <t>OCKELBO</t>
        </is>
      </c>
      <c r="G5363" t="n">
        <v>2.7</v>
      </c>
      <c r="H5363" t="n">
        <v>0</v>
      </c>
      <c r="I5363" t="n">
        <v>0</v>
      </c>
      <c r="J5363" t="n">
        <v>0</v>
      </c>
      <c r="K5363" t="n">
        <v>0</v>
      </c>
      <c r="L5363" t="n">
        <v>0</v>
      </c>
      <c r="M5363" t="n">
        <v>0</v>
      </c>
      <c r="N5363" t="n">
        <v>0</v>
      </c>
      <c r="O5363" t="n">
        <v>0</v>
      </c>
      <c r="P5363" t="n">
        <v>0</v>
      </c>
      <c r="Q5363" t="n">
        <v>0</v>
      </c>
      <c r="R5363" s="2" t="inlineStr"/>
    </row>
    <row r="5364" ht="15" customHeight="1">
      <c r="A5364" t="inlineStr">
        <is>
          <t>A 38435-2025</t>
        </is>
      </c>
      <c r="B5364" s="1" t="n">
        <v>45883.64231481482</v>
      </c>
      <c r="C5364" s="1" t="n">
        <v>45911</v>
      </c>
      <c r="D5364" t="inlineStr">
        <is>
          <t>GÄVLEBORGS LÄN</t>
        </is>
      </c>
      <c r="E5364" t="inlineStr">
        <is>
          <t>SANDVIKEN</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33334-2024</t>
        </is>
      </c>
      <c r="B5365" s="1" t="n">
        <v>45519.31891203704</v>
      </c>
      <c r="C5365" s="1" t="n">
        <v>45911</v>
      </c>
      <c r="D5365" t="inlineStr">
        <is>
          <t>GÄVLEBORGS LÄN</t>
        </is>
      </c>
      <c r="E5365" t="inlineStr">
        <is>
          <t>OCKELBO</t>
        </is>
      </c>
      <c r="F5365" t="inlineStr">
        <is>
          <t>Bergvik skog väst AB</t>
        </is>
      </c>
      <c r="G5365" t="n">
        <v>7.9</v>
      </c>
      <c r="H5365" t="n">
        <v>0</v>
      </c>
      <c r="I5365" t="n">
        <v>0</v>
      </c>
      <c r="J5365" t="n">
        <v>0</v>
      </c>
      <c r="K5365" t="n">
        <v>0</v>
      </c>
      <c r="L5365" t="n">
        <v>0</v>
      </c>
      <c r="M5365" t="n">
        <v>0</v>
      </c>
      <c r="N5365" t="n">
        <v>0</v>
      </c>
      <c r="O5365" t="n">
        <v>0</v>
      </c>
      <c r="P5365" t="n">
        <v>0</v>
      </c>
      <c r="Q5365" t="n">
        <v>0</v>
      </c>
      <c r="R5365" s="2" t="inlineStr"/>
    </row>
    <row r="5366" ht="15" customHeight="1">
      <c r="A5366" t="inlineStr">
        <is>
          <t>A 18991-2025</t>
        </is>
      </c>
      <c r="B5366" s="1" t="n">
        <v>45764.57142361111</v>
      </c>
      <c r="C5366" s="1" t="n">
        <v>45911</v>
      </c>
      <c r="D5366" t="inlineStr">
        <is>
          <t>GÄVLEBORGS LÄN</t>
        </is>
      </c>
      <c r="E5366" t="inlineStr">
        <is>
          <t>HUDIKSVALL</t>
        </is>
      </c>
      <c r="F5366" t="inlineStr">
        <is>
          <t>Holmen skog AB</t>
        </is>
      </c>
      <c r="G5366" t="n">
        <v>6.8</v>
      </c>
      <c r="H5366" t="n">
        <v>0</v>
      </c>
      <c r="I5366" t="n">
        <v>0</v>
      </c>
      <c r="J5366" t="n">
        <v>0</v>
      </c>
      <c r="K5366" t="n">
        <v>0</v>
      </c>
      <c r="L5366" t="n">
        <v>0</v>
      </c>
      <c r="M5366" t="n">
        <v>0</v>
      </c>
      <c r="N5366" t="n">
        <v>0</v>
      </c>
      <c r="O5366" t="n">
        <v>0</v>
      </c>
      <c r="P5366" t="n">
        <v>0</v>
      </c>
      <c r="Q5366" t="n">
        <v>0</v>
      </c>
      <c r="R5366" s="2" t="inlineStr"/>
    </row>
    <row r="5367" ht="15" customHeight="1">
      <c r="A5367" t="inlineStr">
        <is>
          <t>A 18997-2025</t>
        </is>
      </c>
      <c r="B5367" s="1" t="n">
        <v>45764.57668981481</v>
      </c>
      <c r="C5367" s="1" t="n">
        <v>45911</v>
      </c>
      <c r="D5367" t="inlineStr">
        <is>
          <t>GÄVLEBORGS LÄN</t>
        </is>
      </c>
      <c r="E5367" t="inlineStr">
        <is>
          <t>HUDIKSVALL</t>
        </is>
      </c>
      <c r="F5367" t="inlineStr">
        <is>
          <t>Holmen skog AB</t>
        </is>
      </c>
      <c r="G5367" t="n">
        <v>3.5</v>
      </c>
      <c r="H5367" t="n">
        <v>0</v>
      </c>
      <c r="I5367" t="n">
        <v>0</v>
      </c>
      <c r="J5367" t="n">
        <v>0</v>
      </c>
      <c r="K5367" t="n">
        <v>0</v>
      </c>
      <c r="L5367" t="n">
        <v>0</v>
      </c>
      <c r="M5367" t="n">
        <v>0</v>
      </c>
      <c r="N5367" t="n">
        <v>0</v>
      </c>
      <c r="O5367" t="n">
        <v>0</v>
      </c>
      <c r="P5367" t="n">
        <v>0</v>
      </c>
      <c r="Q5367" t="n">
        <v>0</v>
      </c>
      <c r="R5367" s="2" t="inlineStr"/>
    </row>
    <row r="5368" ht="15" customHeight="1">
      <c r="A5368" t="inlineStr">
        <is>
          <t>A 38677-2025</t>
        </is>
      </c>
      <c r="B5368" s="1" t="n">
        <v>45884.64185185185</v>
      </c>
      <c r="C5368" s="1" t="n">
        <v>45911</v>
      </c>
      <c r="D5368" t="inlineStr">
        <is>
          <t>GÄVLEBORGS LÄN</t>
        </is>
      </c>
      <c r="E5368" t="inlineStr">
        <is>
          <t>SANDVIKEN</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57905-2022</t>
        </is>
      </c>
      <c r="B5369" s="1" t="n">
        <v>44900</v>
      </c>
      <c r="C5369" s="1" t="n">
        <v>45911</v>
      </c>
      <c r="D5369" t="inlineStr">
        <is>
          <t>GÄVLEBORGS LÄN</t>
        </is>
      </c>
      <c r="E5369" t="inlineStr">
        <is>
          <t>LJUSDAL</t>
        </is>
      </c>
      <c r="F5369" t="inlineStr">
        <is>
          <t>Allmännings- och besparingsskogar</t>
        </is>
      </c>
      <c r="G5369" t="n">
        <v>11.5</v>
      </c>
      <c r="H5369" t="n">
        <v>0</v>
      </c>
      <c r="I5369" t="n">
        <v>0</v>
      </c>
      <c r="J5369" t="n">
        <v>0</v>
      </c>
      <c r="K5369" t="n">
        <v>0</v>
      </c>
      <c r="L5369" t="n">
        <v>0</v>
      </c>
      <c r="M5369" t="n">
        <v>0</v>
      </c>
      <c r="N5369" t="n">
        <v>0</v>
      </c>
      <c r="O5369" t="n">
        <v>0</v>
      </c>
      <c r="P5369" t="n">
        <v>0</v>
      </c>
      <c r="Q5369" t="n">
        <v>0</v>
      </c>
      <c r="R5369" s="2" t="inlineStr"/>
    </row>
    <row r="5370" ht="15" customHeight="1">
      <c r="A5370" t="inlineStr">
        <is>
          <t>A 33769-2025</t>
        </is>
      </c>
      <c r="B5370" s="1" t="n">
        <v>45842.39043981482</v>
      </c>
      <c r="C5370" s="1" t="n">
        <v>45911</v>
      </c>
      <c r="D5370" t="inlineStr">
        <is>
          <t>GÄVLEBORGS LÄN</t>
        </is>
      </c>
      <c r="E5370" t="inlineStr">
        <is>
          <t>OCKELBO</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33630-2025</t>
        </is>
      </c>
      <c r="B5371" s="1" t="n">
        <v>45841.63774305556</v>
      </c>
      <c r="C5371" s="1" t="n">
        <v>45911</v>
      </c>
      <c r="D5371" t="inlineStr">
        <is>
          <t>GÄVLEBORGS LÄN</t>
        </is>
      </c>
      <c r="E5371" t="inlineStr">
        <is>
          <t>BOLLNÄS</t>
        </is>
      </c>
      <c r="G5371" t="n">
        <v>4.4</v>
      </c>
      <c r="H5371" t="n">
        <v>0</v>
      </c>
      <c r="I5371" t="n">
        <v>0</v>
      </c>
      <c r="J5371" t="n">
        <v>0</v>
      </c>
      <c r="K5371" t="n">
        <v>0</v>
      </c>
      <c r="L5371" t="n">
        <v>0</v>
      </c>
      <c r="M5371" t="n">
        <v>0</v>
      </c>
      <c r="N5371" t="n">
        <v>0</v>
      </c>
      <c r="O5371" t="n">
        <v>0</v>
      </c>
      <c r="P5371" t="n">
        <v>0</v>
      </c>
      <c r="Q5371" t="n">
        <v>0</v>
      </c>
      <c r="R5371" s="2" t="inlineStr"/>
    </row>
    <row r="5372" ht="15" customHeight="1">
      <c r="A5372" t="inlineStr">
        <is>
          <t>A 2176-2025</t>
        </is>
      </c>
      <c r="B5372" s="1" t="n">
        <v>45673.33479166667</v>
      </c>
      <c r="C5372" s="1" t="n">
        <v>45911</v>
      </c>
      <c r="D5372" t="inlineStr">
        <is>
          <t>GÄVLEBORGS LÄN</t>
        </is>
      </c>
      <c r="E5372" t="inlineStr">
        <is>
          <t>OVANÅKER</t>
        </is>
      </c>
      <c r="G5372" t="n">
        <v>2.7</v>
      </c>
      <c r="H5372" t="n">
        <v>0</v>
      </c>
      <c r="I5372" t="n">
        <v>0</v>
      </c>
      <c r="J5372" t="n">
        <v>0</v>
      </c>
      <c r="K5372" t="n">
        <v>0</v>
      </c>
      <c r="L5372" t="n">
        <v>0</v>
      </c>
      <c r="M5372" t="n">
        <v>0</v>
      </c>
      <c r="N5372" t="n">
        <v>0</v>
      </c>
      <c r="O5372" t="n">
        <v>0</v>
      </c>
      <c r="P5372" t="n">
        <v>0</v>
      </c>
      <c r="Q5372" t="n">
        <v>0</v>
      </c>
      <c r="R5372" s="2" t="inlineStr"/>
    </row>
    <row r="5373" ht="15" customHeight="1">
      <c r="A5373" t="inlineStr">
        <is>
          <t>A 17375-2024</t>
        </is>
      </c>
      <c r="B5373" s="1" t="n">
        <v>45414.63744212963</v>
      </c>
      <c r="C5373" s="1" t="n">
        <v>45911</v>
      </c>
      <c r="D5373" t="inlineStr">
        <is>
          <t>GÄVLEBORGS LÄN</t>
        </is>
      </c>
      <c r="E5373" t="inlineStr">
        <is>
          <t>BOLLNÄS</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8979-2024</t>
        </is>
      </c>
      <c r="B5374" s="1" t="n">
        <v>45357</v>
      </c>
      <c r="C5374" s="1" t="n">
        <v>45911</v>
      </c>
      <c r="D5374" t="inlineStr">
        <is>
          <t>GÄVLEBORGS LÄN</t>
        </is>
      </c>
      <c r="E5374" t="inlineStr">
        <is>
          <t>LJUSDAL</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33639-2025</t>
        </is>
      </c>
      <c r="B5375" s="1" t="n">
        <v>45841.64856481482</v>
      </c>
      <c r="C5375" s="1" t="n">
        <v>45911</v>
      </c>
      <c r="D5375" t="inlineStr">
        <is>
          <t>GÄVLEBORGS LÄN</t>
        </is>
      </c>
      <c r="E5375" t="inlineStr">
        <is>
          <t>BOLLNÄS</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38608-2025</t>
        </is>
      </c>
      <c r="B5376" s="1" t="n">
        <v>45884.53402777778</v>
      </c>
      <c r="C5376" s="1" t="n">
        <v>45911</v>
      </c>
      <c r="D5376" t="inlineStr">
        <is>
          <t>GÄVLEBORGS LÄN</t>
        </is>
      </c>
      <c r="E5376" t="inlineStr">
        <is>
          <t>GÄVLE</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14961-2025</t>
        </is>
      </c>
      <c r="B5377" s="1" t="n">
        <v>45743.58578703704</v>
      </c>
      <c r="C5377" s="1" t="n">
        <v>45911</v>
      </c>
      <c r="D5377" t="inlineStr">
        <is>
          <t>GÄVLEBORGS LÄN</t>
        </is>
      </c>
      <c r="E5377" t="inlineStr">
        <is>
          <t>NORDANSTIG</t>
        </is>
      </c>
      <c r="F5377" t="inlineStr">
        <is>
          <t>Holmen skog AB</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26728-2022</t>
        </is>
      </c>
      <c r="B5378" s="1" t="n">
        <v>44739.92518518519</v>
      </c>
      <c r="C5378" s="1" t="n">
        <v>45911</v>
      </c>
      <c r="D5378" t="inlineStr">
        <is>
          <t>GÄVLEBORGS LÄN</t>
        </is>
      </c>
      <c r="E5378" t="inlineStr">
        <is>
          <t>NORDANSTIG</t>
        </is>
      </c>
      <c r="G5378" t="n">
        <v>6.5</v>
      </c>
      <c r="H5378" t="n">
        <v>0</v>
      </c>
      <c r="I5378" t="n">
        <v>0</v>
      </c>
      <c r="J5378" t="n">
        <v>0</v>
      </c>
      <c r="K5378" t="n">
        <v>0</v>
      </c>
      <c r="L5378" t="n">
        <v>0</v>
      </c>
      <c r="M5378" t="n">
        <v>0</v>
      </c>
      <c r="N5378" t="n">
        <v>0</v>
      </c>
      <c r="O5378" t="n">
        <v>0</v>
      </c>
      <c r="P5378" t="n">
        <v>0</v>
      </c>
      <c r="Q5378" t="n">
        <v>0</v>
      </c>
      <c r="R5378" s="2" t="inlineStr"/>
    </row>
    <row r="5379" ht="15" customHeight="1">
      <c r="A5379" t="inlineStr">
        <is>
          <t>A 53719-2024</t>
        </is>
      </c>
      <c r="B5379" s="1" t="n">
        <v>45615.43756944445</v>
      </c>
      <c r="C5379" s="1" t="n">
        <v>45911</v>
      </c>
      <c r="D5379" t="inlineStr">
        <is>
          <t>GÄVLEBORGS LÄN</t>
        </is>
      </c>
      <c r="E5379" t="inlineStr">
        <is>
          <t>SANDVIKEN</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53804-2024</t>
        </is>
      </c>
      <c r="B5380" s="1" t="n">
        <v>45615.59229166667</v>
      </c>
      <c r="C5380" s="1" t="n">
        <v>45911</v>
      </c>
      <c r="D5380" t="inlineStr">
        <is>
          <t>GÄVLEBORGS LÄN</t>
        </is>
      </c>
      <c r="E5380" t="inlineStr">
        <is>
          <t>LJUSDAL</t>
        </is>
      </c>
      <c r="G5380" t="n">
        <v>34.2</v>
      </c>
      <c r="H5380" t="n">
        <v>0</v>
      </c>
      <c r="I5380" t="n">
        <v>0</v>
      </c>
      <c r="J5380" t="n">
        <v>0</v>
      </c>
      <c r="K5380" t="n">
        <v>0</v>
      </c>
      <c r="L5380" t="n">
        <v>0</v>
      </c>
      <c r="M5380" t="n">
        <v>0</v>
      </c>
      <c r="N5380" t="n">
        <v>0</v>
      </c>
      <c r="O5380" t="n">
        <v>0</v>
      </c>
      <c r="P5380" t="n">
        <v>0</v>
      </c>
      <c r="Q5380" t="n">
        <v>0</v>
      </c>
      <c r="R5380" s="2" t="inlineStr"/>
    </row>
    <row r="5381" ht="15" customHeight="1">
      <c r="A5381" t="inlineStr">
        <is>
          <t>A 38555-2025</t>
        </is>
      </c>
      <c r="B5381" s="1" t="n">
        <v>45884.44230324074</v>
      </c>
      <c r="C5381" s="1" t="n">
        <v>45911</v>
      </c>
      <c r="D5381" t="inlineStr">
        <is>
          <t>GÄVLEBORGS LÄN</t>
        </is>
      </c>
      <c r="E5381" t="inlineStr">
        <is>
          <t>GÄVLE</t>
        </is>
      </c>
      <c r="F5381" t="inlineStr">
        <is>
          <t>Bergvik skog öst AB</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38398-2025</t>
        </is>
      </c>
      <c r="B5382" s="1" t="n">
        <v>45883.58484953704</v>
      </c>
      <c r="C5382" s="1" t="n">
        <v>45911</v>
      </c>
      <c r="D5382" t="inlineStr">
        <is>
          <t>GÄVLEBORGS LÄN</t>
        </is>
      </c>
      <c r="E5382" t="inlineStr">
        <is>
          <t>SÖDERHAMN</t>
        </is>
      </c>
      <c r="G5382" t="n">
        <v>3.2</v>
      </c>
      <c r="H5382" t="n">
        <v>0</v>
      </c>
      <c r="I5382" t="n">
        <v>0</v>
      </c>
      <c r="J5382" t="n">
        <v>0</v>
      </c>
      <c r="K5382" t="n">
        <v>0</v>
      </c>
      <c r="L5382" t="n">
        <v>0</v>
      </c>
      <c r="M5382" t="n">
        <v>0</v>
      </c>
      <c r="N5382" t="n">
        <v>0</v>
      </c>
      <c r="O5382" t="n">
        <v>0</v>
      </c>
      <c r="P5382" t="n">
        <v>0</v>
      </c>
      <c r="Q5382" t="n">
        <v>0</v>
      </c>
      <c r="R5382" s="2" t="inlineStr"/>
    </row>
    <row r="5383" ht="15" customHeight="1">
      <c r="A5383" t="inlineStr">
        <is>
          <t>A 38319-2025</t>
        </is>
      </c>
      <c r="B5383" s="1" t="n">
        <v>45883.485</v>
      </c>
      <c r="C5383" s="1" t="n">
        <v>45911</v>
      </c>
      <c r="D5383" t="inlineStr">
        <is>
          <t>GÄVLEBORGS LÄN</t>
        </is>
      </c>
      <c r="E5383" t="inlineStr">
        <is>
          <t>SANDVIKEN</t>
        </is>
      </c>
      <c r="F5383" t="inlineStr">
        <is>
          <t>Bergvik skog öst AB</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45509-2024</t>
        </is>
      </c>
      <c r="B5384" s="1" t="n">
        <v>45578</v>
      </c>
      <c r="C5384" s="1" t="n">
        <v>45911</v>
      </c>
      <c r="D5384" t="inlineStr">
        <is>
          <t>GÄVLEBORGS LÄN</t>
        </is>
      </c>
      <c r="E5384" t="inlineStr">
        <is>
          <t>LJUSDAL</t>
        </is>
      </c>
      <c r="F5384" t="inlineStr">
        <is>
          <t>Naturvårdsverket</t>
        </is>
      </c>
      <c r="G5384" t="n">
        <v>11.9</v>
      </c>
      <c r="H5384" t="n">
        <v>0</v>
      </c>
      <c r="I5384" t="n">
        <v>0</v>
      </c>
      <c r="J5384" t="n">
        <v>0</v>
      </c>
      <c r="K5384" t="n">
        <v>0</v>
      </c>
      <c r="L5384" t="n">
        <v>0</v>
      </c>
      <c r="M5384" t="n">
        <v>0</v>
      </c>
      <c r="N5384" t="n">
        <v>0</v>
      </c>
      <c r="O5384" t="n">
        <v>0</v>
      </c>
      <c r="P5384" t="n">
        <v>0</v>
      </c>
      <c r="Q5384" t="n">
        <v>0</v>
      </c>
      <c r="R5384" s="2" t="inlineStr"/>
    </row>
    <row r="5385" ht="15" customHeight="1">
      <c r="A5385" t="inlineStr">
        <is>
          <t>A 38610-2025</t>
        </is>
      </c>
      <c r="B5385" s="1" t="n">
        <v>45884.53892361111</v>
      </c>
      <c r="C5385" s="1" t="n">
        <v>45911</v>
      </c>
      <c r="D5385" t="inlineStr">
        <is>
          <t>GÄVLEBORGS LÄN</t>
        </is>
      </c>
      <c r="E5385" t="inlineStr">
        <is>
          <t>NORDANSTIG</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47688-2024</t>
        </is>
      </c>
      <c r="B5386" s="1" t="n">
        <v>45588.44521990741</v>
      </c>
      <c r="C5386" s="1" t="n">
        <v>45911</v>
      </c>
      <c r="D5386" t="inlineStr">
        <is>
          <t>GÄVLEBORGS LÄN</t>
        </is>
      </c>
      <c r="E5386" t="inlineStr">
        <is>
          <t>HUDIKSVALL</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61131-2024</t>
        </is>
      </c>
      <c r="B5387" s="1" t="n">
        <v>45645.58155092593</v>
      </c>
      <c r="C5387" s="1" t="n">
        <v>45911</v>
      </c>
      <c r="D5387" t="inlineStr">
        <is>
          <t>GÄVLEBORGS LÄN</t>
        </is>
      </c>
      <c r="E5387" t="inlineStr">
        <is>
          <t>GÄVLE</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33757-2025</t>
        </is>
      </c>
      <c r="B5388" s="1" t="n">
        <v>45842.37846064815</v>
      </c>
      <c r="C5388" s="1" t="n">
        <v>45911</v>
      </c>
      <c r="D5388" t="inlineStr">
        <is>
          <t>GÄVLEBORGS LÄN</t>
        </is>
      </c>
      <c r="E5388" t="inlineStr">
        <is>
          <t>SANDVIKEN</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2802-2025</t>
        </is>
      </c>
      <c r="B5389" s="1" t="n">
        <v>45677.58137731482</v>
      </c>
      <c r="C5389" s="1" t="n">
        <v>45911</v>
      </c>
      <c r="D5389" t="inlineStr">
        <is>
          <t>GÄVLEBORGS LÄN</t>
        </is>
      </c>
      <c r="E5389" t="inlineStr">
        <is>
          <t>BOLLNÄS</t>
        </is>
      </c>
      <c r="G5389" t="n">
        <v>4.4</v>
      </c>
      <c r="H5389" t="n">
        <v>0</v>
      </c>
      <c r="I5389" t="n">
        <v>0</v>
      </c>
      <c r="J5389" t="n">
        <v>0</v>
      </c>
      <c r="K5389" t="n">
        <v>0</v>
      </c>
      <c r="L5389" t="n">
        <v>0</v>
      </c>
      <c r="M5389" t="n">
        <v>0</v>
      </c>
      <c r="N5389" t="n">
        <v>0</v>
      </c>
      <c r="O5389" t="n">
        <v>0</v>
      </c>
      <c r="P5389" t="n">
        <v>0</v>
      </c>
      <c r="Q5389" t="n">
        <v>0</v>
      </c>
      <c r="R5389" s="2" t="inlineStr"/>
    </row>
    <row r="5390" ht="15" customHeight="1">
      <c r="A5390" t="inlineStr">
        <is>
          <t>A 38589-2025</t>
        </is>
      </c>
      <c r="B5390" s="1" t="n">
        <v>45884.47407407407</v>
      </c>
      <c r="C5390" s="1" t="n">
        <v>45911</v>
      </c>
      <c r="D5390" t="inlineStr">
        <is>
          <t>GÄVLEBORGS LÄN</t>
        </is>
      </c>
      <c r="E5390" t="inlineStr">
        <is>
          <t>NORDANSTIG</t>
        </is>
      </c>
      <c r="G5390" t="n">
        <v>10.8</v>
      </c>
      <c r="H5390" t="n">
        <v>0</v>
      </c>
      <c r="I5390" t="n">
        <v>0</v>
      </c>
      <c r="J5390" t="n">
        <v>0</v>
      </c>
      <c r="K5390" t="n">
        <v>0</v>
      </c>
      <c r="L5390" t="n">
        <v>0</v>
      </c>
      <c r="M5390" t="n">
        <v>0</v>
      </c>
      <c r="N5390" t="n">
        <v>0</v>
      </c>
      <c r="O5390" t="n">
        <v>0</v>
      </c>
      <c r="P5390" t="n">
        <v>0</v>
      </c>
      <c r="Q5390" t="n">
        <v>0</v>
      </c>
      <c r="R5390" s="2" t="inlineStr"/>
    </row>
    <row r="5391" ht="15" customHeight="1">
      <c r="A5391" t="inlineStr">
        <is>
          <t>A 38338-2025</t>
        </is>
      </c>
      <c r="B5391" s="1" t="n">
        <v>45883.49430555556</v>
      </c>
      <c r="C5391" s="1" t="n">
        <v>45911</v>
      </c>
      <c r="D5391" t="inlineStr">
        <is>
          <t>GÄVLEBORGS LÄN</t>
        </is>
      </c>
      <c r="E5391" t="inlineStr">
        <is>
          <t>SANDVIKEN</t>
        </is>
      </c>
      <c r="F5391" t="inlineStr">
        <is>
          <t>Bergvik skog öst AB</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38339-2025</t>
        </is>
      </c>
      <c r="B5392" s="1" t="n">
        <v>45883.49462962963</v>
      </c>
      <c r="C5392" s="1" t="n">
        <v>45911</v>
      </c>
      <c r="D5392" t="inlineStr">
        <is>
          <t>GÄVLEBORGS LÄN</t>
        </is>
      </c>
      <c r="E5392" t="inlineStr">
        <is>
          <t>OCKELBO</t>
        </is>
      </c>
      <c r="F5392" t="inlineStr">
        <is>
          <t>Bergvik skog väst AB</t>
        </is>
      </c>
      <c r="G5392" t="n">
        <v>4.6</v>
      </c>
      <c r="H5392" t="n">
        <v>0</v>
      </c>
      <c r="I5392" t="n">
        <v>0</v>
      </c>
      <c r="J5392" t="n">
        <v>0</v>
      </c>
      <c r="K5392" t="n">
        <v>0</v>
      </c>
      <c r="L5392" t="n">
        <v>0</v>
      </c>
      <c r="M5392" t="n">
        <v>0</v>
      </c>
      <c r="N5392" t="n">
        <v>0</v>
      </c>
      <c r="O5392" t="n">
        <v>0</v>
      </c>
      <c r="P5392" t="n">
        <v>0</v>
      </c>
      <c r="Q5392" t="n">
        <v>0</v>
      </c>
      <c r="R5392" s="2" t="inlineStr"/>
    </row>
    <row r="5393" ht="15" customHeight="1">
      <c r="A5393" t="inlineStr">
        <is>
          <t>A 38676-2025</t>
        </is>
      </c>
      <c r="B5393" s="1" t="n">
        <v>45884.63819444444</v>
      </c>
      <c r="C5393" s="1" t="n">
        <v>45911</v>
      </c>
      <c r="D5393" t="inlineStr">
        <is>
          <t>GÄVLEBORGS LÄN</t>
        </is>
      </c>
      <c r="E5393" t="inlineStr">
        <is>
          <t>SANDVIKEN</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33642-2025</t>
        </is>
      </c>
      <c r="B5394" s="1" t="n">
        <v>45841.65119212963</v>
      </c>
      <c r="C5394" s="1" t="n">
        <v>45911</v>
      </c>
      <c r="D5394" t="inlineStr">
        <is>
          <t>GÄVLEBORGS LÄN</t>
        </is>
      </c>
      <c r="E5394" t="inlineStr">
        <is>
          <t>BOLLNÄS</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33361-2025</t>
        </is>
      </c>
      <c r="B5395" s="1" t="n">
        <v>45841.38190972222</v>
      </c>
      <c r="C5395" s="1" t="n">
        <v>45911</v>
      </c>
      <c r="D5395" t="inlineStr">
        <is>
          <t>GÄVLEBORGS LÄN</t>
        </is>
      </c>
      <c r="E5395" t="inlineStr">
        <is>
          <t>OCKELBO</t>
        </is>
      </c>
      <c r="G5395" t="n">
        <v>5.1</v>
      </c>
      <c r="H5395" t="n">
        <v>0</v>
      </c>
      <c r="I5395" t="n">
        <v>0</v>
      </c>
      <c r="J5395" t="n">
        <v>0</v>
      </c>
      <c r="K5395" t="n">
        <v>0</v>
      </c>
      <c r="L5395" t="n">
        <v>0</v>
      </c>
      <c r="M5395" t="n">
        <v>0</v>
      </c>
      <c r="N5395" t="n">
        <v>0</v>
      </c>
      <c r="O5395" t="n">
        <v>0</v>
      </c>
      <c r="P5395" t="n">
        <v>0</v>
      </c>
      <c r="Q5395" t="n">
        <v>0</v>
      </c>
      <c r="R5395" s="2" t="inlineStr"/>
    </row>
    <row r="5396" ht="15" customHeight="1">
      <c r="A5396" t="inlineStr">
        <is>
          <t>A 58867-2024</t>
        </is>
      </c>
      <c r="B5396" s="1" t="n">
        <v>45636.4278125</v>
      </c>
      <c r="C5396" s="1" t="n">
        <v>45911</v>
      </c>
      <c r="D5396" t="inlineStr">
        <is>
          <t>GÄVLEBORGS LÄN</t>
        </is>
      </c>
      <c r="E5396" t="inlineStr">
        <is>
          <t>SÖDERHAMN</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58872-2024</t>
        </is>
      </c>
      <c r="B5397" s="1" t="n">
        <v>45636.44068287037</v>
      </c>
      <c r="C5397" s="1" t="n">
        <v>45911</v>
      </c>
      <c r="D5397" t="inlineStr">
        <is>
          <t>GÄVLEBORGS LÄN</t>
        </is>
      </c>
      <c r="E5397" t="inlineStr">
        <is>
          <t>NORDANSTIG</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57485-2024</t>
        </is>
      </c>
      <c r="B5398" s="1" t="n">
        <v>45630.35421296296</v>
      </c>
      <c r="C5398" s="1" t="n">
        <v>45911</v>
      </c>
      <c r="D5398" t="inlineStr">
        <is>
          <t>GÄVLEBORGS LÄN</t>
        </is>
      </c>
      <c r="E5398" t="inlineStr">
        <is>
          <t>OCKELBO</t>
        </is>
      </c>
      <c r="G5398" t="n">
        <v>9.199999999999999</v>
      </c>
      <c r="H5398" t="n">
        <v>0</v>
      </c>
      <c r="I5398" t="n">
        <v>0</v>
      </c>
      <c r="J5398" t="n">
        <v>0</v>
      </c>
      <c r="K5398" t="n">
        <v>0</v>
      </c>
      <c r="L5398" t="n">
        <v>0</v>
      </c>
      <c r="M5398" t="n">
        <v>0</v>
      </c>
      <c r="N5398" t="n">
        <v>0</v>
      </c>
      <c r="O5398" t="n">
        <v>0</v>
      </c>
      <c r="P5398" t="n">
        <v>0</v>
      </c>
      <c r="Q5398" t="n">
        <v>0</v>
      </c>
      <c r="R5398" s="2" t="inlineStr"/>
    </row>
    <row r="5399" ht="15" customHeight="1">
      <c r="A5399" t="inlineStr">
        <is>
          <t>A 58538-2024</t>
        </is>
      </c>
      <c r="B5399" s="1" t="n">
        <v>45635.45099537037</v>
      </c>
      <c r="C5399" s="1" t="n">
        <v>45911</v>
      </c>
      <c r="D5399" t="inlineStr">
        <is>
          <t>GÄVLEBORGS LÄN</t>
        </is>
      </c>
      <c r="E5399" t="inlineStr">
        <is>
          <t>HUDIKSVALL</t>
        </is>
      </c>
      <c r="G5399" t="n">
        <v>6.3</v>
      </c>
      <c r="H5399" t="n">
        <v>0</v>
      </c>
      <c r="I5399" t="n">
        <v>0</v>
      </c>
      <c r="J5399" t="n">
        <v>0</v>
      </c>
      <c r="K5399" t="n">
        <v>0</v>
      </c>
      <c r="L5399" t="n">
        <v>0</v>
      </c>
      <c r="M5399" t="n">
        <v>0</v>
      </c>
      <c r="N5399" t="n">
        <v>0</v>
      </c>
      <c r="O5399" t="n">
        <v>0</v>
      </c>
      <c r="P5399" t="n">
        <v>0</v>
      </c>
      <c r="Q5399" t="n">
        <v>0</v>
      </c>
      <c r="R5399" s="2" t="inlineStr"/>
    </row>
    <row r="5400" ht="15" customHeight="1">
      <c r="A5400" t="inlineStr">
        <is>
          <t>A 17241-2023</t>
        </is>
      </c>
      <c r="B5400" s="1" t="n">
        <v>45035.35208333333</v>
      </c>
      <c r="C5400" s="1" t="n">
        <v>45911</v>
      </c>
      <c r="D5400" t="inlineStr">
        <is>
          <t>GÄVLEBORGS LÄN</t>
        </is>
      </c>
      <c r="E5400" t="inlineStr">
        <is>
          <t>LJUSDAL</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33391-2025</t>
        </is>
      </c>
      <c r="B5401" s="1" t="n">
        <v>45841.40766203704</v>
      </c>
      <c r="C5401" s="1" t="n">
        <v>45911</v>
      </c>
      <c r="D5401" t="inlineStr">
        <is>
          <t>GÄVLEBORGS LÄN</t>
        </is>
      </c>
      <c r="E5401" t="inlineStr">
        <is>
          <t>SÖDERHAMN</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38508-2025</t>
        </is>
      </c>
      <c r="B5402" s="1" t="n">
        <v>45884.38775462963</v>
      </c>
      <c r="C5402" s="1" t="n">
        <v>45911</v>
      </c>
      <c r="D5402" t="inlineStr">
        <is>
          <t>GÄVLEBORGS LÄN</t>
        </is>
      </c>
      <c r="E5402" t="inlineStr">
        <is>
          <t>GÄVLE</t>
        </is>
      </c>
      <c r="F5402" t="inlineStr">
        <is>
          <t>Bergvik skog öst AB</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38524-2025</t>
        </is>
      </c>
      <c r="B5403" s="1" t="n">
        <v>45884.40424768518</v>
      </c>
      <c r="C5403" s="1" t="n">
        <v>45911</v>
      </c>
      <c r="D5403" t="inlineStr">
        <is>
          <t>GÄVLEBORGS LÄN</t>
        </is>
      </c>
      <c r="E5403" t="inlineStr">
        <is>
          <t>SANDVIKEN</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38528-2025</t>
        </is>
      </c>
      <c r="B5404" s="1" t="n">
        <v>45884.40722222222</v>
      </c>
      <c r="C5404" s="1" t="n">
        <v>45911</v>
      </c>
      <c r="D5404" t="inlineStr">
        <is>
          <t>GÄVLEBORGS LÄN</t>
        </is>
      </c>
      <c r="E5404" t="inlineStr">
        <is>
          <t>GÄVLE</t>
        </is>
      </c>
      <c r="F5404" t="inlineStr">
        <is>
          <t>Bergvik skog öst AB</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38652-2025</t>
        </is>
      </c>
      <c r="B5405" s="1" t="n">
        <v>45884.59181712963</v>
      </c>
      <c r="C5405" s="1" t="n">
        <v>45911</v>
      </c>
      <c r="D5405" t="inlineStr">
        <is>
          <t>GÄVLEBORGS LÄN</t>
        </is>
      </c>
      <c r="E5405" t="inlineStr">
        <is>
          <t>OCKELBO</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38537-2025</t>
        </is>
      </c>
      <c r="B5406" s="1" t="n">
        <v>45884.42145833333</v>
      </c>
      <c r="C5406" s="1" t="n">
        <v>45911</v>
      </c>
      <c r="D5406" t="inlineStr">
        <is>
          <t>GÄVLEBORGS LÄN</t>
        </is>
      </c>
      <c r="E5406" t="inlineStr">
        <is>
          <t>SÖDERHAMN</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30208-2022</t>
        </is>
      </c>
      <c r="B5407" s="1" t="n">
        <v>44757.75127314815</v>
      </c>
      <c r="C5407" s="1" t="n">
        <v>45911</v>
      </c>
      <c r="D5407" t="inlineStr">
        <is>
          <t>GÄVLEBORGS LÄN</t>
        </is>
      </c>
      <c r="E5407" t="inlineStr">
        <is>
          <t>SÖDERHAMN</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38572-2025</t>
        </is>
      </c>
      <c r="B5408" s="1" t="n">
        <v>45884.45953703704</v>
      </c>
      <c r="C5408" s="1" t="n">
        <v>45911</v>
      </c>
      <c r="D5408" t="inlineStr">
        <is>
          <t>GÄVLEBORGS LÄN</t>
        </is>
      </c>
      <c r="E5408" t="inlineStr">
        <is>
          <t>GÄVLE</t>
        </is>
      </c>
      <c r="F5408" t="inlineStr">
        <is>
          <t>Bergvik skog öst AB</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38486-2025</t>
        </is>
      </c>
      <c r="B5409" s="1" t="n">
        <v>45884.34282407408</v>
      </c>
      <c r="C5409" s="1" t="n">
        <v>45911</v>
      </c>
      <c r="D5409" t="inlineStr">
        <is>
          <t>GÄVLEBORGS LÄN</t>
        </is>
      </c>
      <c r="E5409" t="inlineStr">
        <is>
          <t>HOFORS</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38503-2025</t>
        </is>
      </c>
      <c r="B5410" s="1" t="n">
        <v>45884.38178240741</v>
      </c>
      <c r="C5410" s="1" t="n">
        <v>45911</v>
      </c>
      <c r="D5410" t="inlineStr">
        <is>
          <t>GÄVLEBORGS LÄN</t>
        </is>
      </c>
      <c r="E5410" t="inlineStr">
        <is>
          <t>GÄVLE</t>
        </is>
      </c>
      <c r="F5410" t="inlineStr">
        <is>
          <t>Bergvik skog öst AB</t>
        </is>
      </c>
      <c r="G5410" t="n">
        <v>3.6</v>
      </c>
      <c r="H5410" t="n">
        <v>0</v>
      </c>
      <c r="I5410" t="n">
        <v>0</v>
      </c>
      <c r="J5410" t="n">
        <v>0</v>
      </c>
      <c r="K5410" t="n">
        <v>0</v>
      </c>
      <c r="L5410" t="n">
        <v>0</v>
      </c>
      <c r="M5410" t="n">
        <v>0</v>
      </c>
      <c r="N5410" t="n">
        <v>0</v>
      </c>
      <c r="O5410" t="n">
        <v>0</v>
      </c>
      <c r="P5410" t="n">
        <v>0</v>
      </c>
      <c r="Q5410" t="n">
        <v>0</v>
      </c>
      <c r="R5410" s="2" t="inlineStr"/>
    </row>
    <row r="5411" ht="15" customHeight="1">
      <c r="A5411" t="inlineStr">
        <is>
          <t>A 38506-2025</t>
        </is>
      </c>
      <c r="B5411" s="1" t="n">
        <v>45884.38459490741</v>
      </c>
      <c r="C5411" s="1" t="n">
        <v>45911</v>
      </c>
      <c r="D5411" t="inlineStr">
        <is>
          <t>GÄVLEBORGS LÄN</t>
        </is>
      </c>
      <c r="E5411" t="inlineStr">
        <is>
          <t>GÄVLE</t>
        </is>
      </c>
      <c r="F5411" t="inlineStr">
        <is>
          <t>Bergvik skog öst AB</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38523-2025</t>
        </is>
      </c>
      <c r="B5412" s="1" t="n">
        <v>45884.40300925926</v>
      </c>
      <c r="C5412" s="1" t="n">
        <v>45911</v>
      </c>
      <c r="D5412" t="inlineStr">
        <is>
          <t>GÄVLEBORGS LÄN</t>
        </is>
      </c>
      <c r="E5412" t="inlineStr">
        <is>
          <t>GÄVLE</t>
        </is>
      </c>
      <c r="F5412" t="inlineStr">
        <is>
          <t>Bergvik skog öst AB</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33594-2025</t>
        </is>
      </c>
      <c r="B5413" s="1" t="n">
        <v>45841</v>
      </c>
      <c r="C5413" s="1" t="n">
        <v>45911</v>
      </c>
      <c r="D5413" t="inlineStr">
        <is>
          <t>GÄVLEBORGS LÄN</t>
        </is>
      </c>
      <c r="E5413" t="inlineStr">
        <is>
          <t>LJUSDAL</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33624-2025</t>
        </is>
      </c>
      <c r="B5414" s="1" t="n">
        <v>45841.63111111111</v>
      </c>
      <c r="C5414" s="1" t="n">
        <v>45911</v>
      </c>
      <c r="D5414" t="inlineStr">
        <is>
          <t>GÄVLEBORGS LÄN</t>
        </is>
      </c>
      <c r="E5414" t="inlineStr">
        <is>
          <t>BOLLNÄS</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38512-2025</t>
        </is>
      </c>
      <c r="B5415" s="1" t="n">
        <v>45884.39216435186</v>
      </c>
      <c r="C5415" s="1" t="n">
        <v>45911</v>
      </c>
      <c r="D5415" t="inlineStr">
        <is>
          <t>GÄVLEBORGS LÄN</t>
        </is>
      </c>
      <c r="E5415" t="inlineStr">
        <is>
          <t>GÄVLE</t>
        </is>
      </c>
      <c r="F5415" t="inlineStr">
        <is>
          <t>Bergvik skog öst AB</t>
        </is>
      </c>
      <c r="G5415" t="n">
        <v>3.1</v>
      </c>
      <c r="H5415" t="n">
        <v>0</v>
      </c>
      <c r="I5415" t="n">
        <v>0</v>
      </c>
      <c r="J5415" t="n">
        <v>0</v>
      </c>
      <c r="K5415" t="n">
        <v>0</v>
      </c>
      <c r="L5415" t="n">
        <v>0</v>
      </c>
      <c r="M5415" t="n">
        <v>0</v>
      </c>
      <c r="N5415" t="n">
        <v>0</v>
      </c>
      <c r="O5415" t="n">
        <v>0</v>
      </c>
      <c r="P5415" t="n">
        <v>0</v>
      </c>
      <c r="Q5415" t="n">
        <v>0</v>
      </c>
      <c r="R5415" s="2" t="inlineStr"/>
    </row>
    <row r="5416" ht="15" customHeight="1">
      <c r="A5416" t="inlineStr">
        <is>
          <t>A 38516-2025</t>
        </is>
      </c>
      <c r="B5416" s="1" t="n">
        <v>45884.3945949074</v>
      </c>
      <c r="C5416" s="1" t="n">
        <v>45911</v>
      </c>
      <c r="D5416" t="inlineStr">
        <is>
          <t>GÄVLEBORGS LÄN</t>
        </is>
      </c>
      <c r="E5416" t="inlineStr">
        <is>
          <t>GÄVLE</t>
        </is>
      </c>
      <c r="F5416" t="inlineStr">
        <is>
          <t>Bergvik skog öst AB</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38520-2025</t>
        </is>
      </c>
      <c r="B5417" s="1" t="n">
        <v>45884.39984953704</v>
      </c>
      <c r="C5417" s="1" t="n">
        <v>45911</v>
      </c>
      <c r="D5417" t="inlineStr">
        <is>
          <t>GÄVLEBORGS LÄN</t>
        </is>
      </c>
      <c r="E5417" t="inlineStr">
        <is>
          <t>GÄVLE</t>
        </is>
      </c>
      <c r="F5417" t="inlineStr">
        <is>
          <t>Bergvik skog öst AB</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38546-2025</t>
        </is>
      </c>
      <c r="B5418" s="1" t="n">
        <v>45884.43587962963</v>
      </c>
      <c r="C5418" s="1" t="n">
        <v>45911</v>
      </c>
      <c r="D5418" t="inlineStr">
        <is>
          <t>GÄVLEBORGS LÄN</t>
        </is>
      </c>
      <c r="E5418" t="inlineStr">
        <is>
          <t>GÄVLE</t>
        </is>
      </c>
      <c r="F5418" t="inlineStr">
        <is>
          <t>Bergvik skog öst AB</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38550-2025</t>
        </is>
      </c>
      <c r="B5419" s="1" t="n">
        <v>45884.43910879629</v>
      </c>
      <c r="C5419" s="1" t="n">
        <v>45911</v>
      </c>
      <c r="D5419" t="inlineStr">
        <is>
          <t>GÄVLEBORGS LÄN</t>
        </is>
      </c>
      <c r="E5419" t="inlineStr">
        <is>
          <t>GÄVLE</t>
        </is>
      </c>
      <c r="F5419" t="inlineStr">
        <is>
          <t>Bergvik skog öst AB</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28162-2021</t>
        </is>
      </c>
      <c r="B5420" s="1" t="n">
        <v>44355.59233796296</v>
      </c>
      <c r="C5420" s="1" t="n">
        <v>45911</v>
      </c>
      <c r="D5420" t="inlineStr">
        <is>
          <t>GÄVLEBORGS LÄN</t>
        </is>
      </c>
      <c r="E5420" t="inlineStr">
        <is>
          <t>BOLLNÄS</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30011-2023</t>
        </is>
      </c>
      <c r="B5421" s="1" t="n">
        <v>45109.84071759259</v>
      </c>
      <c r="C5421" s="1" t="n">
        <v>45911</v>
      </c>
      <c r="D5421" t="inlineStr">
        <is>
          <t>GÄVLEBORGS LÄN</t>
        </is>
      </c>
      <c r="E5421" t="inlineStr">
        <is>
          <t>OCKELBO</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57464-2024</t>
        </is>
      </c>
      <c r="B5422" s="1" t="n">
        <v>45630.32444444444</v>
      </c>
      <c r="C5422" s="1" t="n">
        <v>45911</v>
      </c>
      <c r="D5422" t="inlineStr">
        <is>
          <t>GÄVLEBORGS LÄN</t>
        </is>
      </c>
      <c r="E5422" t="inlineStr">
        <is>
          <t>GÄVLE</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38934-2024</t>
        </is>
      </c>
      <c r="B5423" s="1" t="n">
        <v>45548</v>
      </c>
      <c r="C5423" s="1" t="n">
        <v>45911</v>
      </c>
      <c r="D5423" t="inlineStr">
        <is>
          <t>GÄVLEBORGS LÄN</t>
        </is>
      </c>
      <c r="E5423" t="inlineStr">
        <is>
          <t>BOLLNÄS</t>
        </is>
      </c>
      <c r="F5423" t="inlineStr">
        <is>
          <t>Sveaskog</t>
        </is>
      </c>
      <c r="G5423" t="n">
        <v>7.4</v>
      </c>
      <c r="H5423" t="n">
        <v>0</v>
      </c>
      <c r="I5423" t="n">
        <v>0</v>
      </c>
      <c r="J5423" t="n">
        <v>0</v>
      </c>
      <c r="K5423" t="n">
        <v>0</v>
      </c>
      <c r="L5423" t="n">
        <v>0</v>
      </c>
      <c r="M5423" t="n">
        <v>0</v>
      </c>
      <c r="N5423" t="n">
        <v>0</v>
      </c>
      <c r="O5423" t="n">
        <v>0</v>
      </c>
      <c r="P5423" t="n">
        <v>0</v>
      </c>
      <c r="Q5423" t="n">
        <v>0</v>
      </c>
      <c r="R5423" s="2" t="inlineStr"/>
    </row>
    <row r="5424" ht="15" customHeight="1">
      <c r="A5424" t="inlineStr">
        <is>
          <t>A 57302-2024</t>
        </is>
      </c>
      <c r="B5424" s="1" t="n">
        <v>45629.60164351852</v>
      </c>
      <c r="C5424" s="1" t="n">
        <v>45911</v>
      </c>
      <c r="D5424" t="inlineStr">
        <is>
          <t>GÄVLEBORGS LÄN</t>
        </is>
      </c>
      <c r="E5424" t="inlineStr">
        <is>
          <t>SANDVIKEN</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39597-2024</t>
        </is>
      </c>
      <c r="B5425" s="1" t="n">
        <v>45552.37586805555</v>
      </c>
      <c r="C5425" s="1" t="n">
        <v>45911</v>
      </c>
      <c r="D5425" t="inlineStr">
        <is>
          <t>GÄVLEBORGS LÄN</t>
        </is>
      </c>
      <c r="E5425" t="inlineStr">
        <is>
          <t>LJUSDAL</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29670-2022</t>
        </is>
      </c>
      <c r="B5426" s="1" t="n">
        <v>44754.81971064815</v>
      </c>
      <c r="C5426" s="1" t="n">
        <v>45911</v>
      </c>
      <c r="D5426" t="inlineStr">
        <is>
          <t>GÄVLEBORGS LÄN</t>
        </is>
      </c>
      <c r="E5426" t="inlineStr">
        <is>
          <t>SANDVIKEN</t>
        </is>
      </c>
      <c r="F5426" t="inlineStr">
        <is>
          <t>Sveaskog</t>
        </is>
      </c>
      <c r="G5426" t="n">
        <v>3.4</v>
      </c>
      <c r="H5426" t="n">
        <v>0</v>
      </c>
      <c r="I5426" t="n">
        <v>0</v>
      </c>
      <c r="J5426" t="n">
        <v>0</v>
      </c>
      <c r="K5426" t="n">
        <v>0</v>
      </c>
      <c r="L5426" t="n">
        <v>0</v>
      </c>
      <c r="M5426" t="n">
        <v>0</v>
      </c>
      <c r="N5426" t="n">
        <v>0</v>
      </c>
      <c r="O5426" t="n">
        <v>0</v>
      </c>
      <c r="P5426" t="n">
        <v>0</v>
      </c>
      <c r="Q5426" t="n">
        <v>0</v>
      </c>
      <c r="R5426" s="2" t="inlineStr"/>
    </row>
    <row r="5427" ht="15" customHeight="1">
      <c r="A5427" t="inlineStr">
        <is>
          <t>A 46481-2024</t>
        </is>
      </c>
      <c r="B5427" s="1" t="n">
        <v>45582.57228009259</v>
      </c>
      <c r="C5427" s="1" t="n">
        <v>45911</v>
      </c>
      <c r="D5427" t="inlineStr">
        <is>
          <t>GÄVLEBORGS LÄN</t>
        </is>
      </c>
      <c r="E5427" t="inlineStr">
        <is>
          <t>OCKELBO</t>
        </is>
      </c>
      <c r="F5427" t="inlineStr">
        <is>
          <t>Bergvik skog väst AB</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38764-2025</t>
        </is>
      </c>
      <c r="B5428" s="1" t="n">
        <v>45887.40658564815</v>
      </c>
      <c r="C5428" s="1" t="n">
        <v>45911</v>
      </c>
      <c r="D5428" t="inlineStr">
        <is>
          <t>GÄVLEBORGS LÄN</t>
        </is>
      </c>
      <c r="E5428" t="inlineStr">
        <is>
          <t>BOLLNÄS</t>
        </is>
      </c>
      <c r="G5428" t="n">
        <v>4.6</v>
      </c>
      <c r="H5428" t="n">
        <v>0</v>
      </c>
      <c r="I5428" t="n">
        <v>0</v>
      </c>
      <c r="J5428" t="n">
        <v>0</v>
      </c>
      <c r="K5428" t="n">
        <v>0</v>
      </c>
      <c r="L5428" t="n">
        <v>0</v>
      </c>
      <c r="M5428" t="n">
        <v>0</v>
      </c>
      <c r="N5428" t="n">
        <v>0</v>
      </c>
      <c r="O5428" t="n">
        <v>0</v>
      </c>
      <c r="P5428" t="n">
        <v>0</v>
      </c>
      <c r="Q5428" t="n">
        <v>0</v>
      </c>
      <c r="R5428" s="2" t="inlineStr"/>
    </row>
    <row r="5429" ht="15" customHeight="1">
      <c r="A5429" t="inlineStr">
        <is>
          <t>A 46449-2024</t>
        </is>
      </c>
      <c r="B5429" s="1" t="n">
        <v>45582.5039699074</v>
      </c>
      <c r="C5429" s="1" t="n">
        <v>45911</v>
      </c>
      <c r="D5429" t="inlineStr">
        <is>
          <t>GÄVLEBORGS LÄN</t>
        </is>
      </c>
      <c r="E5429" t="inlineStr">
        <is>
          <t>GÄVLE</t>
        </is>
      </c>
      <c r="F5429" t="inlineStr">
        <is>
          <t>Bergvik skog väst AB</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57570-2024</t>
        </is>
      </c>
      <c r="B5430" s="1" t="n">
        <v>45630.46627314815</v>
      </c>
      <c r="C5430" s="1" t="n">
        <v>45911</v>
      </c>
      <c r="D5430" t="inlineStr">
        <is>
          <t>GÄVLEBORGS LÄN</t>
        </is>
      </c>
      <c r="E5430" t="inlineStr">
        <is>
          <t>GÄVLE</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44229-2024</t>
        </is>
      </c>
      <c r="B5431" s="1" t="n">
        <v>45573.39869212963</v>
      </c>
      <c r="C5431" s="1" t="n">
        <v>45911</v>
      </c>
      <c r="D5431" t="inlineStr">
        <is>
          <t>GÄVLEBORGS LÄN</t>
        </is>
      </c>
      <c r="E5431" t="inlineStr">
        <is>
          <t>HUDIKSVALL</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38770-2025</t>
        </is>
      </c>
      <c r="B5432" s="1" t="n">
        <v>45887.41885416667</v>
      </c>
      <c r="C5432" s="1" t="n">
        <v>45911</v>
      </c>
      <c r="D5432" t="inlineStr">
        <is>
          <t>GÄVLEBORGS LÄN</t>
        </is>
      </c>
      <c r="E5432" t="inlineStr">
        <is>
          <t>BOLLNÄS</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34118-2025</t>
        </is>
      </c>
      <c r="B5433" s="1" t="n">
        <v>45845.51532407408</v>
      </c>
      <c r="C5433" s="1" t="n">
        <v>45911</v>
      </c>
      <c r="D5433" t="inlineStr">
        <is>
          <t>GÄVLEBORGS LÄN</t>
        </is>
      </c>
      <c r="E5433" t="inlineStr">
        <is>
          <t>GÄVLE</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9540-2021</t>
        </is>
      </c>
      <c r="B5434" s="1" t="n">
        <v>44251</v>
      </c>
      <c r="C5434" s="1" t="n">
        <v>45911</v>
      </c>
      <c r="D5434" t="inlineStr">
        <is>
          <t>GÄVLEBORGS LÄN</t>
        </is>
      </c>
      <c r="E5434" t="inlineStr">
        <is>
          <t>LJUSDAL</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34783-2022</t>
        </is>
      </c>
      <c r="B5435" s="1" t="n">
        <v>44795</v>
      </c>
      <c r="C5435" s="1" t="n">
        <v>45911</v>
      </c>
      <c r="D5435" t="inlineStr">
        <is>
          <t>GÄVLEBORGS LÄN</t>
        </is>
      </c>
      <c r="E5435" t="inlineStr">
        <is>
          <t>NORDANSTIG</t>
        </is>
      </c>
      <c r="G5435" t="n">
        <v>7.8</v>
      </c>
      <c r="H5435" t="n">
        <v>0</v>
      </c>
      <c r="I5435" t="n">
        <v>0</v>
      </c>
      <c r="J5435" t="n">
        <v>0</v>
      </c>
      <c r="K5435" t="n">
        <v>0</v>
      </c>
      <c r="L5435" t="n">
        <v>0</v>
      </c>
      <c r="M5435" t="n">
        <v>0</v>
      </c>
      <c r="N5435" t="n">
        <v>0</v>
      </c>
      <c r="O5435" t="n">
        <v>0</v>
      </c>
      <c r="P5435" t="n">
        <v>0</v>
      </c>
      <c r="Q5435" t="n">
        <v>0</v>
      </c>
      <c r="R5435" s="2" t="inlineStr"/>
    </row>
    <row r="5436" ht="15" customHeight="1">
      <c r="A5436" t="inlineStr">
        <is>
          <t>A 38732-2025</t>
        </is>
      </c>
      <c r="B5436" s="1" t="n">
        <v>45887.35770833334</v>
      </c>
      <c r="C5436" s="1" t="n">
        <v>45911</v>
      </c>
      <c r="D5436" t="inlineStr">
        <is>
          <t>GÄVLEBORGS LÄN</t>
        </is>
      </c>
      <c r="E5436" t="inlineStr">
        <is>
          <t>OCKELBO</t>
        </is>
      </c>
      <c r="F5436" t="inlineStr">
        <is>
          <t>Bergvik skog väst AB</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40653-2023</t>
        </is>
      </c>
      <c r="B5437" s="1" t="n">
        <v>45169</v>
      </c>
      <c r="C5437" s="1" t="n">
        <v>45911</v>
      </c>
      <c r="D5437" t="inlineStr">
        <is>
          <t>GÄVLEBORGS LÄN</t>
        </is>
      </c>
      <c r="E5437" t="inlineStr">
        <is>
          <t>BOLLNÄS</t>
        </is>
      </c>
      <c r="G5437" t="n">
        <v>3.5</v>
      </c>
      <c r="H5437" t="n">
        <v>0</v>
      </c>
      <c r="I5437" t="n">
        <v>0</v>
      </c>
      <c r="J5437" t="n">
        <v>0</v>
      </c>
      <c r="K5437" t="n">
        <v>0</v>
      </c>
      <c r="L5437" t="n">
        <v>0</v>
      </c>
      <c r="M5437" t="n">
        <v>0</v>
      </c>
      <c r="N5437" t="n">
        <v>0</v>
      </c>
      <c r="O5437" t="n">
        <v>0</v>
      </c>
      <c r="P5437" t="n">
        <v>0</v>
      </c>
      <c r="Q5437" t="n">
        <v>0</v>
      </c>
      <c r="R5437" s="2" t="inlineStr"/>
    </row>
    <row r="5438" ht="15" customHeight="1">
      <c r="A5438" t="inlineStr">
        <is>
          <t>A 43556-2023</t>
        </is>
      </c>
      <c r="B5438" s="1" t="n">
        <v>45184.57194444445</v>
      </c>
      <c r="C5438" s="1" t="n">
        <v>45911</v>
      </c>
      <c r="D5438" t="inlineStr">
        <is>
          <t>GÄVLEBORGS LÄN</t>
        </is>
      </c>
      <c r="E5438" t="inlineStr">
        <is>
          <t>GÄVLE</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28240-2023</t>
        </is>
      </c>
      <c r="B5439" s="1" t="n">
        <v>45099.58393518518</v>
      </c>
      <c r="C5439" s="1" t="n">
        <v>45911</v>
      </c>
      <c r="D5439" t="inlineStr">
        <is>
          <t>GÄVLEBORGS LÄN</t>
        </is>
      </c>
      <c r="E5439" t="inlineStr">
        <is>
          <t>LJUSDAL</t>
        </is>
      </c>
      <c r="F5439" t="inlineStr">
        <is>
          <t>Holmen skog AB</t>
        </is>
      </c>
      <c r="G5439" t="n">
        <v>5.8</v>
      </c>
      <c r="H5439" t="n">
        <v>0</v>
      </c>
      <c r="I5439" t="n">
        <v>0</v>
      </c>
      <c r="J5439" t="n">
        <v>0</v>
      </c>
      <c r="K5439" t="n">
        <v>0</v>
      </c>
      <c r="L5439" t="n">
        <v>0</v>
      </c>
      <c r="M5439" t="n">
        <v>0</v>
      </c>
      <c r="N5439" t="n">
        <v>0</v>
      </c>
      <c r="O5439" t="n">
        <v>0</v>
      </c>
      <c r="P5439" t="n">
        <v>0</v>
      </c>
      <c r="Q5439" t="n">
        <v>0</v>
      </c>
      <c r="R5439" s="2" t="inlineStr"/>
    </row>
    <row r="5440" ht="15" customHeight="1">
      <c r="A5440" t="inlineStr">
        <is>
          <t>A 28248-2023</t>
        </is>
      </c>
      <c r="B5440" s="1" t="n">
        <v>45099.59758101852</v>
      </c>
      <c r="C5440" s="1" t="n">
        <v>45911</v>
      </c>
      <c r="D5440" t="inlineStr">
        <is>
          <t>GÄVLEBORGS LÄN</t>
        </is>
      </c>
      <c r="E5440" t="inlineStr">
        <is>
          <t>LJUSDAL</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34311-2025</t>
        </is>
      </c>
      <c r="B5441" s="1" t="n">
        <v>45846.39252314815</v>
      </c>
      <c r="C5441" s="1" t="n">
        <v>45911</v>
      </c>
      <c r="D5441" t="inlineStr">
        <is>
          <t>GÄVLEBORGS LÄN</t>
        </is>
      </c>
      <c r="E5441" t="inlineStr">
        <is>
          <t>NORDANSTIG</t>
        </is>
      </c>
      <c r="F5441" t="inlineStr">
        <is>
          <t>Holmen skog AB</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34342-2025</t>
        </is>
      </c>
      <c r="B5442" s="1" t="n">
        <v>45846.46015046296</v>
      </c>
      <c r="C5442" s="1" t="n">
        <v>45911</v>
      </c>
      <c r="D5442" t="inlineStr">
        <is>
          <t>GÄVLEBORGS LÄN</t>
        </is>
      </c>
      <c r="E5442" t="inlineStr">
        <is>
          <t>NORDANSTIG</t>
        </is>
      </c>
      <c r="F5442" t="inlineStr">
        <is>
          <t>Holmen skog AB</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22013-2021</t>
        </is>
      </c>
      <c r="B5443" s="1" t="n">
        <v>44323.46296296296</v>
      </c>
      <c r="C5443" s="1" t="n">
        <v>45911</v>
      </c>
      <c r="D5443" t="inlineStr">
        <is>
          <t>GÄVLEBORGS LÄN</t>
        </is>
      </c>
      <c r="E5443" t="inlineStr">
        <is>
          <t>LJUSDAL</t>
        </is>
      </c>
      <c r="F5443" t="inlineStr">
        <is>
          <t>Sveaskog</t>
        </is>
      </c>
      <c r="G5443" t="n">
        <v>2.8</v>
      </c>
      <c r="H5443" t="n">
        <v>0</v>
      </c>
      <c r="I5443" t="n">
        <v>0</v>
      </c>
      <c r="J5443" t="n">
        <v>0</v>
      </c>
      <c r="K5443" t="n">
        <v>0</v>
      </c>
      <c r="L5443" t="n">
        <v>0</v>
      </c>
      <c r="M5443" t="n">
        <v>0</v>
      </c>
      <c r="N5443" t="n">
        <v>0</v>
      </c>
      <c r="O5443" t="n">
        <v>0</v>
      </c>
      <c r="P5443" t="n">
        <v>0</v>
      </c>
      <c r="Q5443" t="n">
        <v>0</v>
      </c>
      <c r="R5443" s="2" t="inlineStr"/>
    </row>
    <row r="5444" ht="15" customHeight="1">
      <c r="A5444" t="inlineStr">
        <is>
          <t>A 34305-2025</t>
        </is>
      </c>
      <c r="B5444" s="1" t="n">
        <v>45846.35457175926</v>
      </c>
      <c r="C5444" s="1" t="n">
        <v>45911</v>
      </c>
      <c r="D5444" t="inlineStr">
        <is>
          <t>GÄVLEBORGS LÄN</t>
        </is>
      </c>
      <c r="E5444" t="inlineStr">
        <is>
          <t>OCKELBO</t>
        </is>
      </c>
      <c r="F5444" t="inlineStr">
        <is>
          <t>Bergvik skog väst AB</t>
        </is>
      </c>
      <c r="G5444" t="n">
        <v>5.5</v>
      </c>
      <c r="H5444" t="n">
        <v>0</v>
      </c>
      <c r="I5444" t="n">
        <v>0</v>
      </c>
      <c r="J5444" t="n">
        <v>0</v>
      </c>
      <c r="K5444" t="n">
        <v>0</v>
      </c>
      <c r="L5444" t="n">
        <v>0</v>
      </c>
      <c r="M5444" t="n">
        <v>0</v>
      </c>
      <c r="N5444" t="n">
        <v>0</v>
      </c>
      <c r="O5444" t="n">
        <v>0</v>
      </c>
      <c r="P5444" t="n">
        <v>0</v>
      </c>
      <c r="Q5444" t="n">
        <v>0</v>
      </c>
      <c r="R5444" s="2" t="inlineStr"/>
    </row>
    <row r="5445" ht="15" customHeight="1">
      <c r="A5445" t="inlineStr">
        <is>
          <t>A 66493-2021</t>
        </is>
      </c>
      <c r="B5445" s="1" t="n">
        <v>44519.03226851852</v>
      </c>
      <c r="C5445" s="1" t="n">
        <v>45911</v>
      </c>
      <c r="D5445" t="inlineStr">
        <is>
          <t>GÄVLEBORGS LÄN</t>
        </is>
      </c>
      <c r="E5445" t="inlineStr">
        <is>
          <t>GÄVLE</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11734-2025</t>
        </is>
      </c>
      <c r="B5446" s="1" t="n">
        <v>45727.61972222223</v>
      </c>
      <c r="C5446" s="1" t="n">
        <v>45911</v>
      </c>
      <c r="D5446" t="inlineStr">
        <is>
          <t>GÄVLEBORGS LÄN</t>
        </is>
      </c>
      <c r="E5446" t="inlineStr">
        <is>
          <t>OCKELBO</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38990-2025</t>
        </is>
      </c>
      <c r="B5447" s="1" t="n">
        <v>45888.32341435185</v>
      </c>
      <c r="C5447" s="1" t="n">
        <v>45911</v>
      </c>
      <c r="D5447" t="inlineStr">
        <is>
          <t>GÄVLEBORGS LÄN</t>
        </is>
      </c>
      <c r="E5447" t="inlineStr">
        <is>
          <t>NORDANSTIG</t>
        </is>
      </c>
      <c r="G5447" t="n">
        <v>4.7</v>
      </c>
      <c r="H5447" t="n">
        <v>0</v>
      </c>
      <c r="I5447" t="n">
        <v>0</v>
      </c>
      <c r="J5447" t="n">
        <v>0</v>
      </c>
      <c r="K5447" t="n">
        <v>0</v>
      </c>
      <c r="L5447" t="n">
        <v>0</v>
      </c>
      <c r="M5447" t="n">
        <v>0</v>
      </c>
      <c r="N5447" t="n">
        <v>0</v>
      </c>
      <c r="O5447" t="n">
        <v>0</v>
      </c>
      <c r="P5447" t="n">
        <v>0</v>
      </c>
      <c r="Q5447" t="n">
        <v>0</v>
      </c>
      <c r="R5447" s="2" t="inlineStr"/>
    </row>
    <row r="5448" ht="15" customHeight="1">
      <c r="A5448" t="inlineStr">
        <is>
          <t>A 37088-2024</t>
        </is>
      </c>
      <c r="B5448" s="1" t="n">
        <v>45539.49841435185</v>
      </c>
      <c r="C5448" s="1" t="n">
        <v>45911</v>
      </c>
      <c r="D5448" t="inlineStr">
        <is>
          <t>GÄVLEBORGS LÄN</t>
        </is>
      </c>
      <c r="E5448" t="inlineStr">
        <is>
          <t>LJUSDAL</t>
        </is>
      </c>
      <c r="F5448" t="inlineStr">
        <is>
          <t>Sveaskog</t>
        </is>
      </c>
      <c r="G5448" t="n">
        <v>9.699999999999999</v>
      </c>
      <c r="H5448" t="n">
        <v>0</v>
      </c>
      <c r="I5448" t="n">
        <v>0</v>
      </c>
      <c r="J5448" t="n">
        <v>0</v>
      </c>
      <c r="K5448" t="n">
        <v>0</v>
      </c>
      <c r="L5448" t="n">
        <v>0</v>
      </c>
      <c r="M5448" t="n">
        <v>0</v>
      </c>
      <c r="N5448" t="n">
        <v>0</v>
      </c>
      <c r="O5448" t="n">
        <v>0</v>
      </c>
      <c r="P5448" t="n">
        <v>0</v>
      </c>
      <c r="Q5448" t="n">
        <v>0</v>
      </c>
      <c r="R5448" s="2" t="inlineStr"/>
    </row>
    <row r="5449" ht="15" customHeight="1">
      <c r="A5449" t="inlineStr">
        <is>
          <t>A 7060-2022</t>
        </is>
      </c>
      <c r="B5449" s="1" t="n">
        <v>44603.53943287037</v>
      </c>
      <c r="C5449" s="1" t="n">
        <v>45911</v>
      </c>
      <c r="D5449" t="inlineStr">
        <is>
          <t>GÄVLEBORGS LÄN</t>
        </is>
      </c>
      <c r="E5449" t="inlineStr">
        <is>
          <t>GÄVLE</t>
        </is>
      </c>
      <c r="G5449" t="n">
        <v>10</v>
      </c>
      <c r="H5449" t="n">
        <v>0</v>
      </c>
      <c r="I5449" t="n">
        <v>0</v>
      </c>
      <c r="J5449" t="n">
        <v>0</v>
      </c>
      <c r="K5449" t="n">
        <v>0</v>
      </c>
      <c r="L5449" t="n">
        <v>0</v>
      </c>
      <c r="M5449" t="n">
        <v>0</v>
      </c>
      <c r="N5449" t="n">
        <v>0</v>
      </c>
      <c r="O5449" t="n">
        <v>0</v>
      </c>
      <c r="P5449" t="n">
        <v>0</v>
      </c>
      <c r="Q5449" t="n">
        <v>0</v>
      </c>
      <c r="R5449" s="2" t="inlineStr"/>
    </row>
    <row r="5450" ht="15" customHeight="1">
      <c r="A5450" t="inlineStr">
        <is>
          <t>A 5629-2025</t>
        </is>
      </c>
      <c r="B5450" s="1" t="n">
        <v>45693.65769675926</v>
      </c>
      <c r="C5450" s="1" t="n">
        <v>45911</v>
      </c>
      <c r="D5450" t="inlineStr">
        <is>
          <t>GÄVLEBORGS LÄN</t>
        </is>
      </c>
      <c r="E5450" t="inlineStr">
        <is>
          <t>OVANÅKER</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20708-2021</t>
        </is>
      </c>
      <c r="B5451" s="1" t="n">
        <v>44316</v>
      </c>
      <c r="C5451" s="1" t="n">
        <v>45911</v>
      </c>
      <c r="D5451" t="inlineStr">
        <is>
          <t>GÄVLEBORGS LÄN</t>
        </is>
      </c>
      <c r="E5451" t="inlineStr">
        <is>
          <t>HUDIKSVALL</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58530-2022</t>
        </is>
      </c>
      <c r="B5452" s="1" t="n">
        <v>44902.43958333333</v>
      </c>
      <c r="C5452" s="1" t="n">
        <v>45911</v>
      </c>
      <c r="D5452" t="inlineStr">
        <is>
          <t>GÄVLEBORGS LÄN</t>
        </is>
      </c>
      <c r="E5452" t="inlineStr">
        <is>
          <t>LJUSDAL</t>
        </is>
      </c>
      <c r="G5452" t="n">
        <v>4.8</v>
      </c>
      <c r="H5452" t="n">
        <v>0</v>
      </c>
      <c r="I5452" t="n">
        <v>0</v>
      </c>
      <c r="J5452" t="n">
        <v>0</v>
      </c>
      <c r="K5452" t="n">
        <v>0</v>
      </c>
      <c r="L5452" t="n">
        <v>0</v>
      </c>
      <c r="M5452" t="n">
        <v>0</v>
      </c>
      <c r="N5452" t="n">
        <v>0</v>
      </c>
      <c r="O5452" t="n">
        <v>0</v>
      </c>
      <c r="P5452" t="n">
        <v>0</v>
      </c>
      <c r="Q5452" t="n">
        <v>0</v>
      </c>
      <c r="R5452" s="2" t="inlineStr"/>
    </row>
    <row r="5453" ht="15" customHeight="1">
      <c r="A5453" t="inlineStr">
        <is>
          <t>A 59901-2022</t>
        </is>
      </c>
      <c r="B5453" s="1" t="n">
        <v>44908.89185185185</v>
      </c>
      <c r="C5453" s="1" t="n">
        <v>45911</v>
      </c>
      <c r="D5453" t="inlineStr">
        <is>
          <t>GÄVLEBORGS LÄN</t>
        </is>
      </c>
      <c r="E5453" t="inlineStr">
        <is>
          <t>LJUSDAL</t>
        </is>
      </c>
      <c r="G5453" t="n">
        <v>10.3</v>
      </c>
      <c r="H5453" t="n">
        <v>0</v>
      </c>
      <c r="I5453" t="n">
        <v>0</v>
      </c>
      <c r="J5453" t="n">
        <v>0</v>
      </c>
      <c r="K5453" t="n">
        <v>0</v>
      </c>
      <c r="L5453" t="n">
        <v>0</v>
      </c>
      <c r="M5453" t="n">
        <v>0</v>
      </c>
      <c r="N5453" t="n">
        <v>0</v>
      </c>
      <c r="O5453" t="n">
        <v>0</v>
      </c>
      <c r="P5453" t="n">
        <v>0</v>
      </c>
      <c r="Q5453" t="n">
        <v>0</v>
      </c>
      <c r="R5453" s="2" t="inlineStr"/>
    </row>
    <row r="5454" ht="15" customHeight="1">
      <c r="A5454" t="inlineStr">
        <is>
          <t>A 7998-2023</t>
        </is>
      </c>
      <c r="B5454" s="1" t="n">
        <v>44973</v>
      </c>
      <c r="C5454" s="1" t="n">
        <v>45911</v>
      </c>
      <c r="D5454" t="inlineStr">
        <is>
          <t>GÄVLEBORGS LÄN</t>
        </is>
      </c>
      <c r="E5454" t="inlineStr">
        <is>
          <t>GÄVLE</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38907-2025</t>
        </is>
      </c>
      <c r="B5455" s="1" t="n">
        <v>45887.60866898148</v>
      </c>
      <c r="C5455" s="1" t="n">
        <v>45911</v>
      </c>
      <c r="D5455" t="inlineStr">
        <is>
          <t>GÄVLEBORGS LÄN</t>
        </is>
      </c>
      <c r="E5455" t="inlineStr">
        <is>
          <t>BOLLNÄS</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38746-2025</t>
        </is>
      </c>
      <c r="B5456" s="1" t="n">
        <v>45887.37974537037</v>
      </c>
      <c r="C5456" s="1" t="n">
        <v>45911</v>
      </c>
      <c r="D5456" t="inlineStr">
        <is>
          <t>GÄVLEBORGS LÄN</t>
        </is>
      </c>
      <c r="E5456" t="inlineStr">
        <is>
          <t>HOFORS</t>
        </is>
      </c>
      <c r="F5456" t="inlineStr">
        <is>
          <t>Sveaskog</t>
        </is>
      </c>
      <c r="G5456" t="n">
        <v>3.6</v>
      </c>
      <c r="H5456" t="n">
        <v>0</v>
      </c>
      <c r="I5456" t="n">
        <v>0</v>
      </c>
      <c r="J5456" t="n">
        <v>0</v>
      </c>
      <c r="K5456" t="n">
        <v>0</v>
      </c>
      <c r="L5456" t="n">
        <v>0</v>
      </c>
      <c r="M5456" t="n">
        <v>0</v>
      </c>
      <c r="N5456" t="n">
        <v>0</v>
      </c>
      <c r="O5456" t="n">
        <v>0</v>
      </c>
      <c r="P5456" t="n">
        <v>0</v>
      </c>
      <c r="Q5456" t="n">
        <v>0</v>
      </c>
      <c r="R5456" s="2" t="inlineStr"/>
    </row>
    <row r="5457" ht="15" customHeight="1">
      <c r="A5457" t="inlineStr">
        <is>
          <t>A 34396-2025</t>
        </is>
      </c>
      <c r="B5457" s="1" t="n">
        <v>45846.5946412037</v>
      </c>
      <c r="C5457" s="1" t="n">
        <v>45911</v>
      </c>
      <c r="D5457" t="inlineStr">
        <is>
          <t>GÄVLEBORGS LÄN</t>
        </is>
      </c>
      <c r="E5457" t="inlineStr">
        <is>
          <t>BOLLNÄS</t>
        </is>
      </c>
      <c r="G5457" t="n">
        <v>3.7</v>
      </c>
      <c r="H5457" t="n">
        <v>0</v>
      </c>
      <c r="I5457" t="n">
        <v>0</v>
      </c>
      <c r="J5457" t="n">
        <v>0</v>
      </c>
      <c r="K5457" t="n">
        <v>0</v>
      </c>
      <c r="L5457" t="n">
        <v>0</v>
      </c>
      <c r="M5457" t="n">
        <v>0</v>
      </c>
      <c r="N5457" t="n">
        <v>0</v>
      </c>
      <c r="O5457" t="n">
        <v>0</v>
      </c>
      <c r="P5457" t="n">
        <v>0</v>
      </c>
      <c r="Q5457" t="n">
        <v>0</v>
      </c>
      <c r="R5457" s="2" t="inlineStr"/>
    </row>
    <row r="5458" ht="15" customHeight="1">
      <c r="A5458" t="inlineStr">
        <is>
          <t>A 11438-2023</t>
        </is>
      </c>
      <c r="B5458" s="1" t="n">
        <v>44988</v>
      </c>
      <c r="C5458" s="1" t="n">
        <v>45911</v>
      </c>
      <c r="D5458" t="inlineStr">
        <is>
          <t>GÄVLEBORGS LÄN</t>
        </is>
      </c>
      <c r="E5458" t="inlineStr">
        <is>
          <t>SANDVIKEN</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11447-2023</t>
        </is>
      </c>
      <c r="B5459" s="1" t="n">
        <v>44988</v>
      </c>
      <c r="C5459" s="1" t="n">
        <v>45911</v>
      </c>
      <c r="D5459" t="inlineStr">
        <is>
          <t>GÄVLEBORGS LÄN</t>
        </is>
      </c>
      <c r="E5459" t="inlineStr">
        <is>
          <t>SANDVIKEN</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59729-2022</t>
        </is>
      </c>
      <c r="B5460" s="1" t="n">
        <v>44908</v>
      </c>
      <c r="C5460" s="1" t="n">
        <v>45911</v>
      </c>
      <c r="D5460" t="inlineStr">
        <is>
          <t>GÄVLEBORGS LÄN</t>
        </is>
      </c>
      <c r="E5460" t="inlineStr">
        <is>
          <t>BOLLNÄS</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34202-2025</t>
        </is>
      </c>
      <c r="B5461" s="1" t="n">
        <v>45845.63385416667</v>
      </c>
      <c r="C5461" s="1" t="n">
        <v>45911</v>
      </c>
      <c r="D5461" t="inlineStr">
        <is>
          <t>GÄVLEBORGS LÄN</t>
        </is>
      </c>
      <c r="E5461" t="inlineStr">
        <is>
          <t>BOLLNÄS</t>
        </is>
      </c>
      <c r="G5461" t="n">
        <v>5.9</v>
      </c>
      <c r="H5461" t="n">
        <v>0</v>
      </c>
      <c r="I5461" t="n">
        <v>0</v>
      </c>
      <c r="J5461" t="n">
        <v>0</v>
      </c>
      <c r="K5461" t="n">
        <v>0</v>
      </c>
      <c r="L5461" t="n">
        <v>0</v>
      </c>
      <c r="M5461" t="n">
        <v>0</v>
      </c>
      <c r="N5461" t="n">
        <v>0</v>
      </c>
      <c r="O5461" t="n">
        <v>0</v>
      </c>
      <c r="P5461" t="n">
        <v>0</v>
      </c>
      <c r="Q5461" t="n">
        <v>0</v>
      </c>
      <c r="R5461" s="2" t="inlineStr"/>
    </row>
    <row r="5462" ht="15" customHeight="1">
      <c r="A5462" t="inlineStr">
        <is>
          <t>A 73925-2021</t>
        </is>
      </c>
      <c r="B5462" s="1" t="n">
        <v>44553</v>
      </c>
      <c r="C5462" s="1" t="n">
        <v>45911</v>
      </c>
      <c r="D5462" t="inlineStr">
        <is>
          <t>GÄVLEBORGS LÄN</t>
        </is>
      </c>
      <c r="E5462" t="inlineStr">
        <is>
          <t>SANDVIKEN</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55262-2020</t>
        </is>
      </c>
      <c r="B5463" s="1" t="n">
        <v>44130</v>
      </c>
      <c r="C5463" s="1" t="n">
        <v>45911</v>
      </c>
      <c r="D5463" t="inlineStr">
        <is>
          <t>GÄVLEBORGS LÄN</t>
        </is>
      </c>
      <c r="E5463" t="inlineStr">
        <is>
          <t>SÖDERHAMN</t>
        </is>
      </c>
      <c r="G5463" t="n">
        <v>3.4</v>
      </c>
      <c r="H5463" t="n">
        <v>0</v>
      </c>
      <c r="I5463" t="n">
        <v>0</v>
      </c>
      <c r="J5463" t="n">
        <v>0</v>
      </c>
      <c r="K5463" t="n">
        <v>0</v>
      </c>
      <c r="L5463" t="n">
        <v>0</v>
      </c>
      <c r="M5463" t="n">
        <v>0</v>
      </c>
      <c r="N5463" t="n">
        <v>0</v>
      </c>
      <c r="O5463" t="n">
        <v>0</v>
      </c>
      <c r="P5463" t="n">
        <v>0</v>
      </c>
      <c r="Q5463" t="n">
        <v>0</v>
      </c>
      <c r="R5463" s="2" t="inlineStr"/>
    </row>
    <row r="5464" ht="15" customHeight="1">
      <c r="A5464" t="inlineStr">
        <is>
          <t>A 5135-2022</t>
        </is>
      </c>
      <c r="B5464" s="1" t="n">
        <v>44594.32063657408</v>
      </c>
      <c r="C5464" s="1" t="n">
        <v>45911</v>
      </c>
      <c r="D5464" t="inlineStr">
        <is>
          <t>GÄVLEBORGS LÄN</t>
        </is>
      </c>
      <c r="E5464" t="inlineStr">
        <is>
          <t>BOLLNÄS</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38744-2025</t>
        </is>
      </c>
      <c r="B5465" s="1" t="n">
        <v>45887.37774305556</v>
      </c>
      <c r="C5465" s="1" t="n">
        <v>45911</v>
      </c>
      <c r="D5465" t="inlineStr">
        <is>
          <t>GÄVLEBORGS LÄN</t>
        </is>
      </c>
      <c r="E5465" t="inlineStr">
        <is>
          <t>HOFORS</t>
        </is>
      </c>
      <c r="F5465" t="inlineStr">
        <is>
          <t>Sveaskog</t>
        </is>
      </c>
      <c r="G5465" t="n">
        <v>8.199999999999999</v>
      </c>
      <c r="H5465" t="n">
        <v>0</v>
      </c>
      <c r="I5465" t="n">
        <v>0</v>
      </c>
      <c r="J5465" t="n">
        <v>0</v>
      </c>
      <c r="K5465" t="n">
        <v>0</v>
      </c>
      <c r="L5465" t="n">
        <v>0</v>
      </c>
      <c r="M5465" t="n">
        <v>0</v>
      </c>
      <c r="N5465" t="n">
        <v>0</v>
      </c>
      <c r="O5465" t="n">
        <v>0</v>
      </c>
      <c r="P5465" t="n">
        <v>0</v>
      </c>
      <c r="Q5465" t="n">
        <v>0</v>
      </c>
      <c r="R5465" s="2" t="inlineStr"/>
    </row>
    <row r="5466" ht="15" customHeight="1">
      <c r="A5466" t="inlineStr">
        <is>
          <t>A 38747-2025</t>
        </is>
      </c>
      <c r="B5466" s="1" t="n">
        <v>45887.38575231482</v>
      </c>
      <c r="C5466" s="1" t="n">
        <v>45911</v>
      </c>
      <c r="D5466" t="inlineStr">
        <is>
          <t>GÄVLEBORGS LÄN</t>
        </is>
      </c>
      <c r="E5466" t="inlineStr">
        <is>
          <t>BOLLNÄS</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30009-2023</t>
        </is>
      </c>
      <c r="B5467" s="1" t="n">
        <v>45109.83574074074</v>
      </c>
      <c r="C5467" s="1" t="n">
        <v>45911</v>
      </c>
      <c r="D5467" t="inlineStr">
        <is>
          <t>GÄVLEBORGS LÄN</t>
        </is>
      </c>
      <c r="E5467" t="inlineStr">
        <is>
          <t>OCKELBO</t>
        </is>
      </c>
      <c r="G5467" t="n">
        <v>4.8</v>
      </c>
      <c r="H5467" t="n">
        <v>0</v>
      </c>
      <c r="I5467" t="n">
        <v>0</v>
      </c>
      <c r="J5467" t="n">
        <v>0</v>
      </c>
      <c r="K5467" t="n">
        <v>0</v>
      </c>
      <c r="L5467" t="n">
        <v>0</v>
      </c>
      <c r="M5467" t="n">
        <v>0</v>
      </c>
      <c r="N5467" t="n">
        <v>0</v>
      </c>
      <c r="O5467" t="n">
        <v>0</v>
      </c>
      <c r="P5467" t="n">
        <v>0</v>
      </c>
      <c r="Q5467" t="n">
        <v>0</v>
      </c>
      <c r="R5467" s="2" t="inlineStr"/>
    </row>
    <row r="5468" ht="15" customHeight="1">
      <c r="A5468" t="inlineStr">
        <is>
          <t>A 34240-2025</t>
        </is>
      </c>
      <c r="B5468" s="1" t="n">
        <v>45845.67427083333</v>
      </c>
      <c r="C5468" s="1" t="n">
        <v>45911</v>
      </c>
      <c r="D5468" t="inlineStr">
        <is>
          <t>GÄVLEBORGS LÄN</t>
        </is>
      </c>
      <c r="E5468" t="inlineStr">
        <is>
          <t>NORDANSTIG</t>
        </is>
      </c>
      <c r="G5468" t="n">
        <v>2.3</v>
      </c>
      <c r="H5468" t="n">
        <v>0</v>
      </c>
      <c r="I5468" t="n">
        <v>0</v>
      </c>
      <c r="J5468" t="n">
        <v>0</v>
      </c>
      <c r="K5468" t="n">
        <v>0</v>
      </c>
      <c r="L5468" t="n">
        <v>0</v>
      </c>
      <c r="M5468" t="n">
        <v>0</v>
      </c>
      <c r="N5468" t="n">
        <v>0</v>
      </c>
      <c r="O5468" t="n">
        <v>0</v>
      </c>
      <c r="P5468" t="n">
        <v>0</v>
      </c>
      <c r="Q5468" t="n">
        <v>0</v>
      </c>
      <c r="R5468" s="2" t="inlineStr"/>
    </row>
    <row r="5469" ht="15" customHeight="1">
      <c r="A5469" t="inlineStr">
        <is>
          <t>A 39062-2024</t>
        </is>
      </c>
      <c r="B5469" s="1" t="n">
        <v>45548.50462962963</v>
      </c>
      <c r="C5469" s="1" t="n">
        <v>45911</v>
      </c>
      <c r="D5469" t="inlineStr">
        <is>
          <t>GÄVLEBORGS LÄN</t>
        </is>
      </c>
      <c r="E5469" t="inlineStr">
        <is>
          <t>OCKELBO</t>
        </is>
      </c>
      <c r="F5469" t="inlineStr">
        <is>
          <t>Bergvik skog väst AB</t>
        </is>
      </c>
      <c r="G5469" t="n">
        <v>10.1</v>
      </c>
      <c r="H5469" t="n">
        <v>0</v>
      </c>
      <c r="I5469" t="n">
        <v>0</v>
      </c>
      <c r="J5469" t="n">
        <v>0</v>
      </c>
      <c r="K5469" t="n">
        <v>0</v>
      </c>
      <c r="L5469" t="n">
        <v>0</v>
      </c>
      <c r="M5469" t="n">
        <v>0</v>
      </c>
      <c r="N5469" t="n">
        <v>0</v>
      </c>
      <c r="O5469" t="n">
        <v>0</v>
      </c>
      <c r="P5469" t="n">
        <v>0</v>
      </c>
      <c r="Q5469" t="n">
        <v>0</v>
      </c>
      <c r="R5469" s="2" t="inlineStr"/>
    </row>
    <row r="5470" ht="15" customHeight="1">
      <c r="A5470" t="inlineStr">
        <is>
          <t>A 57205-2020</t>
        </is>
      </c>
      <c r="B5470" s="1" t="n">
        <v>44139</v>
      </c>
      <c r="C5470" s="1" t="n">
        <v>45911</v>
      </c>
      <c r="D5470" t="inlineStr">
        <is>
          <t>GÄVLEBORGS LÄN</t>
        </is>
      </c>
      <c r="E5470" t="inlineStr">
        <is>
          <t>SÖDERHAMN</t>
        </is>
      </c>
      <c r="G5470" t="n">
        <v>3</v>
      </c>
      <c r="H5470" t="n">
        <v>0</v>
      </c>
      <c r="I5470" t="n">
        <v>0</v>
      </c>
      <c r="J5470" t="n">
        <v>0</v>
      </c>
      <c r="K5470" t="n">
        <v>0</v>
      </c>
      <c r="L5470" t="n">
        <v>0</v>
      </c>
      <c r="M5470" t="n">
        <v>0</v>
      </c>
      <c r="N5470" t="n">
        <v>0</v>
      </c>
      <c r="O5470" t="n">
        <v>0</v>
      </c>
      <c r="P5470" t="n">
        <v>0</v>
      </c>
      <c r="Q5470" t="n">
        <v>0</v>
      </c>
      <c r="R5470" s="2" t="inlineStr"/>
    </row>
    <row r="5471" ht="15" customHeight="1">
      <c r="A5471" t="inlineStr">
        <is>
          <t>A 3119-2022</t>
        </is>
      </c>
      <c r="B5471" s="1" t="n">
        <v>44582</v>
      </c>
      <c r="C5471" s="1" t="n">
        <v>45911</v>
      </c>
      <c r="D5471" t="inlineStr">
        <is>
          <t>GÄVLEBORGS LÄN</t>
        </is>
      </c>
      <c r="E5471" t="inlineStr">
        <is>
          <t>SANDVIKEN</t>
        </is>
      </c>
      <c r="F5471" t="inlineStr">
        <is>
          <t>Kyrkan</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39091-2024</t>
        </is>
      </c>
      <c r="B5472" s="1" t="n">
        <v>45548.55346064815</v>
      </c>
      <c r="C5472" s="1" t="n">
        <v>45911</v>
      </c>
      <c r="D5472" t="inlineStr">
        <is>
          <t>GÄVLEBORGS LÄN</t>
        </is>
      </c>
      <c r="E5472" t="inlineStr">
        <is>
          <t>BOLLNÄS</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34291-2025</t>
        </is>
      </c>
      <c r="B5473" s="1" t="n">
        <v>45846.3380787037</v>
      </c>
      <c r="C5473" s="1" t="n">
        <v>45911</v>
      </c>
      <c r="D5473" t="inlineStr">
        <is>
          <t>GÄVLEBORGS LÄN</t>
        </is>
      </c>
      <c r="E5473" t="inlineStr">
        <is>
          <t>OCKELBO</t>
        </is>
      </c>
      <c r="F5473" t="inlineStr">
        <is>
          <t>Bergvik skog väst AB</t>
        </is>
      </c>
      <c r="G5473" t="n">
        <v>6.4</v>
      </c>
      <c r="H5473" t="n">
        <v>0</v>
      </c>
      <c r="I5473" t="n">
        <v>0</v>
      </c>
      <c r="J5473" t="n">
        <v>0</v>
      </c>
      <c r="K5473" t="n">
        <v>0</v>
      </c>
      <c r="L5473" t="n">
        <v>0</v>
      </c>
      <c r="M5473" t="n">
        <v>0</v>
      </c>
      <c r="N5473" t="n">
        <v>0</v>
      </c>
      <c r="O5473" t="n">
        <v>0</v>
      </c>
      <c r="P5473" t="n">
        <v>0</v>
      </c>
      <c r="Q5473" t="n">
        <v>0</v>
      </c>
      <c r="R5473" s="2" t="inlineStr"/>
    </row>
    <row r="5474" ht="15" customHeight="1">
      <c r="A5474" t="inlineStr">
        <is>
          <t>A 19730-2022</t>
        </is>
      </c>
      <c r="B5474" s="1" t="n">
        <v>44694</v>
      </c>
      <c r="C5474" s="1" t="n">
        <v>45911</v>
      </c>
      <c r="D5474" t="inlineStr">
        <is>
          <t>GÄVLEBORGS LÄN</t>
        </is>
      </c>
      <c r="E5474" t="inlineStr">
        <is>
          <t>GÄVLE</t>
        </is>
      </c>
      <c r="F5474" t="inlineStr">
        <is>
          <t>Bergvik skog väst AB</t>
        </is>
      </c>
      <c r="G5474" t="n">
        <v>3.5</v>
      </c>
      <c r="H5474" t="n">
        <v>0</v>
      </c>
      <c r="I5474" t="n">
        <v>0</v>
      </c>
      <c r="J5474" t="n">
        <v>0</v>
      </c>
      <c r="K5474" t="n">
        <v>0</v>
      </c>
      <c r="L5474" t="n">
        <v>0</v>
      </c>
      <c r="M5474" t="n">
        <v>0</v>
      </c>
      <c r="N5474" t="n">
        <v>0</v>
      </c>
      <c r="O5474" t="n">
        <v>0</v>
      </c>
      <c r="P5474" t="n">
        <v>0</v>
      </c>
      <c r="Q5474" t="n">
        <v>0</v>
      </c>
      <c r="R5474" s="2" t="inlineStr"/>
    </row>
    <row r="5475" ht="15" customHeight="1">
      <c r="A5475" t="inlineStr">
        <is>
          <t>A 628-2025</t>
        </is>
      </c>
      <c r="B5475" s="1" t="n">
        <v>45664</v>
      </c>
      <c r="C5475" s="1" t="n">
        <v>45911</v>
      </c>
      <c r="D5475" t="inlineStr">
        <is>
          <t>GÄVLEBORGS LÄN</t>
        </is>
      </c>
      <c r="E5475" t="inlineStr">
        <is>
          <t>OVANÅKER</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28879-2021</t>
        </is>
      </c>
      <c r="B5476" s="1" t="n">
        <v>44357</v>
      </c>
      <c r="C5476" s="1" t="n">
        <v>45911</v>
      </c>
      <c r="D5476" t="inlineStr">
        <is>
          <t>GÄVLEBORGS LÄN</t>
        </is>
      </c>
      <c r="E5476" t="inlineStr">
        <is>
          <t>NORDANSTIG</t>
        </is>
      </c>
      <c r="G5476" t="n">
        <v>3</v>
      </c>
      <c r="H5476" t="n">
        <v>0</v>
      </c>
      <c r="I5476" t="n">
        <v>0</v>
      </c>
      <c r="J5476" t="n">
        <v>0</v>
      </c>
      <c r="K5476" t="n">
        <v>0</v>
      </c>
      <c r="L5476" t="n">
        <v>0</v>
      </c>
      <c r="M5476" t="n">
        <v>0</v>
      </c>
      <c r="N5476" t="n">
        <v>0</v>
      </c>
      <c r="O5476" t="n">
        <v>0</v>
      </c>
      <c r="P5476" t="n">
        <v>0</v>
      </c>
      <c r="Q5476" t="n">
        <v>0</v>
      </c>
      <c r="R5476" s="2" t="inlineStr"/>
    </row>
    <row r="5477" ht="15" customHeight="1">
      <c r="A5477" t="inlineStr">
        <is>
          <t>A 34276-2025</t>
        </is>
      </c>
      <c r="B5477" s="1" t="n">
        <v>45845.9084375</v>
      </c>
      <c r="C5477" s="1" t="n">
        <v>45911</v>
      </c>
      <c r="D5477" t="inlineStr">
        <is>
          <t>GÄVLEBORGS LÄN</t>
        </is>
      </c>
      <c r="E5477" t="inlineStr">
        <is>
          <t>LJUSDAL</t>
        </is>
      </c>
      <c r="F5477" t="inlineStr">
        <is>
          <t>Holmen skog AB</t>
        </is>
      </c>
      <c r="G5477" t="n">
        <v>33.7</v>
      </c>
      <c r="H5477" t="n">
        <v>0</v>
      </c>
      <c r="I5477" t="n">
        <v>0</v>
      </c>
      <c r="J5477" t="n">
        <v>0</v>
      </c>
      <c r="K5477" t="n">
        <v>0</v>
      </c>
      <c r="L5477" t="n">
        <v>0</v>
      </c>
      <c r="M5477" t="n">
        <v>0</v>
      </c>
      <c r="N5477" t="n">
        <v>0</v>
      </c>
      <c r="O5477" t="n">
        <v>0</v>
      </c>
      <c r="P5477" t="n">
        <v>0</v>
      </c>
      <c r="Q5477" t="n">
        <v>0</v>
      </c>
      <c r="R5477" s="2" t="inlineStr"/>
    </row>
    <row r="5478" ht="15" customHeight="1">
      <c r="A5478" t="inlineStr">
        <is>
          <t>A 34280-2025</t>
        </is>
      </c>
      <c r="B5478" s="1" t="n">
        <v>45846.26282407407</v>
      </c>
      <c r="C5478" s="1" t="n">
        <v>45911</v>
      </c>
      <c r="D5478" t="inlineStr">
        <is>
          <t>GÄVLEBORGS LÄN</t>
        </is>
      </c>
      <c r="E5478" t="inlineStr">
        <is>
          <t>SÖDERHAMN</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10430-2025</t>
        </is>
      </c>
      <c r="B5479" s="1" t="n">
        <v>45720.65740740741</v>
      </c>
      <c r="C5479" s="1" t="n">
        <v>45911</v>
      </c>
      <c r="D5479" t="inlineStr">
        <is>
          <t>GÄVLEBORGS LÄN</t>
        </is>
      </c>
      <c r="E5479" t="inlineStr">
        <is>
          <t>GÄVLE</t>
        </is>
      </c>
      <c r="G5479" t="n">
        <v>3.4</v>
      </c>
      <c r="H5479" t="n">
        <v>0</v>
      </c>
      <c r="I5479" t="n">
        <v>0</v>
      </c>
      <c r="J5479" t="n">
        <v>0</v>
      </c>
      <c r="K5479" t="n">
        <v>0</v>
      </c>
      <c r="L5479" t="n">
        <v>0</v>
      </c>
      <c r="M5479" t="n">
        <v>0</v>
      </c>
      <c r="N5479" t="n">
        <v>0</v>
      </c>
      <c r="O5479" t="n">
        <v>0</v>
      </c>
      <c r="P5479" t="n">
        <v>0</v>
      </c>
      <c r="Q5479" t="n">
        <v>0</v>
      </c>
      <c r="R5479" s="2" t="inlineStr"/>
    </row>
    <row r="5480" ht="15" customHeight="1">
      <c r="A5480" t="inlineStr">
        <is>
          <t>A 9506-2021</t>
        </is>
      </c>
      <c r="B5480" s="1" t="n">
        <v>44251.54241898148</v>
      </c>
      <c r="C5480" s="1" t="n">
        <v>45911</v>
      </c>
      <c r="D5480" t="inlineStr">
        <is>
          <t>GÄVLEBORGS LÄN</t>
        </is>
      </c>
      <c r="E5480" t="inlineStr">
        <is>
          <t>OVANÅKER</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39124-2025</t>
        </is>
      </c>
      <c r="B5481" s="1" t="n">
        <v>45888.58320601852</v>
      </c>
      <c r="C5481" s="1" t="n">
        <v>45911</v>
      </c>
      <c r="D5481" t="inlineStr">
        <is>
          <t>GÄVLEBORGS LÄN</t>
        </is>
      </c>
      <c r="E5481" t="inlineStr">
        <is>
          <t>OVANÅKER</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39142-2025</t>
        </is>
      </c>
      <c r="B5482" s="1" t="n">
        <v>45888.59596064815</v>
      </c>
      <c r="C5482" s="1" t="n">
        <v>45911</v>
      </c>
      <c r="D5482" t="inlineStr">
        <is>
          <t>GÄVLEBORGS LÄN</t>
        </is>
      </c>
      <c r="E5482" t="inlineStr">
        <is>
          <t>OCKELBO</t>
        </is>
      </c>
      <c r="F5482" t="inlineStr">
        <is>
          <t>Bergvik skog väst AB</t>
        </is>
      </c>
      <c r="G5482" t="n">
        <v>3.3</v>
      </c>
      <c r="H5482" t="n">
        <v>0</v>
      </c>
      <c r="I5482" t="n">
        <v>0</v>
      </c>
      <c r="J5482" t="n">
        <v>0</v>
      </c>
      <c r="K5482" t="n">
        <v>0</v>
      </c>
      <c r="L5482" t="n">
        <v>0</v>
      </c>
      <c r="M5482" t="n">
        <v>0</v>
      </c>
      <c r="N5482" t="n">
        <v>0</v>
      </c>
      <c r="O5482" t="n">
        <v>0</v>
      </c>
      <c r="P5482" t="n">
        <v>0</v>
      </c>
      <c r="Q5482" t="n">
        <v>0</v>
      </c>
      <c r="R5482" s="2" t="inlineStr"/>
    </row>
    <row r="5483" ht="15" customHeight="1">
      <c r="A5483" t="inlineStr">
        <is>
          <t>A 59638-2024</t>
        </is>
      </c>
      <c r="B5483" s="1" t="n">
        <v>45639.28372685185</v>
      </c>
      <c r="C5483" s="1" t="n">
        <v>45911</v>
      </c>
      <c r="D5483" t="inlineStr">
        <is>
          <t>GÄVLEBORGS LÄN</t>
        </is>
      </c>
      <c r="E5483" t="inlineStr">
        <is>
          <t>BOLLNÄS</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11374-2025</t>
        </is>
      </c>
      <c r="B5484" s="1" t="n">
        <v>45726.55667824074</v>
      </c>
      <c r="C5484" s="1" t="n">
        <v>45911</v>
      </c>
      <c r="D5484" t="inlineStr">
        <is>
          <t>GÄVLEBORGS LÄN</t>
        </is>
      </c>
      <c r="E5484" t="inlineStr">
        <is>
          <t>SANDVIKEN</t>
        </is>
      </c>
      <c r="G5484" t="n">
        <v>2.5</v>
      </c>
      <c r="H5484" t="n">
        <v>0</v>
      </c>
      <c r="I5484" t="n">
        <v>0</v>
      </c>
      <c r="J5484" t="n">
        <v>0</v>
      </c>
      <c r="K5484" t="n">
        <v>0</v>
      </c>
      <c r="L5484" t="n">
        <v>0</v>
      </c>
      <c r="M5484" t="n">
        <v>0</v>
      </c>
      <c r="N5484" t="n">
        <v>0</v>
      </c>
      <c r="O5484" t="n">
        <v>0</v>
      </c>
      <c r="P5484" t="n">
        <v>0</v>
      </c>
      <c r="Q5484" t="n">
        <v>0</v>
      </c>
      <c r="R5484" s="2" t="inlineStr"/>
    </row>
    <row r="5485" ht="15" customHeight="1">
      <c r="A5485" t="inlineStr">
        <is>
          <t>A 26978-2022</t>
        </is>
      </c>
      <c r="B5485" s="1" t="n">
        <v>44740.703125</v>
      </c>
      <c r="C5485" s="1" t="n">
        <v>45911</v>
      </c>
      <c r="D5485" t="inlineStr">
        <is>
          <t>GÄVLEBORGS LÄN</t>
        </is>
      </c>
      <c r="E5485" t="inlineStr">
        <is>
          <t>SÖDERHAMN</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43929-2023</t>
        </is>
      </c>
      <c r="B5486" s="1" t="n">
        <v>45187.76679398148</v>
      </c>
      <c r="C5486" s="1" t="n">
        <v>45911</v>
      </c>
      <c r="D5486" t="inlineStr">
        <is>
          <t>GÄVLEBORGS LÄN</t>
        </is>
      </c>
      <c r="E5486" t="inlineStr">
        <is>
          <t>HUDIKSVALL</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34287-2025</t>
        </is>
      </c>
      <c r="B5487" s="1" t="n">
        <v>45846.32989583333</v>
      </c>
      <c r="C5487" s="1" t="n">
        <v>45911</v>
      </c>
      <c r="D5487" t="inlineStr">
        <is>
          <t>GÄVLEBORGS LÄN</t>
        </is>
      </c>
      <c r="E5487" t="inlineStr">
        <is>
          <t>NORDANSTIG</t>
        </is>
      </c>
      <c r="F5487" t="inlineStr">
        <is>
          <t>Holmen skog AB</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38845-2025</t>
        </is>
      </c>
      <c r="B5488" s="1" t="n">
        <v>45887.54144675926</v>
      </c>
      <c r="C5488" s="1" t="n">
        <v>45911</v>
      </c>
      <c r="D5488" t="inlineStr">
        <is>
          <t>GÄVLEBORGS LÄN</t>
        </is>
      </c>
      <c r="E5488" t="inlineStr">
        <is>
          <t>SANDVIKEN</t>
        </is>
      </c>
      <c r="F5488" t="inlineStr">
        <is>
          <t>Sveaskog</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38902-2025</t>
        </is>
      </c>
      <c r="B5489" s="1" t="n">
        <v>45887.60680555556</v>
      </c>
      <c r="C5489" s="1" t="n">
        <v>45911</v>
      </c>
      <c r="D5489" t="inlineStr">
        <is>
          <t>GÄVLEBORGS LÄN</t>
        </is>
      </c>
      <c r="E5489" t="inlineStr">
        <is>
          <t>BOLLNÄS</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34105-2025</t>
        </is>
      </c>
      <c r="B5490" s="1" t="n">
        <v>45845</v>
      </c>
      <c r="C5490" s="1" t="n">
        <v>45911</v>
      </c>
      <c r="D5490" t="inlineStr">
        <is>
          <t>GÄVLEBORGS LÄN</t>
        </is>
      </c>
      <c r="E5490" t="inlineStr">
        <is>
          <t>GÄVLE</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34116-2025</t>
        </is>
      </c>
      <c r="B5491" s="1" t="n">
        <v>45845.51070601852</v>
      </c>
      <c r="C5491" s="1" t="n">
        <v>45911</v>
      </c>
      <c r="D5491" t="inlineStr">
        <is>
          <t>GÄVLEBORGS LÄN</t>
        </is>
      </c>
      <c r="E5491" t="inlineStr">
        <is>
          <t>GÄVLE</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17052-2023</t>
        </is>
      </c>
      <c r="B5492" s="1" t="n">
        <v>45034.44483796296</v>
      </c>
      <c r="C5492" s="1" t="n">
        <v>45911</v>
      </c>
      <c r="D5492" t="inlineStr">
        <is>
          <t>GÄVLEBORGS LÄN</t>
        </is>
      </c>
      <c r="E5492" t="inlineStr">
        <is>
          <t>NORDANSTIG</t>
        </is>
      </c>
      <c r="F5492" t="inlineStr">
        <is>
          <t>Holmen skog AB</t>
        </is>
      </c>
      <c r="G5492" t="n">
        <v>8.6</v>
      </c>
      <c r="H5492" t="n">
        <v>0</v>
      </c>
      <c r="I5492" t="n">
        <v>0</v>
      </c>
      <c r="J5492" t="n">
        <v>0</v>
      </c>
      <c r="K5492" t="n">
        <v>0</v>
      </c>
      <c r="L5492" t="n">
        <v>0</v>
      </c>
      <c r="M5492" t="n">
        <v>0</v>
      </c>
      <c r="N5492" t="n">
        <v>0</v>
      </c>
      <c r="O5492" t="n">
        <v>0</v>
      </c>
      <c r="P5492" t="n">
        <v>0</v>
      </c>
      <c r="Q5492" t="n">
        <v>0</v>
      </c>
      <c r="R5492" s="2" t="inlineStr"/>
    </row>
    <row r="5493" ht="15" customHeight="1">
      <c r="A5493" t="inlineStr">
        <is>
          <t>A 38769-2025</t>
        </is>
      </c>
      <c r="B5493" s="1" t="n">
        <v>45887.41712962963</v>
      </c>
      <c r="C5493" s="1" t="n">
        <v>45911</v>
      </c>
      <c r="D5493" t="inlineStr">
        <is>
          <t>GÄVLEBORGS LÄN</t>
        </is>
      </c>
      <c r="E5493" t="inlineStr">
        <is>
          <t>BOLLNÄS</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39108-2025</t>
        </is>
      </c>
      <c r="B5494" s="1" t="n">
        <v>45888.53942129629</v>
      </c>
      <c r="C5494" s="1" t="n">
        <v>45911</v>
      </c>
      <c r="D5494" t="inlineStr">
        <is>
          <t>GÄVLEBORGS LÄN</t>
        </is>
      </c>
      <c r="E5494" t="inlineStr">
        <is>
          <t>LJUSDAL</t>
        </is>
      </c>
      <c r="F5494" t="inlineStr">
        <is>
          <t>Allmännings- och besparingsskogar</t>
        </is>
      </c>
      <c r="G5494" t="n">
        <v>3.7</v>
      </c>
      <c r="H5494" t="n">
        <v>0</v>
      </c>
      <c r="I5494" t="n">
        <v>0</v>
      </c>
      <c r="J5494" t="n">
        <v>0</v>
      </c>
      <c r="K5494" t="n">
        <v>0</v>
      </c>
      <c r="L5494" t="n">
        <v>0</v>
      </c>
      <c r="M5494" t="n">
        <v>0</v>
      </c>
      <c r="N5494" t="n">
        <v>0</v>
      </c>
      <c r="O5494" t="n">
        <v>0</v>
      </c>
      <c r="P5494" t="n">
        <v>0</v>
      </c>
      <c r="Q5494" t="n">
        <v>0</v>
      </c>
      <c r="R5494" s="2" t="inlineStr"/>
    </row>
    <row r="5495" ht="15" customHeight="1">
      <c r="A5495" t="inlineStr">
        <is>
          <t>A 34216-2025</t>
        </is>
      </c>
      <c r="B5495" s="1" t="n">
        <v>45845.64680555555</v>
      </c>
      <c r="C5495" s="1" t="n">
        <v>45911</v>
      </c>
      <c r="D5495" t="inlineStr">
        <is>
          <t>GÄVLEBORGS LÄN</t>
        </is>
      </c>
      <c r="E5495" t="inlineStr">
        <is>
          <t>BOLLNÄS</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34219-2025</t>
        </is>
      </c>
      <c r="B5496" s="1" t="n">
        <v>45845.64947916667</v>
      </c>
      <c r="C5496" s="1" t="n">
        <v>45911</v>
      </c>
      <c r="D5496" t="inlineStr">
        <is>
          <t>GÄVLEBORGS LÄN</t>
        </is>
      </c>
      <c r="E5496" t="inlineStr">
        <is>
          <t>SANDVIKEN</t>
        </is>
      </c>
      <c r="F5496" t="inlineStr">
        <is>
          <t>Sveaskog</t>
        </is>
      </c>
      <c r="G5496" t="n">
        <v>4.4</v>
      </c>
      <c r="H5496" t="n">
        <v>0</v>
      </c>
      <c r="I5496" t="n">
        <v>0</v>
      </c>
      <c r="J5496" t="n">
        <v>0</v>
      </c>
      <c r="K5496" t="n">
        <v>0</v>
      </c>
      <c r="L5496" t="n">
        <v>0</v>
      </c>
      <c r="M5496" t="n">
        <v>0</v>
      </c>
      <c r="N5496" t="n">
        <v>0</v>
      </c>
      <c r="O5496" t="n">
        <v>0</v>
      </c>
      <c r="P5496" t="n">
        <v>0</v>
      </c>
      <c r="Q5496" t="n">
        <v>0</v>
      </c>
      <c r="R5496" s="2" t="inlineStr"/>
    </row>
    <row r="5497" ht="15" customHeight="1">
      <c r="A5497" t="inlineStr">
        <is>
          <t>A 38741-2025</t>
        </is>
      </c>
      <c r="B5497" s="1" t="n">
        <v>45887.37405092592</v>
      </c>
      <c r="C5497" s="1" t="n">
        <v>45911</v>
      </c>
      <c r="D5497" t="inlineStr">
        <is>
          <t>GÄVLEBORGS LÄN</t>
        </is>
      </c>
      <c r="E5497" t="inlineStr">
        <is>
          <t>HOFORS</t>
        </is>
      </c>
      <c r="F5497" t="inlineStr">
        <is>
          <t>Sveaskog</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34725-2022</t>
        </is>
      </c>
      <c r="B5498" s="1" t="n">
        <v>44795.59475694445</v>
      </c>
      <c r="C5498" s="1" t="n">
        <v>45911</v>
      </c>
      <c r="D5498" t="inlineStr">
        <is>
          <t>GÄVLEBORGS LÄN</t>
        </is>
      </c>
      <c r="E5498" t="inlineStr">
        <is>
          <t>SÖDERHAMN</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25939-2021</t>
        </is>
      </c>
      <c r="B5499" s="1" t="n">
        <v>44344.47533564815</v>
      </c>
      <c r="C5499" s="1" t="n">
        <v>45911</v>
      </c>
      <c r="D5499" t="inlineStr">
        <is>
          <t>GÄVLEBORGS LÄN</t>
        </is>
      </c>
      <c r="E5499" t="inlineStr">
        <is>
          <t>OVANÅKER</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30561-2024</t>
        </is>
      </c>
      <c r="B5500" s="1" t="n">
        <v>45492.92834490741</v>
      </c>
      <c r="C5500" s="1" t="n">
        <v>45911</v>
      </c>
      <c r="D5500" t="inlineStr">
        <is>
          <t>GÄVLEBORGS LÄN</t>
        </is>
      </c>
      <c r="E5500" t="inlineStr">
        <is>
          <t>BOLLNÄS</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38758-2025</t>
        </is>
      </c>
      <c r="B5501" s="1" t="n">
        <v>45887.39670138889</v>
      </c>
      <c r="C5501" s="1" t="n">
        <v>45911</v>
      </c>
      <c r="D5501" t="inlineStr">
        <is>
          <t>GÄVLEBORGS LÄN</t>
        </is>
      </c>
      <c r="E5501" t="inlineStr">
        <is>
          <t>LJUSDAL</t>
        </is>
      </c>
      <c r="G5501" t="n">
        <v>4.4</v>
      </c>
      <c r="H5501" t="n">
        <v>0</v>
      </c>
      <c r="I5501" t="n">
        <v>0</v>
      </c>
      <c r="J5501" t="n">
        <v>0</v>
      </c>
      <c r="K5501" t="n">
        <v>0</v>
      </c>
      <c r="L5501" t="n">
        <v>0</v>
      </c>
      <c r="M5501" t="n">
        <v>0</v>
      </c>
      <c r="N5501" t="n">
        <v>0</v>
      </c>
      <c r="O5501" t="n">
        <v>0</v>
      </c>
      <c r="P5501" t="n">
        <v>0</v>
      </c>
      <c r="Q5501" t="n">
        <v>0</v>
      </c>
      <c r="R5501" s="2" t="inlineStr"/>
    </row>
    <row r="5502" ht="15" customHeight="1">
      <c r="A5502" t="inlineStr">
        <is>
          <t>A 20717-2024</t>
        </is>
      </c>
      <c r="B5502" s="1" t="n">
        <v>45436.6455324074</v>
      </c>
      <c r="C5502" s="1" t="n">
        <v>45911</v>
      </c>
      <c r="D5502" t="inlineStr">
        <is>
          <t>GÄVLEBORGS LÄN</t>
        </is>
      </c>
      <c r="E5502" t="inlineStr">
        <is>
          <t>SÖDERHAMN</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54627-2024</t>
        </is>
      </c>
      <c r="B5503" s="1" t="n">
        <v>45617.82288194444</v>
      </c>
      <c r="C5503" s="1" t="n">
        <v>45911</v>
      </c>
      <c r="D5503" t="inlineStr">
        <is>
          <t>GÄVLEBORGS LÄN</t>
        </is>
      </c>
      <c r="E5503" t="inlineStr">
        <is>
          <t>OCKELBO</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33386-2024</t>
        </is>
      </c>
      <c r="B5504" s="1" t="n">
        <v>45519.47221064815</v>
      </c>
      <c r="C5504" s="1" t="n">
        <v>45911</v>
      </c>
      <c r="D5504" t="inlineStr">
        <is>
          <t>GÄVLEBORGS LÄN</t>
        </is>
      </c>
      <c r="E5504" t="inlineStr">
        <is>
          <t>LJUSDAL</t>
        </is>
      </c>
      <c r="F5504" t="inlineStr">
        <is>
          <t>Sveaskog</t>
        </is>
      </c>
      <c r="G5504" t="n">
        <v>3.3</v>
      </c>
      <c r="H5504" t="n">
        <v>0</v>
      </c>
      <c r="I5504" t="n">
        <v>0</v>
      </c>
      <c r="J5504" t="n">
        <v>0</v>
      </c>
      <c r="K5504" t="n">
        <v>0</v>
      </c>
      <c r="L5504" t="n">
        <v>0</v>
      </c>
      <c r="M5504" t="n">
        <v>0</v>
      </c>
      <c r="N5504" t="n">
        <v>0</v>
      </c>
      <c r="O5504" t="n">
        <v>0</v>
      </c>
      <c r="P5504" t="n">
        <v>0</v>
      </c>
      <c r="Q5504" t="n">
        <v>0</v>
      </c>
      <c r="R5504" s="2" t="inlineStr"/>
    </row>
    <row r="5505" ht="15" customHeight="1">
      <c r="A5505" t="inlineStr">
        <is>
          <t>A 48581-2021</t>
        </is>
      </c>
      <c r="B5505" s="1" t="n">
        <v>44452.47513888889</v>
      </c>
      <c r="C5505" s="1" t="n">
        <v>45911</v>
      </c>
      <c r="D5505" t="inlineStr">
        <is>
          <t>GÄVLEBORGS LÄN</t>
        </is>
      </c>
      <c r="E5505" t="inlineStr">
        <is>
          <t>LJUSDAL</t>
        </is>
      </c>
      <c r="G5505" t="n">
        <v>0.4</v>
      </c>
      <c r="H5505" t="n">
        <v>0</v>
      </c>
      <c r="I5505" t="n">
        <v>0</v>
      </c>
      <c r="J5505" t="n">
        <v>0</v>
      </c>
      <c r="K5505" t="n">
        <v>0</v>
      </c>
      <c r="L5505" t="n">
        <v>0</v>
      </c>
      <c r="M5505" t="n">
        <v>0</v>
      </c>
      <c r="N5505" t="n">
        <v>0</v>
      </c>
      <c r="O5505" t="n">
        <v>0</v>
      </c>
      <c r="P5505" t="n">
        <v>0</v>
      </c>
      <c r="Q5505" t="n">
        <v>0</v>
      </c>
      <c r="R5505" s="2" t="inlineStr"/>
    </row>
    <row r="5506" ht="15" customHeight="1">
      <c r="A5506" t="inlineStr">
        <is>
          <t>A 35679-2023</t>
        </is>
      </c>
      <c r="B5506" s="1" t="n">
        <v>45147</v>
      </c>
      <c r="C5506" s="1" t="n">
        <v>45911</v>
      </c>
      <c r="D5506" t="inlineStr">
        <is>
          <t>GÄVLEBORGS LÄN</t>
        </is>
      </c>
      <c r="E5506" t="inlineStr">
        <is>
          <t>HUDIKSVALL</t>
        </is>
      </c>
      <c r="F5506" t="inlineStr">
        <is>
          <t>Holmen skog AB</t>
        </is>
      </c>
      <c r="G5506" t="n">
        <v>6.5</v>
      </c>
      <c r="H5506" t="n">
        <v>0</v>
      </c>
      <c r="I5506" t="n">
        <v>0</v>
      </c>
      <c r="J5506" t="n">
        <v>0</v>
      </c>
      <c r="K5506" t="n">
        <v>0</v>
      </c>
      <c r="L5506" t="n">
        <v>0</v>
      </c>
      <c r="M5506" t="n">
        <v>0</v>
      </c>
      <c r="N5506" t="n">
        <v>0</v>
      </c>
      <c r="O5506" t="n">
        <v>0</v>
      </c>
      <c r="P5506" t="n">
        <v>0</v>
      </c>
      <c r="Q5506" t="n">
        <v>0</v>
      </c>
      <c r="R5506" s="2" t="inlineStr"/>
    </row>
    <row r="5507" ht="15" customHeight="1">
      <c r="A5507" t="inlineStr">
        <is>
          <t>A 27534-2021</t>
        </is>
      </c>
      <c r="B5507" s="1" t="n">
        <v>44351.67798611111</v>
      </c>
      <c r="C5507" s="1" t="n">
        <v>45911</v>
      </c>
      <c r="D5507" t="inlineStr">
        <is>
          <t>GÄVLEBORGS LÄN</t>
        </is>
      </c>
      <c r="E5507" t="inlineStr">
        <is>
          <t>OVANÅKER</t>
        </is>
      </c>
      <c r="F5507" t="inlineStr">
        <is>
          <t>Sveaskog</t>
        </is>
      </c>
      <c r="G5507" t="n">
        <v>4.1</v>
      </c>
      <c r="H5507" t="n">
        <v>0</v>
      </c>
      <c r="I5507" t="n">
        <v>0</v>
      </c>
      <c r="J5507" t="n">
        <v>0</v>
      </c>
      <c r="K5507" t="n">
        <v>0</v>
      </c>
      <c r="L5507" t="n">
        <v>0</v>
      </c>
      <c r="M5507" t="n">
        <v>0</v>
      </c>
      <c r="N5507" t="n">
        <v>0</v>
      </c>
      <c r="O5507" t="n">
        <v>0</v>
      </c>
      <c r="P5507" t="n">
        <v>0</v>
      </c>
      <c r="Q5507" t="n">
        <v>0</v>
      </c>
      <c r="R5507" s="2" t="inlineStr"/>
    </row>
    <row r="5508" ht="15" customHeight="1">
      <c r="A5508" t="inlineStr">
        <is>
          <t>A 15877-2025</t>
        </is>
      </c>
      <c r="B5508" s="1" t="n">
        <v>45749.38613425926</v>
      </c>
      <c r="C5508" s="1" t="n">
        <v>45911</v>
      </c>
      <c r="D5508" t="inlineStr">
        <is>
          <t>GÄVLEBORGS LÄN</t>
        </is>
      </c>
      <c r="E5508" t="inlineStr">
        <is>
          <t>SÖDERHAMN</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27536-2021</t>
        </is>
      </c>
      <c r="B5509" s="1" t="n">
        <v>44351.67927083333</v>
      </c>
      <c r="C5509" s="1" t="n">
        <v>45911</v>
      </c>
      <c r="D5509" t="inlineStr">
        <is>
          <t>GÄVLEBORGS LÄN</t>
        </is>
      </c>
      <c r="E5509" t="inlineStr">
        <is>
          <t>OVANÅKER</t>
        </is>
      </c>
      <c r="F5509" t="inlineStr">
        <is>
          <t>Sveaskog</t>
        </is>
      </c>
      <c r="G5509" t="n">
        <v>3.2</v>
      </c>
      <c r="H5509" t="n">
        <v>0</v>
      </c>
      <c r="I5509" t="n">
        <v>0</v>
      </c>
      <c r="J5509" t="n">
        <v>0</v>
      </c>
      <c r="K5509" t="n">
        <v>0</v>
      </c>
      <c r="L5509" t="n">
        <v>0</v>
      </c>
      <c r="M5509" t="n">
        <v>0</v>
      </c>
      <c r="N5509" t="n">
        <v>0</v>
      </c>
      <c r="O5509" t="n">
        <v>0</v>
      </c>
      <c r="P5509" t="n">
        <v>0</v>
      </c>
      <c r="Q5509" t="n">
        <v>0</v>
      </c>
      <c r="R5509" s="2" t="inlineStr"/>
    </row>
    <row r="5510" ht="15" customHeight="1">
      <c r="A5510" t="inlineStr">
        <is>
          <t>A 6350-2025</t>
        </is>
      </c>
      <c r="B5510" s="1" t="n">
        <v>45699.34824074074</v>
      </c>
      <c r="C5510" s="1" t="n">
        <v>45911</v>
      </c>
      <c r="D5510" t="inlineStr">
        <is>
          <t>GÄVLEBORGS LÄN</t>
        </is>
      </c>
      <c r="E5510" t="inlineStr">
        <is>
          <t>NORDANSTIG</t>
        </is>
      </c>
      <c r="F5510" t="inlineStr">
        <is>
          <t>Holmen skog AB</t>
        </is>
      </c>
      <c r="G5510" t="n">
        <v>9.699999999999999</v>
      </c>
      <c r="H5510" t="n">
        <v>0</v>
      </c>
      <c r="I5510" t="n">
        <v>0</v>
      </c>
      <c r="J5510" t="n">
        <v>0</v>
      </c>
      <c r="K5510" t="n">
        <v>0</v>
      </c>
      <c r="L5510" t="n">
        <v>0</v>
      </c>
      <c r="M5510" t="n">
        <v>0</v>
      </c>
      <c r="N5510" t="n">
        <v>0</v>
      </c>
      <c r="O5510" t="n">
        <v>0</v>
      </c>
      <c r="P5510" t="n">
        <v>0</v>
      </c>
      <c r="Q5510" t="n">
        <v>0</v>
      </c>
      <c r="R5510" s="2" t="inlineStr"/>
    </row>
    <row r="5511" ht="15" customHeight="1">
      <c r="A5511" t="inlineStr">
        <is>
          <t>A 6396-2025</t>
        </is>
      </c>
      <c r="B5511" s="1" t="n">
        <v>45699.43766203704</v>
      </c>
      <c r="C5511" s="1" t="n">
        <v>45911</v>
      </c>
      <c r="D5511" t="inlineStr">
        <is>
          <t>GÄVLEBORGS LÄN</t>
        </is>
      </c>
      <c r="E5511" t="inlineStr">
        <is>
          <t>OCKELBO</t>
        </is>
      </c>
      <c r="F5511" t="inlineStr">
        <is>
          <t>Bergvik skog väst AB</t>
        </is>
      </c>
      <c r="G5511" t="n">
        <v>4.1</v>
      </c>
      <c r="H5511" t="n">
        <v>0</v>
      </c>
      <c r="I5511" t="n">
        <v>0</v>
      </c>
      <c r="J5511" t="n">
        <v>0</v>
      </c>
      <c r="K5511" t="n">
        <v>0</v>
      </c>
      <c r="L5511" t="n">
        <v>0</v>
      </c>
      <c r="M5511" t="n">
        <v>0</v>
      </c>
      <c r="N5511" t="n">
        <v>0</v>
      </c>
      <c r="O5511" t="n">
        <v>0</v>
      </c>
      <c r="P5511" t="n">
        <v>0</v>
      </c>
      <c r="Q5511" t="n">
        <v>0</v>
      </c>
      <c r="R5511" s="2" t="inlineStr"/>
    </row>
    <row r="5512" ht="15" customHeight="1">
      <c r="A5512" t="inlineStr">
        <is>
          <t>A 37495-2024</t>
        </is>
      </c>
      <c r="B5512" s="1" t="n">
        <v>45541</v>
      </c>
      <c r="C5512" s="1" t="n">
        <v>45911</v>
      </c>
      <c r="D5512" t="inlineStr">
        <is>
          <t>GÄVLEBORGS LÄN</t>
        </is>
      </c>
      <c r="E5512" t="inlineStr">
        <is>
          <t>HUDIKSVALL</t>
        </is>
      </c>
      <c r="F5512" t="inlineStr">
        <is>
          <t>Naturvårdsverket</t>
        </is>
      </c>
      <c r="G5512" t="n">
        <v>5.8</v>
      </c>
      <c r="H5512" t="n">
        <v>0</v>
      </c>
      <c r="I5512" t="n">
        <v>0</v>
      </c>
      <c r="J5512" t="n">
        <v>0</v>
      </c>
      <c r="K5512" t="n">
        <v>0</v>
      </c>
      <c r="L5512" t="n">
        <v>0</v>
      </c>
      <c r="M5512" t="n">
        <v>0</v>
      </c>
      <c r="N5512" t="n">
        <v>0</v>
      </c>
      <c r="O5512" t="n">
        <v>0</v>
      </c>
      <c r="P5512" t="n">
        <v>0</v>
      </c>
      <c r="Q5512" t="n">
        <v>0</v>
      </c>
      <c r="R5512" s="2" t="inlineStr"/>
    </row>
    <row r="5513" ht="15" customHeight="1">
      <c r="A5513" t="inlineStr">
        <is>
          <t>A 49624-2022</t>
        </is>
      </c>
      <c r="B5513" s="1" t="n">
        <v>44862</v>
      </c>
      <c r="C5513" s="1" t="n">
        <v>45911</v>
      </c>
      <c r="D5513" t="inlineStr">
        <is>
          <t>GÄVLEBORGS LÄN</t>
        </is>
      </c>
      <c r="E5513" t="inlineStr">
        <is>
          <t>BOLLNÄS</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21978-2025</t>
        </is>
      </c>
      <c r="B5514" s="1" t="n">
        <v>45784.64991898148</v>
      </c>
      <c r="C5514" s="1" t="n">
        <v>45911</v>
      </c>
      <c r="D5514" t="inlineStr">
        <is>
          <t>GÄVLEBORGS LÄN</t>
        </is>
      </c>
      <c r="E5514" t="inlineStr">
        <is>
          <t>GÄVLE</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34089-2025</t>
        </is>
      </c>
      <c r="B5515" s="1" t="n">
        <v>45845.46960648148</v>
      </c>
      <c r="C5515" s="1" t="n">
        <v>45911</v>
      </c>
      <c r="D5515" t="inlineStr">
        <is>
          <t>GÄVLEBORGS LÄN</t>
        </is>
      </c>
      <c r="E5515" t="inlineStr">
        <is>
          <t>GÄVLE</t>
        </is>
      </c>
      <c r="F5515" t="inlineStr">
        <is>
          <t>Bergvik skog väst AB</t>
        </is>
      </c>
      <c r="G5515" t="n">
        <v>8.300000000000001</v>
      </c>
      <c r="H5515" t="n">
        <v>0</v>
      </c>
      <c r="I5515" t="n">
        <v>0</v>
      </c>
      <c r="J5515" t="n">
        <v>0</v>
      </c>
      <c r="K5515" t="n">
        <v>0</v>
      </c>
      <c r="L5515" t="n">
        <v>0</v>
      </c>
      <c r="M5515" t="n">
        <v>0</v>
      </c>
      <c r="N5515" t="n">
        <v>0</v>
      </c>
      <c r="O5515" t="n">
        <v>0</v>
      </c>
      <c r="P5515" t="n">
        <v>0</v>
      </c>
      <c r="Q5515" t="n">
        <v>0</v>
      </c>
      <c r="R5515" s="2" t="inlineStr"/>
    </row>
    <row r="5516" ht="15" customHeight="1">
      <c r="A5516" t="inlineStr">
        <is>
          <t>A 65403-2021</t>
        </is>
      </c>
      <c r="B5516" s="1" t="n">
        <v>44515</v>
      </c>
      <c r="C5516" s="1" t="n">
        <v>45911</v>
      </c>
      <c r="D5516" t="inlineStr">
        <is>
          <t>GÄVLEBORGS LÄN</t>
        </is>
      </c>
      <c r="E5516" t="inlineStr">
        <is>
          <t>BOLLNÄS</t>
        </is>
      </c>
      <c r="F5516" t="inlineStr">
        <is>
          <t>Bergvik skog väst AB</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10891-2025</t>
        </is>
      </c>
      <c r="B5517" s="1" t="n">
        <v>45722.67386574074</v>
      </c>
      <c r="C5517" s="1" t="n">
        <v>45911</v>
      </c>
      <c r="D5517" t="inlineStr">
        <is>
          <t>GÄVLEBORGS LÄN</t>
        </is>
      </c>
      <c r="E5517" t="inlineStr">
        <is>
          <t>OVANÅKER</t>
        </is>
      </c>
      <c r="G5517" t="n">
        <v>10.3</v>
      </c>
      <c r="H5517" t="n">
        <v>0</v>
      </c>
      <c r="I5517" t="n">
        <v>0</v>
      </c>
      <c r="J5517" t="n">
        <v>0</v>
      </c>
      <c r="K5517" t="n">
        <v>0</v>
      </c>
      <c r="L5517" t="n">
        <v>0</v>
      </c>
      <c r="M5517" t="n">
        <v>0</v>
      </c>
      <c r="N5517" t="n">
        <v>0</v>
      </c>
      <c r="O5517" t="n">
        <v>0</v>
      </c>
      <c r="P5517" t="n">
        <v>0</v>
      </c>
      <c r="Q5517" t="n">
        <v>0</v>
      </c>
      <c r="R5517" s="2" t="inlineStr"/>
    </row>
    <row r="5518" ht="15" customHeight="1">
      <c r="A5518" t="inlineStr">
        <is>
          <t>A 10994-2025</t>
        </is>
      </c>
      <c r="B5518" s="1" t="n">
        <v>45723.43423611111</v>
      </c>
      <c r="C5518" s="1" t="n">
        <v>45911</v>
      </c>
      <c r="D5518" t="inlineStr">
        <is>
          <t>GÄVLEBORGS LÄN</t>
        </is>
      </c>
      <c r="E5518" t="inlineStr">
        <is>
          <t>HUDIKSVALL</t>
        </is>
      </c>
      <c r="F5518" t="inlineStr">
        <is>
          <t>Holmen skog AB</t>
        </is>
      </c>
      <c r="G5518" t="n">
        <v>5.7</v>
      </c>
      <c r="H5518" t="n">
        <v>0</v>
      </c>
      <c r="I5518" t="n">
        <v>0</v>
      </c>
      <c r="J5518" t="n">
        <v>0</v>
      </c>
      <c r="K5518" t="n">
        <v>0</v>
      </c>
      <c r="L5518" t="n">
        <v>0</v>
      </c>
      <c r="M5518" t="n">
        <v>0</v>
      </c>
      <c r="N5518" t="n">
        <v>0</v>
      </c>
      <c r="O5518" t="n">
        <v>0</v>
      </c>
      <c r="P5518" t="n">
        <v>0</v>
      </c>
      <c r="Q5518" t="n">
        <v>0</v>
      </c>
      <c r="R5518" s="2" t="inlineStr"/>
    </row>
    <row r="5519" ht="15" customHeight="1">
      <c r="A5519" t="inlineStr">
        <is>
          <t>A 39591-2024</t>
        </is>
      </c>
      <c r="B5519" s="1" t="n">
        <v>45552.37234953704</v>
      </c>
      <c r="C5519" s="1" t="n">
        <v>45911</v>
      </c>
      <c r="D5519" t="inlineStr">
        <is>
          <t>GÄVLEBORGS LÄN</t>
        </is>
      </c>
      <c r="E5519" t="inlineStr">
        <is>
          <t>SANDVIKEN</t>
        </is>
      </c>
      <c r="G5519" t="n">
        <v>3.8</v>
      </c>
      <c r="H5519" t="n">
        <v>0</v>
      </c>
      <c r="I5519" t="n">
        <v>0</v>
      </c>
      <c r="J5519" t="n">
        <v>0</v>
      </c>
      <c r="K5519" t="n">
        <v>0</v>
      </c>
      <c r="L5519" t="n">
        <v>0</v>
      </c>
      <c r="M5519" t="n">
        <v>0</v>
      </c>
      <c r="N5519" t="n">
        <v>0</v>
      </c>
      <c r="O5519" t="n">
        <v>0</v>
      </c>
      <c r="P5519" t="n">
        <v>0</v>
      </c>
      <c r="Q5519" t="n">
        <v>0</v>
      </c>
      <c r="R5519" s="2" t="inlineStr"/>
    </row>
    <row r="5520" ht="15" customHeight="1">
      <c r="A5520" t="inlineStr">
        <is>
          <t>A 51599-2024</t>
        </is>
      </c>
      <c r="B5520" s="1" t="n">
        <v>45604</v>
      </c>
      <c r="C5520" s="1" t="n">
        <v>45911</v>
      </c>
      <c r="D5520" t="inlineStr">
        <is>
          <t>GÄVLEBORGS LÄN</t>
        </is>
      </c>
      <c r="E5520" t="inlineStr">
        <is>
          <t>LJUSDAL</t>
        </is>
      </c>
      <c r="F5520" t="inlineStr">
        <is>
          <t>Sveaskog</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34064-2025</t>
        </is>
      </c>
      <c r="B5521" s="1" t="n">
        <v>45845.42802083334</v>
      </c>
      <c r="C5521" s="1" t="n">
        <v>45911</v>
      </c>
      <c r="D5521" t="inlineStr">
        <is>
          <t>GÄVLEBORGS LÄN</t>
        </is>
      </c>
      <c r="E5521" t="inlineStr">
        <is>
          <t>OVANÅKER</t>
        </is>
      </c>
      <c r="G5521" t="n">
        <v>3.2</v>
      </c>
      <c r="H5521" t="n">
        <v>0</v>
      </c>
      <c r="I5521" t="n">
        <v>0</v>
      </c>
      <c r="J5521" t="n">
        <v>0</v>
      </c>
      <c r="K5521" t="n">
        <v>0</v>
      </c>
      <c r="L5521" t="n">
        <v>0</v>
      </c>
      <c r="M5521" t="n">
        <v>0</v>
      </c>
      <c r="N5521" t="n">
        <v>0</v>
      </c>
      <c r="O5521" t="n">
        <v>0</v>
      </c>
      <c r="P5521" t="n">
        <v>0</v>
      </c>
      <c r="Q5521" t="n">
        <v>0</v>
      </c>
      <c r="R5521" s="2" t="inlineStr"/>
    </row>
    <row r="5522" ht="15" customHeight="1">
      <c r="A5522" t="inlineStr">
        <is>
          <t>A 51681-2024</t>
        </is>
      </c>
      <c r="B5522" s="1" t="n">
        <v>45607.34104166667</v>
      </c>
      <c r="C5522" s="1" t="n">
        <v>45911</v>
      </c>
      <c r="D5522" t="inlineStr">
        <is>
          <t>GÄVLEBORGS LÄN</t>
        </is>
      </c>
      <c r="E5522" t="inlineStr">
        <is>
          <t>BOLLNÄS</t>
        </is>
      </c>
      <c r="F5522" t="inlineStr">
        <is>
          <t>Bergvik skog väst AB</t>
        </is>
      </c>
      <c r="G5522" t="n">
        <v>0.3</v>
      </c>
      <c r="H5522" t="n">
        <v>0</v>
      </c>
      <c r="I5522" t="n">
        <v>0</v>
      </c>
      <c r="J5522" t="n">
        <v>0</v>
      </c>
      <c r="K5522" t="n">
        <v>0</v>
      </c>
      <c r="L5522" t="n">
        <v>0</v>
      </c>
      <c r="M5522" t="n">
        <v>0</v>
      </c>
      <c r="N5522" t="n">
        <v>0</v>
      </c>
      <c r="O5522" t="n">
        <v>0</v>
      </c>
      <c r="P5522" t="n">
        <v>0</v>
      </c>
      <c r="Q5522" t="n">
        <v>0</v>
      </c>
      <c r="R5522" s="2" t="inlineStr"/>
    </row>
    <row r="5523" ht="15" customHeight="1">
      <c r="A5523" t="inlineStr">
        <is>
          <t>A 34113-2025</t>
        </is>
      </c>
      <c r="B5523" s="1" t="n">
        <v>45845.50296296296</v>
      </c>
      <c r="C5523" s="1" t="n">
        <v>45911</v>
      </c>
      <c r="D5523" t="inlineStr">
        <is>
          <t>GÄVLEBORGS LÄN</t>
        </is>
      </c>
      <c r="E5523" t="inlineStr">
        <is>
          <t>GÄVLE</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8670-2025</t>
        </is>
      </c>
      <c r="B5524" s="1" t="n">
        <v>45712</v>
      </c>
      <c r="C5524" s="1" t="n">
        <v>45911</v>
      </c>
      <c r="D5524" t="inlineStr">
        <is>
          <t>GÄVLEBORGS LÄN</t>
        </is>
      </c>
      <c r="E5524" t="inlineStr">
        <is>
          <t>GÄVLE</t>
        </is>
      </c>
      <c r="F5524" t="inlineStr">
        <is>
          <t>Kyrkan</t>
        </is>
      </c>
      <c r="G5524" t="n">
        <v>4.3</v>
      </c>
      <c r="H5524" t="n">
        <v>0</v>
      </c>
      <c r="I5524" t="n">
        <v>0</v>
      </c>
      <c r="J5524" t="n">
        <v>0</v>
      </c>
      <c r="K5524" t="n">
        <v>0</v>
      </c>
      <c r="L5524" t="n">
        <v>0</v>
      </c>
      <c r="M5524" t="n">
        <v>0</v>
      </c>
      <c r="N5524" t="n">
        <v>0</v>
      </c>
      <c r="O5524" t="n">
        <v>0</v>
      </c>
      <c r="P5524" t="n">
        <v>0</v>
      </c>
      <c r="Q5524" t="n">
        <v>0</v>
      </c>
      <c r="R5524" s="2" t="inlineStr"/>
    </row>
    <row r="5525" ht="15" customHeight="1">
      <c r="A5525" t="inlineStr">
        <is>
          <t>A 53566-2022</t>
        </is>
      </c>
      <c r="B5525" s="1" t="n">
        <v>44879</v>
      </c>
      <c r="C5525" s="1" t="n">
        <v>45911</v>
      </c>
      <c r="D5525" t="inlineStr">
        <is>
          <t>GÄVLEBORGS LÄN</t>
        </is>
      </c>
      <c r="E5525" t="inlineStr">
        <is>
          <t>BOLLNÄS</t>
        </is>
      </c>
      <c r="F5525" t="inlineStr">
        <is>
          <t>Holmen skog AB</t>
        </is>
      </c>
      <c r="G5525" t="n">
        <v>2.6</v>
      </c>
      <c r="H5525" t="n">
        <v>0</v>
      </c>
      <c r="I5525" t="n">
        <v>0</v>
      </c>
      <c r="J5525" t="n">
        <v>0</v>
      </c>
      <c r="K5525" t="n">
        <v>0</v>
      </c>
      <c r="L5525" t="n">
        <v>0</v>
      </c>
      <c r="M5525" t="n">
        <v>0</v>
      </c>
      <c r="N5525" t="n">
        <v>0</v>
      </c>
      <c r="O5525" t="n">
        <v>0</v>
      </c>
      <c r="P5525" t="n">
        <v>0</v>
      </c>
      <c r="Q5525" t="n">
        <v>0</v>
      </c>
      <c r="R5525" s="2" t="inlineStr"/>
    </row>
    <row r="5526" ht="15" customHeight="1">
      <c r="A5526" t="inlineStr">
        <is>
          <t>A 34224-2025</t>
        </is>
      </c>
      <c r="B5526" s="1" t="n">
        <v>45845.65662037037</v>
      </c>
      <c r="C5526" s="1" t="n">
        <v>45911</v>
      </c>
      <c r="D5526" t="inlineStr">
        <is>
          <t>GÄVLEBORGS LÄN</t>
        </is>
      </c>
      <c r="E5526" t="inlineStr">
        <is>
          <t>BOLLNÄS</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15763-2021</t>
        </is>
      </c>
      <c r="B5527" s="1" t="n">
        <v>44286</v>
      </c>
      <c r="C5527" s="1" t="n">
        <v>45911</v>
      </c>
      <c r="D5527" t="inlineStr">
        <is>
          <t>GÄVLEBORGS LÄN</t>
        </is>
      </c>
      <c r="E5527" t="inlineStr">
        <is>
          <t>GÄVLE</t>
        </is>
      </c>
      <c r="F5527" t="inlineStr">
        <is>
          <t>Bergvik skog väst AB</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41034-2021</t>
        </is>
      </c>
      <c r="B5528" s="1" t="n">
        <v>44421</v>
      </c>
      <c r="C5528" s="1" t="n">
        <v>45911</v>
      </c>
      <c r="D5528" t="inlineStr">
        <is>
          <t>GÄVLEBORGS LÄN</t>
        </is>
      </c>
      <c r="E5528" t="inlineStr">
        <is>
          <t>HUDIKSVALL</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730-2021</t>
        </is>
      </c>
      <c r="B5529" s="1" t="n">
        <v>44204</v>
      </c>
      <c r="C5529" s="1" t="n">
        <v>45911</v>
      </c>
      <c r="D5529" t="inlineStr">
        <is>
          <t>GÄVLEBORGS LÄN</t>
        </is>
      </c>
      <c r="E5529" t="inlineStr">
        <is>
          <t>BOLLNÄS</t>
        </is>
      </c>
      <c r="F5529" t="inlineStr">
        <is>
          <t>Bergvik skog väst AB</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29586-2021</t>
        </is>
      </c>
      <c r="B5530" s="1" t="n">
        <v>44361.9196875</v>
      </c>
      <c r="C5530" s="1" t="n">
        <v>45911</v>
      </c>
      <c r="D5530" t="inlineStr">
        <is>
          <t>GÄVLEBORGS LÄN</t>
        </is>
      </c>
      <c r="E5530" t="inlineStr">
        <is>
          <t>LJUSDAL</t>
        </is>
      </c>
      <c r="G5530" t="n">
        <v>6.5</v>
      </c>
      <c r="H5530" t="n">
        <v>0</v>
      </c>
      <c r="I5530" t="n">
        <v>0</v>
      </c>
      <c r="J5530" t="n">
        <v>0</v>
      </c>
      <c r="K5530" t="n">
        <v>0</v>
      </c>
      <c r="L5530" t="n">
        <v>0</v>
      </c>
      <c r="M5530" t="n">
        <v>0</v>
      </c>
      <c r="N5530" t="n">
        <v>0</v>
      </c>
      <c r="O5530" t="n">
        <v>0</v>
      </c>
      <c r="P5530" t="n">
        <v>0</v>
      </c>
      <c r="Q5530" t="n">
        <v>0</v>
      </c>
      <c r="R5530" s="2" t="inlineStr"/>
    </row>
    <row r="5531" ht="15" customHeight="1">
      <c r="A5531" t="inlineStr">
        <is>
          <t>A 35268-2022</t>
        </is>
      </c>
      <c r="B5531" s="1" t="n">
        <v>44798.37648148148</v>
      </c>
      <c r="C5531" s="1" t="n">
        <v>45911</v>
      </c>
      <c r="D5531" t="inlineStr">
        <is>
          <t>GÄVLEBORGS LÄN</t>
        </is>
      </c>
      <c r="E5531" t="inlineStr">
        <is>
          <t>HUDIKSVALL</t>
        </is>
      </c>
      <c r="F5531" t="inlineStr">
        <is>
          <t>Holmen skog AB</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39012-2025</t>
        </is>
      </c>
      <c r="B5532" s="1" t="n">
        <v>45888.35570601852</v>
      </c>
      <c r="C5532" s="1" t="n">
        <v>45911</v>
      </c>
      <c r="D5532" t="inlineStr">
        <is>
          <t>GÄVLEBORGS LÄN</t>
        </is>
      </c>
      <c r="E5532" t="inlineStr">
        <is>
          <t>LJUSDAL</t>
        </is>
      </c>
      <c r="F5532" t="inlineStr">
        <is>
          <t>Allmännings- och besparingsskogar</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39036-2025</t>
        </is>
      </c>
      <c r="B5533" s="1" t="n">
        <v>45888.42379629629</v>
      </c>
      <c r="C5533" s="1" t="n">
        <v>45911</v>
      </c>
      <c r="D5533" t="inlineStr">
        <is>
          <t>GÄVLEBORGS LÄN</t>
        </is>
      </c>
      <c r="E5533" t="inlineStr">
        <is>
          <t>NORDANSTIG</t>
        </is>
      </c>
      <c r="F5533" t="inlineStr">
        <is>
          <t>Holmen skog AB</t>
        </is>
      </c>
      <c r="G5533" t="n">
        <v>8</v>
      </c>
      <c r="H5533" t="n">
        <v>0</v>
      </c>
      <c r="I5533" t="n">
        <v>0</v>
      </c>
      <c r="J5533" t="n">
        <v>0</v>
      </c>
      <c r="K5533" t="n">
        <v>0</v>
      </c>
      <c r="L5533" t="n">
        <v>0</v>
      </c>
      <c r="M5533" t="n">
        <v>0</v>
      </c>
      <c r="N5533" t="n">
        <v>0</v>
      </c>
      <c r="O5533" t="n">
        <v>0</v>
      </c>
      <c r="P5533" t="n">
        <v>0</v>
      </c>
      <c r="Q5533" t="n">
        <v>0</v>
      </c>
      <c r="R5533" s="2" t="inlineStr"/>
    </row>
    <row r="5534" ht="15" customHeight="1">
      <c r="A5534" t="inlineStr">
        <is>
          <t>A 58370-2024</t>
        </is>
      </c>
      <c r="B5534" s="1" t="n">
        <v>45632</v>
      </c>
      <c r="C5534" s="1" t="n">
        <v>45911</v>
      </c>
      <c r="D5534" t="inlineStr">
        <is>
          <t>GÄVLEBORGS LÄN</t>
        </is>
      </c>
      <c r="E5534" t="inlineStr">
        <is>
          <t>GÄVLE</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54826-2021</t>
        </is>
      </c>
      <c r="B5535" s="1" t="n">
        <v>44473</v>
      </c>
      <c r="C5535" s="1" t="n">
        <v>45911</v>
      </c>
      <c r="D5535" t="inlineStr">
        <is>
          <t>GÄVLEBORGS LÄN</t>
        </is>
      </c>
      <c r="E5535" t="inlineStr">
        <is>
          <t>HOFORS</t>
        </is>
      </c>
      <c r="F5535" t="inlineStr">
        <is>
          <t>Bergvik skog väst AB</t>
        </is>
      </c>
      <c r="G5535" t="n">
        <v>6</v>
      </c>
      <c r="H5535" t="n">
        <v>0</v>
      </c>
      <c r="I5535" t="n">
        <v>0</v>
      </c>
      <c r="J5535" t="n">
        <v>0</v>
      </c>
      <c r="K5535" t="n">
        <v>0</v>
      </c>
      <c r="L5535" t="n">
        <v>0</v>
      </c>
      <c r="M5535" t="n">
        <v>0</v>
      </c>
      <c r="N5535" t="n">
        <v>0</v>
      </c>
      <c r="O5535" t="n">
        <v>0</v>
      </c>
      <c r="P5535" t="n">
        <v>0</v>
      </c>
      <c r="Q5535" t="n">
        <v>0</v>
      </c>
      <c r="R5535" s="2" t="inlineStr"/>
    </row>
    <row r="5536" ht="15" customHeight="1">
      <c r="A5536" t="inlineStr">
        <is>
          <t>A 13897-2025</t>
        </is>
      </c>
      <c r="B5536" s="1" t="n">
        <v>45737</v>
      </c>
      <c r="C5536" s="1" t="n">
        <v>45911</v>
      </c>
      <c r="D5536" t="inlineStr">
        <is>
          <t>GÄVLEBORGS LÄN</t>
        </is>
      </c>
      <c r="E5536" t="inlineStr">
        <is>
          <t>BOLLNÄS</t>
        </is>
      </c>
      <c r="G5536" t="n">
        <v>7.2</v>
      </c>
      <c r="H5536" t="n">
        <v>0</v>
      </c>
      <c r="I5536" t="n">
        <v>0</v>
      </c>
      <c r="J5536" t="n">
        <v>0</v>
      </c>
      <c r="K5536" t="n">
        <v>0</v>
      </c>
      <c r="L5536" t="n">
        <v>0</v>
      </c>
      <c r="M5536" t="n">
        <v>0</v>
      </c>
      <c r="N5536" t="n">
        <v>0</v>
      </c>
      <c r="O5536" t="n">
        <v>0</v>
      </c>
      <c r="P5536" t="n">
        <v>0</v>
      </c>
      <c r="Q5536" t="n">
        <v>0</v>
      </c>
      <c r="R5536" s="2" t="inlineStr"/>
    </row>
    <row r="5537" ht="15" customHeight="1">
      <c r="A5537" t="inlineStr">
        <is>
          <t>A 47268-2021</t>
        </is>
      </c>
      <c r="B5537" s="1" t="n">
        <v>44447</v>
      </c>
      <c r="C5537" s="1" t="n">
        <v>45911</v>
      </c>
      <c r="D5537" t="inlineStr">
        <is>
          <t>GÄVLEBORGS LÄN</t>
        </is>
      </c>
      <c r="E5537" t="inlineStr">
        <is>
          <t>LJUSDAL</t>
        </is>
      </c>
      <c r="F5537" t="inlineStr">
        <is>
          <t>Bergvik skog väst AB</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38980-2025</t>
        </is>
      </c>
      <c r="B5538" s="1" t="n">
        <v>45888.27564814815</v>
      </c>
      <c r="C5538" s="1" t="n">
        <v>45911</v>
      </c>
      <c r="D5538" t="inlineStr">
        <is>
          <t>GÄVLEBORGS LÄN</t>
        </is>
      </c>
      <c r="E5538" t="inlineStr">
        <is>
          <t>OVANÅKER</t>
        </is>
      </c>
      <c r="G5538" t="n">
        <v>6.6</v>
      </c>
      <c r="H5538" t="n">
        <v>0</v>
      </c>
      <c r="I5538" t="n">
        <v>0</v>
      </c>
      <c r="J5538" t="n">
        <v>0</v>
      </c>
      <c r="K5538" t="n">
        <v>0</v>
      </c>
      <c r="L5538" t="n">
        <v>0</v>
      </c>
      <c r="M5538" t="n">
        <v>0</v>
      </c>
      <c r="N5538" t="n">
        <v>0</v>
      </c>
      <c r="O5538" t="n">
        <v>0</v>
      </c>
      <c r="P5538" t="n">
        <v>0</v>
      </c>
      <c r="Q5538" t="n">
        <v>0</v>
      </c>
      <c r="R5538" s="2" t="inlineStr"/>
    </row>
    <row r="5539" ht="15" customHeight="1">
      <c r="A5539" t="inlineStr">
        <is>
          <t>A 282-2025</t>
        </is>
      </c>
      <c r="B5539" s="1" t="n">
        <v>45660</v>
      </c>
      <c r="C5539" s="1" t="n">
        <v>45911</v>
      </c>
      <c r="D5539" t="inlineStr">
        <is>
          <t>GÄVLEBORGS LÄN</t>
        </is>
      </c>
      <c r="E5539" t="inlineStr">
        <is>
          <t>NORDANSTIG</t>
        </is>
      </c>
      <c r="F5539" t="inlineStr">
        <is>
          <t>Holmen skog AB</t>
        </is>
      </c>
      <c r="G5539" t="n">
        <v>14.1</v>
      </c>
      <c r="H5539" t="n">
        <v>0</v>
      </c>
      <c r="I5539" t="n">
        <v>0</v>
      </c>
      <c r="J5539" t="n">
        <v>0</v>
      </c>
      <c r="K5539" t="n">
        <v>0</v>
      </c>
      <c r="L5539" t="n">
        <v>0</v>
      </c>
      <c r="M5539" t="n">
        <v>0</v>
      </c>
      <c r="N5539" t="n">
        <v>0</v>
      </c>
      <c r="O5539" t="n">
        <v>0</v>
      </c>
      <c r="P5539" t="n">
        <v>0</v>
      </c>
      <c r="Q5539" t="n">
        <v>0</v>
      </c>
      <c r="R5539" s="2" t="inlineStr"/>
    </row>
    <row r="5540" ht="15" customHeight="1">
      <c r="A5540" t="inlineStr">
        <is>
          <t>A 39083-2025</t>
        </is>
      </c>
      <c r="B5540" s="1" t="n">
        <v>45888.48833333333</v>
      </c>
      <c r="C5540" s="1" t="n">
        <v>45911</v>
      </c>
      <c r="D5540" t="inlineStr">
        <is>
          <t>GÄVLEBORGS LÄN</t>
        </is>
      </c>
      <c r="E5540" t="inlineStr">
        <is>
          <t>OVANÅKER</t>
        </is>
      </c>
      <c r="G5540" t="n">
        <v>9.699999999999999</v>
      </c>
      <c r="H5540" t="n">
        <v>0</v>
      </c>
      <c r="I5540" t="n">
        <v>0</v>
      </c>
      <c r="J5540" t="n">
        <v>0</v>
      </c>
      <c r="K5540" t="n">
        <v>0</v>
      </c>
      <c r="L5540" t="n">
        <v>0</v>
      </c>
      <c r="M5540" t="n">
        <v>0</v>
      </c>
      <c r="N5540" t="n">
        <v>0</v>
      </c>
      <c r="O5540" t="n">
        <v>0</v>
      </c>
      <c r="P5540" t="n">
        <v>0</v>
      </c>
      <c r="Q5540" t="n">
        <v>0</v>
      </c>
      <c r="R5540" s="2" t="inlineStr"/>
    </row>
    <row r="5541" ht="15" customHeight="1">
      <c r="A5541" t="inlineStr">
        <is>
          <t>A 52783-2024</t>
        </is>
      </c>
      <c r="B5541" s="1" t="n">
        <v>45610.55241898148</v>
      </c>
      <c r="C5541" s="1" t="n">
        <v>45911</v>
      </c>
      <c r="D5541" t="inlineStr">
        <is>
          <t>GÄVLEBORGS LÄN</t>
        </is>
      </c>
      <c r="E5541" t="inlineStr">
        <is>
          <t>LJUSDAL</t>
        </is>
      </c>
      <c r="F5541" t="inlineStr">
        <is>
          <t>SCA</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34239-2025</t>
        </is>
      </c>
      <c r="B5542" s="1" t="n">
        <v>45845.67314814815</v>
      </c>
      <c r="C5542" s="1" t="n">
        <v>45911</v>
      </c>
      <c r="D5542" t="inlineStr">
        <is>
          <t>GÄVLEBORGS LÄN</t>
        </is>
      </c>
      <c r="E5542" t="inlineStr">
        <is>
          <t>BOLLNÄS</t>
        </is>
      </c>
      <c r="G5542" t="n">
        <v>4.7</v>
      </c>
      <c r="H5542" t="n">
        <v>0</v>
      </c>
      <c r="I5542" t="n">
        <v>0</v>
      </c>
      <c r="J5542" t="n">
        <v>0</v>
      </c>
      <c r="K5542" t="n">
        <v>0</v>
      </c>
      <c r="L5542" t="n">
        <v>0</v>
      </c>
      <c r="M5542" t="n">
        <v>0</v>
      </c>
      <c r="N5542" t="n">
        <v>0</v>
      </c>
      <c r="O5542" t="n">
        <v>0</v>
      </c>
      <c r="P5542" t="n">
        <v>0</v>
      </c>
      <c r="Q5542" t="n">
        <v>0</v>
      </c>
      <c r="R5542" s="2" t="inlineStr"/>
    </row>
    <row r="5543" ht="15" customHeight="1">
      <c r="A5543" t="inlineStr">
        <is>
          <t>A 5586-2025</t>
        </is>
      </c>
      <c r="B5543" s="1" t="n">
        <v>45693.55771990741</v>
      </c>
      <c r="C5543" s="1" t="n">
        <v>45911</v>
      </c>
      <c r="D5543" t="inlineStr">
        <is>
          <t>GÄVLEBORGS LÄN</t>
        </is>
      </c>
      <c r="E5543" t="inlineStr">
        <is>
          <t>SANDVIKEN</t>
        </is>
      </c>
      <c r="G5543" t="n">
        <v>3.6</v>
      </c>
      <c r="H5543" t="n">
        <v>0</v>
      </c>
      <c r="I5543" t="n">
        <v>0</v>
      </c>
      <c r="J5543" t="n">
        <v>0</v>
      </c>
      <c r="K5543" t="n">
        <v>0</v>
      </c>
      <c r="L5543" t="n">
        <v>0</v>
      </c>
      <c r="M5543" t="n">
        <v>0</v>
      </c>
      <c r="N5543" t="n">
        <v>0</v>
      </c>
      <c r="O5543" t="n">
        <v>0</v>
      </c>
      <c r="P5543" t="n">
        <v>0</v>
      </c>
      <c r="Q5543" t="n">
        <v>0</v>
      </c>
      <c r="R5543" s="2" t="inlineStr"/>
    </row>
    <row r="5544" ht="15" customHeight="1">
      <c r="A5544" t="inlineStr">
        <is>
          <t>A 18357-2025</t>
        </is>
      </c>
      <c r="B5544" s="1" t="n">
        <v>45762.55353009259</v>
      </c>
      <c r="C5544" s="1" t="n">
        <v>45911</v>
      </c>
      <c r="D5544" t="inlineStr">
        <is>
          <t>GÄVLEBORGS LÄN</t>
        </is>
      </c>
      <c r="E5544" t="inlineStr">
        <is>
          <t>SANDVIKEN</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34321-2025</t>
        </is>
      </c>
      <c r="B5545" s="1" t="n">
        <v>45846.42568287037</v>
      </c>
      <c r="C5545" s="1" t="n">
        <v>45911</v>
      </c>
      <c r="D5545" t="inlineStr">
        <is>
          <t>GÄVLEBORGS LÄN</t>
        </is>
      </c>
      <c r="E5545" t="inlineStr">
        <is>
          <t>OVANÅKER</t>
        </is>
      </c>
      <c r="F5545" t="inlineStr">
        <is>
          <t>Sveaskog</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34330-2025</t>
        </is>
      </c>
      <c r="B5546" s="1" t="n">
        <v>45846.44659722222</v>
      </c>
      <c r="C5546" s="1" t="n">
        <v>45911</v>
      </c>
      <c r="D5546" t="inlineStr">
        <is>
          <t>GÄVLEBORGS LÄN</t>
        </is>
      </c>
      <c r="E5546" t="inlineStr">
        <is>
          <t>LJUSDAL</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38846-2025</t>
        </is>
      </c>
      <c r="B5547" s="1" t="n">
        <v>45887.54204861111</v>
      </c>
      <c r="C5547" s="1" t="n">
        <v>45911</v>
      </c>
      <c r="D5547" t="inlineStr">
        <is>
          <t>GÄVLEBORGS LÄN</t>
        </is>
      </c>
      <c r="E5547" t="inlineStr">
        <is>
          <t>SANDVIKEN</t>
        </is>
      </c>
      <c r="F5547" t="inlineStr">
        <is>
          <t>Sveaskog</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39051-2025</t>
        </is>
      </c>
      <c r="B5548" s="1" t="n">
        <v>45888.44715277778</v>
      </c>
      <c r="C5548" s="1" t="n">
        <v>45911</v>
      </c>
      <c r="D5548" t="inlineStr">
        <is>
          <t>GÄVLEBORGS LÄN</t>
        </is>
      </c>
      <c r="E5548" t="inlineStr">
        <is>
          <t>LJUSDAL</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39215-2025</t>
        </is>
      </c>
      <c r="B5549" s="1" t="n">
        <v>45888.79549768518</v>
      </c>
      <c r="C5549" s="1" t="n">
        <v>45911</v>
      </c>
      <c r="D5549" t="inlineStr">
        <is>
          <t>GÄVLEBORGS LÄN</t>
        </is>
      </c>
      <c r="E5549" t="inlineStr">
        <is>
          <t>LJUSDAL</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22758-2021</t>
        </is>
      </c>
      <c r="B5550" s="1" t="n">
        <v>44327.8400462963</v>
      </c>
      <c r="C5550" s="1" t="n">
        <v>45911</v>
      </c>
      <c r="D5550" t="inlineStr">
        <is>
          <t>GÄVLEBORGS LÄN</t>
        </is>
      </c>
      <c r="E5550" t="inlineStr">
        <is>
          <t>LJUSDAL</t>
        </is>
      </c>
      <c r="F5550" t="inlineStr">
        <is>
          <t>Sveaskog</t>
        </is>
      </c>
      <c r="G5550" t="n">
        <v>3.8</v>
      </c>
      <c r="H5550" t="n">
        <v>0</v>
      </c>
      <c r="I5550" t="n">
        <v>0</v>
      </c>
      <c r="J5550" t="n">
        <v>0</v>
      </c>
      <c r="K5550" t="n">
        <v>0</v>
      </c>
      <c r="L5550" t="n">
        <v>0</v>
      </c>
      <c r="M5550" t="n">
        <v>0</v>
      </c>
      <c r="N5550" t="n">
        <v>0</v>
      </c>
      <c r="O5550" t="n">
        <v>0</v>
      </c>
      <c r="P5550" t="n">
        <v>0</v>
      </c>
      <c r="Q5550" t="n">
        <v>0</v>
      </c>
      <c r="R5550" s="2" t="inlineStr"/>
    </row>
    <row r="5551" ht="15" customHeight="1">
      <c r="A5551" t="inlineStr">
        <is>
          <t>A 39022-2025</t>
        </is>
      </c>
      <c r="B5551" s="1" t="n">
        <v>45888.37780092593</v>
      </c>
      <c r="C5551" s="1" t="n">
        <v>45911</v>
      </c>
      <c r="D5551" t="inlineStr">
        <is>
          <t>GÄVLEBORGS LÄN</t>
        </is>
      </c>
      <c r="E5551" t="inlineStr">
        <is>
          <t>GÄVLE</t>
        </is>
      </c>
      <c r="G5551" t="n">
        <v>2.8</v>
      </c>
      <c r="H5551" t="n">
        <v>0</v>
      </c>
      <c r="I5551" t="n">
        <v>0</v>
      </c>
      <c r="J5551" t="n">
        <v>0</v>
      </c>
      <c r="K5551" t="n">
        <v>0</v>
      </c>
      <c r="L5551" t="n">
        <v>0</v>
      </c>
      <c r="M5551" t="n">
        <v>0</v>
      </c>
      <c r="N5551" t="n">
        <v>0</v>
      </c>
      <c r="O5551" t="n">
        <v>0</v>
      </c>
      <c r="P5551" t="n">
        <v>0</v>
      </c>
      <c r="Q5551" t="n">
        <v>0</v>
      </c>
      <c r="R5551" s="2" t="inlineStr"/>
    </row>
    <row r="5552" ht="15" customHeight="1">
      <c r="A5552" t="inlineStr">
        <is>
          <t>A 39035-2025</t>
        </is>
      </c>
      <c r="B5552" s="1" t="n">
        <v>45888.42207175926</v>
      </c>
      <c r="C5552" s="1" t="n">
        <v>45911</v>
      </c>
      <c r="D5552" t="inlineStr">
        <is>
          <t>GÄVLEBORGS LÄN</t>
        </is>
      </c>
      <c r="E5552" t="inlineStr">
        <is>
          <t>OCKELBO</t>
        </is>
      </c>
      <c r="F5552" t="inlineStr">
        <is>
          <t>Kyrkan</t>
        </is>
      </c>
      <c r="G5552" t="n">
        <v>12.5</v>
      </c>
      <c r="H5552" t="n">
        <v>0</v>
      </c>
      <c r="I5552" t="n">
        <v>0</v>
      </c>
      <c r="J5552" t="n">
        <v>0</v>
      </c>
      <c r="K5552" t="n">
        <v>0</v>
      </c>
      <c r="L5552" t="n">
        <v>0</v>
      </c>
      <c r="M5552" t="n">
        <v>0</v>
      </c>
      <c r="N5552" t="n">
        <v>0</v>
      </c>
      <c r="O5552" t="n">
        <v>0</v>
      </c>
      <c r="P5552" t="n">
        <v>0</v>
      </c>
      <c r="Q5552" t="n">
        <v>0</v>
      </c>
      <c r="R5552" s="2" t="inlineStr"/>
    </row>
    <row r="5553" ht="15" customHeight="1">
      <c r="A5553" t="inlineStr">
        <is>
          <t>A 10149-2025</t>
        </is>
      </c>
      <c r="B5553" s="1" t="n">
        <v>45719.64081018518</v>
      </c>
      <c r="C5553" s="1" t="n">
        <v>45911</v>
      </c>
      <c r="D5553" t="inlineStr">
        <is>
          <t>GÄVLEBORGS LÄN</t>
        </is>
      </c>
      <c r="E5553" t="inlineStr">
        <is>
          <t>OCKELBO</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40136-2023</t>
        </is>
      </c>
      <c r="B5554" s="1" t="n">
        <v>45169.34298611111</v>
      </c>
      <c r="C5554" s="1" t="n">
        <v>45911</v>
      </c>
      <c r="D5554" t="inlineStr">
        <is>
          <t>GÄVLEBORGS LÄN</t>
        </is>
      </c>
      <c r="E5554" t="inlineStr">
        <is>
          <t>HUDIKSVALL</t>
        </is>
      </c>
      <c r="F5554" t="inlineStr">
        <is>
          <t>Holmen skog AB</t>
        </is>
      </c>
      <c r="G5554" t="n">
        <v>6.3</v>
      </c>
      <c r="H5554" t="n">
        <v>0</v>
      </c>
      <c r="I5554" t="n">
        <v>0</v>
      </c>
      <c r="J5554" t="n">
        <v>0</v>
      </c>
      <c r="K5554" t="n">
        <v>0</v>
      </c>
      <c r="L5554" t="n">
        <v>0</v>
      </c>
      <c r="M5554" t="n">
        <v>0</v>
      </c>
      <c r="N5554" t="n">
        <v>0</v>
      </c>
      <c r="O5554" t="n">
        <v>0</v>
      </c>
      <c r="P5554" t="n">
        <v>0</v>
      </c>
      <c r="Q5554" t="n">
        <v>0</v>
      </c>
      <c r="R5554" s="2" t="inlineStr"/>
    </row>
    <row r="5555" ht="15" customHeight="1">
      <c r="A5555" t="inlineStr">
        <is>
          <t>A 11921-2025</t>
        </is>
      </c>
      <c r="B5555" s="1" t="n">
        <v>45728.49965277778</v>
      </c>
      <c r="C5555" s="1" t="n">
        <v>45911</v>
      </c>
      <c r="D5555" t="inlineStr">
        <is>
          <t>GÄVLEBORGS LÄN</t>
        </is>
      </c>
      <c r="E5555" t="inlineStr">
        <is>
          <t>GÄVLE</t>
        </is>
      </c>
      <c r="F5555" t="inlineStr">
        <is>
          <t>Bergvik skog öst AB</t>
        </is>
      </c>
      <c r="G5555" t="n">
        <v>3.5</v>
      </c>
      <c r="H5555" t="n">
        <v>0</v>
      </c>
      <c r="I5555" t="n">
        <v>0</v>
      </c>
      <c r="J5555" t="n">
        <v>0</v>
      </c>
      <c r="K5555" t="n">
        <v>0</v>
      </c>
      <c r="L5555" t="n">
        <v>0</v>
      </c>
      <c r="M5555" t="n">
        <v>0</v>
      </c>
      <c r="N5555" t="n">
        <v>0</v>
      </c>
      <c r="O5555" t="n">
        <v>0</v>
      </c>
      <c r="P5555" t="n">
        <v>0</v>
      </c>
      <c r="Q5555" t="n">
        <v>0</v>
      </c>
      <c r="R5555" s="2" t="inlineStr"/>
    </row>
    <row r="5556" ht="15" customHeight="1">
      <c r="A5556" t="inlineStr">
        <is>
          <t>A 39165-2025</t>
        </is>
      </c>
      <c r="B5556" s="1" t="n">
        <v>45888.63737268518</v>
      </c>
      <c r="C5556" s="1" t="n">
        <v>45911</v>
      </c>
      <c r="D5556" t="inlineStr">
        <is>
          <t>GÄVLEBORGS LÄN</t>
        </is>
      </c>
      <c r="E5556" t="inlineStr">
        <is>
          <t>BOLLNÄS</t>
        </is>
      </c>
      <c r="G5556" t="n">
        <v>6.5</v>
      </c>
      <c r="H5556" t="n">
        <v>0</v>
      </c>
      <c r="I5556" t="n">
        <v>0</v>
      </c>
      <c r="J5556" t="n">
        <v>0</v>
      </c>
      <c r="K5556" t="n">
        <v>0</v>
      </c>
      <c r="L5556" t="n">
        <v>0</v>
      </c>
      <c r="M5556" t="n">
        <v>0</v>
      </c>
      <c r="N5556" t="n">
        <v>0</v>
      </c>
      <c r="O5556" t="n">
        <v>0</v>
      </c>
      <c r="P5556" t="n">
        <v>0</v>
      </c>
      <c r="Q5556" t="n">
        <v>0</v>
      </c>
      <c r="R5556" s="2" t="inlineStr"/>
    </row>
    <row r="5557" ht="15" customHeight="1">
      <c r="A5557" t="inlineStr">
        <is>
          <t>A 11953-2025</t>
        </is>
      </c>
      <c r="B5557" s="1" t="n">
        <v>45728.56366898148</v>
      </c>
      <c r="C5557" s="1" t="n">
        <v>45911</v>
      </c>
      <c r="D5557" t="inlineStr">
        <is>
          <t>GÄVLEBORGS LÄN</t>
        </is>
      </c>
      <c r="E5557" t="inlineStr">
        <is>
          <t>HOFORS</t>
        </is>
      </c>
      <c r="F5557" t="inlineStr">
        <is>
          <t>Sveaskog</t>
        </is>
      </c>
      <c r="G5557" t="n">
        <v>34.8</v>
      </c>
      <c r="H5557" t="n">
        <v>0</v>
      </c>
      <c r="I5557" t="n">
        <v>0</v>
      </c>
      <c r="J5557" t="n">
        <v>0</v>
      </c>
      <c r="K5557" t="n">
        <v>0</v>
      </c>
      <c r="L5557" t="n">
        <v>0</v>
      </c>
      <c r="M5557" t="n">
        <v>0</v>
      </c>
      <c r="N5557" t="n">
        <v>0</v>
      </c>
      <c r="O5557" t="n">
        <v>0</v>
      </c>
      <c r="P5557" t="n">
        <v>0</v>
      </c>
      <c r="Q5557" t="n">
        <v>0</v>
      </c>
      <c r="R5557" s="2" t="inlineStr"/>
    </row>
    <row r="5558" ht="15" customHeight="1">
      <c r="A5558" t="inlineStr">
        <is>
          <t>A 23006-2023</t>
        </is>
      </c>
      <c r="B5558" s="1" t="n">
        <v>45073</v>
      </c>
      <c r="C5558" s="1" t="n">
        <v>45911</v>
      </c>
      <c r="D5558" t="inlineStr">
        <is>
          <t>GÄVLEBORGS LÄN</t>
        </is>
      </c>
      <c r="E5558" t="inlineStr">
        <is>
          <t>OCKELBO</t>
        </is>
      </c>
      <c r="G5558" t="n">
        <v>3.7</v>
      </c>
      <c r="H5558" t="n">
        <v>0</v>
      </c>
      <c r="I5558" t="n">
        <v>0</v>
      </c>
      <c r="J5558" t="n">
        <v>0</v>
      </c>
      <c r="K5558" t="n">
        <v>0</v>
      </c>
      <c r="L5558" t="n">
        <v>0</v>
      </c>
      <c r="M5558" t="n">
        <v>0</v>
      </c>
      <c r="N5558" t="n">
        <v>0</v>
      </c>
      <c r="O5558" t="n">
        <v>0</v>
      </c>
      <c r="P5558" t="n">
        <v>0</v>
      </c>
      <c r="Q5558" t="n">
        <v>0</v>
      </c>
      <c r="R5558" s="2" t="inlineStr"/>
    </row>
    <row r="5559" ht="15" customHeight="1">
      <c r="A5559" t="inlineStr">
        <is>
          <t>A 39076-2025</t>
        </is>
      </c>
      <c r="B5559" s="1" t="n">
        <v>45888.47826388889</v>
      </c>
      <c r="C5559" s="1" t="n">
        <v>45911</v>
      </c>
      <c r="D5559" t="inlineStr">
        <is>
          <t>GÄVLEBORGS LÄN</t>
        </is>
      </c>
      <c r="E5559" t="inlineStr">
        <is>
          <t>LJUSDAL</t>
        </is>
      </c>
      <c r="F5559" t="inlineStr">
        <is>
          <t>Allmännings- och besparingsskogar</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38731-2025</t>
        </is>
      </c>
      <c r="B5560" s="1" t="n">
        <v>45887.35001157408</v>
      </c>
      <c r="C5560" s="1" t="n">
        <v>45911</v>
      </c>
      <c r="D5560" t="inlineStr">
        <is>
          <t>GÄVLEBORGS LÄN</t>
        </is>
      </c>
      <c r="E5560" t="inlineStr">
        <is>
          <t>OCKELBO</t>
        </is>
      </c>
      <c r="F5560" t="inlineStr">
        <is>
          <t>Bergvik skog väst AB</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39153-2025</t>
        </is>
      </c>
      <c r="B5561" s="1" t="n">
        <v>45888.6171875</v>
      </c>
      <c r="C5561" s="1" t="n">
        <v>45911</v>
      </c>
      <c r="D5561" t="inlineStr">
        <is>
          <t>GÄVLEBORGS LÄN</t>
        </is>
      </c>
      <c r="E5561" t="inlineStr">
        <is>
          <t>SANDVIKEN</t>
        </is>
      </c>
      <c r="G5561" t="n">
        <v>3.8</v>
      </c>
      <c r="H5561" t="n">
        <v>0</v>
      </c>
      <c r="I5561" t="n">
        <v>0</v>
      </c>
      <c r="J5561" t="n">
        <v>0</v>
      </c>
      <c r="K5561" t="n">
        <v>0</v>
      </c>
      <c r="L5561" t="n">
        <v>0</v>
      </c>
      <c r="M5561" t="n">
        <v>0</v>
      </c>
      <c r="N5561" t="n">
        <v>0</v>
      </c>
      <c r="O5561" t="n">
        <v>0</v>
      </c>
      <c r="P5561" t="n">
        <v>0</v>
      </c>
      <c r="Q5561" t="n">
        <v>0</v>
      </c>
      <c r="R5561" s="2" t="inlineStr"/>
    </row>
    <row r="5562" ht="15" customHeight="1">
      <c r="A5562" t="inlineStr">
        <is>
          <t>A 17159-2025</t>
        </is>
      </c>
      <c r="B5562" s="1" t="n">
        <v>45756.34729166667</v>
      </c>
      <c r="C5562" s="1" t="n">
        <v>45911</v>
      </c>
      <c r="D5562" t="inlineStr">
        <is>
          <t>GÄVLEBORGS LÄN</t>
        </is>
      </c>
      <c r="E5562" t="inlineStr">
        <is>
          <t>SANDVIKEN</t>
        </is>
      </c>
      <c r="F5562" t="inlineStr">
        <is>
          <t>Bergvik skog öst AB</t>
        </is>
      </c>
      <c r="G5562" t="n">
        <v>4.5</v>
      </c>
      <c r="H5562" t="n">
        <v>0</v>
      </c>
      <c r="I5562" t="n">
        <v>0</v>
      </c>
      <c r="J5562" t="n">
        <v>0</v>
      </c>
      <c r="K5562" t="n">
        <v>0</v>
      </c>
      <c r="L5562" t="n">
        <v>0</v>
      </c>
      <c r="M5562" t="n">
        <v>0</v>
      </c>
      <c r="N5562" t="n">
        <v>0</v>
      </c>
      <c r="O5562" t="n">
        <v>0</v>
      </c>
      <c r="P5562" t="n">
        <v>0</v>
      </c>
      <c r="Q5562" t="n">
        <v>0</v>
      </c>
      <c r="R5562" s="2" t="inlineStr"/>
    </row>
    <row r="5563" ht="15" customHeight="1">
      <c r="A5563" t="inlineStr">
        <is>
          <t>A 17170-2025</t>
        </is>
      </c>
      <c r="B5563" s="1" t="n">
        <v>45756.3708912037</v>
      </c>
      <c r="C5563" s="1" t="n">
        <v>45911</v>
      </c>
      <c r="D5563" t="inlineStr">
        <is>
          <t>GÄVLEBORGS LÄN</t>
        </is>
      </c>
      <c r="E5563" t="inlineStr">
        <is>
          <t>GÄVLE</t>
        </is>
      </c>
      <c r="G5563" t="n">
        <v>3</v>
      </c>
      <c r="H5563" t="n">
        <v>0</v>
      </c>
      <c r="I5563" t="n">
        <v>0</v>
      </c>
      <c r="J5563" t="n">
        <v>0</v>
      </c>
      <c r="K5563" t="n">
        <v>0</v>
      </c>
      <c r="L5563" t="n">
        <v>0</v>
      </c>
      <c r="M5563" t="n">
        <v>0</v>
      </c>
      <c r="N5563" t="n">
        <v>0</v>
      </c>
      <c r="O5563" t="n">
        <v>0</v>
      </c>
      <c r="P5563" t="n">
        <v>0</v>
      </c>
      <c r="Q5563" t="n">
        <v>0</v>
      </c>
      <c r="R5563" s="2" t="inlineStr"/>
    </row>
    <row r="5564" ht="15" customHeight="1">
      <c r="A5564" t="inlineStr">
        <is>
          <t>A 28062-2025</t>
        </is>
      </c>
      <c r="B5564" s="1" t="n">
        <v>45817</v>
      </c>
      <c r="C5564" s="1" t="n">
        <v>45911</v>
      </c>
      <c r="D5564" t="inlineStr">
        <is>
          <t>GÄVLEBORGS LÄN</t>
        </is>
      </c>
      <c r="E5564" t="inlineStr">
        <is>
          <t>SÖDERHAMN</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39049-2025</t>
        </is>
      </c>
      <c r="B5565" s="1" t="n">
        <v>45888.44660879629</v>
      </c>
      <c r="C5565" s="1" t="n">
        <v>45911</v>
      </c>
      <c r="D5565" t="inlineStr">
        <is>
          <t>GÄVLEBORGS LÄN</t>
        </is>
      </c>
      <c r="E5565" t="inlineStr">
        <is>
          <t>SANDVIKEN</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34233-2025</t>
        </is>
      </c>
      <c r="B5566" s="1" t="n">
        <v>45845</v>
      </c>
      <c r="C5566" s="1" t="n">
        <v>45911</v>
      </c>
      <c r="D5566" t="inlineStr">
        <is>
          <t>GÄVLEBORGS LÄN</t>
        </is>
      </c>
      <c r="E5566" t="inlineStr">
        <is>
          <t>BOLLNÄS</t>
        </is>
      </c>
      <c r="G5566" t="n">
        <v>3.9</v>
      </c>
      <c r="H5566" t="n">
        <v>0</v>
      </c>
      <c r="I5566" t="n">
        <v>0</v>
      </c>
      <c r="J5566" t="n">
        <v>0</v>
      </c>
      <c r="K5566" t="n">
        <v>0</v>
      </c>
      <c r="L5566" t="n">
        <v>0</v>
      </c>
      <c r="M5566" t="n">
        <v>0</v>
      </c>
      <c r="N5566" t="n">
        <v>0</v>
      </c>
      <c r="O5566" t="n">
        <v>0</v>
      </c>
      <c r="P5566" t="n">
        <v>0</v>
      </c>
      <c r="Q5566" t="n">
        <v>0</v>
      </c>
      <c r="R5566" s="2" t="inlineStr"/>
    </row>
    <row r="5567" ht="15" customHeight="1">
      <c r="A5567" t="inlineStr">
        <is>
          <t>A 12421-2025</t>
        </is>
      </c>
      <c r="B5567" s="1" t="n">
        <v>45730.45319444445</v>
      </c>
      <c r="C5567" s="1" t="n">
        <v>45911</v>
      </c>
      <c r="D5567" t="inlineStr">
        <is>
          <t>GÄVLEBORGS LÄN</t>
        </is>
      </c>
      <c r="E5567" t="inlineStr">
        <is>
          <t>SANDVIKEN</t>
        </is>
      </c>
      <c r="F5567" t="inlineStr">
        <is>
          <t>Bergvik skog öst AB</t>
        </is>
      </c>
      <c r="G5567" t="n">
        <v>2.8</v>
      </c>
      <c r="H5567" t="n">
        <v>0</v>
      </c>
      <c r="I5567" t="n">
        <v>0</v>
      </c>
      <c r="J5567" t="n">
        <v>0</v>
      </c>
      <c r="K5567" t="n">
        <v>0</v>
      </c>
      <c r="L5567" t="n">
        <v>0</v>
      </c>
      <c r="M5567" t="n">
        <v>0</v>
      </c>
      <c r="N5567" t="n">
        <v>0</v>
      </c>
      <c r="O5567" t="n">
        <v>0</v>
      </c>
      <c r="P5567" t="n">
        <v>0</v>
      </c>
      <c r="Q5567" t="n">
        <v>0</v>
      </c>
      <c r="R5567" s="2" t="inlineStr"/>
    </row>
    <row r="5568" ht="15" customHeight="1">
      <c r="A5568" t="inlineStr">
        <is>
          <t>A 13465-2025</t>
        </is>
      </c>
      <c r="B5568" s="1" t="n">
        <v>45736.39627314815</v>
      </c>
      <c r="C5568" s="1" t="n">
        <v>45911</v>
      </c>
      <c r="D5568" t="inlineStr">
        <is>
          <t>GÄVLEBORGS LÄN</t>
        </is>
      </c>
      <c r="E5568" t="inlineStr">
        <is>
          <t>BOLLNÄS</t>
        </is>
      </c>
      <c r="G5568" t="n">
        <v>0.3</v>
      </c>
      <c r="H5568" t="n">
        <v>0</v>
      </c>
      <c r="I5568" t="n">
        <v>0</v>
      </c>
      <c r="J5568" t="n">
        <v>0</v>
      </c>
      <c r="K5568" t="n">
        <v>0</v>
      </c>
      <c r="L5568" t="n">
        <v>0</v>
      </c>
      <c r="M5568" t="n">
        <v>0</v>
      </c>
      <c r="N5568" t="n">
        <v>0</v>
      </c>
      <c r="O5568" t="n">
        <v>0</v>
      </c>
      <c r="P5568" t="n">
        <v>0</v>
      </c>
      <c r="Q5568" t="n">
        <v>0</v>
      </c>
      <c r="R5568" s="2" t="inlineStr"/>
    </row>
    <row r="5569" ht="15" customHeight="1">
      <c r="A5569" t="inlineStr">
        <is>
          <t>A 13551-2025</t>
        </is>
      </c>
      <c r="B5569" s="1" t="n">
        <v>45736.54557870371</v>
      </c>
      <c r="C5569" s="1" t="n">
        <v>45911</v>
      </c>
      <c r="D5569" t="inlineStr">
        <is>
          <t>GÄVLEBORGS LÄN</t>
        </is>
      </c>
      <c r="E5569" t="inlineStr">
        <is>
          <t>LJUSDAL</t>
        </is>
      </c>
      <c r="G5569" t="n">
        <v>2.5</v>
      </c>
      <c r="H5569" t="n">
        <v>0</v>
      </c>
      <c r="I5569" t="n">
        <v>0</v>
      </c>
      <c r="J5569" t="n">
        <v>0</v>
      </c>
      <c r="K5569" t="n">
        <v>0</v>
      </c>
      <c r="L5569" t="n">
        <v>0</v>
      </c>
      <c r="M5569" t="n">
        <v>0</v>
      </c>
      <c r="N5569" t="n">
        <v>0</v>
      </c>
      <c r="O5569" t="n">
        <v>0</v>
      </c>
      <c r="P5569" t="n">
        <v>0</v>
      </c>
      <c r="Q5569" t="n">
        <v>0</v>
      </c>
      <c r="R5569" s="2" t="inlineStr"/>
    </row>
    <row r="5570" ht="15" customHeight="1">
      <c r="A5570" t="inlineStr">
        <is>
          <t>A 39621-2025</t>
        </is>
      </c>
      <c r="B5570" s="1" t="n">
        <v>45890.5737962963</v>
      </c>
      <c r="C5570" s="1" t="n">
        <v>45911</v>
      </c>
      <c r="D5570" t="inlineStr">
        <is>
          <t>GÄVLEBORGS LÄN</t>
        </is>
      </c>
      <c r="E5570" t="inlineStr">
        <is>
          <t>LJUSDAL</t>
        </is>
      </c>
      <c r="F5570" t="inlineStr">
        <is>
          <t>SCA</t>
        </is>
      </c>
      <c r="G5570" t="n">
        <v>8.4</v>
      </c>
      <c r="H5570" t="n">
        <v>0</v>
      </c>
      <c r="I5570" t="n">
        <v>0</v>
      </c>
      <c r="J5570" t="n">
        <v>0</v>
      </c>
      <c r="K5570" t="n">
        <v>0</v>
      </c>
      <c r="L5570" t="n">
        <v>0</v>
      </c>
      <c r="M5570" t="n">
        <v>0</v>
      </c>
      <c r="N5570" t="n">
        <v>0</v>
      </c>
      <c r="O5570" t="n">
        <v>0</v>
      </c>
      <c r="P5570" t="n">
        <v>0</v>
      </c>
      <c r="Q5570" t="n">
        <v>0</v>
      </c>
      <c r="R5570" s="2" t="inlineStr"/>
    </row>
    <row r="5571" ht="15" customHeight="1">
      <c r="A5571" t="inlineStr">
        <is>
          <t>A 34699-2025</t>
        </is>
      </c>
      <c r="B5571" s="1" t="n">
        <v>45848.47416666667</v>
      </c>
      <c r="C5571" s="1" t="n">
        <v>45911</v>
      </c>
      <c r="D5571" t="inlineStr">
        <is>
          <t>GÄVLEBORGS LÄN</t>
        </is>
      </c>
      <c r="E5571" t="inlineStr">
        <is>
          <t>GÄVLE</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34728-2025</t>
        </is>
      </c>
      <c r="B5572" s="1" t="n">
        <v>45848.58239583333</v>
      </c>
      <c r="C5572" s="1" t="n">
        <v>45911</v>
      </c>
      <c r="D5572" t="inlineStr">
        <is>
          <t>GÄVLEBORGS LÄN</t>
        </is>
      </c>
      <c r="E5572" t="inlineStr">
        <is>
          <t>NORDANSTIG</t>
        </is>
      </c>
      <c r="F5572" t="inlineStr">
        <is>
          <t>Holmen skog AB</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34732-2025</t>
        </is>
      </c>
      <c r="B5573" s="1" t="n">
        <v>45848.59746527778</v>
      </c>
      <c r="C5573" s="1" t="n">
        <v>45911</v>
      </c>
      <c r="D5573" t="inlineStr">
        <is>
          <t>GÄVLEBORGS LÄN</t>
        </is>
      </c>
      <c r="E5573" t="inlineStr">
        <is>
          <t>NORDANSTIG</t>
        </is>
      </c>
      <c r="G5573" t="n">
        <v>4.3</v>
      </c>
      <c r="H5573" t="n">
        <v>0</v>
      </c>
      <c r="I5573" t="n">
        <v>0</v>
      </c>
      <c r="J5573" t="n">
        <v>0</v>
      </c>
      <c r="K5573" t="n">
        <v>0</v>
      </c>
      <c r="L5573" t="n">
        <v>0</v>
      </c>
      <c r="M5573" t="n">
        <v>0</v>
      </c>
      <c r="N5573" t="n">
        <v>0</v>
      </c>
      <c r="O5573" t="n">
        <v>0</v>
      </c>
      <c r="P5573" t="n">
        <v>0</v>
      </c>
      <c r="Q5573" t="n">
        <v>0</v>
      </c>
      <c r="R5573" s="2" t="inlineStr"/>
    </row>
    <row r="5574" ht="15" customHeight="1">
      <c r="A5574" t="inlineStr">
        <is>
          <t>A 32199-2022</t>
        </is>
      </c>
      <c r="B5574" s="1" t="n">
        <v>44781</v>
      </c>
      <c r="C5574" s="1" t="n">
        <v>45911</v>
      </c>
      <c r="D5574" t="inlineStr">
        <is>
          <t>GÄVLEBORGS LÄN</t>
        </is>
      </c>
      <c r="E5574" t="inlineStr">
        <is>
          <t>HUDIKSVALL</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34770-2025</t>
        </is>
      </c>
      <c r="B5575" s="1" t="n">
        <v>45848.65394675926</v>
      </c>
      <c r="C5575" s="1" t="n">
        <v>45911</v>
      </c>
      <c r="D5575" t="inlineStr">
        <is>
          <t>GÄVLEBORGS LÄN</t>
        </is>
      </c>
      <c r="E5575" t="inlineStr">
        <is>
          <t>OCKELBO</t>
        </is>
      </c>
      <c r="F5575" t="inlineStr">
        <is>
          <t>Bergvik skog väst AB</t>
        </is>
      </c>
      <c r="G5575" t="n">
        <v>5</v>
      </c>
      <c r="H5575" t="n">
        <v>0</v>
      </c>
      <c r="I5575" t="n">
        <v>0</v>
      </c>
      <c r="J5575" t="n">
        <v>0</v>
      </c>
      <c r="K5575" t="n">
        <v>0</v>
      </c>
      <c r="L5575" t="n">
        <v>0</v>
      </c>
      <c r="M5575" t="n">
        <v>0</v>
      </c>
      <c r="N5575" t="n">
        <v>0</v>
      </c>
      <c r="O5575" t="n">
        <v>0</v>
      </c>
      <c r="P5575" t="n">
        <v>0</v>
      </c>
      <c r="Q5575" t="n">
        <v>0</v>
      </c>
      <c r="R5575" s="2" t="inlineStr"/>
    </row>
    <row r="5576" ht="15" customHeight="1">
      <c r="A5576" t="inlineStr">
        <is>
          <t>A 34776-2025</t>
        </is>
      </c>
      <c r="B5576" s="1" t="n">
        <v>45848.65737268519</v>
      </c>
      <c r="C5576" s="1" t="n">
        <v>45911</v>
      </c>
      <c r="D5576" t="inlineStr">
        <is>
          <t>GÄVLEBORGS LÄN</t>
        </is>
      </c>
      <c r="E5576" t="inlineStr">
        <is>
          <t>OCKELBO</t>
        </is>
      </c>
      <c r="F5576" t="inlineStr">
        <is>
          <t>Bergvik skog väst AB</t>
        </is>
      </c>
      <c r="G5576" t="n">
        <v>5.3</v>
      </c>
      <c r="H5576" t="n">
        <v>0</v>
      </c>
      <c r="I5576" t="n">
        <v>0</v>
      </c>
      <c r="J5576" t="n">
        <v>0</v>
      </c>
      <c r="K5576" t="n">
        <v>0</v>
      </c>
      <c r="L5576" t="n">
        <v>0</v>
      </c>
      <c r="M5576" t="n">
        <v>0</v>
      </c>
      <c r="N5576" t="n">
        <v>0</v>
      </c>
      <c r="O5576" t="n">
        <v>0</v>
      </c>
      <c r="P5576" t="n">
        <v>0</v>
      </c>
      <c r="Q5576" t="n">
        <v>0</v>
      </c>
      <c r="R5576" s="2" t="inlineStr"/>
    </row>
    <row r="5577" ht="15" customHeight="1">
      <c r="A5577" t="inlineStr">
        <is>
          <t>A 39626-2025</t>
        </is>
      </c>
      <c r="B5577" s="1" t="n">
        <v>45890</v>
      </c>
      <c r="C5577" s="1" t="n">
        <v>45911</v>
      </c>
      <c r="D5577" t="inlineStr">
        <is>
          <t>GÄVLEBORGS LÄN</t>
        </is>
      </c>
      <c r="E5577" t="inlineStr">
        <is>
          <t>OVANÅKER</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39324-2025</t>
        </is>
      </c>
      <c r="B5578" s="1" t="n">
        <v>45889.47886574074</v>
      </c>
      <c r="C5578" s="1" t="n">
        <v>45911</v>
      </c>
      <c r="D5578" t="inlineStr">
        <is>
          <t>GÄVLEBORGS LÄN</t>
        </is>
      </c>
      <c r="E5578" t="inlineStr">
        <is>
          <t>OCKELBO</t>
        </is>
      </c>
      <c r="G5578" t="n">
        <v>8.6</v>
      </c>
      <c r="H5578" t="n">
        <v>0</v>
      </c>
      <c r="I5578" t="n">
        <v>0</v>
      </c>
      <c r="J5578" t="n">
        <v>0</v>
      </c>
      <c r="K5578" t="n">
        <v>0</v>
      </c>
      <c r="L5578" t="n">
        <v>0</v>
      </c>
      <c r="M5578" t="n">
        <v>0</v>
      </c>
      <c r="N5578" t="n">
        <v>0</v>
      </c>
      <c r="O5578" t="n">
        <v>0</v>
      </c>
      <c r="P5578" t="n">
        <v>0</v>
      </c>
      <c r="Q5578" t="n">
        <v>0</v>
      </c>
      <c r="R5578" s="2" t="inlineStr"/>
    </row>
    <row r="5579" ht="15" customHeight="1">
      <c r="A5579" t="inlineStr">
        <is>
          <t>A 39329-2025</t>
        </is>
      </c>
      <c r="B5579" s="1" t="n">
        <v>45889.48412037037</v>
      </c>
      <c r="C5579" s="1" t="n">
        <v>45911</v>
      </c>
      <c r="D5579" t="inlineStr">
        <is>
          <t>GÄVLEBORGS LÄN</t>
        </is>
      </c>
      <c r="E5579" t="inlineStr">
        <is>
          <t>OCKELBO</t>
        </is>
      </c>
      <c r="G5579" t="n">
        <v>13.3</v>
      </c>
      <c r="H5579" t="n">
        <v>0</v>
      </c>
      <c r="I5579" t="n">
        <v>0</v>
      </c>
      <c r="J5579" t="n">
        <v>0</v>
      </c>
      <c r="K5579" t="n">
        <v>0</v>
      </c>
      <c r="L5579" t="n">
        <v>0</v>
      </c>
      <c r="M5579" t="n">
        <v>0</v>
      </c>
      <c r="N5579" t="n">
        <v>0</v>
      </c>
      <c r="O5579" t="n">
        <v>0</v>
      </c>
      <c r="P5579" t="n">
        <v>0</v>
      </c>
      <c r="Q5579" t="n">
        <v>0</v>
      </c>
      <c r="R5579" s="2" t="inlineStr"/>
    </row>
    <row r="5580" ht="15" customHeight="1">
      <c r="A5580" t="inlineStr">
        <is>
          <t>A 39244-2025</t>
        </is>
      </c>
      <c r="B5580" s="1" t="n">
        <v>45889.34674768519</v>
      </c>
      <c r="C5580" s="1" t="n">
        <v>45911</v>
      </c>
      <c r="D5580" t="inlineStr">
        <is>
          <t>GÄVLEBORGS LÄN</t>
        </is>
      </c>
      <c r="E5580" t="inlineStr">
        <is>
          <t>HUDIKSVALL</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203-2025</t>
        </is>
      </c>
      <c r="B5581" s="1" t="n">
        <v>45660.31256944445</v>
      </c>
      <c r="C5581" s="1" t="n">
        <v>45911</v>
      </c>
      <c r="D5581" t="inlineStr">
        <is>
          <t>GÄVLEBORGS LÄN</t>
        </is>
      </c>
      <c r="E5581" t="inlineStr">
        <is>
          <t>LJUSDAL</t>
        </is>
      </c>
      <c r="G5581" t="n">
        <v>2.8</v>
      </c>
      <c r="H5581" t="n">
        <v>0</v>
      </c>
      <c r="I5581" t="n">
        <v>0</v>
      </c>
      <c r="J5581" t="n">
        <v>0</v>
      </c>
      <c r="K5581" t="n">
        <v>0</v>
      </c>
      <c r="L5581" t="n">
        <v>0</v>
      </c>
      <c r="M5581" t="n">
        <v>0</v>
      </c>
      <c r="N5581" t="n">
        <v>0</v>
      </c>
      <c r="O5581" t="n">
        <v>0</v>
      </c>
      <c r="P5581" t="n">
        <v>0</v>
      </c>
      <c r="Q5581" t="n">
        <v>0</v>
      </c>
      <c r="R5581" s="2" t="inlineStr"/>
    </row>
    <row r="5582" ht="15" customHeight="1">
      <c r="A5582" t="inlineStr">
        <is>
          <t>A 208-2025</t>
        </is>
      </c>
      <c r="B5582" s="1" t="n">
        <v>45660.32690972222</v>
      </c>
      <c r="C5582" s="1" t="n">
        <v>45911</v>
      </c>
      <c r="D5582" t="inlineStr">
        <is>
          <t>GÄVLEBORGS LÄN</t>
        </is>
      </c>
      <c r="E5582" t="inlineStr">
        <is>
          <t>LJUSDAL</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225-2025</t>
        </is>
      </c>
      <c r="B5583" s="1" t="n">
        <v>45660.35574074074</v>
      </c>
      <c r="C5583" s="1" t="n">
        <v>45911</v>
      </c>
      <c r="D5583" t="inlineStr">
        <is>
          <t>GÄVLEBORGS LÄN</t>
        </is>
      </c>
      <c r="E5583" t="inlineStr">
        <is>
          <t>GÄVLE</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61763-2024</t>
        </is>
      </c>
      <c r="B5584" s="1" t="n">
        <v>45649.43486111111</v>
      </c>
      <c r="C5584" s="1" t="n">
        <v>45911</v>
      </c>
      <c r="D5584" t="inlineStr">
        <is>
          <t>GÄVLEBORGS LÄN</t>
        </is>
      </c>
      <c r="E5584" t="inlineStr">
        <is>
          <t>HUDIKSVALL</t>
        </is>
      </c>
      <c r="G5584" t="n">
        <v>7.1</v>
      </c>
      <c r="H5584" t="n">
        <v>0</v>
      </c>
      <c r="I5584" t="n">
        <v>0</v>
      </c>
      <c r="J5584" t="n">
        <v>0</v>
      </c>
      <c r="K5584" t="n">
        <v>0</v>
      </c>
      <c r="L5584" t="n">
        <v>0</v>
      </c>
      <c r="M5584" t="n">
        <v>0</v>
      </c>
      <c r="N5584" t="n">
        <v>0</v>
      </c>
      <c r="O5584" t="n">
        <v>0</v>
      </c>
      <c r="P5584" t="n">
        <v>0</v>
      </c>
      <c r="Q5584" t="n">
        <v>0</v>
      </c>
      <c r="R5584" s="2" t="inlineStr"/>
    </row>
    <row r="5585" ht="15" customHeight="1">
      <c r="A5585" t="inlineStr">
        <is>
          <t>A 574-2025</t>
        </is>
      </c>
      <c r="B5585" s="1" t="n">
        <v>45664.56424768519</v>
      </c>
      <c r="C5585" s="1" t="n">
        <v>45911</v>
      </c>
      <c r="D5585" t="inlineStr">
        <is>
          <t>GÄVLEBORGS LÄN</t>
        </is>
      </c>
      <c r="E5585" t="inlineStr">
        <is>
          <t>LJUSDAL</t>
        </is>
      </c>
      <c r="F5585" t="inlineStr">
        <is>
          <t>Bergvik skog väst AB</t>
        </is>
      </c>
      <c r="G5585" t="n">
        <v>18.1</v>
      </c>
      <c r="H5585" t="n">
        <v>0</v>
      </c>
      <c r="I5585" t="n">
        <v>0</v>
      </c>
      <c r="J5585" t="n">
        <v>0</v>
      </c>
      <c r="K5585" t="n">
        <v>0</v>
      </c>
      <c r="L5585" t="n">
        <v>0</v>
      </c>
      <c r="M5585" t="n">
        <v>0</v>
      </c>
      <c r="N5585" t="n">
        <v>0</v>
      </c>
      <c r="O5585" t="n">
        <v>0</v>
      </c>
      <c r="P5585" t="n">
        <v>0</v>
      </c>
      <c r="Q5585" t="n">
        <v>0</v>
      </c>
      <c r="R5585" s="2" t="inlineStr"/>
    </row>
    <row r="5586" ht="15" customHeight="1">
      <c r="A5586" t="inlineStr">
        <is>
          <t>A 35352-2024</t>
        </is>
      </c>
      <c r="B5586" s="1" t="n">
        <v>45531</v>
      </c>
      <c r="C5586" s="1" t="n">
        <v>45911</v>
      </c>
      <c r="D5586" t="inlineStr">
        <is>
          <t>GÄVLEBORGS LÄN</t>
        </is>
      </c>
      <c r="E5586" t="inlineStr">
        <is>
          <t>OVANÅKER</t>
        </is>
      </c>
      <c r="F5586" t="inlineStr">
        <is>
          <t>Sveaskog</t>
        </is>
      </c>
      <c r="G5586" t="n">
        <v>9.199999999999999</v>
      </c>
      <c r="H5586" t="n">
        <v>0</v>
      </c>
      <c r="I5586" t="n">
        <v>0</v>
      </c>
      <c r="J5586" t="n">
        <v>0</v>
      </c>
      <c r="K5586" t="n">
        <v>0</v>
      </c>
      <c r="L5586" t="n">
        <v>0</v>
      </c>
      <c r="M5586" t="n">
        <v>0</v>
      </c>
      <c r="N5586" t="n">
        <v>0</v>
      </c>
      <c r="O5586" t="n">
        <v>0</v>
      </c>
      <c r="P5586" t="n">
        <v>0</v>
      </c>
      <c r="Q5586" t="n">
        <v>0</v>
      </c>
      <c r="R5586" s="2" t="inlineStr"/>
    </row>
    <row r="5587" ht="15" customHeight="1">
      <c r="A5587" t="inlineStr">
        <is>
          <t>A 34722-2025</t>
        </is>
      </c>
      <c r="B5587" s="1" t="n">
        <v>45848.53870370371</v>
      </c>
      <c r="C5587" s="1" t="n">
        <v>45911</v>
      </c>
      <c r="D5587" t="inlineStr">
        <is>
          <t>GÄVLEBORGS LÄN</t>
        </is>
      </c>
      <c r="E5587" t="inlineStr">
        <is>
          <t>GÄVLE</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11481-2025</t>
        </is>
      </c>
      <c r="B5588" s="1" t="n">
        <v>45726.67984953704</v>
      </c>
      <c r="C5588" s="1" t="n">
        <v>45911</v>
      </c>
      <c r="D5588" t="inlineStr">
        <is>
          <t>GÄVLEBORGS LÄN</t>
        </is>
      </c>
      <c r="E5588" t="inlineStr">
        <is>
          <t>SANDVIKEN</t>
        </is>
      </c>
      <c r="F5588" t="inlineStr">
        <is>
          <t>Bergvik skog öst AB</t>
        </is>
      </c>
      <c r="G5588" t="n">
        <v>3.9</v>
      </c>
      <c r="H5588" t="n">
        <v>0</v>
      </c>
      <c r="I5588" t="n">
        <v>0</v>
      </c>
      <c r="J5588" t="n">
        <v>0</v>
      </c>
      <c r="K5588" t="n">
        <v>0</v>
      </c>
      <c r="L5588" t="n">
        <v>0</v>
      </c>
      <c r="M5588" t="n">
        <v>0</v>
      </c>
      <c r="N5588" t="n">
        <v>0</v>
      </c>
      <c r="O5588" t="n">
        <v>0</v>
      </c>
      <c r="P5588" t="n">
        <v>0</v>
      </c>
      <c r="Q5588" t="n">
        <v>0</v>
      </c>
      <c r="R5588" s="2" t="inlineStr"/>
    </row>
    <row r="5589" ht="15" customHeight="1">
      <c r="A5589" t="inlineStr">
        <is>
          <t>A 29567-2024</t>
        </is>
      </c>
      <c r="B5589" s="1" t="n">
        <v>45484</v>
      </c>
      <c r="C5589" s="1" t="n">
        <v>45911</v>
      </c>
      <c r="D5589" t="inlineStr">
        <is>
          <t>GÄVLEBORGS LÄN</t>
        </is>
      </c>
      <c r="E5589" t="inlineStr">
        <is>
          <t>OCKELBO</t>
        </is>
      </c>
      <c r="G5589" t="n">
        <v>3.7</v>
      </c>
      <c r="H5589" t="n">
        <v>0</v>
      </c>
      <c r="I5589" t="n">
        <v>0</v>
      </c>
      <c r="J5589" t="n">
        <v>0</v>
      </c>
      <c r="K5589" t="n">
        <v>0</v>
      </c>
      <c r="L5589" t="n">
        <v>0</v>
      </c>
      <c r="M5589" t="n">
        <v>0</v>
      </c>
      <c r="N5589" t="n">
        <v>0</v>
      </c>
      <c r="O5589" t="n">
        <v>0</v>
      </c>
      <c r="P5589" t="n">
        <v>0</v>
      </c>
      <c r="Q5589" t="n">
        <v>0</v>
      </c>
      <c r="R5589" s="2" t="inlineStr"/>
    </row>
    <row r="5590" ht="15" customHeight="1">
      <c r="A5590" t="inlineStr">
        <is>
          <t>A 36233-2022</t>
        </is>
      </c>
      <c r="B5590" s="1" t="n">
        <v>44803.56774305556</v>
      </c>
      <c r="C5590" s="1" t="n">
        <v>45911</v>
      </c>
      <c r="D5590" t="inlineStr">
        <is>
          <t>GÄVLEBORGS LÄN</t>
        </is>
      </c>
      <c r="E5590" t="inlineStr">
        <is>
          <t>LJUSDAL</t>
        </is>
      </c>
      <c r="G5590" t="n">
        <v>4.4</v>
      </c>
      <c r="H5590" t="n">
        <v>0</v>
      </c>
      <c r="I5590" t="n">
        <v>0</v>
      </c>
      <c r="J5590" t="n">
        <v>0</v>
      </c>
      <c r="K5590" t="n">
        <v>0</v>
      </c>
      <c r="L5590" t="n">
        <v>0</v>
      </c>
      <c r="M5590" t="n">
        <v>0</v>
      </c>
      <c r="N5590" t="n">
        <v>0</v>
      </c>
      <c r="O5590" t="n">
        <v>0</v>
      </c>
      <c r="P5590" t="n">
        <v>0</v>
      </c>
      <c r="Q5590" t="n">
        <v>0</v>
      </c>
      <c r="R5590" s="2" t="inlineStr"/>
    </row>
    <row r="5591" ht="15" customHeight="1">
      <c r="A5591" t="inlineStr">
        <is>
          <t>A 34788-2025</t>
        </is>
      </c>
      <c r="B5591" s="1" t="n">
        <v>45848.6784837963</v>
      </c>
      <c r="C5591" s="1" t="n">
        <v>45911</v>
      </c>
      <c r="D5591" t="inlineStr">
        <is>
          <t>GÄVLEBORGS LÄN</t>
        </is>
      </c>
      <c r="E5591" t="inlineStr">
        <is>
          <t>NORDANSTIG</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12083-2025</t>
        </is>
      </c>
      <c r="B5592" s="1" t="n">
        <v>45728.9183449074</v>
      </c>
      <c r="C5592" s="1" t="n">
        <v>45911</v>
      </c>
      <c r="D5592" t="inlineStr">
        <is>
          <t>GÄVLEBORGS LÄN</t>
        </is>
      </c>
      <c r="E5592" t="inlineStr">
        <is>
          <t>GÄVLE</t>
        </is>
      </c>
      <c r="G5592" t="n">
        <v>6.3</v>
      </c>
      <c r="H5592" t="n">
        <v>0</v>
      </c>
      <c r="I5592" t="n">
        <v>0</v>
      </c>
      <c r="J5592" t="n">
        <v>0</v>
      </c>
      <c r="K5592" t="n">
        <v>0</v>
      </c>
      <c r="L5592" t="n">
        <v>0</v>
      </c>
      <c r="M5592" t="n">
        <v>0</v>
      </c>
      <c r="N5592" t="n">
        <v>0</v>
      </c>
      <c r="O5592" t="n">
        <v>0</v>
      </c>
      <c r="P5592" t="n">
        <v>0</v>
      </c>
      <c r="Q5592" t="n">
        <v>0</v>
      </c>
      <c r="R5592" s="2" t="inlineStr"/>
    </row>
    <row r="5593" ht="15" customHeight="1">
      <c r="A5593" t="inlineStr">
        <is>
          <t>A 12087-2025</t>
        </is>
      </c>
      <c r="B5593" s="1" t="n">
        <v>45729.27089120371</v>
      </c>
      <c r="C5593" s="1" t="n">
        <v>45911</v>
      </c>
      <c r="D5593" t="inlineStr">
        <is>
          <t>GÄVLEBORGS LÄN</t>
        </is>
      </c>
      <c r="E5593" t="inlineStr">
        <is>
          <t>BOLLNÄS</t>
        </is>
      </c>
      <c r="F5593" t="inlineStr">
        <is>
          <t>Bergvik skog väst AB</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40453-2024</t>
        </is>
      </c>
      <c r="B5594" s="1" t="n">
        <v>45555.49383101852</v>
      </c>
      <c r="C5594" s="1" t="n">
        <v>45911</v>
      </c>
      <c r="D5594" t="inlineStr">
        <is>
          <t>GÄVLEBORGS LÄN</t>
        </is>
      </c>
      <c r="E5594" t="inlineStr">
        <is>
          <t>BOLLNÄS</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50331-2021</t>
        </is>
      </c>
      <c r="B5595" s="1" t="n">
        <v>44459.41059027778</v>
      </c>
      <c r="C5595" s="1" t="n">
        <v>45911</v>
      </c>
      <c r="D5595" t="inlineStr">
        <is>
          <t>GÄVLEBORGS LÄN</t>
        </is>
      </c>
      <c r="E5595" t="inlineStr">
        <is>
          <t>LJUSDAL</t>
        </is>
      </c>
      <c r="F5595" t="inlineStr">
        <is>
          <t>Bergvik skog väst AB</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45626-2022</t>
        </is>
      </c>
      <c r="B5596" s="1" t="n">
        <v>44845</v>
      </c>
      <c r="C5596" s="1" t="n">
        <v>45911</v>
      </c>
      <c r="D5596" t="inlineStr">
        <is>
          <t>GÄVLEBORGS LÄN</t>
        </is>
      </c>
      <c r="E5596" t="inlineStr">
        <is>
          <t>GÄVLE</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44048-2022</t>
        </is>
      </c>
      <c r="B5597" s="1" t="n">
        <v>44838.94913194444</v>
      </c>
      <c r="C5597" s="1" t="n">
        <v>45911</v>
      </c>
      <c r="D5597" t="inlineStr">
        <is>
          <t>GÄVLEBORGS LÄN</t>
        </is>
      </c>
      <c r="E5597" t="inlineStr">
        <is>
          <t>LJUSDAL</t>
        </is>
      </c>
      <c r="F5597" t="inlineStr">
        <is>
          <t>SCA</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1075-2025</t>
        </is>
      </c>
      <c r="B5598" s="1" t="n">
        <v>45666</v>
      </c>
      <c r="C5598" s="1" t="n">
        <v>45911</v>
      </c>
      <c r="D5598" t="inlineStr">
        <is>
          <t>GÄVLEBORGS LÄN</t>
        </is>
      </c>
      <c r="E5598" t="inlineStr">
        <is>
          <t>SÖDERHAMN</t>
        </is>
      </c>
      <c r="F5598" t="inlineStr">
        <is>
          <t>Kommuner</t>
        </is>
      </c>
      <c r="G5598" t="n">
        <v>0.4</v>
      </c>
      <c r="H5598" t="n">
        <v>0</v>
      </c>
      <c r="I5598" t="n">
        <v>0</v>
      </c>
      <c r="J5598" t="n">
        <v>0</v>
      </c>
      <c r="K5598" t="n">
        <v>0</v>
      </c>
      <c r="L5598" t="n">
        <v>0</v>
      </c>
      <c r="M5598" t="n">
        <v>0</v>
      </c>
      <c r="N5598" t="n">
        <v>0</v>
      </c>
      <c r="O5598" t="n">
        <v>0</v>
      </c>
      <c r="P5598" t="n">
        <v>0</v>
      </c>
      <c r="Q5598" t="n">
        <v>0</v>
      </c>
      <c r="R5598" s="2" t="inlineStr"/>
    </row>
    <row r="5599" ht="15" customHeight="1">
      <c r="A5599" t="inlineStr">
        <is>
          <t>A 1111-2025</t>
        </is>
      </c>
      <c r="B5599" s="1" t="n">
        <v>45666.65288194444</v>
      </c>
      <c r="C5599" s="1" t="n">
        <v>45911</v>
      </c>
      <c r="D5599" t="inlineStr">
        <is>
          <t>GÄVLEBORGS LÄN</t>
        </is>
      </c>
      <c r="E5599" t="inlineStr">
        <is>
          <t>HUDIKSVALL</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47502-2022</t>
        </is>
      </c>
      <c r="B5600" s="1" t="n">
        <v>44853</v>
      </c>
      <c r="C5600" s="1" t="n">
        <v>45911</v>
      </c>
      <c r="D5600" t="inlineStr">
        <is>
          <t>GÄVLEBORGS LÄN</t>
        </is>
      </c>
      <c r="E5600" t="inlineStr">
        <is>
          <t>LJUSDAL</t>
        </is>
      </c>
      <c r="G5600" t="n">
        <v>3</v>
      </c>
      <c r="H5600" t="n">
        <v>0</v>
      </c>
      <c r="I5600" t="n">
        <v>0</v>
      </c>
      <c r="J5600" t="n">
        <v>0</v>
      </c>
      <c r="K5600" t="n">
        <v>0</v>
      </c>
      <c r="L5600" t="n">
        <v>0</v>
      </c>
      <c r="M5600" t="n">
        <v>0</v>
      </c>
      <c r="N5600" t="n">
        <v>0</v>
      </c>
      <c r="O5600" t="n">
        <v>0</v>
      </c>
      <c r="P5600" t="n">
        <v>0</v>
      </c>
      <c r="Q5600" t="n">
        <v>0</v>
      </c>
      <c r="R5600" s="2" t="inlineStr"/>
    </row>
    <row r="5601" ht="15" customHeight="1">
      <c r="A5601" t="inlineStr">
        <is>
          <t>A 37743-2022</t>
        </is>
      </c>
      <c r="B5601" s="1" t="n">
        <v>44810.58275462963</v>
      </c>
      <c r="C5601" s="1" t="n">
        <v>45911</v>
      </c>
      <c r="D5601" t="inlineStr">
        <is>
          <t>GÄVLEBORGS LÄN</t>
        </is>
      </c>
      <c r="E5601" t="inlineStr">
        <is>
          <t>HOFORS</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39495-2025</t>
        </is>
      </c>
      <c r="B5602" s="1" t="n">
        <v>45890.37769675926</v>
      </c>
      <c r="C5602" s="1" t="n">
        <v>45911</v>
      </c>
      <c r="D5602" t="inlineStr">
        <is>
          <t>GÄVLEBORGS LÄN</t>
        </is>
      </c>
      <c r="E5602" t="inlineStr">
        <is>
          <t>OVANÅKER</t>
        </is>
      </c>
      <c r="G5602" t="n">
        <v>3.1</v>
      </c>
      <c r="H5602" t="n">
        <v>0</v>
      </c>
      <c r="I5602" t="n">
        <v>0</v>
      </c>
      <c r="J5602" t="n">
        <v>0</v>
      </c>
      <c r="K5602" t="n">
        <v>0</v>
      </c>
      <c r="L5602" t="n">
        <v>0</v>
      </c>
      <c r="M5602" t="n">
        <v>0</v>
      </c>
      <c r="N5602" t="n">
        <v>0</v>
      </c>
      <c r="O5602" t="n">
        <v>0</v>
      </c>
      <c r="P5602" t="n">
        <v>0</v>
      </c>
      <c r="Q5602" t="n">
        <v>0</v>
      </c>
      <c r="R5602" s="2" t="inlineStr"/>
    </row>
    <row r="5603" ht="15" customHeight="1">
      <c r="A5603" t="inlineStr">
        <is>
          <t>A 39538-2025</t>
        </is>
      </c>
      <c r="B5603" s="1" t="n">
        <v>45890.45074074074</v>
      </c>
      <c r="C5603" s="1" t="n">
        <v>45911</v>
      </c>
      <c r="D5603" t="inlineStr">
        <is>
          <t>GÄVLEBORGS LÄN</t>
        </is>
      </c>
      <c r="E5603" t="inlineStr">
        <is>
          <t>OVANÅKER</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39542-2025</t>
        </is>
      </c>
      <c r="B5604" s="1" t="n">
        <v>45890.45476851852</v>
      </c>
      <c r="C5604" s="1" t="n">
        <v>45911</v>
      </c>
      <c r="D5604" t="inlineStr">
        <is>
          <t>GÄVLEBORGS LÄN</t>
        </is>
      </c>
      <c r="E5604" t="inlineStr">
        <is>
          <t>OVANÅKER</t>
        </is>
      </c>
      <c r="F5604" t="inlineStr">
        <is>
          <t>Sveaskog</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60759-2024</t>
        </is>
      </c>
      <c r="B5605" s="1" t="n">
        <v>45644.57359953703</v>
      </c>
      <c r="C5605" s="1" t="n">
        <v>45911</v>
      </c>
      <c r="D5605" t="inlineStr">
        <is>
          <t>GÄVLEBORGS LÄN</t>
        </is>
      </c>
      <c r="E5605" t="inlineStr">
        <is>
          <t>BOLLNÄS</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39643-2025</t>
        </is>
      </c>
      <c r="B5606" s="1" t="n">
        <v>45890.61131944445</v>
      </c>
      <c r="C5606" s="1" t="n">
        <v>45911</v>
      </c>
      <c r="D5606" t="inlineStr">
        <is>
          <t>GÄVLEBORGS LÄN</t>
        </is>
      </c>
      <c r="E5606" t="inlineStr">
        <is>
          <t>HUDIKSVALL</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15242-2023</t>
        </is>
      </c>
      <c r="B5607" s="1" t="n">
        <v>45019</v>
      </c>
      <c r="C5607" s="1" t="n">
        <v>45911</v>
      </c>
      <c r="D5607" t="inlineStr">
        <is>
          <t>GÄVLEBORGS LÄN</t>
        </is>
      </c>
      <c r="E5607" t="inlineStr">
        <is>
          <t>HUDIKSVALL</t>
        </is>
      </c>
      <c r="G5607" t="n">
        <v>2.7</v>
      </c>
      <c r="H5607" t="n">
        <v>0</v>
      </c>
      <c r="I5607" t="n">
        <v>0</v>
      </c>
      <c r="J5607" t="n">
        <v>0</v>
      </c>
      <c r="K5607" t="n">
        <v>0</v>
      </c>
      <c r="L5607" t="n">
        <v>0</v>
      </c>
      <c r="M5607" t="n">
        <v>0</v>
      </c>
      <c r="N5607" t="n">
        <v>0</v>
      </c>
      <c r="O5607" t="n">
        <v>0</v>
      </c>
      <c r="P5607" t="n">
        <v>0</v>
      </c>
      <c r="Q5607" t="n">
        <v>0</v>
      </c>
      <c r="R5607" s="2" t="inlineStr"/>
    </row>
    <row r="5608" ht="15" customHeight="1">
      <c r="A5608" t="inlineStr">
        <is>
          <t>A 57511-2024</t>
        </is>
      </c>
      <c r="B5608" s="1" t="n">
        <v>45630.39777777778</v>
      </c>
      <c r="C5608" s="1" t="n">
        <v>45911</v>
      </c>
      <c r="D5608" t="inlineStr">
        <is>
          <t>GÄVLEBORGS LÄN</t>
        </is>
      </c>
      <c r="E5608" t="inlineStr">
        <is>
          <t>HUDIKSVALL</t>
        </is>
      </c>
      <c r="F5608" t="inlineStr">
        <is>
          <t>Holmen skog AB</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32959-2024</t>
        </is>
      </c>
      <c r="B5609" s="1" t="n">
        <v>45517</v>
      </c>
      <c r="C5609" s="1" t="n">
        <v>45911</v>
      </c>
      <c r="D5609" t="inlineStr">
        <is>
          <t>GÄVLEBORGS LÄN</t>
        </is>
      </c>
      <c r="E5609" t="inlineStr">
        <is>
          <t>HUDIKSVALL</t>
        </is>
      </c>
      <c r="F5609" t="inlineStr">
        <is>
          <t>Holmen skog AB</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14050-2023</t>
        </is>
      </c>
      <c r="B5610" s="1" t="n">
        <v>45008</v>
      </c>
      <c r="C5610" s="1" t="n">
        <v>45911</v>
      </c>
      <c r="D5610" t="inlineStr">
        <is>
          <t>GÄVLEBORGS LÄN</t>
        </is>
      </c>
      <c r="E5610" t="inlineStr">
        <is>
          <t>BOLLNÄS</t>
        </is>
      </c>
      <c r="G5610" t="n">
        <v>0.4</v>
      </c>
      <c r="H5610" t="n">
        <v>0</v>
      </c>
      <c r="I5610" t="n">
        <v>0</v>
      </c>
      <c r="J5610" t="n">
        <v>0</v>
      </c>
      <c r="K5610" t="n">
        <v>0</v>
      </c>
      <c r="L5610" t="n">
        <v>0</v>
      </c>
      <c r="M5610" t="n">
        <v>0</v>
      </c>
      <c r="N5610" t="n">
        <v>0</v>
      </c>
      <c r="O5610" t="n">
        <v>0</v>
      </c>
      <c r="P5610" t="n">
        <v>0</v>
      </c>
      <c r="Q5610" t="n">
        <v>0</v>
      </c>
      <c r="R5610" s="2" t="inlineStr"/>
    </row>
    <row r="5611" ht="15" customHeight="1">
      <c r="A5611" t="inlineStr">
        <is>
          <t>A 55477-2022</t>
        </is>
      </c>
      <c r="B5611" s="1" t="n">
        <v>44887</v>
      </c>
      <c r="C5611" s="1" t="n">
        <v>45911</v>
      </c>
      <c r="D5611" t="inlineStr">
        <is>
          <t>GÄVLEBORGS LÄN</t>
        </is>
      </c>
      <c r="E5611" t="inlineStr">
        <is>
          <t>OVANÅKER</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11407-2025</t>
        </is>
      </c>
      <c r="B5612" s="1" t="n">
        <v>45726.58489583333</v>
      </c>
      <c r="C5612" s="1" t="n">
        <v>45911</v>
      </c>
      <c r="D5612" t="inlineStr">
        <is>
          <t>GÄVLEBORGS LÄN</t>
        </is>
      </c>
      <c r="E5612" t="inlineStr">
        <is>
          <t>GÄVLE</t>
        </is>
      </c>
      <c r="F5612" t="inlineStr">
        <is>
          <t>Bergvik skog öst AB</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16258-2023</t>
        </is>
      </c>
      <c r="B5613" s="1" t="n">
        <v>45022</v>
      </c>
      <c r="C5613" s="1" t="n">
        <v>45911</v>
      </c>
      <c r="D5613" t="inlineStr">
        <is>
          <t>GÄVLEBORGS LÄN</t>
        </is>
      </c>
      <c r="E5613" t="inlineStr">
        <is>
          <t>SANDVIKEN</t>
        </is>
      </c>
      <c r="F5613" t="inlineStr">
        <is>
          <t>Bergvik skog väst AB</t>
        </is>
      </c>
      <c r="G5613" t="n">
        <v>5.2</v>
      </c>
      <c r="H5613" t="n">
        <v>0</v>
      </c>
      <c r="I5613" t="n">
        <v>0</v>
      </c>
      <c r="J5613" t="n">
        <v>0</v>
      </c>
      <c r="K5613" t="n">
        <v>0</v>
      </c>
      <c r="L5613" t="n">
        <v>0</v>
      </c>
      <c r="M5613" t="n">
        <v>0</v>
      </c>
      <c r="N5613" t="n">
        <v>0</v>
      </c>
      <c r="O5613" t="n">
        <v>0</v>
      </c>
      <c r="P5613" t="n">
        <v>0</v>
      </c>
      <c r="Q5613" t="n">
        <v>0</v>
      </c>
      <c r="R5613" s="2" t="inlineStr"/>
    </row>
    <row r="5614" ht="15" customHeight="1">
      <c r="A5614" t="inlineStr">
        <is>
          <t>A 30130-2024</t>
        </is>
      </c>
      <c r="B5614" s="1" t="n">
        <v>45489</v>
      </c>
      <c r="C5614" s="1" t="n">
        <v>45911</v>
      </c>
      <c r="D5614" t="inlineStr">
        <is>
          <t>GÄVLEBORGS LÄN</t>
        </is>
      </c>
      <c r="E5614" t="inlineStr">
        <is>
          <t>NORDANSTIG</t>
        </is>
      </c>
      <c r="F5614" t="inlineStr">
        <is>
          <t>Holmen skog AB</t>
        </is>
      </c>
      <c r="G5614" t="n">
        <v>3.9</v>
      </c>
      <c r="H5614" t="n">
        <v>0</v>
      </c>
      <c r="I5614" t="n">
        <v>0</v>
      </c>
      <c r="J5614" t="n">
        <v>0</v>
      </c>
      <c r="K5614" t="n">
        <v>0</v>
      </c>
      <c r="L5614" t="n">
        <v>0</v>
      </c>
      <c r="M5614" t="n">
        <v>0</v>
      </c>
      <c r="N5614" t="n">
        <v>0</v>
      </c>
      <c r="O5614" t="n">
        <v>0</v>
      </c>
      <c r="P5614" t="n">
        <v>0</v>
      </c>
      <c r="Q5614" t="n">
        <v>0</v>
      </c>
      <c r="R5614" s="2" t="inlineStr"/>
    </row>
    <row r="5615" ht="15" customHeight="1">
      <c r="A5615" t="inlineStr">
        <is>
          <t>A 29923-2022</t>
        </is>
      </c>
      <c r="B5615" s="1" t="n">
        <v>44756.56537037037</v>
      </c>
      <c r="C5615" s="1" t="n">
        <v>45911</v>
      </c>
      <c r="D5615" t="inlineStr">
        <is>
          <t>GÄVLEBORGS LÄN</t>
        </is>
      </c>
      <c r="E5615" t="inlineStr">
        <is>
          <t>GÄVLE</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29927-2022</t>
        </is>
      </c>
      <c r="B5616" s="1" t="n">
        <v>44756.57232638889</v>
      </c>
      <c r="C5616" s="1" t="n">
        <v>45911</v>
      </c>
      <c r="D5616" t="inlineStr">
        <is>
          <t>GÄVLEBORGS LÄN</t>
        </is>
      </c>
      <c r="E5616" t="inlineStr">
        <is>
          <t>GÄVLE</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55407-2022</t>
        </is>
      </c>
      <c r="B5617" s="1" t="n">
        <v>44887</v>
      </c>
      <c r="C5617" s="1" t="n">
        <v>45911</v>
      </c>
      <c r="D5617" t="inlineStr">
        <is>
          <t>GÄVLEBORGS LÄN</t>
        </is>
      </c>
      <c r="E5617" t="inlineStr">
        <is>
          <t>SANDVIKEN</t>
        </is>
      </c>
      <c r="G5617" t="n">
        <v>8.9</v>
      </c>
      <c r="H5617" t="n">
        <v>0</v>
      </c>
      <c r="I5617" t="n">
        <v>0</v>
      </c>
      <c r="J5617" t="n">
        <v>0</v>
      </c>
      <c r="K5617" t="n">
        <v>0</v>
      </c>
      <c r="L5617" t="n">
        <v>0</v>
      </c>
      <c r="M5617" t="n">
        <v>0</v>
      </c>
      <c r="N5617" t="n">
        <v>0</v>
      </c>
      <c r="O5617" t="n">
        <v>0</v>
      </c>
      <c r="P5617" t="n">
        <v>0</v>
      </c>
      <c r="Q5617" t="n">
        <v>0</v>
      </c>
      <c r="R5617" s="2" t="inlineStr"/>
    </row>
    <row r="5618" ht="15" customHeight="1">
      <c r="A5618" t="inlineStr">
        <is>
          <t>A 55434-2022</t>
        </is>
      </c>
      <c r="B5618" s="1" t="n">
        <v>44887</v>
      </c>
      <c r="C5618" s="1" t="n">
        <v>45911</v>
      </c>
      <c r="D5618" t="inlineStr">
        <is>
          <t>GÄVLEBORGS LÄN</t>
        </is>
      </c>
      <c r="E5618" t="inlineStr">
        <is>
          <t>HUDIKSVALL</t>
        </is>
      </c>
      <c r="F5618" t="inlineStr">
        <is>
          <t>Holmen skog AB</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34887-2022</t>
        </is>
      </c>
      <c r="B5619" s="1" t="n">
        <v>44796</v>
      </c>
      <c r="C5619" s="1" t="n">
        <v>45911</v>
      </c>
      <c r="D5619" t="inlineStr">
        <is>
          <t>GÄVLEBORGS LÄN</t>
        </is>
      </c>
      <c r="E5619" t="inlineStr">
        <is>
          <t>BOLLNÄS</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40400-2022</t>
        </is>
      </c>
      <c r="B5620" s="1" t="n">
        <v>44823</v>
      </c>
      <c r="C5620" s="1" t="n">
        <v>45911</v>
      </c>
      <c r="D5620" t="inlineStr">
        <is>
          <t>GÄVLEBORGS LÄN</t>
        </is>
      </c>
      <c r="E5620" t="inlineStr">
        <is>
          <t>OVANÅKER</t>
        </is>
      </c>
      <c r="F5620" t="inlineStr">
        <is>
          <t>Bergvik skog väst AB</t>
        </is>
      </c>
      <c r="G5620" t="n">
        <v>2.7</v>
      </c>
      <c r="H5620" t="n">
        <v>0</v>
      </c>
      <c r="I5620" t="n">
        <v>0</v>
      </c>
      <c r="J5620" t="n">
        <v>0</v>
      </c>
      <c r="K5620" t="n">
        <v>0</v>
      </c>
      <c r="L5620" t="n">
        <v>0</v>
      </c>
      <c r="M5620" t="n">
        <v>0</v>
      </c>
      <c r="N5620" t="n">
        <v>0</v>
      </c>
      <c r="O5620" t="n">
        <v>0</v>
      </c>
      <c r="P5620" t="n">
        <v>0</v>
      </c>
      <c r="Q5620" t="n">
        <v>0</v>
      </c>
      <c r="R5620" s="2" t="inlineStr"/>
    </row>
    <row r="5621" ht="15" customHeight="1">
      <c r="A5621" t="inlineStr">
        <is>
          <t>A 34553-2025</t>
        </is>
      </c>
      <c r="B5621" s="1" t="n">
        <v>45847.5684375</v>
      </c>
      <c r="C5621" s="1" t="n">
        <v>45911</v>
      </c>
      <c r="D5621" t="inlineStr">
        <is>
          <t>GÄVLEBORGS LÄN</t>
        </is>
      </c>
      <c r="E5621" t="inlineStr">
        <is>
          <t>BOLLNÄS</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26236-2021</t>
        </is>
      </c>
      <c r="B5622" s="1" t="n">
        <v>44347.45221064815</v>
      </c>
      <c r="C5622" s="1" t="n">
        <v>45911</v>
      </c>
      <c r="D5622" t="inlineStr">
        <is>
          <t>GÄVLEBORGS LÄN</t>
        </is>
      </c>
      <c r="E5622" t="inlineStr">
        <is>
          <t>LJUSDAL</t>
        </is>
      </c>
      <c r="F5622" t="inlineStr">
        <is>
          <t>Bergvik skog väst AB</t>
        </is>
      </c>
      <c r="G5622" t="n">
        <v>2.7</v>
      </c>
      <c r="H5622" t="n">
        <v>0</v>
      </c>
      <c r="I5622" t="n">
        <v>0</v>
      </c>
      <c r="J5622" t="n">
        <v>0</v>
      </c>
      <c r="K5622" t="n">
        <v>0</v>
      </c>
      <c r="L5622" t="n">
        <v>0</v>
      </c>
      <c r="M5622" t="n">
        <v>0</v>
      </c>
      <c r="N5622" t="n">
        <v>0</v>
      </c>
      <c r="O5622" t="n">
        <v>0</v>
      </c>
      <c r="P5622" t="n">
        <v>0</v>
      </c>
      <c r="Q5622" t="n">
        <v>0</v>
      </c>
      <c r="R5622" s="2" t="inlineStr"/>
    </row>
    <row r="5623" ht="15" customHeight="1">
      <c r="A5623" t="inlineStr">
        <is>
          <t>A 10176-2023</t>
        </is>
      </c>
      <c r="B5623" s="1" t="n">
        <v>44986.47180555556</v>
      </c>
      <c r="C5623" s="1" t="n">
        <v>45911</v>
      </c>
      <c r="D5623" t="inlineStr">
        <is>
          <t>GÄVLEBORGS LÄN</t>
        </is>
      </c>
      <c r="E5623" t="inlineStr">
        <is>
          <t>LJUSDAL</t>
        </is>
      </c>
      <c r="F5623" t="inlineStr">
        <is>
          <t>Bergvik skog väst AB</t>
        </is>
      </c>
      <c r="G5623" t="n">
        <v>4.5</v>
      </c>
      <c r="H5623" t="n">
        <v>0</v>
      </c>
      <c r="I5623" t="n">
        <v>0</v>
      </c>
      <c r="J5623" t="n">
        <v>0</v>
      </c>
      <c r="K5623" t="n">
        <v>0</v>
      </c>
      <c r="L5623" t="n">
        <v>0</v>
      </c>
      <c r="M5623" t="n">
        <v>0</v>
      </c>
      <c r="N5623" t="n">
        <v>0</v>
      </c>
      <c r="O5623" t="n">
        <v>0</v>
      </c>
      <c r="P5623" t="n">
        <v>0</v>
      </c>
      <c r="Q5623" t="n">
        <v>0</v>
      </c>
      <c r="R5623" s="2" t="inlineStr"/>
    </row>
    <row r="5624" ht="15" customHeight="1">
      <c r="A5624" t="inlineStr">
        <is>
          <t>A 39537-2025</t>
        </is>
      </c>
      <c r="B5624" s="1" t="n">
        <v>45890.44887731481</v>
      </c>
      <c r="C5624" s="1" t="n">
        <v>45911</v>
      </c>
      <c r="D5624" t="inlineStr">
        <is>
          <t>GÄVLEBORGS LÄN</t>
        </is>
      </c>
      <c r="E5624" t="inlineStr">
        <is>
          <t>LJUSDAL</t>
        </is>
      </c>
      <c r="G5624" t="n">
        <v>2.7</v>
      </c>
      <c r="H5624" t="n">
        <v>0</v>
      </c>
      <c r="I5624" t="n">
        <v>0</v>
      </c>
      <c r="J5624" t="n">
        <v>0</v>
      </c>
      <c r="K5624" t="n">
        <v>0</v>
      </c>
      <c r="L5624" t="n">
        <v>0</v>
      </c>
      <c r="M5624" t="n">
        <v>0</v>
      </c>
      <c r="N5624" t="n">
        <v>0</v>
      </c>
      <c r="O5624" t="n">
        <v>0</v>
      </c>
      <c r="P5624" t="n">
        <v>0</v>
      </c>
      <c r="Q5624" t="n">
        <v>0</v>
      </c>
      <c r="R5624" s="2" t="inlineStr"/>
    </row>
    <row r="5625" ht="15" customHeight="1">
      <c r="A5625" t="inlineStr">
        <is>
          <t>A 28314-2023</t>
        </is>
      </c>
      <c r="B5625" s="1" t="n">
        <v>45099.66478009259</v>
      </c>
      <c r="C5625" s="1" t="n">
        <v>45911</v>
      </c>
      <c r="D5625" t="inlineStr">
        <is>
          <t>GÄVLEBORGS LÄN</t>
        </is>
      </c>
      <c r="E5625" t="inlineStr">
        <is>
          <t>BOLLNÄS</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12700-2025</t>
        </is>
      </c>
      <c r="B5626" s="1" t="n">
        <v>45733</v>
      </c>
      <c r="C5626" s="1" t="n">
        <v>45911</v>
      </c>
      <c r="D5626" t="inlineStr">
        <is>
          <t>GÄVLEBORGS LÄN</t>
        </is>
      </c>
      <c r="E5626" t="inlineStr">
        <is>
          <t>SÖDERHAMN</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5408-2023</t>
        </is>
      </c>
      <c r="B5627" s="1" t="n">
        <v>44959.71658564815</v>
      </c>
      <c r="C5627" s="1" t="n">
        <v>45911</v>
      </c>
      <c r="D5627" t="inlineStr">
        <is>
          <t>GÄVLEBORGS LÄN</t>
        </is>
      </c>
      <c r="E5627" t="inlineStr">
        <is>
          <t>GÄVLE</t>
        </is>
      </c>
      <c r="G5627" t="n">
        <v>0.3</v>
      </c>
      <c r="H5627" t="n">
        <v>0</v>
      </c>
      <c r="I5627" t="n">
        <v>0</v>
      </c>
      <c r="J5627" t="n">
        <v>0</v>
      </c>
      <c r="K5627" t="n">
        <v>0</v>
      </c>
      <c r="L5627" t="n">
        <v>0</v>
      </c>
      <c r="M5627" t="n">
        <v>0</v>
      </c>
      <c r="N5627" t="n">
        <v>0</v>
      </c>
      <c r="O5627" t="n">
        <v>0</v>
      </c>
      <c r="P5627" t="n">
        <v>0</v>
      </c>
      <c r="Q5627" t="n">
        <v>0</v>
      </c>
      <c r="R5627" s="2" t="inlineStr"/>
    </row>
    <row r="5628" ht="15" customHeight="1">
      <c r="A5628" t="inlineStr">
        <is>
          <t>A 7464-2021</t>
        </is>
      </c>
      <c r="B5628" s="1" t="n">
        <v>44239</v>
      </c>
      <c r="C5628" s="1" t="n">
        <v>45911</v>
      </c>
      <c r="D5628" t="inlineStr">
        <is>
          <t>GÄVLEBORGS LÄN</t>
        </is>
      </c>
      <c r="E5628" t="inlineStr">
        <is>
          <t>BOLLNÄS</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15091-2025</t>
        </is>
      </c>
      <c r="B5629" s="1" t="n">
        <v>45744.3275462963</v>
      </c>
      <c r="C5629" s="1" t="n">
        <v>45911</v>
      </c>
      <c r="D5629" t="inlineStr">
        <is>
          <t>GÄVLEBORGS LÄN</t>
        </is>
      </c>
      <c r="E5629" t="inlineStr">
        <is>
          <t>LJUSDAL</t>
        </is>
      </c>
      <c r="G5629" t="n">
        <v>4.7</v>
      </c>
      <c r="H5629" t="n">
        <v>0</v>
      </c>
      <c r="I5629" t="n">
        <v>0</v>
      </c>
      <c r="J5629" t="n">
        <v>0</v>
      </c>
      <c r="K5629" t="n">
        <v>0</v>
      </c>
      <c r="L5629" t="n">
        <v>0</v>
      </c>
      <c r="M5629" t="n">
        <v>0</v>
      </c>
      <c r="N5629" t="n">
        <v>0</v>
      </c>
      <c r="O5629" t="n">
        <v>0</v>
      </c>
      <c r="P5629" t="n">
        <v>0</v>
      </c>
      <c r="Q5629" t="n">
        <v>0</v>
      </c>
      <c r="R5629" s="2" t="inlineStr"/>
    </row>
    <row r="5630" ht="15" customHeight="1">
      <c r="A5630" t="inlineStr">
        <is>
          <t>A 3663-2021</t>
        </is>
      </c>
      <c r="B5630" s="1" t="n">
        <v>44221</v>
      </c>
      <c r="C5630" s="1" t="n">
        <v>45911</v>
      </c>
      <c r="D5630" t="inlineStr">
        <is>
          <t>GÄVLEBORGS LÄN</t>
        </is>
      </c>
      <c r="E5630" t="inlineStr">
        <is>
          <t>LJUSDAL</t>
        </is>
      </c>
      <c r="G5630" t="n">
        <v>6.8</v>
      </c>
      <c r="H5630" t="n">
        <v>0</v>
      </c>
      <c r="I5630" t="n">
        <v>0</v>
      </c>
      <c r="J5630" t="n">
        <v>0</v>
      </c>
      <c r="K5630" t="n">
        <v>0</v>
      </c>
      <c r="L5630" t="n">
        <v>0</v>
      </c>
      <c r="M5630" t="n">
        <v>0</v>
      </c>
      <c r="N5630" t="n">
        <v>0</v>
      </c>
      <c r="O5630" t="n">
        <v>0</v>
      </c>
      <c r="P5630" t="n">
        <v>0</v>
      </c>
      <c r="Q5630" t="n">
        <v>0</v>
      </c>
      <c r="R5630" s="2" t="inlineStr"/>
    </row>
    <row r="5631" ht="15" customHeight="1">
      <c r="A5631" t="inlineStr">
        <is>
          <t>A 36877-2022</t>
        </is>
      </c>
      <c r="B5631" s="1" t="n">
        <v>44805</v>
      </c>
      <c r="C5631" s="1" t="n">
        <v>45911</v>
      </c>
      <c r="D5631" t="inlineStr">
        <is>
          <t>GÄVLEBORGS LÄN</t>
        </is>
      </c>
      <c r="E5631" t="inlineStr">
        <is>
          <t>BOLLNÄS</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39526-2025</t>
        </is>
      </c>
      <c r="B5632" s="1" t="n">
        <v>45890.44188657407</v>
      </c>
      <c r="C5632" s="1" t="n">
        <v>45911</v>
      </c>
      <c r="D5632" t="inlineStr">
        <is>
          <t>GÄVLEBORGS LÄN</t>
        </is>
      </c>
      <c r="E5632" t="inlineStr">
        <is>
          <t>BOLLNÄS</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39536-2025</t>
        </is>
      </c>
      <c r="B5633" s="1" t="n">
        <v>45890.44886574074</v>
      </c>
      <c r="C5633" s="1" t="n">
        <v>45911</v>
      </c>
      <c r="D5633" t="inlineStr">
        <is>
          <t>GÄVLEBORGS LÄN</t>
        </is>
      </c>
      <c r="E5633" t="inlineStr">
        <is>
          <t>OVANÅKER</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39551-2025</t>
        </is>
      </c>
      <c r="B5634" s="1" t="n">
        <v>45890.4650925926</v>
      </c>
      <c r="C5634" s="1" t="n">
        <v>45911</v>
      </c>
      <c r="D5634" t="inlineStr">
        <is>
          <t>GÄVLEBORGS LÄN</t>
        </is>
      </c>
      <c r="E5634" t="inlineStr">
        <is>
          <t>LJUSDAL</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39554-2025</t>
        </is>
      </c>
      <c r="B5635" s="1" t="n">
        <v>45890.46740740741</v>
      </c>
      <c r="C5635" s="1" t="n">
        <v>45911</v>
      </c>
      <c r="D5635" t="inlineStr">
        <is>
          <t>GÄVLEBORGS LÄN</t>
        </is>
      </c>
      <c r="E5635" t="inlineStr">
        <is>
          <t>LJUSDAL</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60442-2022</t>
        </is>
      </c>
      <c r="B5636" s="1" t="n">
        <v>44911.36083333333</v>
      </c>
      <c r="C5636" s="1" t="n">
        <v>45911</v>
      </c>
      <c r="D5636" t="inlineStr">
        <is>
          <t>GÄVLEBORGS LÄN</t>
        </is>
      </c>
      <c r="E5636" t="inlineStr">
        <is>
          <t>GÄVLE</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40798-2022</t>
        </is>
      </c>
      <c r="B5637" s="1" t="n">
        <v>44824.65527777778</v>
      </c>
      <c r="C5637" s="1" t="n">
        <v>45911</v>
      </c>
      <c r="D5637" t="inlineStr">
        <is>
          <t>GÄVLEBORGS LÄN</t>
        </is>
      </c>
      <c r="E5637" t="inlineStr">
        <is>
          <t>NORDANSTIG</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40876-2022</t>
        </is>
      </c>
      <c r="B5638" s="1" t="n">
        <v>44825.34003472222</v>
      </c>
      <c r="C5638" s="1" t="n">
        <v>45911</v>
      </c>
      <c r="D5638" t="inlineStr">
        <is>
          <t>GÄVLEBORGS LÄN</t>
        </is>
      </c>
      <c r="E5638" t="inlineStr">
        <is>
          <t>HUDIKSVALL</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10763-2025</t>
        </is>
      </c>
      <c r="B5639" s="1" t="n">
        <v>45722.4603125</v>
      </c>
      <c r="C5639" s="1" t="n">
        <v>45911</v>
      </c>
      <c r="D5639" t="inlineStr">
        <is>
          <t>GÄVLEBORGS LÄN</t>
        </is>
      </c>
      <c r="E5639" t="inlineStr">
        <is>
          <t>SÖDERHAMN</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17228-2023</t>
        </is>
      </c>
      <c r="B5640" s="1" t="n">
        <v>45035.31238425926</v>
      </c>
      <c r="C5640" s="1" t="n">
        <v>45911</v>
      </c>
      <c r="D5640" t="inlineStr">
        <is>
          <t>GÄVLEBORGS LÄN</t>
        </is>
      </c>
      <c r="E5640" t="inlineStr">
        <is>
          <t>LJUSDAL</t>
        </is>
      </c>
      <c r="F5640" t="inlineStr">
        <is>
          <t>Holmen skog AB</t>
        </is>
      </c>
      <c r="G5640" t="n">
        <v>1.8</v>
      </c>
      <c r="H5640" t="n">
        <v>0</v>
      </c>
      <c r="I5640" t="n">
        <v>0</v>
      </c>
      <c r="J5640" t="n">
        <v>0</v>
      </c>
      <c r="K5640" t="n">
        <v>0</v>
      </c>
      <c r="L5640" t="n">
        <v>0</v>
      </c>
      <c r="M5640" t="n">
        <v>0</v>
      </c>
      <c r="N5640" t="n">
        <v>0</v>
      </c>
      <c r="O5640" t="n">
        <v>0</v>
      </c>
      <c r="P5640" t="n">
        <v>0</v>
      </c>
      <c r="Q5640" t="n">
        <v>0</v>
      </c>
      <c r="R5640" s="2" t="inlineStr"/>
      <c r="U5640">
        <f>HYPERLINK("https://klasma.github.io/Logging_2161/knärot/A 17228-2023 karta knärot.png", "A 17228-2023")</f>
        <v/>
      </c>
      <c r="V5640">
        <f>HYPERLINK("https://klasma.github.io/Logging_2161/klagomål/A 17228-2023 FSC-klagomål.docx", "A 17228-2023")</f>
        <v/>
      </c>
      <c r="W5640">
        <f>HYPERLINK("https://klasma.github.io/Logging_2161/klagomålsmail/A 17228-2023 FSC-klagomål mail.docx", "A 17228-2023")</f>
        <v/>
      </c>
      <c r="X5640">
        <f>HYPERLINK("https://klasma.github.io/Logging_2161/tillsyn/A 17228-2023 tillsynsbegäran.docx", "A 17228-2023")</f>
        <v/>
      </c>
      <c r="Y5640">
        <f>HYPERLINK("https://klasma.github.io/Logging_2161/tillsynsmail/A 17228-2023 tillsynsbegäran mail.docx", "A 17228-2023")</f>
        <v/>
      </c>
    </row>
    <row r="5641" ht="15" customHeight="1">
      <c r="A5641" t="inlineStr">
        <is>
          <t>A 26334-2022</t>
        </is>
      </c>
      <c r="B5641" s="1" t="n">
        <v>44735.61462962963</v>
      </c>
      <c r="C5641" s="1" t="n">
        <v>45911</v>
      </c>
      <c r="D5641" t="inlineStr">
        <is>
          <t>GÄVLEBORGS LÄN</t>
        </is>
      </c>
      <c r="E5641" t="inlineStr">
        <is>
          <t>GÄVLE</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34658-2025</t>
        </is>
      </c>
      <c r="B5642" s="1" t="n">
        <v>45848.36520833334</v>
      </c>
      <c r="C5642" s="1" t="n">
        <v>45911</v>
      </c>
      <c r="D5642" t="inlineStr">
        <is>
          <t>GÄVLEBORGS LÄN</t>
        </is>
      </c>
      <c r="E5642" t="inlineStr">
        <is>
          <t>LJUSDAL</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34669-2025</t>
        </is>
      </c>
      <c r="B5643" s="1" t="n">
        <v>45848.393125</v>
      </c>
      <c r="C5643" s="1" t="n">
        <v>45911</v>
      </c>
      <c r="D5643" t="inlineStr">
        <is>
          <t>GÄVLEBORGS LÄN</t>
        </is>
      </c>
      <c r="E5643" t="inlineStr">
        <is>
          <t>SÖDERHAMN</t>
        </is>
      </c>
      <c r="G5643" t="n">
        <v>2.4</v>
      </c>
      <c r="H5643" t="n">
        <v>0</v>
      </c>
      <c r="I5643" t="n">
        <v>0</v>
      </c>
      <c r="J5643" t="n">
        <v>0</v>
      </c>
      <c r="K5643" t="n">
        <v>0</v>
      </c>
      <c r="L5643" t="n">
        <v>0</v>
      </c>
      <c r="M5643" t="n">
        <v>0</v>
      </c>
      <c r="N5643" t="n">
        <v>0</v>
      </c>
      <c r="O5643" t="n">
        <v>0</v>
      </c>
      <c r="P5643" t="n">
        <v>0</v>
      </c>
      <c r="Q5643" t="n">
        <v>0</v>
      </c>
      <c r="R5643" s="2" t="inlineStr"/>
    </row>
    <row r="5644" ht="15" customHeight="1">
      <c r="A5644" t="inlineStr">
        <is>
          <t>A 11778-2024</t>
        </is>
      </c>
      <c r="B5644" s="1" t="n">
        <v>45374.42484953703</v>
      </c>
      <c r="C5644" s="1" t="n">
        <v>45911</v>
      </c>
      <c r="D5644" t="inlineStr">
        <is>
          <t>GÄVLEBORGS LÄN</t>
        </is>
      </c>
      <c r="E5644" t="inlineStr">
        <is>
          <t>SANDVIKEN</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37005-2022</t>
        </is>
      </c>
      <c r="B5645" s="1" t="n">
        <v>44806</v>
      </c>
      <c r="C5645" s="1" t="n">
        <v>45911</v>
      </c>
      <c r="D5645" t="inlineStr">
        <is>
          <t>GÄVLEBORGS LÄN</t>
        </is>
      </c>
      <c r="E5645" t="inlineStr">
        <is>
          <t>NORDANSTIG</t>
        </is>
      </c>
      <c r="G5645" t="n">
        <v>3.4</v>
      </c>
      <c r="H5645" t="n">
        <v>0</v>
      </c>
      <c r="I5645" t="n">
        <v>0</v>
      </c>
      <c r="J5645" t="n">
        <v>0</v>
      </c>
      <c r="K5645" t="n">
        <v>0</v>
      </c>
      <c r="L5645" t="n">
        <v>0</v>
      </c>
      <c r="M5645" t="n">
        <v>0</v>
      </c>
      <c r="N5645" t="n">
        <v>0</v>
      </c>
      <c r="O5645" t="n">
        <v>0</v>
      </c>
      <c r="P5645" t="n">
        <v>0</v>
      </c>
      <c r="Q5645" t="n">
        <v>0</v>
      </c>
      <c r="R5645" s="2" t="inlineStr"/>
    </row>
    <row r="5646" ht="15" customHeight="1">
      <c r="A5646" t="inlineStr">
        <is>
          <t>A 11897-2024</t>
        </is>
      </c>
      <c r="B5646" s="1" t="n">
        <v>45376.54525462963</v>
      </c>
      <c r="C5646" s="1" t="n">
        <v>45911</v>
      </c>
      <c r="D5646" t="inlineStr">
        <is>
          <t>GÄVLEBORGS LÄN</t>
        </is>
      </c>
      <c r="E5646" t="inlineStr">
        <is>
          <t>SANDVIKEN</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34688-2025</t>
        </is>
      </c>
      <c r="B5647" s="1" t="n">
        <v>45848</v>
      </c>
      <c r="C5647" s="1" t="n">
        <v>45911</v>
      </c>
      <c r="D5647" t="inlineStr">
        <is>
          <t>GÄVLEBORGS LÄN</t>
        </is>
      </c>
      <c r="E5647" t="inlineStr">
        <is>
          <t>BOLLNÄS</t>
        </is>
      </c>
      <c r="F5647" t="inlineStr">
        <is>
          <t>Holmen skog AB</t>
        </is>
      </c>
      <c r="G5647" t="n">
        <v>32.6</v>
      </c>
      <c r="H5647" t="n">
        <v>0</v>
      </c>
      <c r="I5647" t="n">
        <v>0</v>
      </c>
      <c r="J5647" t="n">
        <v>0</v>
      </c>
      <c r="K5647" t="n">
        <v>0</v>
      </c>
      <c r="L5647" t="n">
        <v>0</v>
      </c>
      <c r="M5647" t="n">
        <v>0</v>
      </c>
      <c r="N5647" t="n">
        <v>0</v>
      </c>
      <c r="O5647" t="n">
        <v>0</v>
      </c>
      <c r="P5647" t="n">
        <v>0</v>
      </c>
      <c r="Q5647" t="n">
        <v>0</v>
      </c>
      <c r="R5647" s="2" t="inlineStr"/>
    </row>
    <row r="5648" ht="15" customHeight="1">
      <c r="A5648" t="inlineStr">
        <is>
          <t>A 41740-2023</t>
        </is>
      </c>
      <c r="B5648" s="1" t="n">
        <v>45176.41961805556</v>
      </c>
      <c r="C5648" s="1" t="n">
        <v>45911</v>
      </c>
      <c r="D5648" t="inlineStr">
        <is>
          <t>GÄVLEBORGS LÄN</t>
        </is>
      </c>
      <c r="E5648" t="inlineStr">
        <is>
          <t>BOLLNÄS</t>
        </is>
      </c>
      <c r="G5648" t="n">
        <v>0.4</v>
      </c>
      <c r="H5648" t="n">
        <v>0</v>
      </c>
      <c r="I5648" t="n">
        <v>0</v>
      </c>
      <c r="J5648" t="n">
        <v>0</v>
      </c>
      <c r="K5648" t="n">
        <v>0</v>
      </c>
      <c r="L5648" t="n">
        <v>0</v>
      </c>
      <c r="M5648" t="n">
        <v>0</v>
      </c>
      <c r="N5648" t="n">
        <v>0</v>
      </c>
      <c r="O5648" t="n">
        <v>0</v>
      </c>
      <c r="P5648" t="n">
        <v>0</v>
      </c>
      <c r="Q5648" t="n">
        <v>0</v>
      </c>
      <c r="R5648" s="2" t="inlineStr"/>
    </row>
    <row r="5649" ht="15" customHeight="1">
      <c r="A5649" t="inlineStr">
        <is>
          <t>A 14415-2022</t>
        </is>
      </c>
      <c r="B5649" s="1" t="n">
        <v>44652</v>
      </c>
      <c r="C5649" s="1" t="n">
        <v>45911</v>
      </c>
      <c r="D5649" t="inlineStr">
        <is>
          <t>GÄVLEBORGS LÄN</t>
        </is>
      </c>
      <c r="E5649" t="inlineStr">
        <is>
          <t>NORDANSTIG</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34560-2025</t>
        </is>
      </c>
      <c r="B5650" s="1" t="n">
        <v>45847.57548611111</v>
      </c>
      <c r="C5650" s="1" t="n">
        <v>45911</v>
      </c>
      <c r="D5650" t="inlineStr">
        <is>
          <t>GÄVLEBORGS LÄN</t>
        </is>
      </c>
      <c r="E5650" t="inlineStr">
        <is>
          <t>BOLLNÄS</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34694-2025</t>
        </is>
      </c>
      <c r="B5651" s="1" t="n">
        <v>45848.45990740741</v>
      </c>
      <c r="C5651" s="1" t="n">
        <v>45911</v>
      </c>
      <c r="D5651" t="inlineStr">
        <is>
          <t>GÄVLEBORGS LÄN</t>
        </is>
      </c>
      <c r="E5651" t="inlineStr">
        <is>
          <t>NORDANSTIG</t>
        </is>
      </c>
      <c r="F5651" t="inlineStr">
        <is>
          <t>Holmen skog AB</t>
        </is>
      </c>
      <c r="G5651" t="n">
        <v>6</v>
      </c>
      <c r="H5651" t="n">
        <v>0</v>
      </c>
      <c r="I5651" t="n">
        <v>0</v>
      </c>
      <c r="J5651" t="n">
        <v>0</v>
      </c>
      <c r="K5651" t="n">
        <v>0</v>
      </c>
      <c r="L5651" t="n">
        <v>0</v>
      </c>
      <c r="M5651" t="n">
        <v>0</v>
      </c>
      <c r="N5651" t="n">
        <v>0</v>
      </c>
      <c r="O5651" t="n">
        <v>0</v>
      </c>
      <c r="P5651" t="n">
        <v>0</v>
      </c>
      <c r="Q5651" t="n">
        <v>0</v>
      </c>
      <c r="R5651" s="2" t="inlineStr"/>
    </row>
    <row r="5652" ht="15" customHeight="1">
      <c r="A5652" t="inlineStr">
        <is>
          <t>A 43259-2023</t>
        </is>
      </c>
      <c r="B5652" s="1" t="n">
        <v>45183</v>
      </c>
      <c r="C5652" s="1" t="n">
        <v>45911</v>
      </c>
      <c r="D5652" t="inlineStr">
        <is>
          <t>GÄVLEBORGS LÄN</t>
        </is>
      </c>
      <c r="E5652" t="inlineStr">
        <is>
          <t>OVANÅKER</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43893-2023</t>
        </is>
      </c>
      <c r="B5653" s="1" t="n">
        <v>45187.66037037037</v>
      </c>
      <c r="C5653" s="1" t="n">
        <v>45911</v>
      </c>
      <c r="D5653" t="inlineStr">
        <is>
          <t>GÄVLEBORGS LÄN</t>
        </is>
      </c>
      <c r="E5653" t="inlineStr">
        <is>
          <t>NORDANSTIG</t>
        </is>
      </c>
      <c r="G5653" t="n">
        <v>3.2</v>
      </c>
      <c r="H5653" t="n">
        <v>0</v>
      </c>
      <c r="I5653" t="n">
        <v>0</v>
      </c>
      <c r="J5653" t="n">
        <v>0</v>
      </c>
      <c r="K5653" t="n">
        <v>0</v>
      </c>
      <c r="L5653" t="n">
        <v>0</v>
      </c>
      <c r="M5653" t="n">
        <v>0</v>
      </c>
      <c r="N5653" t="n">
        <v>0</v>
      </c>
      <c r="O5653" t="n">
        <v>0</v>
      </c>
      <c r="P5653" t="n">
        <v>0</v>
      </c>
      <c r="Q5653" t="n">
        <v>0</v>
      </c>
      <c r="R5653" s="2" t="inlineStr"/>
    </row>
    <row r="5654" ht="15" customHeight="1">
      <c r="A5654" t="inlineStr">
        <is>
          <t>A 5999-2024</t>
        </is>
      </c>
      <c r="B5654" s="1" t="n">
        <v>45336.59125</v>
      </c>
      <c r="C5654" s="1" t="n">
        <v>45911</v>
      </c>
      <c r="D5654" t="inlineStr">
        <is>
          <t>GÄVLEBORGS LÄN</t>
        </is>
      </c>
      <c r="E5654" t="inlineStr">
        <is>
          <t>NORDANSTIG</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32729-2025</t>
        </is>
      </c>
      <c r="B5655" s="1" t="n">
        <v>45839</v>
      </c>
      <c r="C5655" s="1" t="n">
        <v>45911</v>
      </c>
      <c r="D5655" t="inlineStr">
        <is>
          <t>GÄVLEBORGS LÄN</t>
        </is>
      </c>
      <c r="E5655" t="inlineStr">
        <is>
          <t>SÖDERHAMN</t>
        </is>
      </c>
      <c r="G5655" t="n">
        <v>3.3</v>
      </c>
      <c r="H5655" t="n">
        <v>0</v>
      </c>
      <c r="I5655" t="n">
        <v>0</v>
      </c>
      <c r="J5655" t="n">
        <v>0</v>
      </c>
      <c r="K5655" t="n">
        <v>0</v>
      </c>
      <c r="L5655" t="n">
        <v>0</v>
      </c>
      <c r="M5655" t="n">
        <v>0</v>
      </c>
      <c r="N5655" t="n">
        <v>0</v>
      </c>
      <c r="O5655" t="n">
        <v>0</v>
      </c>
      <c r="P5655" t="n">
        <v>0</v>
      </c>
      <c r="Q5655" t="n">
        <v>0</v>
      </c>
      <c r="R5655" s="2" t="inlineStr"/>
    </row>
    <row r="5656" ht="15" customHeight="1">
      <c r="A5656" t="inlineStr">
        <is>
          <t>A 34766-2025</t>
        </is>
      </c>
      <c r="B5656" s="1" t="n">
        <v>45848.64854166667</v>
      </c>
      <c r="C5656" s="1" t="n">
        <v>45911</v>
      </c>
      <c r="D5656" t="inlineStr">
        <is>
          <t>GÄVLEBORGS LÄN</t>
        </is>
      </c>
      <c r="E5656" t="inlineStr">
        <is>
          <t>OCKELBO</t>
        </is>
      </c>
      <c r="F5656" t="inlineStr">
        <is>
          <t>Bergvik skog väst AB</t>
        </is>
      </c>
      <c r="G5656" t="n">
        <v>5.7</v>
      </c>
      <c r="H5656" t="n">
        <v>0</v>
      </c>
      <c r="I5656" t="n">
        <v>0</v>
      </c>
      <c r="J5656" t="n">
        <v>0</v>
      </c>
      <c r="K5656" t="n">
        <v>0</v>
      </c>
      <c r="L5656" t="n">
        <v>0</v>
      </c>
      <c r="M5656" t="n">
        <v>0</v>
      </c>
      <c r="N5656" t="n">
        <v>0</v>
      </c>
      <c r="O5656" t="n">
        <v>0</v>
      </c>
      <c r="P5656" t="n">
        <v>0</v>
      </c>
      <c r="Q5656" t="n">
        <v>0</v>
      </c>
      <c r="R5656" s="2" t="inlineStr"/>
    </row>
    <row r="5657" ht="15" customHeight="1">
      <c r="A5657" t="inlineStr">
        <is>
          <t>A 5462-2023</t>
        </is>
      </c>
      <c r="B5657" s="1" t="n">
        <v>44960.32700231481</v>
      </c>
      <c r="C5657" s="1" t="n">
        <v>45911</v>
      </c>
      <c r="D5657" t="inlineStr">
        <is>
          <t>GÄVLEBORGS LÄN</t>
        </is>
      </c>
      <c r="E5657" t="inlineStr">
        <is>
          <t>GÄVLE</t>
        </is>
      </c>
      <c r="F5657" t="inlineStr">
        <is>
          <t>Bergvik skog öst AB</t>
        </is>
      </c>
      <c r="G5657" t="n">
        <v>2.2</v>
      </c>
      <c r="H5657" t="n">
        <v>0</v>
      </c>
      <c r="I5657" t="n">
        <v>0</v>
      </c>
      <c r="J5657" t="n">
        <v>0</v>
      </c>
      <c r="K5657" t="n">
        <v>0</v>
      </c>
      <c r="L5657" t="n">
        <v>0</v>
      </c>
      <c r="M5657" t="n">
        <v>0</v>
      </c>
      <c r="N5657" t="n">
        <v>0</v>
      </c>
      <c r="O5657" t="n">
        <v>0</v>
      </c>
      <c r="P5657" t="n">
        <v>0</v>
      </c>
      <c r="Q5657" t="n">
        <v>0</v>
      </c>
      <c r="R5657" s="2" t="inlineStr"/>
    </row>
    <row r="5658" ht="15" customHeight="1">
      <c r="A5658" t="inlineStr">
        <is>
          <t>A 39597-2025</t>
        </is>
      </c>
      <c r="B5658" s="1" t="n">
        <v>45890.54349537037</v>
      </c>
      <c r="C5658" s="1" t="n">
        <v>45911</v>
      </c>
      <c r="D5658" t="inlineStr">
        <is>
          <t>GÄVLEBORGS LÄN</t>
        </is>
      </c>
      <c r="E5658" t="inlineStr">
        <is>
          <t>NORDANSTIG</t>
        </is>
      </c>
      <c r="F5658" t="inlineStr">
        <is>
          <t>Holmen skog AB</t>
        </is>
      </c>
      <c r="G5658" t="n">
        <v>0.4</v>
      </c>
      <c r="H5658" t="n">
        <v>0</v>
      </c>
      <c r="I5658" t="n">
        <v>0</v>
      </c>
      <c r="J5658" t="n">
        <v>0</v>
      </c>
      <c r="K5658" t="n">
        <v>0</v>
      </c>
      <c r="L5658" t="n">
        <v>0</v>
      </c>
      <c r="M5658" t="n">
        <v>0</v>
      </c>
      <c r="N5658" t="n">
        <v>0</v>
      </c>
      <c r="O5658" t="n">
        <v>0</v>
      </c>
      <c r="P5658" t="n">
        <v>0</v>
      </c>
      <c r="Q5658" t="n">
        <v>0</v>
      </c>
      <c r="R5658" s="2" t="inlineStr"/>
    </row>
    <row r="5659" ht="15" customHeight="1">
      <c r="A5659" t="inlineStr">
        <is>
          <t>A 61592-2022</t>
        </is>
      </c>
      <c r="B5659" s="1" t="n">
        <v>44916</v>
      </c>
      <c r="C5659" s="1" t="n">
        <v>45911</v>
      </c>
      <c r="D5659" t="inlineStr">
        <is>
          <t>GÄVLEBORGS LÄN</t>
        </is>
      </c>
      <c r="E5659" t="inlineStr">
        <is>
          <t>BOLLNÄS</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39325-2025</t>
        </is>
      </c>
      <c r="B5660" s="1" t="n">
        <v>45889.48163194444</v>
      </c>
      <c r="C5660" s="1" t="n">
        <v>45911</v>
      </c>
      <c r="D5660" t="inlineStr">
        <is>
          <t>GÄVLEBORGS LÄN</t>
        </is>
      </c>
      <c r="E5660" t="inlineStr">
        <is>
          <t>OCKELBO</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17230-2023</t>
        </is>
      </c>
      <c r="B5661" s="1" t="n">
        <v>45035.31333333333</v>
      </c>
      <c r="C5661" s="1" t="n">
        <v>45911</v>
      </c>
      <c r="D5661" t="inlineStr">
        <is>
          <t>GÄVLEBORGS LÄN</t>
        </is>
      </c>
      <c r="E5661" t="inlineStr">
        <is>
          <t>LJUSDAL</t>
        </is>
      </c>
      <c r="F5661" t="inlineStr">
        <is>
          <t>Holmen skog AB</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6879-2023</t>
        </is>
      </c>
      <c r="B5662" s="1" t="n">
        <v>44967.4797337963</v>
      </c>
      <c r="C5662" s="1" t="n">
        <v>45911</v>
      </c>
      <c r="D5662" t="inlineStr">
        <is>
          <t>GÄVLEBORGS LÄN</t>
        </is>
      </c>
      <c r="E5662" t="inlineStr">
        <is>
          <t>BOLLNÄS</t>
        </is>
      </c>
      <c r="G5662" t="n">
        <v>6.3</v>
      </c>
      <c r="H5662" t="n">
        <v>0</v>
      </c>
      <c r="I5662" t="n">
        <v>0</v>
      </c>
      <c r="J5662" t="n">
        <v>0</v>
      </c>
      <c r="K5662" t="n">
        <v>0</v>
      </c>
      <c r="L5662" t="n">
        <v>0</v>
      </c>
      <c r="M5662" t="n">
        <v>0</v>
      </c>
      <c r="N5662" t="n">
        <v>0</v>
      </c>
      <c r="O5662" t="n">
        <v>0</v>
      </c>
      <c r="P5662" t="n">
        <v>0</v>
      </c>
      <c r="Q5662" t="n">
        <v>0</v>
      </c>
      <c r="R5662" s="2" t="inlineStr"/>
    </row>
    <row r="5663" ht="15" customHeight="1">
      <c r="A5663" t="inlineStr">
        <is>
          <t>A 15306-2023</t>
        </is>
      </c>
      <c r="B5663" s="1" t="n">
        <v>45019</v>
      </c>
      <c r="C5663" s="1" t="n">
        <v>45911</v>
      </c>
      <c r="D5663" t="inlineStr">
        <is>
          <t>GÄVLEBORGS LÄN</t>
        </is>
      </c>
      <c r="E5663" t="inlineStr">
        <is>
          <t>HUDIKSVALL</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58307-2022</t>
        </is>
      </c>
      <c r="B5664" s="1" t="n">
        <v>44901.53635416667</v>
      </c>
      <c r="C5664" s="1" t="n">
        <v>45911</v>
      </c>
      <c r="D5664" t="inlineStr">
        <is>
          <t>GÄVLEBORGS LÄN</t>
        </is>
      </c>
      <c r="E5664" t="inlineStr">
        <is>
          <t>OVANÅKER</t>
        </is>
      </c>
      <c r="G5664" t="n">
        <v>3.2</v>
      </c>
      <c r="H5664" t="n">
        <v>0</v>
      </c>
      <c r="I5664" t="n">
        <v>0</v>
      </c>
      <c r="J5664" t="n">
        <v>0</v>
      </c>
      <c r="K5664" t="n">
        <v>0</v>
      </c>
      <c r="L5664" t="n">
        <v>0</v>
      </c>
      <c r="M5664" t="n">
        <v>0</v>
      </c>
      <c r="N5664" t="n">
        <v>0</v>
      </c>
      <c r="O5664" t="n">
        <v>0</v>
      </c>
      <c r="P5664" t="n">
        <v>0</v>
      </c>
      <c r="Q5664" t="n">
        <v>0</v>
      </c>
      <c r="R5664" s="2" t="inlineStr"/>
    </row>
    <row r="5665" ht="15" customHeight="1">
      <c r="A5665" t="inlineStr">
        <is>
          <t>A 40476-2024</t>
        </is>
      </c>
      <c r="B5665" s="1" t="n">
        <v>45555.54435185185</v>
      </c>
      <c r="C5665" s="1" t="n">
        <v>45911</v>
      </c>
      <c r="D5665" t="inlineStr">
        <is>
          <t>GÄVLEBORGS LÄN</t>
        </is>
      </c>
      <c r="E5665" t="inlineStr">
        <is>
          <t>OVANÅKER</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36197-2024</t>
        </is>
      </c>
      <c r="B5666" s="1" t="n">
        <v>45534.43164351852</v>
      </c>
      <c r="C5666" s="1" t="n">
        <v>45911</v>
      </c>
      <c r="D5666" t="inlineStr">
        <is>
          <t>GÄVLEBORGS LÄN</t>
        </is>
      </c>
      <c r="E5666" t="inlineStr">
        <is>
          <t>GÄVLE</t>
        </is>
      </c>
      <c r="F5666" t="inlineStr">
        <is>
          <t>Kyrkan</t>
        </is>
      </c>
      <c r="G5666" t="n">
        <v>14.9</v>
      </c>
      <c r="H5666" t="n">
        <v>0</v>
      </c>
      <c r="I5666" t="n">
        <v>0</v>
      </c>
      <c r="J5666" t="n">
        <v>0</v>
      </c>
      <c r="K5666" t="n">
        <v>0</v>
      </c>
      <c r="L5666" t="n">
        <v>0</v>
      </c>
      <c r="M5666" t="n">
        <v>0</v>
      </c>
      <c r="N5666" t="n">
        <v>0</v>
      </c>
      <c r="O5666" t="n">
        <v>0</v>
      </c>
      <c r="P5666" t="n">
        <v>0</v>
      </c>
      <c r="Q5666" t="n">
        <v>0</v>
      </c>
      <c r="R5666" s="2" t="inlineStr"/>
    </row>
    <row r="5667" ht="15" customHeight="1">
      <c r="A5667" t="inlineStr">
        <is>
          <t>A 36204-2024</t>
        </is>
      </c>
      <c r="B5667" s="1" t="n">
        <v>45534.43899305556</v>
      </c>
      <c r="C5667" s="1" t="n">
        <v>45911</v>
      </c>
      <c r="D5667" t="inlineStr">
        <is>
          <t>GÄVLEBORGS LÄN</t>
        </is>
      </c>
      <c r="E5667" t="inlineStr">
        <is>
          <t>SÖDERHAMN</t>
        </is>
      </c>
      <c r="F5667" t="inlineStr">
        <is>
          <t>Bergvik skog väst AB</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42035-2024</t>
        </is>
      </c>
      <c r="B5668" s="1" t="n">
        <v>45561</v>
      </c>
      <c r="C5668" s="1" t="n">
        <v>45911</v>
      </c>
      <c r="D5668" t="inlineStr">
        <is>
          <t>GÄVLEBORGS LÄN</t>
        </is>
      </c>
      <c r="E5668" t="inlineStr">
        <is>
          <t>SÖDERHAMN</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42069-2024</t>
        </is>
      </c>
      <c r="B5669" s="1" t="n">
        <v>45562.27895833334</v>
      </c>
      <c r="C5669" s="1" t="n">
        <v>45911</v>
      </c>
      <c r="D5669" t="inlineStr">
        <is>
          <t>GÄVLEBORGS LÄN</t>
        </is>
      </c>
      <c r="E5669" t="inlineStr">
        <is>
          <t>SANDVIKEN</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43469-2023</t>
        </is>
      </c>
      <c r="B5670" s="1" t="n">
        <v>45184.4184837963</v>
      </c>
      <c r="C5670" s="1" t="n">
        <v>45911</v>
      </c>
      <c r="D5670" t="inlineStr">
        <is>
          <t>GÄVLEBORGS LÄN</t>
        </is>
      </c>
      <c r="E5670" t="inlineStr">
        <is>
          <t>HUDIKSVALL</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38048-2024</t>
        </is>
      </c>
      <c r="B5671" s="1" t="n">
        <v>45544</v>
      </c>
      <c r="C5671" s="1" t="n">
        <v>45911</v>
      </c>
      <c r="D5671" t="inlineStr">
        <is>
          <t>GÄVLEBORGS LÄN</t>
        </is>
      </c>
      <c r="E5671" t="inlineStr">
        <is>
          <t>NORDANSTIG</t>
        </is>
      </c>
      <c r="F5671" t="inlineStr">
        <is>
          <t>Holmen skog AB</t>
        </is>
      </c>
      <c r="G5671" t="n">
        <v>3.3</v>
      </c>
      <c r="H5671" t="n">
        <v>0</v>
      </c>
      <c r="I5671" t="n">
        <v>0</v>
      </c>
      <c r="J5671" t="n">
        <v>0</v>
      </c>
      <c r="K5671" t="n">
        <v>0</v>
      </c>
      <c r="L5671" t="n">
        <v>0</v>
      </c>
      <c r="M5671" t="n">
        <v>0</v>
      </c>
      <c r="N5671" t="n">
        <v>0</v>
      </c>
      <c r="O5671" t="n">
        <v>0</v>
      </c>
      <c r="P5671" t="n">
        <v>0</v>
      </c>
      <c r="Q5671" t="n">
        <v>0</v>
      </c>
      <c r="R5671" s="2" t="inlineStr"/>
    </row>
    <row r="5672" ht="15" customHeight="1">
      <c r="A5672" t="inlineStr">
        <is>
          <t>A 40554-2022</t>
        </is>
      </c>
      <c r="B5672" s="1" t="n">
        <v>44823.66243055555</v>
      </c>
      <c r="C5672" s="1" t="n">
        <v>45911</v>
      </c>
      <c r="D5672" t="inlineStr">
        <is>
          <t>GÄVLEBORGS LÄN</t>
        </is>
      </c>
      <c r="E5672" t="inlineStr">
        <is>
          <t>LJUSDAL</t>
        </is>
      </c>
      <c r="F5672" t="inlineStr">
        <is>
          <t>Bergvik skog väst AB</t>
        </is>
      </c>
      <c r="G5672" t="n">
        <v>4</v>
      </c>
      <c r="H5672" t="n">
        <v>0</v>
      </c>
      <c r="I5672" t="n">
        <v>0</v>
      </c>
      <c r="J5672" t="n">
        <v>0</v>
      </c>
      <c r="K5672" t="n">
        <v>0</v>
      </c>
      <c r="L5672" t="n">
        <v>0</v>
      </c>
      <c r="M5672" t="n">
        <v>0</v>
      </c>
      <c r="N5672" t="n">
        <v>0</v>
      </c>
      <c r="O5672" t="n">
        <v>0</v>
      </c>
      <c r="P5672" t="n">
        <v>0</v>
      </c>
      <c r="Q5672" t="n">
        <v>0</v>
      </c>
      <c r="R5672" s="2" t="inlineStr"/>
    </row>
    <row r="5673" ht="15" customHeight="1">
      <c r="A5673" t="inlineStr">
        <is>
          <t>A 18279-2023</t>
        </is>
      </c>
      <c r="B5673" s="1" t="n">
        <v>45041.54736111111</v>
      </c>
      <c r="C5673" s="1" t="n">
        <v>45911</v>
      </c>
      <c r="D5673" t="inlineStr">
        <is>
          <t>GÄVLEBORGS LÄN</t>
        </is>
      </c>
      <c r="E5673" t="inlineStr">
        <is>
          <t>NORDANSTIG</t>
        </is>
      </c>
      <c r="F5673" t="inlineStr">
        <is>
          <t>Holmen skog AB</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39382-2025</t>
        </is>
      </c>
      <c r="B5674" s="1" t="n">
        <v>45889.60938657408</v>
      </c>
      <c r="C5674" s="1" t="n">
        <v>45911</v>
      </c>
      <c r="D5674" t="inlineStr">
        <is>
          <t>GÄVLEBORGS LÄN</t>
        </is>
      </c>
      <c r="E5674" t="inlineStr">
        <is>
          <t>GÄVLE</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42865-2024</t>
        </is>
      </c>
      <c r="B5675" s="1" t="n">
        <v>45566</v>
      </c>
      <c r="C5675" s="1" t="n">
        <v>45911</v>
      </c>
      <c r="D5675" t="inlineStr">
        <is>
          <t>GÄVLEBORGS LÄN</t>
        </is>
      </c>
      <c r="E5675" t="inlineStr">
        <is>
          <t>SANDVIKEN</t>
        </is>
      </c>
      <c r="F5675" t="inlineStr">
        <is>
          <t>Sveaskog</t>
        </is>
      </c>
      <c r="G5675" t="n">
        <v>2.5</v>
      </c>
      <c r="H5675" t="n">
        <v>0</v>
      </c>
      <c r="I5675" t="n">
        <v>0</v>
      </c>
      <c r="J5675" t="n">
        <v>0</v>
      </c>
      <c r="K5675" t="n">
        <v>0</v>
      </c>
      <c r="L5675" t="n">
        <v>0</v>
      </c>
      <c r="M5675" t="n">
        <v>0</v>
      </c>
      <c r="N5675" t="n">
        <v>0</v>
      </c>
      <c r="O5675" t="n">
        <v>0</v>
      </c>
      <c r="P5675" t="n">
        <v>0</v>
      </c>
      <c r="Q5675" t="n">
        <v>0</v>
      </c>
      <c r="R5675" s="2" t="inlineStr"/>
    </row>
    <row r="5676" ht="15" customHeight="1">
      <c r="A5676" t="inlineStr">
        <is>
          <t>A 39399-2025</t>
        </is>
      </c>
      <c r="B5676" s="1" t="n">
        <v>45889.6340625</v>
      </c>
      <c r="C5676" s="1" t="n">
        <v>45911</v>
      </c>
      <c r="D5676" t="inlineStr">
        <is>
          <t>GÄVLEBORGS LÄN</t>
        </is>
      </c>
      <c r="E5676" t="inlineStr">
        <is>
          <t>SÖDERHAMN</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14801-2023</t>
        </is>
      </c>
      <c r="B5677" s="1" t="n">
        <v>45014.62342592593</v>
      </c>
      <c r="C5677" s="1" t="n">
        <v>45911</v>
      </c>
      <c r="D5677" t="inlineStr">
        <is>
          <t>GÄVLEBORGS LÄN</t>
        </is>
      </c>
      <c r="E5677" t="inlineStr">
        <is>
          <t>GÄVLE</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51669-2020</t>
        </is>
      </c>
      <c r="B5678" s="1" t="n">
        <v>44113.67565972222</v>
      </c>
      <c r="C5678" s="1" t="n">
        <v>45911</v>
      </c>
      <c r="D5678" t="inlineStr">
        <is>
          <t>GÄVLEBORGS LÄN</t>
        </is>
      </c>
      <c r="E5678" t="inlineStr">
        <is>
          <t>NORDANSTIG</t>
        </is>
      </c>
      <c r="G5678" t="n">
        <v>3.2</v>
      </c>
      <c r="H5678" t="n">
        <v>0</v>
      </c>
      <c r="I5678" t="n">
        <v>0</v>
      </c>
      <c r="J5678" t="n">
        <v>0</v>
      </c>
      <c r="K5678" t="n">
        <v>0</v>
      </c>
      <c r="L5678" t="n">
        <v>0</v>
      </c>
      <c r="M5678" t="n">
        <v>0</v>
      </c>
      <c r="N5678" t="n">
        <v>0</v>
      </c>
      <c r="O5678" t="n">
        <v>0</v>
      </c>
      <c r="P5678" t="n">
        <v>0</v>
      </c>
      <c r="Q5678" t="n">
        <v>0</v>
      </c>
      <c r="R5678" s="2" t="inlineStr"/>
    </row>
    <row r="5679" ht="15" customHeight="1">
      <c r="A5679" t="inlineStr">
        <is>
          <t>A 14825-2025</t>
        </is>
      </c>
      <c r="B5679" s="1" t="n">
        <v>45743.36491898148</v>
      </c>
      <c r="C5679" s="1" t="n">
        <v>45911</v>
      </c>
      <c r="D5679" t="inlineStr">
        <is>
          <t>GÄVLEBORGS LÄN</t>
        </is>
      </c>
      <c r="E5679" t="inlineStr">
        <is>
          <t>LJUSDAL</t>
        </is>
      </c>
      <c r="G5679" t="n">
        <v>3.5</v>
      </c>
      <c r="H5679" t="n">
        <v>0</v>
      </c>
      <c r="I5679" t="n">
        <v>0</v>
      </c>
      <c r="J5679" t="n">
        <v>0</v>
      </c>
      <c r="K5679" t="n">
        <v>0</v>
      </c>
      <c r="L5679" t="n">
        <v>0</v>
      </c>
      <c r="M5679" t="n">
        <v>0</v>
      </c>
      <c r="N5679" t="n">
        <v>0</v>
      </c>
      <c r="O5679" t="n">
        <v>0</v>
      </c>
      <c r="P5679" t="n">
        <v>0</v>
      </c>
      <c r="Q5679" t="n">
        <v>0</v>
      </c>
      <c r="R5679" s="2" t="inlineStr"/>
    </row>
    <row r="5680" ht="15" customHeight="1">
      <c r="A5680" t="inlineStr">
        <is>
          <t>A 14872-2025</t>
        </is>
      </c>
      <c r="B5680" s="1" t="n">
        <v>45743.44868055556</v>
      </c>
      <c r="C5680" s="1" t="n">
        <v>45911</v>
      </c>
      <c r="D5680" t="inlineStr">
        <is>
          <t>GÄVLEBORGS LÄN</t>
        </is>
      </c>
      <c r="E5680" t="inlineStr">
        <is>
          <t>LJUSDAL</t>
        </is>
      </c>
      <c r="F5680" t="inlineStr">
        <is>
          <t>Bergvik skog väst AB</t>
        </is>
      </c>
      <c r="G5680" t="n">
        <v>31.6</v>
      </c>
      <c r="H5680" t="n">
        <v>0</v>
      </c>
      <c r="I5680" t="n">
        <v>0</v>
      </c>
      <c r="J5680" t="n">
        <v>0</v>
      </c>
      <c r="K5680" t="n">
        <v>0</v>
      </c>
      <c r="L5680" t="n">
        <v>0</v>
      </c>
      <c r="M5680" t="n">
        <v>0</v>
      </c>
      <c r="N5680" t="n">
        <v>0</v>
      </c>
      <c r="O5680" t="n">
        <v>0</v>
      </c>
      <c r="P5680" t="n">
        <v>0</v>
      </c>
      <c r="Q5680" t="n">
        <v>0</v>
      </c>
      <c r="R5680" s="2" t="inlineStr"/>
    </row>
    <row r="5681" ht="15" customHeight="1">
      <c r="A5681" t="inlineStr">
        <is>
          <t>A 62639-2023</t>
        </is>
      </c>
      <c r="B5681" s="1" t="n">
        <v>45271.41833333333</v>
      </c>
      <c r="C5681" s="1" t="n">
        <v>45911</v>
      </c>
      <c r="D5681" t="inlineStr">
        <is>
          <t>GÄVLEBORGS LÄN</t>
        </is>
      </c>
      <c r="E5681" t="inlineStr">
        <is>
          <t>HUDIKSVALL</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62642-2023</t>
        </is>
      </c>
      <c r="B5682" s="1" t="n">
        <v>45271.42324074074</v>
      </c>
      <c r="C5682" s="1" t="n">
        <v>45911</v>
      </c>
      <c r="D5682" t="inlineStr">
        <is>
          <t>GÄVLEBORGS LÄN</t>
        </is>
      </c>
      <c r="E5682" t="inlineStr">
        <is>
          <t>SANDVIKEN</t>
        </is>
      </c>
      <c r="F5682" t="inlineStr">
        <is>
          <t>Bergvik skog öst AB</t>
        </is>
      </c>
      <c r="G5682" t="n">
        <v>2.9</v>
      </c>
      <c r="H5682" t="n">
        <v>0</v>
      </c>
      <c r="I5682" t="n">
        <v>0</v>
      </c>
      <c r="J5682" t="n">
        <v>0</v>
      </c>
      <c r="K5682" t="n">
        <v>0</v>
      </c>
      <c r="L5682" t="n">
        <v>0</v>
      </c>
      <c r="M5682" t="n">
        <v>0</v>
      </c>
      <c r="N5682" t="n">
        <v>0</v>
      </c>
      <c r="O5682" t="n">
        <v>0</v>
      </c>
      <c r="P5682" t="n">
        <v>0</v>
      </c>
      <c r="Q5682" t="n">
        <v>0</v>
      </c>
      <c r="R5682" s="2" t="inlineStr"/>
    </row>
    <row r="5683" ht="15" customHeight="1">
      <c r="A5683" t="inlineStr">
        <is>
          <t>A 39360-2025</t>
        </is>
      </c>
      <c r="B5683" s="1" t="n">
        <v>45889.55805555556</v>
      </c>
      <c r="C5683" s="1" t="n">
        <v>45911</v>
      </c>
      <c r="D5683" t="inlineStr">
        <is>
          <t>GÄVLEBORGS LÄN</t>
        </is>
      </c>
      <c r="E5683" t="inlineStr">
        <is>
          <t>OCKELBO</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48257-2023</t>
        </is>
      </c>
      <c r="B5684" s="1" t="n">
        <v>45205.53430555556</v>
      </c>
      <c r="C5684" s="1" t="n">
        <v>45911</v>
      </c>
      <c r="D5684" t="inlineStr">
        <is>
          <t>GÄVLEBORGS LÄN</t>
        </is>
      </c>
      <c r="E5684" t="inlineStr">
        <is>
          <t>SANDVIKEN</t>
        </is>
      </c>
      <c r="F5684" t="inlineStr">
        <is>
          <t>Sveaskog</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18818-2021</t>
        </is>
      </c>
      <c r="B5685" s="1" t="n">
        <v>44307.63686342593</v>
      </c>
      <c r="C5685" s="1" t="n">
        <v>45911</v>
      </c>
      <c r="D5685" t="inlineStr">
        <is>
          <t>GÄVLEBORGS LÄN</t>
        </is>
      </c>
      <c r="E5685" t="inlineStr">
        <is>
          <t>HUDIKSVALL</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39283-2025</t>
        </is>
      </c>
      <c r="B5686" s="1" t="n">
        <v>45889.40511574074</v>
      </c>
      <c r="C5686" s="1" t="n">
        <v>45911</v>
      </c>
      <c r="D5686" t="inlineStr">
        <is>
          <t>GÄVLEBORGS LÄN</t>
        </is>
      </c>
      <c r="E5686" t="inlineStr">
        <is>
          <t>SANDVIKEN</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34625-2025</t>
        </is>
      </c>
      <c r="B5687" s="1" t="n">
        <v>45847.77689814815</v>
      </c>
      <c r="C5687" s="1" t="n">
        <v>45911</v>
      </c>
      <c r="D5687" t="inlineStr">
        <is>
          <t>GÄVLEBORGS LÄN</t>
        </is>
      </c>
      <c r="E5687" t="inlineStr">
        <is>
          <t>HUDIKSVALL</t>
        </is>
      </c>
      <c r="F5687" t="inlineStr">
        <is>
          <t>Holmen skog AB</t>
        </is>
      </c>
      <c r="G5687" t="n">
        <v>15.7</v>
      </c>
      <c r="H5687" t="n">
        <v>0</v>
      </c>
      <c r="I5687" t="n">
        <v>0</v>
      </c>
      <c r="J5687" t="n">
        <v>0</v>
      </c>
      <c r="K5687" t="n">
        <v>0</v>
      </c>
      <c r="L5687" t="n">
        <v>0</v>
      </c>
      <c r="M5687" t="n">
        <v>0</v>
      </c>
      <c r="N5687" t="n">
        <v>0</v>
      </c>
      <c r="O5687" t="n">
        <v>0</v>
      </c>
      <c r="P5687" t="n">
        <v>0</v>
      </c>
      <c r="Q5687" t="n">
        <v>0</v>
      </c>
      <c r="R5687" s="2" t="inlineStr"/>
    </row>
    <row r="5688" ht="15" customHeight="1">
      <c r="A5688" t="inlineStr">
        <is>
          <t>A 28795-2024</t>
        </is>
      </c>
      <c r="B5688" s="1" t="n">
        <v>45478.61697916667</v>
      </c>
      <c r="C5688" s="1" t="n">
        <v>45911</v>
      </c>
      <c r="D5688" t="inlineStr">
        <is>
          <t>GÄVLEBORGS LÄN</t>
        </is>
      </c>
      <c r="E5688" t="inlineStr">
        <is>
          <t>BOLLNÄS</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28801-2024</t>
        </is>
      </c>
      <c r="B5689" s="1" t="n">
        <v>45478.62592592592</v>
      </c>
      <c r="C5689" s="1" t="n">
        <v>45911</v>
      </c>
      <c r="D5689" t="inlineStr">
        <is>
          <t>GÄVLEBORGS LÄN</t>
        </is>
      </c>
      <c r="E5689" t="inlineStr">
        <is>
          <t>BOLLNÄS</t>
        </is>
      </c>
      <c r="F5689" t="inlineStr">
        <is>
          <t>Bergvik skog väst AB</t>
        </is>
      </c>
      <c r="G5689" t="n">
        <v>5.2</v>
      </c>
      <c r="H5689" t="n">
        <v>0</v>
      </c>
      <c r="I5689" t="n">
        <v>0</v>
      </c>
      <c r="J5689" t="n">
        <v>0</v>
      </c>
      <c r="K5689" t="n">
        <v>0</v>
      </c>
      <c r="L5689" t="n">
        <v>0</v>
      </c>
      <c r="M5689" t="n">
        <v>0</v>
      </c>
      <c r="N5689" t="n">
        <v>0</v>
      </c>
      <c r="O5689" t="n">
        <v>0</v>
      </c>
      <c r="P5689" t="n">
        <v>0</v>
      </c>
      <c r="Q5689" t="n">
        <v>0</v>
      </c>
      <c r="R5689" s="2" t="inlineStr"/>
    </row>
    <row r="5690" ht="15" customHeight="1">
      <c r="A5690" t="inlineStr">
        <is>
          <t>A 11206-2023</t>
        </is>
      </c>
      <c r="B5690" s="1" t="n">
        <v>44992.60256944445</v>
      </c>
      <c r="C5690" s="1" t="n">
        <v>45911</v>
      </c>
      <c r="D5690" t="inlineStr">
        <is>
          <t>GÄVLEBORGS LÄN</t>
        </is>
      </c>
      <c r="E5690" t="inlineStr">
        <is>
          <t>SÖDERHAMN</t>
        </is>
      </c>
      <c r="G5690" t="n">
        <v>2.6</v>
      </c>
      <c r="H5690" t="n">
        <v>0</v>
      </c>
      <c r="I5690" t="n">
        <v>0</v>
      </c>
      <c r="J5690" t="n">
        <v>0</v>
      </c>
      <c r="K5690" t="n">
        <v>0</v>
      </c>
      <c r="L5690" t="n">
        <v>0</v>
      </c>
      <c r="M5690" t="n">
        <v>0</v>
      </c>
      <c r="N5690" t="n">
        <v>0</v>
      </c>
      <c r="O5690" t="n">
        <v>0</v>
      </c>
      <c r="P5690" t="n">
        <v>0</v>
      </c>
      <c r="Q5690" t="n">
        <v>0</v>
      </c>
      <c r="R5690" s="2" t="inlineStr"/>
    </row>
    <row r="5691" ht="15" customHeight="1">
      <c r="A5691" t="inlineStr">
        <is>
          <t>A 62774-2021</t>
        </is>
      </c>
      <c r="B5691" s="1" t="n">
        <v>44503</v>
      </c>
      <c r="C5691" s="1" t="n">
        <v>45911</v>
      </c>
      <c r="D5691" t="inlineStr">
        <is>
          <t>GÄVLEBORGS LÄN</t>
        </is>
      </c>
      <c r="E5691" t="inlineStr">
        <is>
          <t>OVANÅKER</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22155-2022</t>
        </is>
      </c>
      <c r="B5692" s="1" t="n">
        <v>44712</v>
      </c>
      <c r="C5692" s="1" t="n">
        <v>45911</v>
      </c>
      <c r="D5692" t="inlineStr">
        <is>
          <t>GÄVLEBORGS LÄN</t>
        </is>
      </c>
      <c r="E5692" t="inlineStr">
        <is>
          <t>LJUSDAL</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34228-2023</t>
        </is>
      </c>
      <c r="B5693" s="1" t="n">
        <v>45127</v>
      </c>
      <c r="C5693" s="1" t="n">
        <v>45911</v>
      </c>
      <c r="D5693" t="inlineStr">
        <is>
          <t>GÄVLEBORGS LÄN</t>
        </is>
      </c>
      <c r="E5693" t="inlineStr">
        <is>
          <t>LJUSDAL</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35593-2023</t>
        </is>
      </c>
      <c r="B5694" s="1" t="n">
        <v>45147</v>
      </c>
      <c r="C5694" s="1" t="n">
        <v>45911</v>
      </c>
      <c r="D5694" t="inlineStr">
        <is>
          <t>GÄVLEBORGS LÄN</t>
        </is>
      </c>
      <c r="E5694" t="inlineStr">
        <is>
          <t>HUDIKSVALL</t>
        </is>
      </c>
      <c r="F5694" t="inlineStr">
        <is>
          <t>Holmen skog AB</t>
        </is>
      </c>
      <c r="G5694" t="n">
        <v>4.8</v>
      </c>
      <c r="H5694" t="n">
        <v>0</v>
      </c>
      <c r="I5694" t="n">
        <v>0</v>
      </c>
      <c r="J5694" t="n">
        <v>0</v>
      </c>
      <c r="K5694" t="n">
        <v>0</v>
      </c>
      <c r="L5694" t="n">
        <v>0</v>
      </c>
      <c r="M5694" t="n">
        <v>0</v>
      </c>
      <c r="N5694" t="n">
        <v>0</v>
      </c>
      <c r="O5694" t="n">
        <v>0</v>
      </c>
      <c r="P5694" t="n">
        <v>0</v>
      </c>
      <c r="Q5694" t="n">
        <v>0</v>
      </c>
      <c r="R5694" s="2" t="inlineStr"/>
    </row>
    <row r="5695" ht="15" customHeight="1">
      <c r="A5695" t="inlineStr">
        <is>
          <t>A 34652-2025</t>
        </is>
      </c>
      <c r="B5695" s="1" t="n">
        <v>45848.35363425926</v>
      </c>
      <c r="C5695" s="1" t="n">
        <v>45911</v>
      </c>
      <c r="D5695" t="inlineStr">
        <is>
          <t>GÄVLEBORGS LÄN</t>
        </is>
      </c>
      <c r="E5695" t="inlineStr">
        <is>
          <t>LJUSDAL</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2232-2022</t>
        </is>
      </c>
      <c r="B5696" s="1" t="n">
        <v>44578</v>
      </c>
      <c r="C5696" s="1" t="n">
        <v>45911</v>
      </c>
      <c r="D5696" t="inlineStr">
        <is>
          <t>GÄVLEBORGS LÄN</t>
        </is>
      </c>
      <c r="E5696" t="inlineStr">
        <is>
          <t>HUDIKSVALL</t>
        </is>
      </c>
      <c r="F5696" t="inlineStr">
        <is>
          <t>Holmen skog AB</t>
        </is>
      </c>
      <c r="G5696" t="n">
        <v>8.699999999999999</v>
      </c>
      <c r="H5696" t="n">
        <v>0</v>
      </c>
      <c r="I5696" t="n">
        <v>0</v>
      </c>
      <c r="J5696" t="n">
        <v>0</v>
      </c>
      <c r="K5696" t="n">
        <v>0</v>
      </c>
      <c r="L5696" t="n">
        <v>0</v>
      </c>
      <c r="M5696" t="n">
        <v>0</v>
      </c>
      <c r="N5696" t="n">
        <v>0</v>
      </c>
      <c r="O5696" t="n">
        <v>0</v>
      </c>
      <c r="P5696" t="n">
        <v>0</v>
      </c>
      <c r="Q5696" t="n">
        <v>0</v>
      </c>
      <c r="R5696" s="2" t="inlineStr"/>
    </row>
    <row r="5697" ht="15" customHeight="1">
      <c r="A5697" t="inlineStr">
        <is>
          <t>A 39232-2025</t>
        </is>
      </c>
      <c r="B5697" s="1" t="n">
        <v>45889.31090277778</v>
      </c>
      <c r="C5697" s="1" t="n">
        <v>45911</v>
      </c>
      <c r="D5697" t="inlineStr">
        <is>
          <t>GÄVLEBORGS LÄN</t>
        </is>
      </c>
      <c r="E5697" t="inlineStr">
        <is>
          <t>HUDIKSVALL</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39306-2025</t>
        </is>
      </c>
      <c r="B5698" s="1" t="n">
        <v>45889.45825231481</v>
      </c>
      <c r="C5698" s="1" t="n">
        <v>45911</v>
      </c>
      <c r="D5698" t="inlineStr">
        <is>
          <t>GÄVLEBORGS LÄN</t>
        </is>
      </c>
      <c r="E5698" t="inlineStr">
        <is>
          <t>GÄVLE</t>
        </is>
      </c>
      <c r="F5698" t="inlineStr">
        <is>
          <t>Bergvik skog öst AB</t>
        </is>
      </c>
      <c r="G5698" t="n">
        <v>5.2</v>
      </c>
      <c r="H5698" t="n">
        <v>0</v>
      </c>
      <c r="I5698" t="n">
        <v>0</v>
      </c>
      <c r="J5698" t="n">
        <v>0</v>
      </c>
      <c r="K5698" t="n">
        <v>0</v>
      </c>
      <c r="L5698" t="n">
        <v>0</v>
      </c>
      <c r="M5698" t="n">
        <v>0</v>
      </c>
      <c r="N5698" t="n">
        <v>0</v>
      </c>
      <c r="O5698" t="n">
        <v>0</v>
      </c>
      <c r="P5698" t="n">
        <v>0</v>
      </c>
      <c r="Q5698" t="n">
        <v>0</v>
      </c>
      <c r="R5698" s="2" t="inlineStr"/>
    </row>
    <row r="5699" ht="15" customHeight="1">
      <c r="A5699" t="inlineStr">
        <is>
          <t>A 6797-2025</t>
        </is>
      </c>
      <c r="B5699" s="1" t="n">
        <v>45700.66565972222</v>
      </c>
      <c r="C5699" s="1" t="n">
        <v>45911</v>
      </c>
      <c r="D5699" t="inlineStr">
        <is>
          <t>GÄVLEBORGS LÄN</t>
        </is>
      </c>
      <c r="E5699" t="inlineStr">
        <is>
          <t>GÄVLE</t>
        </is>
      </c>
      <c r="F5699" t="inlineStr">
        <is>
          <t>Bergvik skog öst AB</t>
        </is>
      </c>
      <c r="G5699" t="n">
        <v>3</v>
      </c>
      <c r="H5699" t="n">
        <v>0</v>
      </c>
      <c r="I5699" t="n">
        <v>0</v>
      </c>
      <c r="J5699" t="n">
        <v>0</v>
      </c>
      <c r="K5699" t="n">
        <v>0</v>
      </c>
      <c r="L5699" t="n">
        <v>0</v>
      </c>
      <c r="M5699" t="n">
        <v>0</v>
      </c>
      <c r="N5699" t="n">
        <v>0</v>
      </c>
      <c r="O5699" t="n">
        <v>0</v>
      </c>
      <c r="P5699" t="n">
        <v>0</v>
      </c>
      <c r="Q5699" t="n">
        <v>0</v>
      </c>
      <c r="R5699" s="2" t="inlineStr"/>
    </row>
    <row r="5700" ht="15" customHeight="1">
      <c r="A5700" t="inlineStr">
        <is>
          <t>A 6891-2025</t>
        </is>
      </c>
      <c r="B5700" s="1" t="n">
        <v>45701</v>
      </c>
      <c r="C5700" s="1" t="n">
        <v>45911</v>
      </c>
      <c r="D5700" t="inlineStr">
        <is>
          <t>GÄVLEBORGS LÄN</t>
        </is>
      </c>
      <c r="E5700" t="inlineStr">
        <is>
          <t>OCKELBO</t>
        </is>
      </c>
      <c r="G5700" t="n">
        <v>3.7</v>
      </c>
      <c r="H5700" t="n">
        <v>0</v>
      </c>
      <c r="I5700" t="n">
        <v>0</v>
      </c>
      <c r="J5700" t="n">
        <v>0</v>
      </c>
      <c r="K5700" t="n">
        <v>0</v>
      </c>
      <c r="L5700" t="n">
        <v>0</v>
      </c>
      <c r="M5700" t="n">
        <v>0</v>
      </c>
      <c r="N5700" t="n">
        <v>0</v>
      </c>
      <c r="O5700" t="n">
        <v>0</v>
      </c>
      <c r="P5700" t="n">
        <v>0</v>
      </c>
      <c r="Q5700" t="n">
        <v>0</v>
      </c>
      <c r="R5700" s="2" t="inlineStr"/>
    </row>
    <row r="5701" ht="15" customHeight="1">
      <c r="A5701" t="inlineStr">
        <is>
          <t>A 34515-2025</t>
        </is>
      </c>
      <c r="B5701" s="1" t="n">
        <v>45847.46365740741</v>
      </c>
      <c r="C5701" s="1" t="n">
        <v>45911</v>
      </c>
      <c r="D5701" t="inlineStr">
        <is>
          <t>GÄVLEBORGS LÄN</t>
        </is>
      </c>
      <c r="E5701" t="inlineStr">
        <is>
          <t>BOLLNÄS</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19200-2022</t>
        </is>
      </c>
      <c r="B5702" s="1" t="n">
        <v>44691</v>
      </c>
      <c r="C5702" s="1" t="n">
        <v>45911</v>
      </c>
      <c r="D5702" t="inlineStr">
        <is>
          <t>GÄVLEBORGS LÄN</t>
        </is>
      </c>
      <c r="E5702" t="inlineStr">
        <is>
          <t>LJUSDAL</t>
        </is>
      </c>
      <c r="F5702" t="inlineStr">
        <is>
          <t>Bergvik skog väst AB</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34622-2025</t>
        </is>
      </c>
      <c r="B5703" s="1" t="n">
        <v>45847.72927083333</v>
      </c>
      <c r="C5703" s="1" t="n">
        <v>45911</v>
      </c>
      <c r="D5703" t="inlineStr">
        <is>
          <t>GÄVLEBORGS LÄN</t>
        </is>
      </c>
      <c r="E5703" t="inlineStr">
        <is>
          <t>HUDIKSVALL</t>
        </is>
      </c>
      <c r="F5703" t="inlineStr">
        <is>
          <t>Holmen skog AB</t>
        </is>
      </c>
      <c r="G5703" t="n">
        <v>2.7</v>
      </c>
      <c r="H5703" t="n">
        <v>0</v>
      </c>
      <c r="I5703" t="n">
        <v>0</v>
      </c>
      <c r="J5703" t="n">
        <v>0</v>
      </c>
      <c r="K5703" t="n">
        <v>0</v>
      </c>
      <c r="L5703" t="n">
        <v>0</v>
      </c>
      <c r="M5703" t="n">
        <v>0</v>
      </c>
      <c r="N5703" t="n">
        <v>0</v>
      </c>
      <c r="O5703" t="n">
        <v>0</v>
      </c>
      <c r="P5703" t="n">
        <v>0</v>
      </c>
      <c r="Q5703" t="n">
        <v>0</v>
      </c>
      <c r="R5703" s="2" t="inlineStr"/>
    </row>
    <row r="5704" ht="15" customHeight="1">
      <c r="A5704" t="inlineStr">
        <is>
          <t>A 41648-2024</t>
        </is>
      </c>
      <c r="B5704" s="1" t="n">
        <v>45560.63701388889</v>
      </c>
      <c r="C5704" s="1" t="n">
        <v>45911</v>
      </c>
      <c r="D5704" t="inlineStr">
        <is>
          <t>GÄVLEBORGS LÄN</t>
        </is>
      </c>
      <c r="E5704" t="inlineStr">
        <is>
          <t>SÖDERHAMN</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19797-2024</t>
        </is>
      </c>
      <c r="B5705" s="1" t="n">
        <v>45432.92788194444</v>
      </c>
      <c r="C5705" s="1" t="n">
        <v>45911</v>
      </c>
      <c r="D5705" t="inlineStr">
        <is>
          <t>GÄVLEBORGS LÄN</t>
        </is>
      </c>
      <c r="E5705" t="inlineStr">
        <is>
          <t>LJUSDAL</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19843-2024</t>
        </is>
      </c>
      <c r="B5706" s="1" t="n">
        <v>45433.38668981481</v>
      </c>
      <c r="C5706" s="1" t="n">
        <v>45911</v>
      </c>
      <c r="D5706" t="inlineStr">
        <is>
          <t>GÄVLEBORGS LÄN</t>
        </is>
      </c>
      <c r="E5706" t="inlineStr">
        <is>
          <t>SÖDERHAMN</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39471-2025</t>
        </is>
      </c>
      <c r="B5707" s="1" t="n">
        <v>45890.33939814815</v>
      </c>
      <c r="C5707" s="1" t="n">
        <v>45911</v>
      </c>
      <c r="D5707" t="inlineStr">
        <is>
          <t>GÄVLEBORGS LÄN</t>
        </is>
      </c>
      <c r="E5707" t="inlineStr">
        <is>
          <t>SÖDERHAMN</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39496-2025</t>
        </is>
      </c>
      <c r="B5708" s="1" t="n">
        <v>45890.37798611111</v>
      </c>
      <c r="C5708" s="1" t="n">
        <v>45911</v>
      </c>
      <c r="D5708" t="inlineStr">
        <is>
          <t>GÄVLEBORGS LÄN</t>
        </is>
      </c>
      <c r="E5708" t="inlineStr">
        <is>
          <t>SÖDERHAMN</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777-2021</t>
        </is>
      </c>
      <c r="B5709" s="1" t="n">
        <v>44203</v>
      </c>
      <c r="C5709" s="1" t="n">
        <v>45911</v>
      </c>
      <c r="D5709" t="inlineStr">
        <is>
          <t>GÄVLEBORGS LÄN</t>
        </is>
      </c>
      <c r="E5709" t="inlineStr">
        <is>
          <t>HUDIKSVALL</t>
        </is>
      </c>
      <c r="G5709" t="n">
        <v>0.2</v>
      </c>
      <c r="H5709" t="n">
        <v>0</v>
      </c>
      <c r="I5709" t="n">
        <v>0</v>
      </c>
      <c r="J5709" t="n">
        <v>0</v>
      </c>
      <c r="K5709" t="n">
        <v>0</v>
      </c>
      <c r="L5709" t="n">
        <v>0</v>
      </c>
      <c r="M5709" t="n">
        <v>0</v>
      </c>
      <c r="N5709" t="n">
        <v>0</v>
      </c>
      <c r="O5709" t="n">
        <v>0</v>
      </c>
      <c r="P5709" t="n">
        <v>0</v>
      </c>
      <c r="Q5709" t="n">
        <v>0</v>
      </c>
      <c r="R5709" s="2" t="inlineStr"/>
    </row>
    <row r="5710" ht="15" customHeight="1">
      <c r="A5710" t="inlineStr">
        <is>
          <t>A 36210-2024</t>
        </is>
      </c>
      <c r="B5710" s="1" t="n">
        <v>45534.45524305556</v>
      </c>
      <c r="C5710" s="1" t="n">
        <v>45911</v>
      </c>
      <c r="D5710" t="inlineStr">
        <is>
          <t>GÄVLEBORGS LÄN</t>
        </is>
      </c>
      <c r="E5710" t="inlineStr">
        <is>
          <t>OCKELBO</t>
        </is>
      </c>
      <c r="F5710" t="inlineStr">
        <is>
          <t>Kyrkan</t>
        </is>
      </c>
      <c r="G5710" t="n">
        <v>4.4</v>
      </c>
      <c r="H5710" t="n">
        <v>0</v>
      </c>
      <c r="I5710" t="n">
        <v>0</v>
      </c>
      <c r="J5710" t="n">
        <v>0</v>
      </c>
      <c r="K5710" t="n">
        <v>0</v>
      </c>
      <c r="L5710" t="n">
        <v>0</v>
      </c>
      <c r="M5710" t="n">
        <v>0</v>
      </c>
      <c r="N5710" t="n">
        <v>0</v>
      </c>
      <c r="O5710" t="n">
        <v>0</v>
      </c>
      <c r="P5710" t="n">
        <v>0</v>
      </c>
      <c r="Q5710" t="n">
        <v>0</v>
      </c>
      <c r="R5710" s="2" t="inlineStr"/>
    </row>
    <row r="5711" ht="15" customHeight="1">
      <c r="A5711" t="inlineStr">
        <is>
          <t>A 63619-2023</t>
        </is>
      </c>
      <c r="B5711" s="1" t="n">
        <v>45275.54577546296</v>
      </c>
      <c r="C5711" s="1" t="n">
        <v>45911</v>
      </c>
      <c r="D5711" t="inlineStr">
        <is>
          <t>GÄVLEBORGS LÄN</t>
        </is>
      </c>
      <c r="E5711" t="inlineStr">
        <is>
          <t>HUDIKSVALL</t>
        </is>
      </c>
      <c r="G5711" t="n">
        <v>6.4</v>
      </c>
      <c r="H5711" t="n">
        <v>0</v>
      </c>
      <c r="I5711" t="n">
        <v>0</v>
      </c>
      <c r="J5711" t="n">
        <v>0</v>
      </c>
      <c r="K5711" t="n">
        <v>0</v>
      </c>
      <c r="L5711" t="n">
        <v>0</v>
      </c>
      <c r="M5711" t="n">
        <v>0</v>
      </c>
      <c r="N5711" t="n">
        <v>0</v>
      </c>
      <c r="O5711" t="n">
        <v>0</v>
      </c>
      <c r="P5711" t="n">
        <v>0</v>
      </c>
      <c r="Q5711" t="n">
        <v>0</v>
      </c>
      <c r="R5711" s="2" t="inlineStr"/>
    </row>
    <row r="5712" ht="15" customHeight="1">
      <c r="A5712" t="inlineStr">
        <is>
          <t>A 39708-2025</t>
        </is>
      </c>
      <c r="B5712" s="1" t="n">
        <v>45890.83747685186</v>
      </c>
      <c r="C5712" s="1" t="n">
        <v>45911</v>
      </c>
      <c r="D5712" t="inlineStr">
        <is>
          <t>GÄVLEBORGS LÄN</t>
        </is>
      </c>
      <c r="E5712" t="inlineStr">
        <is>
          <t>LJUSDAL</t>
        </is>
      </c>
      <c r="F5712" t="inlineStr">
        <is>
          <t>Holmen skog AB</t>
        </is>
      </c>
      <c r="G5712" t="n">
        <v>10.4</v>
      </c>
      <c r="H5712" t="n">
        <v>0</v>
      </c>
      <c r="I5712" t="n">
        <v>0</v>
      </c>
      <c r="J5712" t="n">
        <v>0</v>
      </c>
      <c r="K5712" t="n">
        <v>0</v>
      </c>
      <c r="L5712" t="n">
        <v>0</v>
      </c>
      <c r="M5712" t="n">
        <v>0</v>
      </c>
      <c r="N5712" t="n">
        <v>0</v>
      </c>
      <c r="O5712" t="n">
        <v>0</v>
      </c>
      <c r="P5712" t="n">
        <v>0</v>
      </c>
      <c r="Q5712" t="n">
        <v>0</v>
      </c>
      <c r="R5712" s="2" t="inlineStr"/>
    </row>
    <row r="5713" ht="15" customHeight="1">
      <c r="A5713" t="inlineStr">
        <is>
          <t>A 39710-2025</t>
        </is>
      </c>
      <c r="B5713" s="1" t="n">
        <v>45890.85690972222</v>
      </c>
      <c r="C5713" s="1" t="n">
        <v>45911</v>
      </c>
      <c r="D5713" t="inlineStr">
        <is>
          <t>GÄVLEBORGS LÄN</t>
        </is>
      </c>
      <c r="E5713" t="inlineStr">
        <is>
          <t>OVANÅKER</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50571-2020</t>
        </is>
      </c>
      <c r="B5714" s="1" t="n">
        <v>44110</v>
      </c>
      <c r="C5714" s="1" t="n">
        <v>45911</v>
      </c>
      <c r="D5714" t="inlineStr">
        <is>
          <t>GÄVLEBORGS LÄN</t>
        </is>
      </c>
      <c r="E5714" t="inlineStr">
        <is>
          <t>BOLLNÄS</t>
        </is>
      </c>
      <c r="G5714" t="n">
        <v>2.3</v>
      </c>
      <c r="H5714" t="n">
        <v>0</v>
      </c>
      <c r="I5714" t="n">
        <v>0</v>
      </c>
      <c r="J5714" t="n">
        <v>0</v>
      </c>
      <c r="K5714" t="n">
        <v>0</v>
      </c>
      <c r="L5714" t="n">
        <v>0</v>
      </c>
      <c r="M5714" t="n">
        <v>0</v>
      </c>
      <c r="N5714" t="n">
        <v>0</v>
      </c>
      <c r="O5714" t="n">
        <v>0</v>
      </c>
      <c r="P5714" t="n">
        <v>0</v>
      </c>
      <c r="Q5714" t="n">
        <v>0</v>
      </c>
      <c r="R5714" s="2" t="inlineStr"/>
    </row>
    <row r="5715" ht="15" customHeight="1">
      <c r="A5715" t="inlineStr">
        <is>
          <t>A 32970-2021</t>
        </is>
      </c>
      <c r="B5715" s="1" t="n">
        <v>44376</v>
      </c>
      <c r="C5715" s="1" t="n">
        <v>45911</v>
      </c>
      <c r="D5715" t="inlineStr">
        <is>
          <t>GÄVLEBORGS LÄN</t>
        </is>
      </c>
      <c r="E5715" t="inlineStr">
        <is>
          <t>GÄVLE</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7441-2025</t>
        </is>
      </c>
      <c r="B5716" s="1" t="n">
        <v>45705.40342592593</v>
      </c>
      <c r="C5716" s="1" t="n">
        <v>45911</v>
      </c>
      <c r="D5716" t="inlineStr">
        <is>
          <t>GÄVLEBORGS LÄN</t>
        </is>
      </c>
      <c r="E5716" t="inlineStr">
        <is>
          <t>GÄVLE</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8642-2025</t>
        </is>
      </c>
      <c r="B5717" s="1" t="n">
        <v>45712.27693287037</v>
      </c>
      <c r="C5717" s="1" t="n">
        <v>45911</v>
      </c>
      <c r="D5717" t="inlineStr">
        <is>
          <t>GÄVLEBORGS LÄN</t>
        </is>
      </c>
      <c r="E5717" t="inlineStr">
        <is>
          <t>HUDIKSVALL</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44904-2020</t>
        </is>
      </c>
      <c r="B5718" s="1" t="n">
        <v>44088</v>
      </c>
      <c r="C5718" s="1" t="n">
        <v>45911</v>
      </c>
      <c r="D5718" t="inlineStr">
        <is>
          <t>GÄVLEBORGS LÄN</t>
        </is>
      </c>
      <c r="E5718" t="inlineStr">
        <is>
          <t>LJUSDAL</t>
        </is>
      </c>
      <c r="F5718" t="inlineStr">
        <is>
          <t>Sveaskog</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39381-2025</t>
        </is>
      </c>
      <c r="B5719" s="1" t="n">
        <v>45889.60896990741</v>
      </c>
      <c r="C5719" s="1" t="n">
        <v>45911</v>
      </c>
      <c r="D5719" t="inlineStr">
        <is>
          <t>GÄVLEBORGS LÄN</t>
        </is>
      </c>
      <c r="E5719" t="inlineStr">
        <is>
          <t>SANDVIKEN</t>
        </is>
      </c>
      <c r="G5719" t="n">
        <v>5.2</v>
      </c>
      <c r="H5719" t="n">
        <v>0</v>
      </c>
      <c r="I5719" t="n">
        <v>0</v>
      </c>
      <c r="J5719" t="n">
        <v>0</v>
      </c>
      <c r="K5719" t="n">
        <v>0</v>
      </c>
      <c r="L5719" t="n">
        <v>0</v>
      </c>
      <c r="M5719" t="n">
        <v>0</v>
      </c>
      <c r="N5719" t="n">
        <v>0</v>
      </c>
      <c r="O5719" t="n">
        <v>0</v>
      </c>
      <c r="P5719" t="n">
        <v>0</v>
      </c>
      <c r="Q5719" t="n">
        <v>0</v>
      </c>
      <c r="R5719" s="2" t="inlineStr"/>
    </row>
    <row r="5720" ht="15" customHeight="1">
      <c r="A5720" t="inlineStr">
        <is>
          <t>A 29953-2024</t>
        </is>
      </c>
      <c r="B5720" s="1" t="n">
        <v>45488.44724537037</v>
      </c>
      <c r="C5720" s="1" t="n">
        <v>45911</v>
      </c>
      <c r="D5720" t="inlineStr">
        <is>
          <t>GÄVLEBORGS LÄN</t>
        </is>
      </c>
      <c r="E5720" t="inlineStr">
        <is>
          <t>OCKELBO</t>
        </is>
      </c>
      <c r="G5720" t="n">
        <v>3.1</v>
      </c>
      <c r="H5720" t="n">
        <v>0</v>
      </c>
      <c r="I5720" t="n">
        <v>0</v>
      </c>
      <c r="J5720" t="n">
        <v>0</v>
      </c>
      <c r="K5720" t="n">
        <v>0</v>
      </c>
      <c r="L5720" t="n">
        <v>0</v>
      </c>
      <c r="M5720" t="n">
        <v>0</v>
      </c>
      <c r="N5720" t="n">
        <v>0</v>
      </c>
      <c r="O5720" t="n">
        <v>0</v>
      </c>
      <c r="P5720" t="n">
        <v>0</v>
      </c>
      <c r="Q5720" t="n">
        <v>0</v>
      </c>
      <c r="R5720" s="2" t="inlineStr"/>
    </row>
    <row r="5721" ht="15" customHeight="1">
      <c r="A5721" t="inlineStr">
        <is>
          <t>A 24885-2023</t>
        </is>
      </c>
      <c r="B5721" s="1" t="n">
        <v>45085</v>
      </c>
      <c r="C5721" s="1" t="n">
        <v>45911</v>
      </c>
      <c r="D5721" t="inlineStr">
        <is>
          <t>GÄVLEBORGS LÄN</t>
        </is>
      </c>
      <c r="E5721" t="inlineStr">
        <is>
          <t>HUDIKSVALL</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61858-2024</t>
        </is>
      </c>
      <c r="B5722" s="1" t="n">
        <v>45649.75841435185</v>
      </c>
      <c r="C5722" s="1" t="n">
        <v>45911</v>
      </c>
      <c r="D5722" t="inlineStr">
        <is>
          <t>GÄVLEBORGS LÄN</t>
        </is>
      </c>
      <c r="E5722" t="inlineStr">
        <is>
          <t>SANDVIKEN</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61859-2024</t>
        </is>
      </c>
      <c r="B5723" s="1" t="n">
        <v>45649</v>
      </c>
      <c r="C5723" s="1" t="n">
        <v>45911</v>
      </c>
      <c r="D5723" t="inlineStr">
        <is>
          <t>GÄVLEBORGS LÄN</t>
        </is>
      </c>
      <c r="E5723" t="inlineStr">
        <is>
          <t>SANDVIKEN</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59718-2021</t>
        </is>
      </c>
      <c r="B5724" s="1" t="n">
        <v>44494</v>
      </c>
      <c r="C5724" s="1" t="n">
        <v>45911</v>
      </c>
      <c r="D5724" t="inlineStr">
        <is>
          <t>GÄVLEBORGS LÄN</t>
        </is>
      </c>
      <c r="E5724" t="inlineStr">
        <is>
          <t>OVANÅKER</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34481-2025</t>
        </is>
      </c>
      <c r="B5725" s="1" t="n">
        <v>45847.37819444444</v>
      </c>
      <c r="C5725" s="1" t="n">
        <v>45911</v>
      </c>
      <c r="D5725" t="inlineStr">
        <is>
          <t>GÄVLEBORGS LÄN</t>
        </is>
      </c>
      <c r="E5725" t="inlineStr">
        <is>
          <t>BOLLNÄS</t>
        </is>
      </c>
      <c r="G5725" t="n">
        <v>0.3</v>
      </c>
      <c r="H5725" t="n">
        <v>0</v>
      </c>
      <c r="I5725" t="n">
        <v>0</v>
      </c>
      <c r="J5725" t="n">
        <v>0</v>
      </c>
      <c r="K5725" t="n">
        <v>0</v>
      </c>
      <c r="L5725" t="n">
        <v>0</v>
      </c>
      <c r="M5725" t="n">
        <v>0</v>
      </c>
      <c r="N5725" t="n">
        <v>0</v>
      </c>
      <c r="O5725" t="n">
        <v>0</v>
      </c>
      <c r="P5725" t="n">
        <v>0</v>
      </c>
      <c r="Q5725" t="n">
        <v>0</v>
      </c>
      <c r="R5725" s="2" t="inlineStr"/>
    </row>
    <row r="5726" ht="15" customHeight="1">
      <c r="A5726" t="inlineStr">
        <is>
          <t>A 34525-2025</t>
        </is>
      </c>
      <c r="B5726" s="1" t="n">
        <v>45847.47710648148</v>
      </c>
      <c r="C5726" s="1" t="n">
        <v>45911</v>
      </c>
      <c r="D5726" t="inlineStr">
        <is>
          <t>GÄVLEBORGS LÄN</t>
        </is>
      </c>
      <c r="E5726" t="inlineStr">
        <is>
          <t>SÖDERHAMN</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34662-2025</t>
        </is>
      </c>
      <c r="B5727" s="1" t="n">
        <v>45848.37403935185</v>
      </c>
      <c r="C5727" s="1" t="n">
        <v>45911</v>
      </c>
      <c r="D5727" t="inlineStr">
        <is>
          <t>GÄVLEBORGS LÄN</t>
        </is>
      </c>
      <c r="E5727" t="inlineStr">
        <is>
          <t>SÖDERHAMN</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39611-2025</t>
        </is>
      </c>
      <c r="B5728" s="1" t="n">
        <v>45890</v>
      </c>
      <c r="C5728" s="1" t="n">
        <v>45911</v>
      </c>
      <c r="D5728" t="inlineStr">
        <is>
          <t>GÄVLEBORGS LÄN</t>
        </is>
      </c>
      <c r="E5728" t="inlineStr">
        <is>
          <t>OVANÅKER</t>
        </is>
      </c>
      <c r="G5728" t="n">
        <v>4.2</v>
      </c>
      <c r="H5728" t="n">
        <v>0</v>
      </c>
      <c r="I5728" t="n">
        <v>0</v>
      </c>
      <c r="J5728" t="n">
        <v>0</v>
      </c>
      <c r="K5728" t="n">
        <v>0</v>
      </c>
      <c r="L5728" t="n">
        <v>0</v>
      </c>
      <c r="M5728" t="n">
        <v>0</v>
      </c>
      <c r="N5728" t="n">
        <v>0</v>
      </c>
      <c r="O5728" t="n">
        <v>0</v>
      </c>
      <c r="P5728" t="n">
        <v>0</v>
      </c>
      <c r="Q5728" t="n">
        <v>0</v>
      </c>
      <c r="R5728" s="2" t="inlineStr"/>
    </row>
    <row r="5729" ht="15" customHeight="1">
      <c r="A5729" t="inlineStr">
        <is>
          <t>A 62423-2020</t>
        </is>
      </c>
      <c r="B5729" s="1" t="n">
        <v>44160</v>
      </c>
      <c r="C5729" s="1" t="n">
        <v>45911</v>
      </c>
      <c r="D5729" t="inlineStr">
        <is>
          <t>GÄVLEBORGS LÄN</t>
        </is>
      </c>
      <c r="E5729" t="inlineStr">
        <is>
          <t>BOLLNÄS</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16504-2023</t>
        </is>
      </c>
      <c r="B5730" s="1" t="n">
        <v>45029.62792824074</v>
      </c>
      <c r="C5730" s="1" t="n">
        <v>45911</v>
      </c>
      <c r="D5730" t="inlineStr">
        <is>
          <t>GÄVLEBORGS LÄN</t>
        </is>
      </c>
      <c r="E5730" t="inlineStr">
        <is>
          <t>GÄVLE</t>
        </is>
      </c>
      <c r="F5730" t="inlineStr">
        <is>
          <t>Kyrkan</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61092-2023</t>
        </is>
      </c>
      <c r="B5731" s="1" t="n">
        <v>45261.64163194445</v>
      </c>
      <c r="C5731" s="1" t="n">
        <v>45911</v>
      </c>
      <c r="D5731" t="inlineStr">
        <is>
          <t>GÄVLEBORGS LÄN</t>
        </is>
      </c>
      <c r="E5731" t="inlineStr">
        <is>
          <t>LJUSDAL</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61053-2023</t>
        </is>
      </c>
      <c r="B5732" s="1" t="n">
        <v>45261.60179398148</v>
      </c>
      <c r="C5732" s="1" t="n">
        <v>45911</v>
      </c>
      <c r="D5732" t="inlineStr">
        <is>
          <t>GÄVLEBORGS LÄN</t>
        </is>
      </c>
      <c r="E5732" t="inlineStr">
        <is>
          <t>LJUSDAL</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54237-2021</t>
        </is>
      </c>
      <c r="B5733" s="1" t="n">
        <v>44470.63472222222</v>
      </c>
      <c r="C5733" s="1" t="n">
        <v>45911</v>
      </c>
      <c r="D5733" t="inlineStr">
        <is>
          <t>GÄVLEBORGS LÄN</t>
        </is>
      </c>
      <c r="E5733" t="inlineStr">
        <is>
          <t>LJUSDAL</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18108-2021</t>
        </is>
      </c>
      <c r="B5734" s="1" t="n">
        <v>44302.49407407407</v>
      </c>
      <c r="C5734" s="1" t="n">
        <v>45911</v>
      </c>
      <c r="D5734" t="inlineStr">
        <is>
          <t>GÄVLEBORGS LÄN</t>
        </is>
      </c>
      <c r="E5734" t="inlineStr">
        <is>
          <t>LJUSDAL</t>
        </is>
      </c>
      <c r="G5734" t="n">
        <v>3.9</v>
      </c>
      <c r="H5734" t="n">
        <v>0</v>
      </c>
      <c r="I5734" t="n">
        <v>0</v>
      </c>
      <c r="J5734" t="n">
        <v>0</v>
      </c>
      <c r="K5734" t="n">
        <v>0</v>
      </c>
      <c r="L5734" t="n">
        <v>0</v>
      </c>
      <c r="M5734" t="n">
        <v>0</v>
      </c>
      <c r="N5734" t="n">
        <v>0</v>
      </c>
      <c r="O5734" t="n">
        <v>0</v>
      </c>
      <c r="P5734" t="n">
        <v>0</v>
      </c>
      <c r="Q5734" t="n">
        <v>0</v>
      </c>
      <c r="R5734" s="2" t="inlineStr"/>
    </row>
    <row r="5735" ht="15" customHeight="1">
      <c r="A5735" t="inlineStr">
        <is>
          <t>A 55046-2022</t>
        </is>
      </c>
      <c r="B5735" s="1" t="n">
        <v>44886</v>
      </c>
      <c r="C5735" s="1" t="n">
        <v>45911</v>
      </c>
      <c r="D5735" t="inlineStr">
        <is>
          <t>GÄVLEBORGS LÄN</t>
        </is>
      </c>
      <c r="E5735" t="inlineStr">
        <is>
          <t>LJUSDAL</t>
        </is>
      </c>
      <c r="F5735" t="inlineStr">
        <is>
          <t>Bergvik skog väst AB</t>
        </is>
      </c>
      <c r="G5735" t="n">
        <v>43.8</v>
      </c>
      <c r="H5735" t="n">
        <v>0</v>
      </c>
      <c r="I5735" t="n">
        <v>0</v>
      </c>
      <c r="J5735" t="n">
        <v>0</v>
      </c>
      <c r="K5735" t="n">
        <v>0</v>
      </c>
      <c r="L5735" t="n">
        <v>0</v>
      </c>
      <c r="M5735" t="n">
        <v>0</v>
      </c>
      <c r="N5735" t="n">
        <v>0</v>
      </c>
      <c r="O5735" t="n">
        <v>0</v>
      </c>
      <c r="P5735" t="n">
        <v>0</v>
      </c>
      <c r="Q5735" t="n">
        <v>0</v>
      </c>
      <c r="R5735" s="2" t="inlineStr"/>
    </row>
    <row r="5736" ht="15" customHeight="1">
      <c r="A5736" t="inlineStr">
        <is>
          <t>A 53939-2020</t>
        </is>
      </c>
      <c r="B5736" s="1" t="n">
        <v>44125</v>
      </c>
      <c r="C5736" s="1" t="n">
        <v>45911</v>
      </c>
      <c r="D5736" t="inlineStr">
        <is>
          <t>GÄVLEBORGS LÄN</t>
        </is>
      </c>
      <c r="E5736" t="inlineStr">
        <is>
          <t>NORDANSTIG</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39359-2025</t>
        </is>
      </c>
      <c r="B5737" s="1" t="n">
        <v>45889.55767361111</v>
      </c>
      <c r="C5737" s="1" t="n">
        <v>45911</v>
      </c>
      <c r="D5737" t="inlineStr">
        <is>
          <t>GÄVLEBORGS LÄN</t>
        </is>
      </c>
      <c r="E5737" t="inlineStr">
        <is>
          <t>OCKELBO</t>
        </is>
      </c>
      <c r="F5737" t="inlineStr">
        <is>
          <t>Bergvik skog väst AB</t>
        </is>
      </c>
      <c r="G5737" t="n">
        <v>5</v>
      </c>
      <c r="H5737" t="n">
        <v>0</v>
      </c>
      <c r="I5737" t="n">
        <v>0</v>
      </c>
      <c r="J5737" t="n">
        <v>0</v>
      </c>
      <c r="K5737" t="n">
        <v>0</v>
      </c>
      <c r="L5737" t="n">
        <v>0</v>
      </c>
      <c r="M5737" t="n">
        <v>0</v>
      </c>
      <c r="N5737" t="n">
        <v>0</v>
      </c>
      <c r="O5737" t="n">
        <v>0</v>
      </c>
      <c r="P5737" t="n">
        <v>0</v>
      </c>
      <c r="Q5737" t="n">
        <v>0</v>
      </c>
      <c r="R5737" s="2" t="inlineStr"/>
    </row>
    <row r="5738" ht="15" customHeight="1">
      <c r="A5738" t="inlineStr">
        <is>
          <t>A 39449-2025</t>
        </is>
      </c>
      <c r="B5738" s="1" t="n">
        <v>45889</v>
      </c>
      <c r="C5738" s="1" t="n">
        <v>45911</v>
      </c>
      <c r="D5738" t="inlineStr">
        <is>
          <t>GÄVLEBORGS LÄN</t>
        </is>
      </c>
      <c r="E5738" t="inlineStr">
        <is>
          <t>OVANÅKER</t>
        </is>
      </c>
      <c r="G5738" t="n">
        <v>2.9</v>
      </c>
      <c r="H5738" t="n">
        <v>0</v>
      </c>
      <c r="I5738" t="n">
        <v>0</v>
      </c>
      <c r="J5738" t="n">
        <v>0</v>
      </c>
      <c r="K5738" t="n">
        <v>0</v>
      </c>
      <c r="L5738" t="n">
        <v>0</v>
      </c>
      <c r="M5738" t="n">
        <v>0</v>
      </c>
      <c r="N5738" t="n">
        <v>0</v>
      </c>
      <c r="O5738" t="n">
        <v>0</v>
      </c>
      <c r="P5738" t="n">
        <v>0</v>
      </c>
      <c r="Q5738" t="n">
        <v>0</v>
      </c>
      <c r="R5738" s="2" t="inlineStr"/>
    </row>
    <row r="5739" ht="15" customHeight="1">
      <c r="A5739" t="inlineStr">
        <is>
          <t>A 39459-2025</t>
        </is>
      </c>
      <c r="B5739" s="1" t="n">
        <v>45889.82956018519</v>
      </c>
      <c r="C5739" s="1" t="n">
        <v>45911</v>
      </c>
      <c r="D5739" t="inlineStr">
        <is>
          <t>GÄVLEBORGS LÄN</t>
        </is>
      </c>
      <c r="E5739" t="inlineStr">
        <is>
          <t>LJUSDAL</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34725-2025</t>
        </is>
      </c>
      <c r="B5740" s="1" t="n">
        <v>45848.56725694444</v>
      </c>
      <c r="C5740" s="1" t="n">
        <v>45911</v>
      </c>
      <c r="D5740" t="inlineStr">
        <is>
          <t>GÄVLEBORGS LÄN</t>
        </is>
      </c>
      <c r="E5740" t="inlineStr">
        <is>
          <t>GÄVLE</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61366-2022</t>
        </is>
      </c>
      <c r="B5741" s="1" t="n">
        <v>44915</v>
      </c>
      <c r="C5741" s="1" t="n">
        <v>45911</v>
      </c>
      <c r="D5741" t="inlineStr">
        <is>
          <t>GÄVLEBORGS LÄN</t>
        </is>
      </c>
      <c r="E5741" t="inlineStr">
        <is>
          <t>NORDANSTIG</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38762-2025</t>
        </is>
      </c>
      <c r="B5742" s="1" t="n">
        <v>45887</v>
      </c>
      <c r="C5742" s="1" t="n">
        <v>45911</v>
      </c>
      <c r="D5742" t="inlineStr">
        <is>
          <t>GÄVLEBORGS LÄN</t>
        </is>
      </c>
      <c r="E5742" t="inlineStr">
        <is>
          <t>BOLLNÄS</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35037-2025</t>
        </is>
      </c>
      <c r="B5743" s="1" t="n">
        <v>45852</v>
      </c>
      <c r="C5743" s="1" t="n">
        <v>45911</v>
      </c>
      <c r="D5743" t="inlineStr">
        <is>
          <t>GÄVLEBORGS LÄN</t>
        </is>
      </c>
      <c r="E5743" t="inlineStr">
        <is>
          <t>LJUSDAL</t>
        </is>
      </c>
      <c r="F5743" t="inlineStr">
        <is>
          <t>Bergvik skog väst AB</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47954-2024</t>
        </is>
      </c>
      <c r="B5744" s="1" t="n">
        <v>45589.36817129629</v>
      </c>
      <c r="C5744" s="1" t="n">
        <v>45911</v>
      </c>
      <c r="D5744" t="inlineStr">
        <is>
          <t>GÄVLEBORGS LÄN</t>
        </is>
      </c>
      <c r="E5744" t="inlineStr">
        <is>
          <t>LJUSDAL</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7182-2023</t>
        </is>
      </c>
      <c r="B5745" s="1" t="n">
        <v>44970</v>
      </c>
      <c r="C5745" s="1" t="n">
        <v>45911</v>
      </c>
      <c r="D5745" t="inlineStr">
        <is>
          <t>GÄVLEBORGS LÄN</t>
        </is>
      </c>
      <c r="E5745" t="inlineStr">
        <is>
          <t>LJUSDAL</t>
        </is>
      </c>
      <c r="G5745" t="n">
        <v>7</v>
      </c>
      <c r="H5745" t="n">
        <v>0</v>
      </c>
      <c r="I5745" t="n">
        <v>0</v>
      </c>
      <c r="J5745" t="n">
        <v>0</v>
      </c>
      <c r="K5745" t="n">
        <v>0</v>
      </c>
      <c r="L5745" t="n">
        <v>0</v>
      </c>
      <c r="M5745" t="n">
        <v>0</v>
      </c>
      <c r="N5745" t="n">
        <v>0</v>
      </c>
      <c r="O5745" t="n">
        <v>0</v>
      </c>
      <c r="P5745" t="n">
        <v>0</v>
      </c>
      <c r="Q5745" t="n">
        <v>0</v>
      </c>
      <c r="R5745" s="2" t="inlineStr"/>
    </row>
    <row r="5746" ht="15" customHeight="1">
      <c r="A5746" t="inlineStr">
        <is>
          <t>A 40214-2025</t>
        </is>
      </c>
      <c r="B5746" s="1" t="n">
        <v>45894.68690972222</v>
      </c>
      <c r="C5746" s="1" t="n">
        <v>45911</v>
      </c>
      <c r="D5746" t="inlineStr">
        <is>
          <t>GÄVLEBORGS LÄN</t>
        </is>
      </c>
      <c r="E5746" t="inlineStr">
        <is>
          <t>LJUSDAL</t>
        </is>
      </c>
      <c r="F5746" t="inlineStr">
        <is>
          <t>Sveaskog</t>
        </is>
      </c>
      <c r="G5746" t="n">
        <v>7.3</v>
      </c>
      <c r="H5746" t="n">
        <v>0</v>
      </c>
      <c r="I5746" t="n">
        <v>0</v>
      </c>
      <c r="J5746" t="n">
        <v>0</v>
      </c>
      <c r="K5746" t="n">
        <v>0</v>
      </c>
      <c r="L5746" t="n">
        <v>0</v>
      </c>
      <c r="M5746" t="n">
        <v>0</v>
      </c>
      <c r="N5746" t="n">
        <v>0</v>
      </c>
      <c r="O5746" t="n">
        <v>0</v>
      </c>
      <c r="P5746" t="n">
        <v>0</v>
      </c>
      <c r="Q5746" t="n">
        <v>0</v>
      </c>
      <c r="R5746" s="2" t="inlineStr"/>
      <c r="U5746">
        <f>HYPERLINK("https://klasma.github.io/Logging_2161/knärot/A 40214-2025 karta knärot.png", "A 40214-2025")</f>
        <v/>
      </c>
      <c r="V5746">
        <f>HYPERLINK("https://klasma.github.io/Logging_2161/klagomål/A 40214-2025 FSC-klagomål.docx", "A 40214-2025")</f>
        <v/>
      </c>
      <c r="W5746">
        <f>HYPERLINK("https://klasma.github.io/Logging_2161/klagomålsmail/A 40214-2025 FSC-klagomål mail.docx", "A 40214-2025")</f>
        <v/>
      </c>
      <c r="X5746">
        <f>HYPERLINK("https://klasma.github.io/Logging_2161/tillsyn/A 40214-2025 tillsynsbegäran.docx", "A 40214-2025")</f>
        <v/>
      </c>
      <c r="Y5746">
        <f>HYPERLINK("https://klasma.github.io/Logging_2161/tillsynsmail/A 40214-2025 tillsynsbegäran mail.docx", "A 40214-2025")</f>
        <v/>
      </c>
    </row>
    <row r="5747" ht="15" customHeight="1">
      <c r="A5747" t="inlineStr">
        <is>
          <t>A 39798-2025</t>
        </is>
      </c>
      <c r="B5747" s="1" t="n">
        <v>45891.4975462963</v>
      </c>
      <c r="C5747" s="1" t="n">
        <v>45911</v>
      </c>
      <c r="D5747" t="inlineStr">
        <is>
          <t>GÄVLEBORGS LÄN</t>
        </is>
      </c>
      <c r="E5747" t="inlineStr">
        <is>
          <t>BOLLNÄS</t>
        </is>
      </c>
      <c r="G5747" t="n">
        <v>3.7</v>
      </c>
      <c r="H5747" t="n">
        <v>0</v>
      </c>
      <c r="I5747" t="n">
        <v>0</v>
      </c>
      <c r="J5747" t="n">
        <v>0</v>
      </c>
      <c r="K5747" t="n">
        <v>0</v>
      </c>
      <c r="L5747" t="n">
        <v>0</v>
      </c>
      <c r="M5747" t="n">
        <v>0</v>
      </c>
      <c r="N5747" t="n">
        <v>0</v>
      </c>
      <c r="O5747" t="n">
        <v>0</v>
      </c>
      <c r="P5747" t="n">
        <v>0</v>
      </c>
      <c r="Q5747" t="n">
        <v>0</v>
      </c>
      <c r="R5747" s="2" t="inlineStr"/>
    </row>
    <row r="5748" ht="15" customHeight="1">
      <c r="A5748" t="inlineStr">
        <is>
          <t>A 69253-2020</t>
        </is>
      </c>
      <c r="B5748" s="1" t="n">
        <v>44192</v>
      </c>
      <c r="C5748" s="1" t="n">
        <v>45911</v>
      </c>
      <c r="D5748" t="inlineStr">
        <is>
          <t>GÄVLEBORGS LÄN</t>
        </is>
      </c>
      <c r="E5748" t="inlineStr">
        <is>
          <t>GÄVLE</t>
        </is>
      </c>
      <c r="F5748" t="inlineStr">
        <is>
          <t>Kommuner</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35022-2025</t>
        </is>
      </c>
      <c r="B5749" s="1" t="n">
        <v>45851.95064814815</v>
      </c>
      <c r="C5749" s="1" t="n">
        <v>45911</v>
      </c>
      <c r="D5749" t="inlineStr">
        <is>
          <t>GÄVLEBORGS LÄN</t>
        </is>
      </c>
      <c r="E5749" t="inlineStr">
        <is>
          <t>LJUSDAL</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35023-2025</t>
        </is>
      </c>
      <c r="B5750" s="1" t="n">
        <v>45851.95334490741</v>
      </c>
      <c r="C5750" s="1" t="n">
        <v>45911</v>
      </c>
      <c r="D5750" t="inlineStr">
        <is>
          <t>GÄVLEBORGS LÄN</t>
        </is>
      </c>
      <c r="E5750" t="inlineStr">
        <is>
          <t>LJUSDAL</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21751-2021</t>
        </is>
      </c>
      <c r="B5751" s="1" t="n">
        <v>44322.56486111111</v>
      </c>
      <c r="C5751" s="1" t="n">
        <v>45911</v>
      </c>
      <c r="D5751" t="inlineStr">
        <is>
          <t>GÄVLEBORGS LÄN</t>
        </is>
      </c>
      <c r="E5751" t="inlineStr">
        <is>
          <t>LJUSDAL</t>
        </is>
      </c>
      <c r="F5751" t="inlineStr">
        <is>
          <t>Bergvik skog väst AB</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11215-2023</t>
        </is>
      </c>
      <c r="B5752" s="1" t="n">
        <v>44992.61489583334</v>
      </c>
      <c r="C5752" s="1" t="n">
        <v>45911</v>
      </c>
      <c r="D5752" t="inlineStr">
        <is>
          <t>GÄVLEBORGS LÄN</t>
        </is>
      </c>
      <c r="E5752" t="inlineStr">
        <is>
          <t>SÖDERHAMN</t>
        </is>
      </c>
      <c r="G5752" t="n">
        <v>0.4</v>
      </c>
      <c r="H5752" t="n">
        <v>0</v>
      </c>
      <c r="I5752" t="n">
        <v>0</v>
      </c>
      <c r="J5752" t="n">
        <v>0</v>
      </c>
      <c r="K5752" t="n">
        <v>0</v>
      </c>
      <c r="L5752" t="n">
        <v>0</v>
      </c>
      <c r="M5752" t="n">
        <v>0</v>
      </c>
      <c r="N5752" t="n">
        <v>0</v>
      </c>
      <c r="O5752" t="n">
        <v>0</v>
      </c>
      <c r="P5752" t="n">
        <v>0</v>
      </c>
      <c r="Q5752" t="n">
        <v>0</v>
      </c>
      <c r="R5752" s="2" t="inlineStr"/>
    </row>
    <row r="5753" ht="15" customHeight="1">
      <c r="A5753" t="inlineStr">
        <is>
          <t>A 22975-2024</t>
        </is>
      </c>
      <c r="B5753" s="1" t="n">
        <v>45449.82996527778</v>
      </c>
      <c r="C5753" s="1" t="n">
        <v>45911</v>
      </c>
      <c r="D5753" t="inlineStr">
        <is>
          <t>GÄVLEBORGS LÄN</t>
        </is>
      </c>
      <c r="E5753" t="inlineStr">
        <is>
          <t>HUDIKSVALL</t>
        </is>
      </c>
      <c r="F5753" t="inlineStr">
        <is>
          <t>Holmen skog AB</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21805-2024</t>
        </is>
      </c>
      <c r="B5754" s="1" t="n">
        <v>45442</v>
      </c>
      <c r="C5754" s="1" t="n">
        <v>45911</v>
      </c>
      <c r="D5754" t="inlineStr">
        <is>
          <t>GÄVLEBORGS LÄN</t>
        </is>
      </c>
      <c r="E5754" t="inlineStr">
        <is>
          <t>HUDIKSVALL</t>
        </is>
      </c>
      <c r="G5754" t="n">
        <v>2.8</v>
      </c>
      <c r="H5754" t="n">
        <v>0</v>
      </c>
      <c r="I5754" t="n">
        <v>0</v>
      </c>
      <c r="J5754" t="n">
        <v>0</v>
      </c>
      <c r="K5754" t="n">
        <v>0</v>
      </c>
      <c r="L5754" t="n">
        <v>0</v>
      </c>
      <c r="M5754" t="n">
        <v>0</v>
      </c>
      <c r="N5754" t="n">
        <v>0</v>
      </c>
      <c r="O5754" t="n">
        <v>0</v>
      </c>
      <c r="P5754" t="n">
        <v>0</v>
      </c>
      <c r="Q5754" t="n">
        <v>0</v>
      </c>
      <c r="R5754" s="2" t="inlineStr"/>
    </row>
    <row r="5755" ht="15" customHeight="1">
      <c r="A5755" t="inlineStr">
        <is>
          <t>A 22238-2023</t>
        </is>
      </c>
      <c r="B5755" s="1" t="n">
        <v>45070.28346064815</v>
      </c>
      <c r="C5755" s="1" t="n">
        <v>45911</v>
      </c>
      <c r="D5755" t="inlineStr">
        <is>
          <t>GÄVLEBORGS LÄN</t>
        </is>
      </c>
      <c r="E5755" t="inlineStr">
        <is>
          <t>SANDVIKEN</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43465-2024</t>
        </is>
      </c>
      <c r="B5756" s="1" t="n">
        <v>45568.71283564815</v>
      </c>
      <c r="C5756" s="1" t="n">
        <v>45911</v>
      </c>
      <c r="D5756" t="inlineStr">
        <is>
          <t>GÄVLEBORGS LÄN</t>
        </is>
      </c>
      <c r="E5756" t="inlineStr">
        <is>
          <t>NORDANSTIG</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40236-2025</t>
        </is>
      </c>
      <c r="B5757" s="1" t="n">
        <v>45894.748125</v>
      </c>
      <c r="C5757" s="1" t="n">
        <v>45911</v>
      </c>
      <c r="D5757" t="inlineStr">
        <is>
          <t>GÄVLEBORGS LÄN</t>
        </is>
      </c>
      <c r="E5757" t="inlineStr">
        <is>
          <t>SANDVIKEN</t>
        </is>
      </c>
      <c r="G5757" t="n">
        <v>12.6</v>
      </c>
      <c r="H5757" t="n">
        <v>0</v>
      </c>
      <c r="I5757" t="n">
        <v>0</v>
      </c>
      <c r="J5757" t="n">
        <v>0</v>
      </c>
      <c r="K5757" t="n">
        <v>0</v>
      </c>
      <c r="L5757" t="n">
        <v>0</v>
      </c>
      <c r="M5757" t="n">
        <v>0</v>
      </c>
      <c r="N5757" t="n">
        <v>0</v>
      </c>
      <c r="O5757" t="n">
        <v>0</v>
      </c>
      <c r="P5757" t="n">
        <v>0</v>
      </c>
      <c r="Q5757" t="n">
        <v>0</v>
      </c>
      <c r="R5757" s="2" t="inlineStr"/>
    </row>
    <row r="5758" ht="15" customHeight="1">
      <c r="A5758" t="inlineStr">
        <is>
          <t>A 37253-2024</t>
        </is>
      </c>
      <c r="B5758" s="1" t="n">
        <v>45540.36526620371</v>
      </c>
      <c r="C5758" s="1" t="n">
        <v>45911</v>
      </c>
      <c r="D5758" t="inlineStr">
        <is>
          <t>GÄVLEBORGS LÄN</t>
        </is>
      </c>
      <c r="E5758" t="inlineStr">
        <is>
          <t>GÄVLE</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23085-2023</t>
        </is>
      </c>
      <c r="B5759" s="1" t="n">
        <v>45075</v>
      </c>
      <c r="C5759" s="1" t="n">
        <v>45911</v>
      </c>
      <c r="D5759" t="inlineStr">
        <is>
          <t>GÄVLEBORGS LÄN</t>
        </is>
      </c>
      <c r="E5759" t="inlineStr">
        <is>
          <t>SANDVIKEN</t>
        </is>
      </c>
      <c r="G5759" t="n">
        <v>8.300000000000001</v>
      </c>
      <c r="H5759" t="n">
        <v>0</v>
      </c>
      <c r="I5759" t="n">
        <v>0</v>
      </c>
      <c r="J5759" t="n">
        <v>0</v>
      </c>
      <c r="K5759" t="n">
        <v>0</v>
      </c>
      <c r="L5759" t="n">
        <v>0</v>
      </c>
      <c r="M5759" t="n">
        <v>0</v>
      </c>
      <c r="N5759" t="n">
        <v>0</v>
      </c>
      <c r="O5759" t="n">
        <v>0</v>
      </c>
      <c r="P5759" t="n">
        <v>0</v>
      </c>
      <c r="Q5759" t="n">
        <v>0</v>
      </c>
      <c r="R5759" s="2" t="inlineStr"/>
    </row>
    <row r="5760" ht="15" customHeight="1">
      <c r="A5760" t="inlineStr">
        <is>
          <t>A 35075-2025</t>
        </is>
      </c>
      <c r="B5760" s="1" t="n">
        <v>45852.48225694444</v>
      </c>
      <c r="C5760" s="1" t="n">
        <v>45911</v>
      </c>
      <c r="D5760" t="inlineStr">
        <is>
          <t>GÄVLEBORGS LÄN</t>
        </is>
      </c>
      <c r="E5760" t="inlineStr">
        <is>
          <t>OVANÅKER</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35100-2025</t>
        </is>
      </c>
      <c r="B5761" s="1" t="n">
        <v>45852.56472222223</v>
      </c>
      <c r="C5761" s="1" t="n">
        <v>45911</v>
      </c>
      <c r="D5761" t="inlineStr">
        <is>
          <t>GÄVLEBORGS LÄN</t>
        </is>
      </c>
      <c r="E5761" t="inlineStr">
        <is>
          <t>HUDIKSVALL</t>
        </is>
      </c>
      <c r="F5761" t="inlineStr">
        <is>
          <t>Holmen skog AB</t>
        </is>
      </c>
      <c r="G5761" t="n">
        <v>2.8</v>
      </c>
      <c r="H5761" t="n">
        <v>0</v>
      </c>
      <c r="I5761" t="n">
        <v>0</v>
      </c>
      <c r="J5761" t="n">
        <v>0</v>
      </c>
      <c r="K5761" t="n">
        <v>0</v>
      </c>
      <c r="L5761" t="n">
        <v>0</v>
      </c>
      <c r="M5761" t="n">
        <v>0</v>
      </c>
      <c r="N5761" t="n">
        <v>0</v>
      </c>
      <c r="O5761" t="n">
        <v>0</v>
      </c>
      <c r="P5761" t="n">
        <v>0</v>
      </c>
      <c r="Q5761" t="n">
        <v>0</v>
      </c>
      <c r="R5761" s="2" t="inlineStr"/>
    </row>
    <row r="5762" ht="15" customHeight="1">
      <c r="A5762" t="inlineStr">
        <is>
          <t>A 39723-2025</t>
        </is>
      </c>
      <c r="B5762" s="1" t="n">
        <v>45891.33346064815</v>
      </c>
      <c r="C5762" s="1" t="n">
        <v>45911</v>
      </c>
      <c r="D5762" t="inlineStr">
        <is>
          <t>GÄVLEBORGS LÄN</t>
        </is>
      </c>
      <c r="E5762" t="inlineStr">
        <is>
          <t>OCKELBO</t>
        </is>
      </c>
      <c r="F5762" t="inlineStr">
        <is>
          <t>Bergvik skog väst AB</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39784-2025</t>
        </is>
      </c>
      <c r="B5763" s="1" t="n">
        <v>45891.47790509259</v>
      </c>
      <c r="C5763" s="1" t="n">
        <v>45911</v>
      </c>
      <c r="D5763" t="inlineStr">
        <is>
          <t>GÄVLEBORGS LÄN</t>
        </is>
      </c>
      <c r="E5763" t="inlineStr">
        <is>
          <t>SÖDERHAMN</t>
        </is>
      </c>
      <c r="F5763" t="inlineStr">
        <is>
          <t>Bergvik skog väst AB</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35069-2025</t>
        </is>
      </c>
      <c r="B5764" s="1" t="n">
        <v>45852.46069444445</v>
      </c>
      <c r="C5764" s="1" t="n">
        <v>45911</v>
      </c>
      <c r="D5764" t="inlineStr">
        <is>
          <t>GÄVLEBORGS LÄN</t>
        </is>
      </c>
      <c r="E5764" t="inlineStr">
        <is>
          <t>OVANÅKER</t>
        </is>
      </c>
      <c r="F5764" t="inlineStr">
        <is>
          <t>Bergvik skog väst AB</t>
        </is>
      </c>
      <c r="G5764" t="n">
        <v>5.6</v>
      </c>
      <c r="H5764" t="n">
        <v>0</v>
      </c>
      <c r="I5764" t="n">
        <v>0</v>
      </c>
      <c r="J5764" t="n">
        <v>0</v>
      </c>
      <c r="K5764" t="n">
        <v>0</v>
      </c>
      <c r="L5764" t="n">
        <v>0</v>
      </c>
      <c r="M5764" t="n">
        <v>0</v>
      </c>
      <c r="N5764" t="n">
        <v>0</v>
      </c>
      <c r="O5764" t="n">
        <v>0</v>
      </c>
      <c r="P5764" t="n">
        <v>0</v>
      </c>
      <c r="Q5764" t="n">
        <v>0</v>
      </c>
      <c r="R5764" s="2" t="inlineStr"/>
    </row>
    <row r="5765" ht="15" customHeight="1">
      <c r="A5765" t="inlineStr">
        <is>
          <t>A 24210-2023</t>
        </is>
      </c>
      <c r="B5765" s="1" t="n">
        <v>45079.57248842593</v>
      </c>
      <c r="C5765" s="1" t="n">
        <v>45911</v>
      </c>
      <c r="D5765" t="inlineStr">
        <is>
          <t>GÄVLEBORGS LÄN</t>
        </is>
      </c>
      <c r="E5765" t="inlineStr">
        <is>
          <t>HUDIKSVALL</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58912-2024</t>
        </is>
      </c>
      <c r="B5766" s="1" t="n">
        <v>45636.48331018518</v>
      </c>
      <c r="C5766" s="1" t="n">
        <v>45911</v>
      </c>
      <c r="D5766" t="inlineStr">
        <is>
          <t>GÄVLEBORGS LÄN</t>
        </is>
      </c>
      <c r="E5766" t="inlineStr">
        <is>
          <t>NORDANSTIG</t>
        </is>
      </c>
      <c r="F5766" t="inlineStr">
        <is>
          <t>Holmen skog AB</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18902-2025</t>
        </is>
      </c>
      <c r="B5767" s="1" t="n">
        <v>45764.45541666666</v>
      </c>
      <c r="C5767" s="1" t="n">
        <v>45911</v>
      </c>
      <c r="D5767" t="inlineStr">
        <is>
          <t>GÄVLEBORGS LÄN</t>
        </is>
      </c>
      <c r="E5767" t="inlineStr">
        <is>
          <t>SÖDERHAMN</t>
        </is>
      </c>
      <c r="F5767" t="inlineStr">
        <is>
          <t>Kommuner</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18905-2025</t>
        </is>
      </c>
      <c r="B5768" s="1" t="n">
        <v>45764.46203703704</v>
      </c>
      <c r="C5768" s="1" t="n">
        <v>45911</v>
      </c>
      <c r="D5768" t="inlineStr">
        <is>
          <t>GÄVLEBORGS LÄN</t>
        </is>
      </c>
      <c r="E5768" t="inlineStr">
        <is>
          <t>SÖDERHAMN</t>
        </is>
      </c>
      <c r="F5768" t="inlineStr">
        <is>
          <t>Kommuner</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4226-2023</t>
        </is>
      </c>
      <c r="B5769" s="1" t="n">
        <v>44953</v>
      </c>
      <c r="C5769" s="1" t="n">
        <v>45911</v>
      </c>
      <c r="D5769" t="inlineStr">
        <is>
          <t>GÄVLEBORGS LÄN</t>
        </is>
      </c>
      <c r="E5769" t="inlineStr">
        <is>
          <t>OCKELBO</t>
        </is>
      </c>
      <c r="F5769" t="inlineStr">
        <is>
          <t>Bergvik skog väst AB</t>
        </is>
      </c>
      <c r="G5769" t="n">
        <v>2.4</v>
      </c>
      <c r="H5769" t="n">
        <v>0</v>
      </c>
      <c r="I5769" t="n">
        <v>0</v>
      </c>
      <c r="J5769" t="n">
        <v>0</v>
      </c>
      <c r="K5769" t="n">
        <v>0</v>
      </c>
      <c r="L5769" t="n">
        <v>0</v>
      </c>
      <c r="M5769" t="n">
        <v>0</v>
      </c>
      <c r="N5769" t="n">
        <v>0</v>
      </c>
      <c r="O5769" t="n">
        <v>0</v>
      </c>
      <c r="P5769" t="n">
        <v>0</v>
      </c>
      <c r="Q5769" t="n">
        <v>0</v>
      </c>
      <c r="R5769" s="2" t="inlineStr"/>
    </row>
    <row r="5770" ht="15" customHeight="1">
      <c r="A5770" t="inlineStr">
        <is>
          <t>A 29404-2021</t>
        </is>
      </c>
      <c r="B5770" s="1" t="n">
        <v>44361</v>
      </c>
      <c r="C5770" s="1" t="n">
        <v>45911</v>
      </c>
      <c r="D5770" t="inlineStr">
        <is>
          <t>GÄVLEBORGS LÄN</t>
        </is>
      </c>
      <c r="E5770" t="inlineStr">
        <is>
          <t>LJUSDAL</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61879-2024</t>
        </is>
      </c>
      <c r="B5771" s="1" t="n">
        <v>45652.43678240741</v>
      </c>
      <c r="C5771" s="1" t="n">
        <v>45911</v>
      </c>
      <c r="D5771" t="inlineStr">
        <is>
          <t>GÄVLEBORGS LÄN</t>
        </is>
      </c>
      <c r="E5771" t="inlineStr">
        <is>
          <t>GÄVLE</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12610-2025</t>
        </is>
      </c>
      <c r="B5772" s="1" t="n">
        <v>45733.33835648148</v>
      </c>
      <c r="C5772" s="1" t="n">
        <v>45911</v>
      </c>
      <c r="D5772" t="inlineStr">
        <is>
          <t>GÄVLEBORGS LÄN</t>
        </is>
      </c>
      <c r="E5772" t="inlineStr">
        <is>
          <t>SANDVIKEN</t>
        </is>
      </c>
      <c r="F5772" t="inlineStr">
        <is>
          <t>Bergvik skog öst AB</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46958-2024</t>
        </is>
      </c>
      <c r="B5773" s="1" t="n">
        <v>45586.29105324074</v>
      </c>
      <c r="C5773" s="1" t="n">
        <v>45911</v>
      </c>
      <c r="D5773" t="inlineStr">
        <is>
          <t>GÄVLEBORGS LÄN</t>
        </is>
      </c>
      <c r="E5773" t="inlineStr">
        <is>
          <t>BOLLNÄS</t>
        </is>
      </c>
      <c r="F5773" t="inlineStr">
        <is>
          <t>Bergvik skog väst AB</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35095-2025</t>
        </is>
      </c>
      <c r="B5774" s="1" t="n">
        <v>45852.5432175926</v>
      </c>
      <c r="C5774" s="1" t="n">
        <v>45911</v>
      </c>
      <c r="D5774" t="inlineStr">
        <is>
          <t>GÄVLEBORGS LÄN</t>
        </is>
      </c>
      <c r="E5774" t="inlineStr">
        <is>
          <t>BOLLNÄS</t>
        </is>
      </c>
      <c r="F5774" t="inlineStr">
        <is>
          <t>Bergvik skog väst AB</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25133-2022</t>
        </is>
      </c>
      <c r="B5775" s="1" t="n">
        <v>44729.49839120371</v>
      </c>
      <c r="C5775" s="1" t="n">
        <v>45911</v>
      </c>
      <c r="D5775" t="inlineStr">
        <is>
          <t>GÄVLEBORGS LÄN</t>
        </is>
      </c>
      <c r="E5775" t="inlineStr">
        <is>
          <t>OVANÅKER</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39715-2025</t>
        </is>
      </c>
      <c r="B5776" s="1" t="n">
        <v>45891.27148148148</v>
      </c>
      <c r="C5776" s="1" t="n">
        <v>45911</v>
      </c>
      <c r="D5776" t="inlineStr">
        <is>
          <t>GÄVLEBORGS LÄN</t>
        </is>
      </c>
      <c r="E5776" t="inlineStr">
        <is>
          <t>OVANÅKER</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39716-2025</t>
        </is>
      </c>
      <c r="B5777" s="1" t="n">
        <v>45891.29358796297</v>
      </c>
      <c r="C5777" s="1" t="n">
        <v>45911</v>
      </c>
      <c r="D5777" t="inlineStr">
        <is>
          <t>GÄVLEBORGS LÄN</t>
        </is>
      </c>
      <c r="E5777" t="inlineStr">
        <is>
          <t>OVANÅKER</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28606-2023</t>
        </is>
      </c>
      <c r="B5778" s="1" t="n">
        <v>45103</v>
      </c>
      <c r="C5778" s="1" t="n">
        <v>45911</v>
      </c>
      <c r="D5778" t="inlineStr">
        <is>
          <t>GÄVLEBORGS LÄN</t>
        </is>
      </c>
      <c r="E5778" t="inlineStr">
        <is>
          <t>OVANÅKER</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35094-2021</t>
        </is>
      </c>
      <c r="B5779" s="1" t="n">
        <v>44384.34634259259</v>
      </c>
      <c r="C5779" s="1" t="n">
        <v>45911</v>
      </c>
      <c r="D5779" t="inlineStr">
        <is>
          <t>GÄVLEBORGS LÄN</t>
        </is>
      </c>
      <c r="E5779" t="inlineStr">
        <is>
          <t>OVANÅKER</t>
        </is>
      </c>
      <c r="F5779" t="inlineStr">
        <is>
          <t>Bergvik skog väst AB</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50739-2021</t>
        </is>
      </c>
      <c r="B5780" s="1" t="n">
        <v>44460.39326388889</v>
      </c>
      <c r="C5780" s="1" t="n">
        <v>45911</v>
      </c>
      <c r="D5780" t="inlineStr">
        <is>
          <t>GÄVLEBORGS LÄN</t>
        </is>
      </c>
      <c r="E5780" t="inlineStr">
        <is>
          <t>OCKELBO</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57500-2023</t>
        </is>
      </c>
      <c r="B5781" s="1" t="n">
        <v>45246</v>
      </c>
      <c r="C5781" s="1" t="n">
        <v>45911</v>
      </c>
      <c r="D5781" t="inlineStr">
        <is>
          <t>GÄVLEBORGS LÄN</t>
        </is>
      </c>
      <c r="E5781" t="inlineStr">
        <is>
          <t>SÖDERHAMN</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40019-2025</t>
        </is>
      </c>
      <c r="B5782" s="1" t="n">
        <v>45894.35270833333</v>
      </c>
      <c r="C5782" s="1" t="n">
        <v>45911</v>
      </c>
      <c r="D5782" t="inlineStr">
        <is>
          <t>GÄVLEBORGS LÄN</t>
        </is>
      </c>
      <c r="E5782" t="inlineStr">
        <is>
          <t>LJUSDAL</t>
        </is>
      </c>
      <c r="F5782" t="inlineStr">
        <is>
          <t>Allmännings- och besparingsskogar</t>
        </is>
      </c>
      <c r="G5782" t="n">
        <v>12.2</v>
      </c>
      <c r="H5782" t="n">
        <v>0</v>
      </c>
      <c r="I5782" t="n">
        <v>0</v>
      </c>
      <c r="J5782" t="n">
        <v>0</v>
      </c>
      <c r="K5782" t="n">
        <v>0</v>
      </c>
      <c r="L5782" t="n">
        <v>0</v>
      </c>
      <c r="M5782" t="n">
        <v>0</v>
      </c>
      <c r="N5782" t="n">
        <v>0</v>
      </c>
      <c r="O5782" t="n">
        <v>0</v>
      </c>
      <c r="P5782" t="n">
        <v>0</v>
      </c>
      <c r="Q5782" t="n">
        <v>0</v>
      </c>
      <c r="R5782" s="2" t="inlineStr"/>
    </row>
    <row r="5783" ht="15" customHeight="1">
      <c r="A5783" t="inlineStr">
        <is>
          <t>A 39881-2025</t>
        </is>
      </c>
      <c r="B5783" s="1" t="n">
        <v>45891.61936342593</v>
      </c>
      <c r="C5783" s="1" t="n">
        <v>45911</v>
      </c>
      <c r="D5783" t="inlineStr">
        <is>
          <t>GÄVLEBORGS LÄN</t>
        </is>
      </c>
      <c r="E5783" t="inlineStr">
        <is>
          <t>BOLLNÄS</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10484-2023</t>
        </is>
      </c>
      <c r="B5784" s="1" t="n">
        <v>44987</v>
      </c>
      <c r="C5784" s="1" t="n">
        <v>45911</v>
      </c>
      <c r="D5784" t="inlineStr">
        <is>
          <t>GÄVLEBORGS LÄN</t>
        </is>
      </c>
      <c r="E5784" t="inlineStr">
        <is>
          <t>NORDANSTIG</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56016-2021</t>
        </is>
      </c>
      <c r="B5785" s="1" t="n">
        <v>44477.44796296296</v>
      </c>
      <c r="C5785" s="1" t="n">
        <v>45911</v>
      </c>
      <c r="D5785" t="inlineStr">
        <is>
          <t>GÄVLEBORGS LÄN</t>
        </is>
      </c>
      <c r="E5785" t="inlineStr">
        <is>
          <t>LJUSDAL</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26833-2021</t>
        </is>
      </c>
      <c r="B5786" s="1" t="n">
        <v>44349.57659722222</v>
      </c>
      <c r="C5786" s="1" t="n">
        <v>45911</v>
      </c>
      <c r="D5786" t="inlineStr">
        <is>
          <t>GÄVLEBORGS LÄN</t>
        </is>
      </c>
      <c r="E5786" t="inlineStr">
        <is>
          <t>NORDANSTIG</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5331-2025</t>
        </is>
      </c>
      <c r="B5787" s="1" t="n">
        <v>45692</v>
      </c>
      <c r="C5787" s="1" t="n">
        <v>45911</v>
      </c>
      <c r="D5787" t="inlineStr">
        <is>
          <t>GÄVLEBORGS LÄN</t>
        </is>
      </c>
      <c r="E5787" t="inlineStr">
        <is>
          <t>OVANÅKER</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34830-2025</t>
        </is>
      </c>
      <c r="B5788" s="1" t="n">
        <v>45849.3860300926</v>
      </c>
      <c r="C5788" s="1" t="n">
        <v>45911</v>
      </c>
      <c r="D5788" t="inlineStr">
        <is>
          <t>GÄVLEBORGS LÄN</t>
        </is>
      </c>
      <c r="E5788" t="inlineStr">
        <is>
          <t>SANDVIKEN</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34845-2025</t>
        </is>
      </c>
      <c r="B5789" s="1" t="n">
        <v>45849.41206018518</v>
      </c>
      <c r="C5789" s="1" t="n">
        <v>45911</v>
      </c>
      <c r="D5789" t="inlineStr">
        <is>
          <t>GÄVLEBORGS LÄN</t>
        </is>
      </c>
      <c r="E5789" t="inlineStr">
        <is>
          <t>SANDVIKEN</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34852-2021</t>
        </is>
      </c>
      <c r="B5790" s="1" t="n">
        <v>44383</v>
      </c>
      <c r="C5790" s="1" t="n">
        <v>45911</v>
      </c>
      <c r="D5790" t="inlineStr">
        <is>
          <t>GÄVLEBORGS LÄN</t>
        </is>
      </c>
      <c r="E5790" t="inlineStr">
        <is>
          <t>BOLLNÄS</t>
        </is>
      </c>
      <c r="F5790" t="inlineStr">
        <is>
          <t>Bergvik skog väst AB</t>
        </is>
      </c>
      <c r="G5790" t="n">
        <v>5.9</v>
      </c>
      <c r="H5790" t="n">
        <v>0</v>
      </c>
      <c r="I5790" t="n">
        <v>0</v>
      </c>
      <c r="J5790" t="n">
        <v>0</v>
      </c>
      <c r="K5790" t="n">
        <v>0</v>
      </c>
      <c r="L5790" t="n">
        <v>0</v>
      </c>
      <c r="M5790" t="n">
        <v>0</v>
      </c>
      <c r="N5790" t="n">
        <v>0</v>
      </c>
      <c r="O5790" t="n">
        <v>0</v>
      </c>
      <c r="P5790" t="n">
        <v>0</v>
      </c>
      <c r="Q5790" t="n">
        <v>0</v>
      </c>
      <c r="R5790" s="2" t="inlineStr"/>
    </row>
    <row r="5791" ht="15" customHeight="1">
      <c r="A5791" t="inlineStr">
        <is>
          <t>A 40260-2023</t>
        </is>
      </c>
      <c r="B5791" s="1" t="n">
        <v>45169.51258101852</v>
      </c>
      <c r="C5791" s="1" t="n">
        <v>45911</v>
      </c>
      <c r="D5791" t="inlineStr">
        <is>
          <t>GÄVLEBORGS LÄN</t>
        </is>
      </c>
      <c r="E5791" t="inlineStr">
        <is>
          <t>LJUSDAL</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51292-2023</t>
        </is>
      </c>
      <c r="B5792" s="1" t="n">
        <v>45219</v>
      </c>
      <c r="C5792" s="1" t="n">
        <v>45911</v>
      </c>
      <c r="D5792" t="inlineStr">
        <is>
          <t>GÄVLEBORGS LÄN</t>
        </is>
      </c>
      <c r="E5792" t="inlineStr">
        <is>
          <t>SÖDERHAMN</t>
        </is>
      </c>
      <c r="G5792" t="n">
        <v>2.7</v>
      </c>
      <c r="H5792" t="n">
        <v>0</v>
      </c>
      <c r="I5792" t="n">
        <v>0</v>
      </c>
      <c r="J5792" t="n">
        <v>0</v>
      </c>
      <c r="K5792" t="n">
        <v>0</v>
      </c>
      <c r="L5792" t="n">
        <v>0</v>
      </c>
      <c r="M5792" t="n">
        <v>0</v>
      </c>
      <c r="N5792" t="n">
        <v>0</v>
      </c>
      <c r="O5792" t="n">
        <v>0</v>
      </c>
      <c r="P5792" t="n">
        <v>0</v>
      </c>
      <c r="Q5792" t="n">
        <v>0</v>
      </c>
      <c r="R5792" s="2" t="inlineStr"/>
    </row>
    <row r="5793" ht="15" customHeight="1">
      <c r="A5793" t="inlineStr">
        <is>
          <t>A 15097-2022</t>
        </is>
      </c>
      <c r="B5793" s="1" t="n">
        <v>44658.29910879629</v>
      </c>
      <c r="C5793" s="1" t="n">
        <v>45911</v>
      </c>
      <c r="D5793" t="inlineStr">
        <is>
          <t>GÄVLEBORGS LÄN</t>
        </is>
      </c>
      <c r="E5793" t="inlineStr">
        <is>
          <t>HUDIKSVALL</t>
        </is>
      </c>
      <c r="G5793" t="n">
        <v>4.5</v>
      </c>
      <c r="H5793" t="n">
        <v>0</v>
      </c>
      <c r="I5793" t="n">
        <v>0</v>
      </c>
      <c r="J5793" t="n">
        <v>0</v>
      </c>
      <c r="K5793" t="n">
        <v>0</v>
      </c>
      <c r="L5793" t="n">
        <v>0</v>
      </c>
      <c r="M5793" t="n">
        <v>0</v>
      </c>
      <c r="N5793" t="n">
        <v>0</v>
      </c>
      <c r="O5793" t="n">
        <v>0</v>
      </c>
      <c r="P5793" t="n">
        <v>0</v>
      </c>
      <c r="Q5793" t="n">
        <v>0</v>
      </c>
      <c r="R5793" s="2" t="inlineStr"/>
    </row>
    <row r="5794" ht="15" customHeight="1">
      <c r="A5794" t="inlineStr">
        <is>
          <t>A 51337-2023</t>
        </is>
      </c>
      <c r="B5794" s="1" t="n">
        <v>45219.59144675926</v>
      </c>
      <c r="C5794" s="1" t="n">
        <v>45911</v>
      </c>
      <c r="D5794" t="inlineStr">
        <is>
          <t>GÄVLEBORGS LÄN</t>
        </is>
      </c>
      <c r="E5794" t="inlineStr">
        <is>
          <t>HOFORS</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19424-2022</t>
        </is>
      </c>
      <c r="B5795" s="1" t="n">
        <v>44693</v>
      </c>
      <c r="C5795" s="1" t="n">
        <v>45911</v>
      </c>
      <c r="D5795" t="inlineStr">
        <is>
          <t>GÄVLEBORGS LÄN</t>
        </is>
      </c>
      <c r="E5795" t="inlineStr">
        <is>
          <t>GÄVLE</t>
        </is>
      </c>
      <c r="F5795" t="inlineStr">
        <is>
          <t>Bergvik skog väst AB</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26448-2024</t>
        </is>
      </c>
      <c r="B5796" s="1" t="n">
        <v>45469.50715277778</v>
      </c>
      <c r="C5796" s="1" t="n">
        <v>45911</v>
      </c>
      <c r="D5796" t="inlineStr">
        <is>
          <t>GÄVLEBORGS LÄN</t>
        </is>
      </c>
      <c r="E5796" t="inlineStr">
        <is>
          <t>OCKELBO</t>
        </is>
      </c>
      <c r="F5796" t="inlineStr">
        <is>
          <t>Bergvik skog väst AB</t>
        </is>
      </c>
      <c r="G5796" t="n">
        <v>4.5</v>
      </c>
      <c r="H5796" t="n">
        <v>0</v>
      </c>
      <c r="I5796" t="n">
        <v>0</v>
      </c>
      <c r="J5796" t="n">
        <v>0</v>
      </c>
      <c r="K5796" t="n">
        <v>0</v>
      </c>
      <c r="L5796" t="n">
        <v>0</v>
      </c>
      <c r="M5796" t="n">
        <v>0</v>
      </c>
      <c r="N5796" t="n">
        <v>0</v>
      </c>
      <c r="O5796" t="n">
        <v>0</v>
      </c>
      <c r="P5796" t="n">
        <v>0</v>
      </c>
      <c r="Q5796" t="n">
        <v>0</v>
      </c>
      <c r="R5796" s="2" t="inlineStr"/>
    </row>
    <row r="5797" ht="15" customHeight="1">
      <c r="A5797" t="inlineStr">
        <is>
          <t>A 39877-2025</t>
        </is>
      </c>
      <c r="B5797" s="1" t="n">
        <v>45891.61541666667</v>
      </c>
      <c r="C5797" s="1" t="n">
        <v>45911</v>
      </c>
      <c r="D5797" t="inlineStr">
        <is>
          <t>GÄVLEBORGS LÄN</t>
        </is>
      </c>
      <c r="E5797" t="inlineStr">
        <is>
          <t>SANDVIKEN</t>
        </is>
      </c>
      <c r="F5797" t="inlineStr">
        <is>
          <t>Sveaskog</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62362-2022</t>
        </is>
      </c>
      <c r="B5798" s="1" t="n">
        <v>44923</v>
      </c>
      <c r="C5798" s="1" t="n">
        <v>45911</v>
      </c>
      <c r="D5798" t="inlineStr">
        <is>
          <t>GÄVLEBORGS LÄN</t>
        </is>
      </c>
      <c r="E5798" t="inlineStr">
        <is>
          <t>OVANÅKER</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40159-2025</t>
        </is>
      </c>
      <c r="B5799" s="1" t="n">
        <v>45894.60725694444</v>
      </c>
      <c r="C5799" s="1" t="n">
        <v>45911</v>
      </c>
      <c r="D5799" t="inlineStr">
        <is>
          <t>GÄVLEBORGS LÄN</t>
        </is>
      </c>
      <c r="E5799" t="inlineStr">
        <is>
          <t>BOLLNÄS</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40167-2025</t>
        </is>
      </c>
      <c r="B5800" s="1" t="n">
        <v>45894.62585648148</v>
      </c>
      <c r="C5800" s="1" t="n">
        <v>45911</v>
      </c>
      <c r="D5800" t="inlineStr">
        <is>
          <t>GÄVLEBORGS LÄN</t>
        </is>
      </c>
      <c r="E5800" t="inlineStr">
        <is>
          <t>HUDIKSVALL</t>
        </is>
      </c>
      <c r="F5800" t="inlineStr">
        <is>
          <t>Holmen skog AB</t>
        </is>
      </c>
      <c r="G5800" t="n">
        <v>33.3</v>
      </c>
      <c r="H5800" t="n">
        <v>0</v>
      </c>
      <c r="I5800" t="n">
        <v>0</v>
      </c>
      <c r="J5800" t="n">
        <v>0</v>
      </c>
      <c r="K5800" t="n">
        <v>0</v>
      </c>
      <c r="L5800" t="n">
        <v>0</v>
      </c>
      <c r="M5800" t="n">
        <v>0</v>
      </c>
      <c r="N5800" t="n">
        <v>0</v>
      </c>
      <c r="O5800" t="n">
        <v>0</v>
      </c>
      <c r="P5800" t="n">
        <v>0</v>
      </c>
      <c r="Q5800" t="n">
        <v>0</v>
      </c>
      <c r="R5800" s="2" t="inlineStr"/>
    </row>
    <row r="5801" ht="15" customHeight="1">
      <c r="A5801" t="inlineStr">
        <is>
          <t>A 1149-2024</t>
        </is>
      </c>
      <c r="B5801" s="1" t="n">
        <v>45302.49834490741</v>
      </c>
      <c r="C5801" s="1" t="n">
        <v>45911</v>
      </c>
      <c r="D5801" t="inlineStr">
        <is>
          <t>GÄVLEBORGS LÄN</t>
        </is>
      </c>
      <c r="E5801" t="inlineStr">
        <is>
          <t>HOFORS</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1198-2024</t>
        </is>
      </c>
      <c r="B5802" s="1" t="n">
        <v>45302.6066087963</v>
      </c>
      <c r="C5802" s="1" t="n">
        <v>45911</v>
      </c>
      <c r="D5802" t="inlineStr">
        <is>
          <t>GÄVLEBORGS LÄN</t>
        </is>
      </c>
      <c r="E5802" t="inlineStr">
        <is>
          <t>OVANÅKER</t>
        </is>
      </c>
      <c r="F5802" t="inlineStr">
        <is>
          <t>Bergvik skog väst AB</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52772-2023</t>
        </is>
      </c>
      <c r="B5803" s="1" t="n">
        <v>45226.33118055556</v>
      </c>
      <c r="C5803" s="1" t="n">
        <v>45911</v>
      </c>
      <c r="D5803" t="inlineStr">
        <is>
          <t>GÄVLEBORGS LÄN</t>
        </is>
      </c>
      <c r="E5803" t="inlineStr">
        <is>
          <t>SANDVIKEN</t>
        </is>
      </c>
      <c r="F5803" t="inlineStr">
        <is>
          <t>Bergvik skog öst AB</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44356-2023</t>
        </is>
      </c>
      <c r="B5804" s="1" t="n">
        <v>45188.81979166667</v>
      </c>
      <c r="C5804" s="1" t="n">
        <v>45911</v>
      </c>
      <c r="D5804" t="inlineStr">
        <is>
          <t>GÄVLEBORGS LÄN</t>
        </is>
      </c>
      <c r="E5804" t="inlineStr">
        <is>
          <t>HOFORS</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40148-2025</t>
        </is>
      </c>
      <c r="B5805" s="1" t="n">
        <v>45894.58084490741</v>
      </c>
      <c r="C5805" s="1" t="n">
        <v>45911</v>
      </c>
      <c r="D5805" t="inlineStr">
        <is>
          <t>GÄVLEBORGS LÄN</t>
        </is>
      </c>
      <c r="E5805" t="inlineStr">
        <is>
          <t>OCKELBO</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40161-2025</t>
        </is>
      </c>
      <c r="B5806" s="1" t="n">
        <v>45894.61140046296</v>
      </c>
      <c r="C5806" s="1" t="n">
        <v>45911</v>
      </c>
      <c r="D5806" t="inlineStr">
        <is>
          <t>GÄVLEBORGS LÄN</t>
        </is>
      </c>
      <c r="E5806" t="inlineStr">
        <is>
          <t>BOLLNÄS</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8157-2025</t>
        </is>
      </c>
      <c r="B5807" s="1" t="n">
        <v>45708</v>
      </c>
      <c r="C5807" s="1" t="n">
        <v>45911</v>
      </c>
      <c r="D5807" t="inlineStr">
        <is>
          <t>GÄVLEBORGS LÄN</t>
        </is>
      </c>
      <c r="E5807" t="inlineStr">
        <is>
          <t>HUDIKSVALL</t>
        </is>
      </c>
      <c r="G5807" t="n">
        <v>7.7</v>
      </c>
      <c r="H5807" t="n">
        <v>0</v>
      </c>
      <c r="I5807" t="n">
        <v>0</v>
      </c>
      <c r="J5807" t="n">
        <v>0</v>
      </c>
      <c r="K5807" t="n">
        <v>0</v>
      </c>
      <c r="L5807" t="n">
        <v>0</v>
      </c>
      <c r="M5807" t="n">
        <v>0</v>
      </c>
      <c r="N5807" t="n">
        <v>0</v>
      </c>
      <c r="O5807" t="n">
        <v>0</v>
      </c>
      <c r="P5807" t="n">
        <v>0</v>
      </c>
      <c r="Q5807" t="n">
        <v>0</v>
      </c>
      <c r="R5807" s="2" t="inlineStr"/>
    </row>
    <row r="5808" ht="15" customHeight="1">
      <c r="A5808" t="inlineStr">
        <is>
          <t>A 39879-2025</t>
        </is>
      </c>
      <c r="B5808" s="1" t="n">
        <v>45891.61613425926</v>
      </c>
      <c r="C5808" s="1" t="n">
        <v>45911</v>
      </c>
      <c r="D5808" t="inlineStr">
        <is>
          <t>GÄVLEBORGS LÄN</t>
        </is>
      </c>
      <c r="E5808" t="inlineStr">
        <is>
          <t>SÖDERHAMN</t>
        </is>
      </c>
      <c r="G5808" t="n">
        <v>3.8</v>
      </c>
      <c r="H5808" t="n">
        <v>0</v>
      </c>
      <c r="I5808" t="n">
        <v>0</v>
      </c>
      <c r="J5808" t="n">
        <v>0</v>
      </c>
      <c r="K5808" t="n">
        <v>0</v>
      </c>
      <c r="L5808" t="n">
        <v>0</v>
      </c>
      <c r="M5808" t="n">
        <v>0</v>
      </c>
      <c r="N5808" t="n">
        <v>0</v>
      </c>
      <c r="O5808" t="n">
        <v>0</v>
      </c>
      <c r="P5808" t="n">
        <v>0</v>
      </c>
      <c r="Q5808" t="n">
        <v>0</v>
      </c>
      <c r="R5808" s="2" t="inlineStr"/>
    </row>
    <row r="5809" ht="15" customHeight="1">
      <c r="A5809" t="inlineStr">
        <is>
          <t>A 20200-2023</t>
        </is>
      </c>
      <c r="B5809" s="1" t="n">
        <v>45055</v>
      </c>
      <c r="C5809" s="1" t="n">
        <v>45911</v>
      </c>
      <c r="D5809" t="inlineStr">
        <is>
          <t>GÄVLEBORGS LÄN</t>
        </is>
      </c>
      <c r="E5809" t="inlineStr">
        <is>
          <t>HUDIKSVALL</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27161-2021</t>
        </is>
      </c>
      <c r="B5810" s="1" t="n">
        <v>44350.61917824074</v>
      </c>
      <c r="C5810" s="1" t="n">
        <v>45911</v>
      </c>
      <c r="D5810" t="inlineStr">
        <is>
          <t>GÄVLEBORGS LÄN</t>
        </is>
      </c>
      <c r="E5810" t="inlineStr">
        <is>
          <t>NORDANSTIG</t>
        </is>
      </c>
      <c r="G5810" t="n">
        <v>11.5</v>
      </c>
      <c r="H5810" t="n">
        <v>0</v>
      </c>
      <c r="I5810" t="n">
        <v>0</v>
      </c>
      <c r="J5810" t="n">
        <v>0</v>
      </c>
      <c r="K5810" t="n">
        <v>0</v>
      </c>
      <c r="L5810" t="n">
        <v>0</v>
      </c>
      <c r="M5810" t="n">
        <v>0</v>
      </c>
      <c r="N5810" t="n">
        <v>0</v>
      </c>
      <c r="O5810" t="n">
        <v>0</v>
      </c>
      <c r="P5810" t="n">
        <v>0</v>
      </c>
      <c r="Q5810" t="n">
        <v>0</v>
      </c>
      <c r="R5810" s="2" t="inlineStr"/>
    </row>
    <row r="5811" ht="15" customHeight="1">
      <c r="A5811" t="inlineStr">
        <is>
          <t>A 35088-2025</t>
        </is>
      </c>
      <c r="B5811" s="1" t="n">
        <v>45852.51938657407</v>
      </c>
      <c r="C5811" s="1" t="n">
        <v>45911</v>
      </c>
      <c r="D5811" t="inlineStr">
        <is>
          <t>GÄVLEBORGS LÄN</t>
        </is>
      </c>
      <c r="E5811" t="inlineStr">
        <is>
          <t>LJUSDAL</t>
        </is>
      </c>
      <c r="G5811" t="n">
        <v>3.3</v>
      </c>
      <c r="H5811" t="n">
        <v>0</v>
      </c>
      <c r="I5811" t="n">
        <v>0</v>
      </c>
      <c r="J5811" t="n">
        <v>0</v>
      </c>
      <c r="K5811" t="n">
        <v>0</v>
      </c>
      <c r="L5811" t="n">
        <v>0</v>
      </c>
      <c r="M5811" t="n">
        <v>0</v>
      </c>
      <c r="N5811" t="n">
        <v>0</v>
      </c>
      <c r="O5811" t="n">
        <v>0</v>
      </c>
      <c r="P5811" t="n">
        <v>0</v>
      </c>
      <c r="Q5811" t="n">
        <v>0</v>
      </c>
      <c r="R5811" s="2" t="inlineStr"/>
    </row>
    <row r="5812" ht="15" customHeight="1">
      <c r="A5812" t="inlineStr">
        <is>
          <t>A 43723-2022</t>
        </is>
      </c>
      <c r="B5812" s="1" t="n">
        <v>44837.67238425926</v>
      </c>
      <c r="C5812" s="1" t="n">
        <v>45911</v>
      </c>
      <c r="D5812" t="inlineStr">
        <is>
          <t>GÄVLEBORGS LÄN</t>
        </is>
      </c>
      <c r="E5812" t="inlineStr">
        <is>
          <t>SÖDERHAMN</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39869-2025</t>
        </is>
      </c>
      <c r="B5813" s="1" t="n">
        <v>45891.60927083333</v>
      </c>
      <c r="C5813" s="1" t="n">
        <v>45911</v>
      </c>
      <c r="D5813" t="inlineStr">
        <is>
          <t>GÄVLEBORGS LÄN</t>
        </is>
      </c>
      <c r="E5813" t="inlineStr">
        <is>
          <t>SÖDERHAMN</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33617-2023</t>
        </is>
      </c>
      <c r="B5814" s="1" t="n">
        <v>45132.37506944445</v>
      </c>
      <c r="C5814" s="1" t="n">
        <v>45911</v>
      </c>
      <c r="D5814" t="inlineStr">
        <is>
          <t>GÄVLEBORGS LÄN</t>
        </is>
      </c>
      <c r="E5814" t="inlineStr">
        <is>
          <t>OCKELBO</t>
        </is>
      </c>
      <c r="F5814" t="inlineStr">
        <is>
          <t>Bergvik skog väst AB</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45700-2024</t>
        </is>
      </c>
      <c r="B5815" s="1" t="n">
        <v>45579.56584490741</v>
      </c>
      <c r="C5815" s="1" t="n">
        <v>45911</v>
      </c>
      <c r="D5815" t="inlineStr">
        <is>
          <t>GÄVLEBORGS LÄN</t>
        </is>
      </c>
      <c r="E5815" t="inlineStr">
        <is>
          <t>HUDIKSVALL</t>
        </is>
      </c>
      <c r="F5815" t="inlineStr">
        <is>
          <t>Holmen skog AB</t>
        </is>
      </c>
      <c r="G5815" t="n">
        <v>4.1</v>
      </c>
      <c r="H5815" t="n">
        <v>0</v>
      </c>
      <c r="I5815" t="n">
        <v>0</v>
      </c>
      <c r="J5815" t="n">
        <v>0</v>
      </c>
      <c r="K5815" t="n">
        <v>0</v>
      </c>
      <c r="L5815" t="n">
        <v>0</v>
      </c>
      <c r="M5815" t="n">
        <v>0</v>
      </c>
      <c r="N5815" t="n">
        <v>0</v>
      </c>
      <c r="O5815" t="n">
        <v>0</v>
      </c>
      <c r="P5815" t="n">
        <v>0</v>
      </c>
      <c r="Q5815" t="n">
        <v>0</v>
      </c>
      <c r="R5815" s="2" t="inlineStr"/>
    </row>
    <row r="5816" ht="15" customHeight="1">
      <c r="A5816" t="inlineStr">
        <is>
          <t>A 34944-2025</t>
        </is>
      </c>
      <c r="B5816" s="1" t="n">
        <v>45849.5868287037</v>
      </c>
      <c r="C5816" s="1" t="n">
        <v>45911</v>
      </c>
      <c r="D5816" t="inlineStr">
        <is>
          <t>GÄVLEBORGS LÄN</t>
        </is>
      </c>
      <c r="E5816" t="inlineStr">
        <is>
          <t>NORDANSTIG</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34950-2025</t>
        </is>
      </c>
      <c r="B5817" s="1" t="n">
        <v>45849.59491898148</v>
      </c>
      <c r="C5817" s="1" t="n">
        <v>45911</v>
      </c>
      <c r="D5817" t="inlineStr">
        <is>
          <t>GÄVLEBORGS LÄN</t>
        </is>
      </c>
      <c r="E5817" t="inlineStr">
        <is>
          <t>OCKELBO</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34952-2025</t>
        </is>
      </c>
      <c r="B5818" s="1" t="n">
        <v>45849.59908564815</v>
      </c>
      <c r="C5818" s="1" t="n">
        <v>45911</v>
      </c>
      <c r="D5818" t="inlineStr">
        <is>
          <t>GÄVLEBORGS LÄN</t>
        </is>
      </c>
      <c r="E5818" t="inlineStr">
        <is>
          <t>OCKELBO</t>
        </is>
      </c>
      <c r="G5818" t="n">
        <v>8.1</v>
      </c>
      <c r="H5818" t="n">
        <v>0</v>
      </c>
      <c r="I5818" t="n">
        <v>0</v>
      </c>
      <c r="J5818" t="n">
        <v>0</v>
      </c>
      <c r="K5818" t="n">
        <v>0</v>
      </c>
      <c r="L5818" t="n">
        <v>0</v>
      </c>
      <c r="M5818" t="n">
        <v>0</v>
      </c>
      <c r="N5818" t="n">
        <v>0</v>
      </c>
      <c r="O5818" t="n">
        <v>0</v>
      </c>
      <c r="P5818" t="n">
        <v>0</v>
      </c>
      <c r="Q5818" t="n">
        <v>0</v>
      </c>
      <c r="R5818" s="2" t="inlineStr"/>
    </row>
    <row r="5819" ht="15" customHeight="1">
      <c r="A5819" t="inlineStr">
        <is>
          <t>A 45778-2022</t>
        </is>
      </c>
      <c r="B5819" s="1" t="n">
        <v>44846.42177083333</v>
      </c>
      <c r="C5819" s="1" t="n">
        <v>45911</v>
      </c>
      <c r="D5819" t="inlineStr">
        <is>
          <t>GÄVLEBORGS LÄN</t>
        </is>
      </c>
      <c r="E5819" t="inlineStr">
        <is>
          <t>OVANÅKER</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33225-2023</t>
        </is>
      </c>
      <c r="B5820" s="1" t="n">
        <v>45127.47550925926</v>
      </c>
      <c r="C5820" s="1" t="n">
        <v>45911</v>
      </c>
      <c r="D5820" t="inlineStr">
        <is>
          <t>GÄVLEBORGS LÄN</t>
        </is>
      </c>
      <c r="E5820" t="inlineStr">
        <is>
          <t>OVANÅKER</t>
        </is>
      </c>
      <c r="F5820" t="inlineStr">
        <is>
          <t>Bergvik skog öst AB</t>
        </is>
      </c>
      <c r="G5820" t="n">
        <v>19.8</v>
      </c>
      <c r="H5820" t="n">
        <v>0</v>
      </c>
      <c r="I5820" t="n">
        <v>0</v>
      </c>
      <c r="J5820" t="n">
        <v>0</v>
      </c>
      <c r="K5820" t="n">
        <v>0</v>
      </c>
      <c r="L5820" t="n">
        <v>0</v>
      </c>
      <c r="M5820" t="n">
        <v>0</v>
      </c>
      <c r="N5820" t="n">
        <v>0</v>
      </c>
      <c r="O5820" t="n">
        <v>0</v>
      </c>
      <c r="P5820" t="n">
        <v>0</v>
      </c>
      <c r="Q5820" t="n">
        <v>0</v>
      </c>
      <c r="R5820" s="2" t="inlineStr"/>
    </row>
    <row r="5821" ht="15" customHeight="1">
      <c r="A5821" t="inlineStr">
        <is>
          <t>A 29290-2021</t>
        </is>
      </c>
      <c r="B5821" s="1" t="n">
        <v>44361.38045138889</v>
      </c>
      <c r="C5821" s="1" t="n">
        <v>45911</v>
      </c>
      <c r="D5821" t="inlineStr">
        <is>
          <t>GÄVLEBORGS LÄN</t>
        </is>
      </c>
      <c r="E5821" t="inlineStr">
        <is>
          <t>LJUSDAL</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35115-2022</t>
        </is>
      </c>
      <c r="B5822" s="1" t="n">
        <v>44797.45246527778</v>
      </c>
      <c r="C5822" s="1" t="n">
        <v>45911</v>
      </c>
      <c r="D5822" t="inlineStr">
        <is>
          <t>GÄVLEBORGS LÄN</t>
        </is>
      </c>
      <c r="E5822" t="inlineStr">
        <is>
          <t>NORDANSTIG</t>
        </is>
      </c>
      <c r="F5822" t="inlineStr">
        <is>
          <t>Holmen skog AB</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39886-2025</t>
        </is>
      </c>
      <c r="B5823" s="1" t="n">
        <v>45891.62481481482</v>
      </c>
      <c r="C5823" s="1" t="n">
        <v>45911</v>
      </c>
      <c r="D5823" t="inlineStr">
        <is>
          <t>GÄVLEBORGS LÄN</t>
        </is>
      </c>
      <c r="E5823" t="inlineStr">
        <is>
          <t>BOLLNÄS</t>
        </is>
      </c>
      <c r="G5823" t="n">
        <v>2.8</v>
      </c>
      <c r="H5823" t="n">
        <v>0</v>
      </c>
      <c r="I5823" t="n">
        <v>0</v>
      </c>
      <c r="J5823" t="n">
        <v>0</v>
      </c>
      <c r="K5823" t="n">
        <v>0</v>
      </c>
      <c r="L5823" t="n">
        <v>0</v>
      </c>
      <c r="M5823" t="n">
        <v>0</v>
      </c>
      <c r="N5823" t="n">
        <v>0</v>
      </c>
      <c r="O5823" t="n">
        <v>0</v>
      </c>
      <c r="P5823" t="n">
        <v>0</v>
      </c>
      <c r="Q5823" t="n">
        <v>0</v>
      </c>
      <c r="R5823" s="2" t="inlineStr"/>
    </row>
    <row r="5824" ht="15" customHeight="1">
      <c r="A5824" t="inlineStr">
        <is>
          <t>A 40007-2025</t>
        </is>
      </c>
      <c r="B5824" s="1" t="n">
        <v>45894.34238425926</v>
      </c>
      <c r="C5824" s="1" t="n">
        <v>45911</v>
      </c>
      <c r="D5824" t="inlineStr">
        <is>
          <t>GÄVLEBORGS LÄN</t>
        </is>
      </c>
      <c r="E5824" t="inlineStr">
        <is>
          <t>BOLLNÄS</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57463-2023</t>
        </is>
      </c>
      <c r="B5825" s="1" t="n">
        <v>45246.36513888889</v>
      </c>
      <c r="C5825" s="1" t="n">
        <v>45911</v>
      </c>
      <c r="D5825" t="inlineStr">
        <is>
          <t>GÄVLEBORGS LÄN</t>
        </is>
      </c>
      <c r="E5825" t="inlineStr">
        <is>
          <t>NORDANSTIG</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59118-2022</t>
        </is>
      </c>
      <c r="B5826" s="1" t="n">
        <v>44904.43150462963</v>
      </c>
      <c r="C5826" s="1" t="n">
        <v>45911</v>
      </c>
      <c r="D5826" t="inlineStr">
        <is>
          <t>GÄVLEBORGS LÄN</t>
        </is>
      </c>
      <c r="E5826" t="inlineStr">
        <is>
          <t>HUDIKSVALL</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35172-2021</t>
        </is>
      </c>
      <c r="B5827" s="1" t="n">
        <v>44384</v>
      </c>
      <c r="C5827" s="1" t="n">
        <v>45911</v>
      </c>
      <c r="D5827" t="inlineStr">
        <is>
          <t>GÄVLEBORGS LÄN</t>
        </is>
      </c>
      <c r="E5827" t="inlineStr">
        <is>
          <t>SÖDERHAMN</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17137-2024</t>
        </is>
      </c>
      <c r="B5828" s="1" t="n">
        <v>45412.62738425926</v>
      </c>
      <c r="C5828" s="1" t="n">
        <v>45911</v>
      </c>
      <c r="D5828" t="inlineStr">
        <is>
          <t>GÄVLEBORGS LÄN</t>
        </is>
      </c>
      <c r="E5828" t="inlineStr">
        <is>
          <t>OVANÅKER</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4843-2023</t>
        </is>
      </c>
      <c r="B5829" s="1" t="n">
        <v>44957</v>
      </c>
      <c r="C5829" s="1" t="n">
        <v>45911</v>
      </c>
      <c r="D5829" t="inlineStr">
        <is>
          <t>GÄVLEBORGS LÄN</t>
        </is>
      </c>
      <c r="E5829" t="inlineStr">
        <is>
          <t>SÖDERHAMN</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35029-2025</t>
        </is>
      </c>
      <c r="B5830" s="1" t="n">
        <v>45852.30025462963</v>
      </c>
      <c r="C5830" s="1" t="n">
        <v>45911</v>
      </c>
      <c r="D5830" t="inlineStr">
        <is>
          <t>GÄVLEBORGS LÄN</t>
        </is>
      </c>
      <c r="E5830" t="inlineStr">
        <is>
          <t>OVANÅKER</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60931-2023</t>
        </is>
      </c>
      <c r="B5831" s="1" t="n">
        <v>45261.42261574074</v>
      </c>
      <c r="C5831" s="1" t="n">
        <v>45911</v>
      </c>
      <c r="D5831" t="inlineStr">
        <is>
          <t>GÄVLEBORGS LÄN</t>
        </is>
      </c>
      <c r="E5831" t="inlineStr">
        <is>
          <t>HUDIKSVALL</t>
        </is>
      </c>
      <c r="F5831" t="inlineStr">
        <is>
          <t>Holmen skog AB</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39840-2025</t>
        </is>
      </c>
      <c r="B5832" s="1" t="n">
        <v>45891.57127314815</v>
      </c>
      <c r="C5832" s="1" t="n">
        <v>45911</v>
      </c>
      <c r="D5832" t="inlineStr">
        <is>
          <t>GÄVLEBORGS LÄN</t>
        </is>
      </c>
      <c r="E5832" t="inlineStr">
        <is>
          <t>LJUSDAL</t>
        </is>
      </c>
      <c r="F5832" t="inlineStr">
        <is>
          <t>Holmen skog AB</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4042-2021</t>
        </is>
      </c>
      <c r="B5833" s="1" t="n">
        <v>44218</v>
      </c>
      <c r="C5833" s="1" t="n">
        <v>45911</v>
      </c>
      <c r="D5833" t="inlineStr">
        <is>
          <t>GÄVLEBORGS LÄN</t>
        </is>
      </c>
      <c r="E5833" t="inlineStr">
        <is>
          <t>SÖDERHAMN</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56494-2024</t>
        </is>
      </c>
      <c r="B5834" s="1" t="n">
        <v>45625</v>
      </c>
      <c r="C5834" s="1" t="n">
        <v>45911</v>
      </c>
      <c r="D5834" t="inlineStr">
        <is>
          <t>GÄVLEBORGS LÄN</t>
        </is>
      </c>
      <c r="E5834" t="inlineStr">
        <is>
          <t>NORDANSTIG</t>
        </is>
      </c>
      <c r="G5834" t="n">
        <v>10.1</v>
      </c>
      <c r="H5834" t="n">
        <v>0</v>
      </c>
      <c r="I5834" t="n">
        <v>0</v>
      </c>
      <c r="J5834" t="n">
        <v>0</v>
      </c>
      <c r="K5834" t="n">
        <v>0</v>
      </c>
      <c r="L5834" t="n">
        <v>0</v>
      </c>
      <c r="M5834" t="n">
        <v>0</v>
      </c>
      <c r="N5834" t="n">
        <v>0</v>
      </c>
      <c r="O5834" t="n">
        <v>0</v>
      </c>
      <c r="P5834" t="n">
        <v>0</v>
      </c>
      <c r="Q5834" t="n">
        <v>0</v>
      </c>
      <c r="R5834" s="2" t="inlineStr"/>
    </row>
    <row r="5835" ht="15" customHeight="1">
      <c r="A5835" t="inlineStr">
        <is>
          <t>A 35205-2024</t>
        </is>
      </c>
      <c r="B5835" s="1" t="n">
        <v>45530</v>
      </c>
      <c r="C5835" s="1" t="n">
        <v>45911</v>
      </c>
      <c r="D5835" t="inlineStr">
        <is>
          <t>GÄVLEBORGS LÄN</t>
        </is>
      </c>
      <c r="E5835" t="inlineStr">
        <is>
          <t>GÄVLE</t>
        </is>
      </c>
      <c r="F5835" t="inlineStr">
        <is>
          <t>Bergvik skog öst AB</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36278-2024</t>
        </is>
      </c>
      <c r="B5836" s="1" t="n">
        <v>45534.58508101852</v>
      </c>
      <c r="C5836" s="1" t="n">
        <v>45911</v>
      </c>
      <c r="D5836" t="inlineStr">
        <is>
          <t>GÄVLEBORGS LÄN</t>
        </is>
      </c>
      <c r="E5836" t="inlineStr">
        <is>
          <t>HOFORS</t>
        </is>
      </c>
      <c r="F5836" t="inlineStr">
        <is>
          <t>Sveaskog</t>
        </is>
      </c>
      <c r="G5836" t="n">
        <v>8.699999999999999</v>
      </c>
      <c r="H5836" t="n">
        <v>0</v>
      </c>
      <c r="I5836" t="n">
        <v>0</v>
      </c>
      <c r="J5836" t="n">
        <v>0</v>
      </c>
      <c r="K5836" t="n">
        <v>0</v>
      </c>
      <c r="L5836" t="n">
        <v>0</v>
      </c>
      <c r="M5836" t="n">
        <v>0</v>
      </c>
      <c r="N5836" t="n">
        <v>0</v>
      </c>
      <c r="O5836" t="n">
        <v>0</v>
      </c>
      <c r="P5836" t="n">
        <v>0</v>
      </c>
      <c r="Q5836" t="n">
        <v>0</v>
      </c>
      <c r="R5836" s="2" t="inlineStr"/>
    </row>
    <row r="5837" ht="15" customHeight="1">
      <c r="A5837" t="inlineStr">
        <is>
          <t>A 40364-2024</t>
        </is>
      </c>
      <c r="B5837" s="1" t="n">
        <v>45555.38417824074</v>
      </c>
      <c r="C5837" s="1" t="n">
        <v>45911</v>
      </c>
      <c r="D5837" t="inlineStr">
        <is>
          <t>GÄVLEBORGS LÄN</t>
        </is>
      </c>
      <c r="E5837" t="inlineStr">
        <is>
          <t>HUDIKSVALL</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40402-2024</t>
        </is>
      </c>
      <c r="B5838" s="1" t="n">
        <v>45555</v>
      </c>
      <c r="C5838" s="1" t="n">
        <v>45911</v>
      </c>
      <c r="D5838" t="inlineStr">
        <is>
          <t>GÄVLEBORGS LÄN</t>
        </is>
      </c>
      <c r="E5838" t="inlineStr">
        <is>
          <t>GÄVLE</t>
        </is>
      </c>
      <c r="F5838" t="inlineStr">
        <is>
          <t>Kyrkan</t>
        </is>
      </c>
      <c r="G5838" t="n">
        <v>5.3</v>
      </c>
      <c r="H5838" t="n">
        <v>0</v>
      </c>
      <c r="I5838" t="n">
        <v>0</v>
      </c>
      <c r="J5838" t="n">
        <v>0</v>
      </c>
      <c r="K5838" t="n">
        <v>0</v>
      </c>
      <c r="L5838" t="n">
        <v>0</v>
      </c>
      <c r="M5838" t="n">
        <v>0</v>
      </c>
      <c r="N5838" t="n">
        <v>0</v>
      </c>
      <c r="O5838" t="n">
        <v>0</v>
      </c>
      <c r="P5838" t="n">
        <v>0</v>
      </c>
      <c r="Q5838" t="n">
        <v>0</v>
      </c>
      <c r="R5838" s="2" t="inlineStr"/>
    </row>
    <row r="5839" ht="15" customHeight="1">
      <c r="A5839" t="inlineStr">
        <is>
          <t>A 47495-2024</t>
        </is>
      </c>
      <c r="B5839" s="1" t="n">
        <v>45587.59559027778</v>
      </c>
      <c r="C5839" s="1" t="n">
        <v>45911</v>
      </c>
      <c r="D5839" t="inlineStr">
        <is>
          <t>GÄVLEBORGS LÄN</t>
        </is>
      </c>
      <c r="E5839" t="inlineStr">
        <is>
          <t>HOFORS</t>
        </is>
      </c>
      <c r="F5839" t="inlineStr">
        <is>
          <t>Sveaskog</t>
        </is>
      </c>
      <c r="G5839" t="n">
        <v>5.2</v>
      </c>
      <c r="H5839" t="n">
        <v>0</v>
      </c>
      <c r="I5839" t="n">
        <v>0</v>
      </c>
      <c r="J5839" t="n">
        <v>0</v>
      </c>
      <c r="K5839" t="n">
        <v>0</v>
      </c>
      <c r="L5839" t="n">
        <v>0</v>
      </c>
      <c r="M5839" t="n">
        <v>0</v>
      </c>
      <c r="N5839" t="n">
        <v>0</v>
      </c>
      <c r="O5839" t="n">
        <v>0</v>
      </c>
      <c r="P5839" t="n">
        <v>0</v>
      </c>
      <c r="Q5839" t="n">
        <v>0</v>
      </c>
      <c r="R5839" s="2" t="inlineStr"/>
    </row>
    <row r="5840" ht="15" customHeight="1">
      <c r="A5840" t="inlineStr">
        <is>
          <t>A 4805-2023</t>
        </is>
      </c>
      <c r="B5840" s="1" t="n">
        <v>44957.62293981481</v>
      </c>
      <c r="C5840" s="1" t="n">
        <v>45911</v>
      </c>
      <c r="D5840" t="inlineStr">
        <is>
          <t>GÄVLEBORGS LÄN</t>
        </is>
      </c>
      <c r="E5840" t="inlineStr">
        <is>
          <t>LJUSDAL</t>
        </is>
      </c>
      <c r="F5840" t="inlineStr">
        <is>
          <t>Holmen skog AB</t>
        </is>
      </c>
      <c r="G5840" t="n">
        <v>6.9</v>
      </c>
      <c r="H5840" t="n">
        <v>0</v>
      </c>
      <c r="I5840" t="n">
        <v>0</v>
      </c>
      <c r="J5840" t="n">
        <v>0</v>
      </c>
      <c r="K5840" t="n">
        <v>0</v>
      </c>
      <c r="L5840" t="n">
        <v>0</v>
      </c>
      <c r="M5840" t="n">
        <v>0</v>
      </c>
      <c r="N5840" t="n">
        <v>0</v>
      </c>
      <c r="O5840" t="n">
        <v>0</v>
      </c>
      <c r="P5840" t="n">
        <v>0</v>
      </c>
      <c r="Q5840" t="n">
        <v>0</v>
      </c>
      <c r="R5840" s="2" t="inlineStr"/>
    </row>
    <row r="5841" ht="15" customHeight="1">
      <c r="A5841" t="inlineStr">
        <is>
          <t>A 40042-2025</t>
        </is>
      </c>
      <c r="B5841" s="1" t="n">
        <v>45894.40082175926</v>
      </c>
      <c r="C5841" s="1" t="n">
        <v>45911</v>
      </c>
      <c r="D5841" t="inlineStr">
        <is>
          <t>GÄVLEBORGS LÄN</t>
        </is>
      </c>
      <c r="E5841" t="inlineStr">
        <is>
          <t>SÖDERHAMN</t>
        </is>
      </c>
      <c r="G5841" t="n">
        <v>5.2</v>
      </c>
      <c r="H5841" t="n">
        <v>0</v>
      </c>
      <c r="I5841" t="n">
        <v>0</v>
      </c>
      <c r="J5841" t="n">
        <v>0</v>
      </c>
      <c r="K5841" t="n">
        <v>0</v>
      </c>
      <c r="L5841" t="n">
        <v>0</v>
      </c>
      <c r="M5841" t="n">
        <v>0</v>
      </c>
      <c r="N5841" t="n">
        <v>0</v>
      </c>
      <c r="O5841" t="n">
        <v>0</v>
      </c>
      <c r="P5841" t="n">
        <v>0</v>
      </c>
      <c r="Q5841" t="n">
        <v>0</v>
      </c>
      <c r="R5841" s="2" t="inlineStr"/>
    </row>
    <row r="5842" ht="15" customHeight="1">
      <c r="A5842" t="inlineStr">
        <is>
          <t>A 14754-2025</t>
        </is>
      </c>
      <c r="B5842" s="1" t="n">
        <v>45742.66208333334</v>
      </c>
      <c r="C5842" s="1" t="n">
        <v>45911</v>
      </c>
      <c r="D5842" t="inlineStr">
        <is>
          <t>GÄVLEBORGS LÄN</t>
        </is>
      </c>
      <c r="E5842" t="inlineStr">
        <is>
          <t>NORDANSTIG</t>
        </is>
      </c>
      <c r="F5842" t="inlineStr">
        <is>
          <t>Holmen skog AB</t>
        </is>
      </c>
      <c r="G5842" t="n">
        <v>6</v>
      </c>
      <c r="H5842" t="n">
        <v>0</v>
      </c>
      <c r="I5842" t="n">
        <v>0</v>
      </c>
      <c r="J5842" t="n">
        <v>0</v>
      </c>
      <c r="K5842" t="n">
        <v>0</v>
      </c>
      <c r="L5842" t="n">
        <v>0</v>
      </c>
      <c r="M5842" t="n">
        <v>0</v>
      </c>
      <c r="N5842" t="n">
        <v>0</v>
      </c>
      <c r="O5842" t="n">
        <v>0</v>
      </c>
      <c r="P5842" t="n">
        <v>0</v>
      </c>
      <c r="Q5842" t="n">
        <v>0</v>
      </c>
      <c r="R5842" s="2" t="inlineStr"/>
    </row>
    <row r="5843" ht="15" customHeight="1">
      <c r="A5843" t="inlineStr">
        <is>
          <t>A 17667-2023</t>
        </is>
      </c>
      <c r="B5843" s="1" t="n">
        <v>45036.94440972222</v>
      </c>
      <c r="C5843" s="1" t="n">
        <v>45911</v>
      </c>
      <c r="D5843" t="inlineStr">
        <is>
          <t>GÄVLEBORGS LÄN</t>
        </is>
      </c>
      <c r="E5843" t="inlineStr">
        <is>
          <t>LJUSDAL</t>
        </is>
      </c>
      <c r="F5843" t="inlineStr">
        <is>
          <t>SCA</t>
        </is>
      </c>
      <c r="G5843" t="n">
        <v>5.4</v>
      </c>
      <c r="H5843" t="n">
        <v>0</v>
      </c>
      <c r="I5843" t="n">
        <v>0</v>
      </c>
      <c r="J5843" t="n">
        <v>0</v>
      </c>
      <c r="K5843" t="n">
        <v>0</v>
      </c>
      <c r="L5843" t="n">
        <v>0</v>
      </c>
      <c r="M5843" t="n">
        <v>0</v>
      </c>
      <c r="N5843" t="n">
        <v>0</v>
      </c>
      <c r="O5843" t="n">
        <v>0</v>
      </c>
      <c r="P5843" t="n">
        <v>0</v>
      </c>
      <c r="Q5843" t="n">
        <v>0</v>
      </c>
      <c r="R5843" s="2" t="inlineStr"/>
    </row>
    <row r="5844" ht="15" customHeight="1">
      <c r="A5844" t="inlineStr">
        <is>
          <t>A 27558-2023</t>
        </is>
      </c>
      <c r="B5844" s="1" t="n">
        <v>45097</v>
      </c>
      <c r="C5844" s="1" t="n">
        <v>45911</v>
      </c>
      <c r="D5844" t="inlineStr">
        <is>
          <t>GÄVLEBORGS LÄN</t>
        </is>
      </c>
      <c r="E5844" t="inlineStr">
        <is>
          <t>BOLLNÄS</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22863-2023</t>
        </is>
      </c>
      <c r="B5845" s="1" t="n">
        <v>45072</v>
      </c>
      <c r="C5845" s="1" t="n">
        <v>45911</v>
      </c>
      <c r="D5845" t="inlineStr">
        <is>
          <t>GÄVLEBORGS LÄN</t>
        </is>
      </c>
      <c r="E5845" t="inlineStr">
        <is>
          <t>NORDANSTIG</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34444-2023</t>
        </is>
      </c>
      <c r="B5846" s="1" t="n">
        <v>45139.6669212963</v>
      </c>
      <c r="C5846" s="1" t="n">
        <v>45911</v>
      </c>
      <c r="D5846" t="inlineStr">
        <is>
          <t>GÄVLEBORGS LÄN</t>
        </is>
      </c>
      <c r="E5846" t="inlineStr">
        <is>
          <t>OCKELBO</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35169-2025</t>
        </is>
      </c>
      <c r="B5847" s="1" t="n">
        <v>45852</v>
      </c>
      <c r="C5847" s="1" t="n">
        <v>45911</v>
      </c>
      <c r="D5847" t="inlineStr">
        <is>
          <t>GÄVLEBORGS LÄN</t>
        </is>
      </c>
      <c r="E5847" t="inlineStr">
        <is>
          <t>BOLLNÄS</t>
        </is>
      </c>
      <c r="G5847" t="n">
        <v>3.8</v>
      </c>
      <c r="H5847" t="n">
        <v>0</v>
      </c>
      <c r="I5847" t="n">
        <v>0</v>
      </c>
      <c r="J5847" t="n">
        <v>0</v>
      </c>
      <c r="K5847" t="n">
        <v>0</v>
      </c>
      <c r="L5847" t="n">
        <v>0</v>
      </c>
      <c r="M5847" t="n">
        <v>0</v>
      </c>
      <c r="N5847" t="n">
        <v>0</v>
      </c>
      <c r="O5847" t="n">
        <v>0</v>
      </c>
      <c r="P5847" t="n">
        <v>0</v>
      </c>
      <c r="Q5847" t="n">
        <v>0</v>
      </c>
      <c r="R5847" s="2" t="inlineStr"/>
    </row>
    <row r="5848" ht="15" customHeight="1">
      <c r="A5848" t="inlineStr">
        <is>
          <t>A 26076-2023</t>
        </is>
      </c>
      <c r="B5848" s="1" t="n">
        <v>45091.37141203704</v>
      </c>
      <c r="C5848" s="1" t="n">
        <v>45911</v>
      </c>
      <c r="D5848" t="inlineStr">
        <is>
          <t>GÄVLEBORGS LÄN</t>
        </is>
      </c>
      <c r="E5848" t="inlineStr">
        <is>
          <t>OVANÅKER</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39774-2025</t>
        </is>
      </c>
      <c r="B5849" s="1" t="n">
        <v>45891.46103009259</v>
      </c>
      <c r="C5849" s="1" t="n">
        <v>45911</v>
      </c>
      <c r="D5849" t="inlineStr">
        <is>
          <t>GÄVLEBORGS LÄN</t>
        </is>
      </c>
      <c r="E5849" t="inlineStr">
        <is>
          <t>SÖDERHAMN</t>
        </is>
      </c>
      <c r="F5849" t="inlineStr">
        <is>
          <t>Bergvik skog väst AB</t>
        </is>
      </c>
      <c r="G5849" t="n">
        <v>6.7</v>
      </c>
      <c r="H5849" t="n">
        <v>0</v>
      </c>
      <c r="I5849" t="n">
        <v>0</v>
      </c>
      <c r="J5849" t="n">
        <v>0</v>
      </c>
      <c r="K5849" t="n">
        <v>0</v>
      </c>
      <c r="L5849" t="n">
        <v>0</v>
      </c>
      <c r="M5849" t="n">
        <v>0</v>
      </c>
      <c r="N5849" t="n">
        <v>0</v>
      </c>
      <c r="O5849" t="n">
        <v>0</v>
      </c>
      <c r="P5849" t="n">
        <v>0</v>
      </c>
      <c r="Q5849" t="n">
        <v>0</v>
      </c>
      <c r="R5849" s="2" t="inlineStr"/>
    </row>
    <row r="5850" ht="15" customHeight="1">
      <c r="A5850" t="inlineStr">
        <is>
          <t>A 39797-2025</t>
        </is>
      </c>
      <c r="B5850" s="1" t="n">
        <v>45891.49655092593</v>
      </c>
      <c r="C5850" s="1" t="n">
        <v>45911</v>
      </c>
      <c r="D5850" t="inlineStr">
        <is>
          <t>GÄVLEBORGS LÄN</t>
        </is>
      </c>
      <c r="E5850" t="inlineStr">
        <is>
          <t>SÖDERHAMN</t>
        </is>
      </c>
      <c r="G5850" t="n">
        <v>3.2</v>
      </c>
      <c r="H5850" t="n">
        <v>0</v>
      </c>
      <c r="I5850" t="n">
        <v>0</v>
      </c>
      <c r="J5850" t="n">
        <v>0</v>
      </c>
      <c r="K5850" t="n">
        <v>0</v>
      </c>
      <c r="L5850" t="n">
        <v>0</v>
      </c>
      <c r="M5850" t="n">
        <v>0</v>
      </c>
      <c r="N5850" t="n">
        <v>0</v>
      </c>
      <c r="O5850" t="n">
        <v>0</v>
      </c>
      <c r="P5850" t="n">
        <v>0</v>
      </c>
      <c r="Q5850" t="n">
        <v>0</v>
      </c>
      <c r="R5850" s="2" t="inlineStr"/>
    </row>
    <row r="5851" ht="15" customHeight="1">
      <c r="A5851" t="inlineStr">
        <is>
          <t>A 34836-2025</t>
        </is>
      </c>
      <c r="B5851" s="1" t="n">
        <v>45849.39090277778</v>
      </c>
      <c r="C5851" s="1" t="n">
        <v>45911</v>
      </c>
      <c r="D5851" t="inlineStr">
        <is>
          <t>GÄVLEBORGS LÄN</t>
        </is>
      </c>
      <c r="E5851" t="inlineStr">
        <is>
          <t>HUDIKSVALL</t>
        </is>
      </c>
      <c r="G5851" t="n">
        <v>2.4</v>
      </c>
      <c r="H5851" t="n">
        <v>0</v>
      </c>
      <c r="I5851" t="n">
        <v>0</v>
      </c>
      <c r="J5851" t="n">
        <v>0</v>
      </c>
      <c r="K5851" t="n">
        <v>0</v>
      </c>
      <c r="L5851" t="n">
        <v>0</v>
      </c>
      <c r="M5851" t="n">
        <v>0</v>
      </c>
      <c r="N5851" t="n">
        <v>0</v>
      </c>
      <c r="O5851" t="n">
        <v>0</v>
      </c>
      <c r="P5851" t="n">
        <v>0</v>
      </c>
      <c r="Q5851" t="n">
        <v>0</v>
      </c>
      <c r="R5851" s="2" t="inlineStr"/>
    </row>
    <row r="5852" ht="15" customHeight="1">
      <c r="A5852" t="inlineStr">
        <is>
          <t>A 34837-2025</t>
        </is>
      </c>
      <c r="B5852" s="1" t="n">
        <v>45849</v>
      </c>
      <c r="C5852" s="1" t="n">
        <v>45911</v>
      </c>
      <c r="D5852" t="inlineStr">
        <is>
          <t>GÄVLEBORGS LÄN</t>
        </is>
      </c>
      <c r="E5852" t="inlineStr">
        <is>
          <t>HUDIKSVALL</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42979-2023</t>
        </is>
      </c>
      <c r="B5853" s="1" t="n">
        <v>45182.60753472222</v>
      </c>
      <c r="C5853" s="1" t="n">
        <v>45911</v>
      </c>
      <c r="D5853" t="inlineStr">
        <is>
          <t>GÄVLEBORGS LÄN</t>
        </is>
      </c>
      <c r="E5853" t="inlineStr">
        <is>
          <t>LJUSDAL</t>
        </is>
      </c>
      <c r="G5853" t="n">
        <v>13.2</v>
      </c>
      <c r="H5853" t="n">
        <v>0</v>
      </c>
      <c r="I5853" t="n">
        <v>0</v>
      </c>
      <c r="J5853" t="n">
        <v>0</v>
      </c>
      <c r="K5853" t="n">
        <v>0</v>
      </c>
      <c r="L5853" t="n">
        <v>0</v>
      </c>
      <c r="M5853" t="n">
        <v>0</v>
      </c>
      <c r="N5853" t="n">
        <v>0</v>
      </c>
      <c r="O5853" t="n">
        <v>0</v>
      </c>
      <c r="P5853" t="n">
        <v>0</v>
      </c>
      <c r="Q5853" t="n">
        <v>0</v>
      </c>
      <c r="R5853" s="2" t="inlineStr"/>
    </row>
    <row r="5854" ht="15" customHeight="1">
      <c r="A5854" t="inlineStr">
        <is>
          <t>A 31848-2021</t>
        </is>
      </c>
      <c r="B5854" s="1" t="n">
        <v>44370</v>
      </c>
      <c r="C5854" s="1" t="n">
        <v>45911</v>
      </c>
      <c r="D5854" t="inlineStr">
        <is>
          <t>GÄVLEBORGS LÄN</t>
        </is>
      </c>
      <c r="E5854" t="inlineStr">
        <is>
          <t>BOLLNÄS</t>
        </is>
      </c>
      <c r="F5854" t="inlineStr">
        <is>
          <t>Bergvik skog väst AB</t>
        </is>
      </c>
      <c r="G5854" t="n">
        <v>4</v>
      </c>
      <c r="H5854" t="n">
        <v>0</v>
      </c>
      <c r="I5854" t="n">
        <v>0</v>
      </c>
      <c r="J5854" t="n">
        <v>0</v>
      </c>
      <c r="K5854" t="n">
        <v>0</v>
      </c>
      <c r="L5854" t="n">
        <v>0</v>
      </c>
      <c r="M5854" t="n">
        <v>0</v>
      </c>
      <c r="N5854" t="n">
        <v>0</v>
      </c>
      <c r="O5854" t="n">
        <v>0</v>
      </c>
      <c r="P5854" t="n">
        <v>0</v>
      </c>
      <c r="Q5854" t="n">
        <v>0</v>
      </c>
      <c r="R5854" s="2" t="inlineStr"/>
    </row>
    <row r="5855" ht="15" customHeight="1">
      <c r="A5855" t="inlineStr">
        <is>
          <t>A 5942-2025</t>
        </is>
      </c>
      <c r="B5855" s="1" t="n">
        <v>45695.46841435185</v>
      </c>
      <c r="C5855" s="1" t="n">
        <v>45911</v>
      </c>
      <c r="D5855" t="inlineStr">
        <is>
          <t>GÄVLEBORGS LÄN</t>
        </is>
      </c>
      <c r="E5855" t="inlineStr">
        <is>
          <t>HUDIKSVALL</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7538-2025</t>
        </is>
      </c>
      <c r="B5856" s="1" t="n">
        <v>45705.56700231481</v>
      </c>
      <c r="C5856" s="1" t="n">
        <v>45911</v>
      </c>
      <c r="D5856" t="inlineStr">
        <is>
          <t>GÄVLEBORGS LÄN</t>
        </is>
      </c>
      <c r="E5856" t="inlineStr">
        <is>
          <t>HUDIKSVALL</t>
        </is>
      </c>
      <c r="F5856" t="inlineStr">
        <is>
          <t>Holmen skog AB</t>
        </is>
      </c>
      <c r="G5856" t="n">
        <v>2.9</v>
      </c>
      <c r="H5856" t="n">
        <v>0</v>
      </c>
      <c r="I5856" t="n">
        <v>0</v>
      </c>
      <c r="J5856" t="n">
        <v>0</v>
      </c>
      <c r="K5856" t="n">
        <v>0</v>
      </c>
      <c r="L5856" t="n">
        <v>0</v>
      </c>
      <c r="M5856" t="n">
        <v>0</v>
      </c>
      <c r="N5856" t="n">
        <v>0</v>
      </c>
      <c r="O5856" t="n">
        <v>0</v>
      </c>
      <c r="P5856" t="n">
        <v>0</v>
      </c>
      <c r="Q5856" t="n">
        <v>0</v>
      </c>
      <c r="R5856" s="2" t="inlineStr"/>
    </row>
    <row r="5857" ht="15" customHeight="1">
      <c r="A5857" t="inlineStr">
        <is>
          <t>A 7557-2025</t>
        </is>
      </c>
      <c r="B5857" s="1" t="n">
        <v>45705.58114583333</v>
      </c>
      <c r="C5857" s="1" t="n">
        <v>45911</v>
      </c>
      <c r="D5857" t="inlineStr">
        <is>
          <t>GÄVLEBORGS LÄN</t>
        </is>
      </c>
      <c r="E5857" t="inlineStr">
        <is>
          <t>BOLLNÄS</t>
        </is>
      </c>
      <c r="G5857" t="n">
        <v>13.9</v>
      </c>
      <c r="H5857" t="n">
        <v>0</v>
      </c>
      <c r="I5857" t="n">
        <v>0</v>
      </c>
      <c r="J5857" t="n">
        <v>0</v>
      </c>
      <c r="K5857" t="n">
        <v>0</v>
      </c>
      <c r="L5857" t="n">
        <v>0</v>
      </c>
      <c r="M5857" t="n">
        <v>0</v>
      </c>
      <c r="N5857" t="n">
        <v>0</v>
      </c>
      <c r="O5857" t="n">
        <v>0</v>
      </c>
      <c r="P5857" t="n">
        <v>0</v>
      </c>
      <c r="Q5857" t="n">
        <v>0</v>
      </c>
      <c r="R5857" s="2" t="inlineStr"/>
    </row>
    <row r="5858" ht="15" customHeight="1">
      <c r="A5858" t="inlineStr">
        <is>
          <t>A 44084-2023</t>
        </is>
      </c>
      <c r="B5858" s="1" t="n">
        <v>45188.4264699074</v>
      </c>
      <c r="C5858" s="1" t="n">
        <v>45911</v>
      </c>
      <c r="D5858" t="inlineStr">
        <is>
          <t>GÄVLEBORGS LÄN</t>
        </is>
      </c>
      <c r="E5858" t="inlineStr">
        <is>
          <t>HUDIKSVALL</t>
        </is>
      </c>
      <c r="F5858" t="inlineStr">
        <is>
          <t>Holmen skog AB</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44101-2023</t>
        </is>
      </c>
      <c r="B5859" s="1" t="n">
        <v>45188.43148148148</v>
      </c>
      <c r="C5859" s="1" t="n">
        <v>45911</v>
      </c>
      <c r="D5859" t="inlineStr">
        <is>
          <t>GÄVLEBORGS LÄN</t>
        </is>
      </c>
      <c r="E5859" t="inlineStr">
        <is>
          <t>SANDVIKEN</t>
        </is>
      </c>
      <c r="F5859" t="inlineStr">
        <is>
          <t>Bergvik skog öst AB</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38122-2024</t>
        </is>
      </c>
      <c r="B5860" s="1" t="n">
        <v>45545</v>
      </c>
      <c r="C5860" s="1" t="n">
        <v>45911</v>
      </c>
      <c r="D5860" t="inlineStr">
        <is>
          <t>GÄVLEBORGS LÄN</t>
        </is>
      </c>
      <c r="E5860" t="inlineStr">
        <is>
          <t>BOLLNÄS</t>
        </is>
      </c>
      <c r="F5860" t="inlineStr">
        <is>
          <t>Bergvik skog väst AB</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10333-2025</t>
        </is>
      </c>
      <c r="B5861" s="1" t="n">
        <v>45720.48692129629</v>
      </c>
      <c r="C5861" s="1" t="n">
        <v>45911</v>
      </c>
      <c r="D5861" t="inlineStr">
        <is>
          <t>GÄVLEBORGS LÄN</t>
        </is>
      </c>
      <c r="E5861" t="inlineStr">
        <is>
          <t>GÄVLE</t>
        </is>
      </c>
      <c r="F5861" t="inlineStr">
        <is>
          <t>Bergvik skog öst AB</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35128-2025</t>
        </is>
      </c>
      <c r="B5862" s="1" t="n">
        <v>45852.62730324074</v>
      </c>
      <c r="C5862" s="1" t="n">
        <v>45911</v>
      </c>
      <c r="D5862" t="inlineStr">
        <is>
          <t>GÄVLEBORGS LÄN</t>
        </is>
      </c>
      <c r="E5862" t="inlineStr">
        <is>
          <t>HUDIKSVALL</t>
        </is>
      </c>
      <c r="F5862" t="inlineStr">
        <is>
          <t>Holmen skog AB</t>
        </is>
      </c>
      <c r="G5862" t="n">
        <v>4.8</v>
      </c>
      <c r="H5862" t="n">
        <v>0</v>
      </c>
      <c r="I5862" t="n">
        <v>0</v>
      </c>
      <c r="J5862" t="n">
        <v>0</v>
      </c>
      <c r="K5862" t="n">
        <v>0</v>
      </c>
      <c r="L5862" t="n">
        <v>0</v>
      </c>
      <c r="M5862" t="n">
        <v>0</v>
      </c>
      <c r="N5862" t="n">
        <v>0</v>
      </c>
      <c r="O5862" t="n">
        <v>0</v>
      </c>
      <c r="P5862" t="n">
        <v>0</v>
      </c>
      <c r="Q5862" t="n">
        <v>0</v>
      </c>
      <c r="R5862" s="2" t="inlineStr"/>
    </row>
    <row r="5863" ht="15" customHeight="1">
      <c r="A5863" t="inlineStr">
        <is>
          <t>A 2889-2025</t>
        </is>
      </c>
      <c r="B5863" s="1" t="n">
        <v>45677.72552083333</v>
      </c>
      <c r="C5863" s="1" t="n">
        <v>45911</v>
      </c>
      <c r="D5863" t="inlineStr">
        <is>
          <t>GÄVLEBORGS LÄN</t>
        </is>
      </c>
      <c r="E5863" t="inlineStr">
        <is>
          <t>HUDIKSVALL</t>
        </is>
      </c>
      <c r="G5863" t="n">
        <v>3.2</v>
      </c>
      <c r="H5863" t="n">
        <v>0</v>
      </c>
      <c r="I5863" t="n">
        <v>0</v>
      </c>
      <c r="J5863" t="n">
        <v>0</v>
      </c>
      <c r="K5863" t="n">
        <v>0</v>
      </c>
      <c r="L5863" t="n">
        <v>0</v>
      </c>
      <c r="M5863" t="n">
        <v>0</v>
      </c>
      <c r="N5863" t="n">
        <v>0</v>
      </c>
      <c r="O5863" t="n">
        <v>0</v>
      </c>
      <c r="P5863" t="n">
        <v>0</v>
      </c>
      <c r="Q5863" t="n">
        <v>0</v>
      </c>
      <c r="R5863" s="2" t="inlineStr"/>
    </row>
    <row r="5864" ht="15" customHeight="1">
      <c r="A5864" t="inlineStr">
        <is>
          <t>A 39943-2025</t>
        </is>
      </c>
      <c r="B5864" s="1" t="n">
        <v>45891.90513888889</v>
      </c>
      <c r="C5864" s="1" t="n">
        <v>45911</v>
      </c>
      <c r="D5864" t="inlineStr">
        <is>
          <t>GÄVLEBORGS LÄN</t>
        </is>
      </c>
      <c r="E5864" t="inlineStr">
        <is>
          <t>GÄVLE</t>
        </is>
      </c>
      <c r="F5864" t="inlineStr">
        <is>
          <t>Kommuner</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1193-2025</t>
        </is>
      </c>
      <c r="B5865" s="1" t="n">
        <v>45667.37422453704</v>
      </c>
      <c r="C5865" s="1" t="n">
        <v>45911</v>
      </c>
      <c r="D5865" t="inlineStr">
        <is>
          <t>GÄVLEBORGS LÄN</t>
        </is>
      </c>
      <c r="E5865" t="inlineStr">
        <is>
          <t>OVANÅKER</t>
        </is>
      </c>
      <c r="F5865" t="inlineStr">
        <is>
          <t>Bergvik skog väst AB</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43657-2023</t>
        </is>
      </c>
      <c r="B5866" s="1" t="n">
        <v>45187.344375</v>
      </c>
      <c r="C5866" s="1" t="n">
        <v>45911</v>
      </c>
      <c r="D5866" t="inlineStr">
        <is>
          <t>GÄVLEBORGS LÄN</t>
        </is>
      </c>
      <c r="E5866" t="inlineStr">
        <is>
          <t>NORDANSTIG</t>
        </is>
      </c>
      <c r="F5866" t="inlineStr">
        <is>
          <t>Holmen skog AB</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1222-2025</t>
        </is>
      </c>
      <c r="B5867" s="1" t="n">
        <v>45667</v>
      </c>
      <c r="C5867" s="1" t="n">
        <v>45911</v>
      </c>
      <c r="D5867" t="inlineStr">
        <is>
          <t>GÄVLEBORGS LÄN</t>
        </is>
      </c>
      <c r="E5867" t="inlineStr">
        <is>
          <t>LJUSDAL</t>
        </is>
      </c>
      <c r="F5867" t="inlineStr">
        <is>
          <t>Bergvik skog väst AB</t>
        </is>
      </c>
      <c r="G5867" t="n">
        <v>3.5</v>
      </c>
      <c r="H5867" t="n">
        <v>0</v>
      </c>
      <c r="I5867" t="n">
        <v>0</v>
      </c>
      <c r="J5867" t="n">
        <v>0</v>
      </c>
      <c r="K5867" t="n">
        <v>0</v>
      </c>
      <c r="L5867" t="n">
        <v>0</v>
      </c>
      <c r="M5867" t="n">
        <v>0</v>
      </c>
      <c r="N5867" t="n">
        <v>0</v>
      </c>
      <c r="O5867" t="n">
        <v>0</v>
      </c>
      <c r="P5867" t="n">
        <v>0</v>
      </c>
      <c r="Q5867" t="n">
        <v>0</v>
      </c>
      <c r="R5867" s="2" t="inlineStr"/>
    </row>
    <row r="5868" ht="15" customHeight="1">
      <c r="A5868" t="inlineStr">
        <is>
          <t>A 970-2025</t>
        </is>
      </c>
      <c r="B5868" s="1" t="n">
        <v>45666.39425925926</v>
      </c>
      <c r="C5868" s="1" t="n">
        <v>45911</v>
      </c>
      <c r="D5868" t="inlineStr">
        <is>
          <t>GÄVLEBORGS LÄN</t>
        </is>
      </c>
      <c r="E5868" t="inlineStr">
        <is>
          <t>SANDVIKEN</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15353-2025</t>
        </is>
      </c>
      <c r="B5869" s="1" t="n">
        <v>45747.38574074074</v>
      </c>
      <c r="C5869" s="1" t="n">
        <v>45911</v>
      </c>
      <c r="D5869" t="inlineStr">
        <is>
          <t>GÄVLEBORGS LÄN</t>
        </is>
      </c>
      <c r="E5869" t="inlineStr">
        <is>
          <t>BOLLNÄS</t>
        </is>
      </c>
      <c r="G5869" t="n">
        <v>5.1</v>
      </c>
      <c r="H5869" t="n">
        <v>0</v>
      </c>
      <c r="I5869" t="n">
        <v>0</v>
      </c>
      <c r="J5869" t="n">
        <v>0</v>
      </c>
      <c r="K5869" t="n">
        <v>0</v>
      </c>
      <c r="L5869" t="n">
        <v>0</v>
      </c>
      <c r="M5869" t="n">
        <v>0</v>
      </c>
      <c r="N5869" t="n">
        <v>0</v>
      </c>
      <c r="O5869" t="n">
        <v>0</v>
      </c>
      <c r="P5869" t="n">
        <v>0</v>
      </c>
      <c r="Q5869" t="n">
        <v>0</v>
      </c>
      <c r="R5869" s="2" t="inlineStr"/>
    </row>
    <row r="5870" ht="15" customHeight="1">
      <c r="A5870" t="inlineStr">
        <is>
          <t>A 15859-2023</t>
        </is>
      </c>
      <c r="B5870" s="1" t="n">
        <v>45022.37446759259</v>
      </c>
      <c r="C5870" s="1" t="n">
        <v>45911</v>
      </c>
      <c r="D5870" t="inlineStr">
        <is>
          <t>GÄVLEBORGS LÄN</t>
        </is>
      </c>
      <c r="E5870" t="inlineStr">
        <is>
          <t>HUDIKSVALL</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37217-2024</t>
        </is>
      </c>
      <c r="B5871" s="1" t="n">
        <v>45539</v>
      </c>
      <c r="C5871" s="1" t="n">
        <v>45911</v>
      </c>
      <c r="D5871" t="inlineStr">
        <is>
          <t>GÄVLEBORGS LÄN</t>
        </is>
      </c>
      <c r="E5871" t="inlineStr">
        <is>
          <t>NORDANSTIG</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8732-2023</t>
        </is>
      </c>
      <c r="B5872" s="1" t="n">
        <v>44978</v>
      </c>
      <c r="C5872" s="1" t="n">
        <v>45911</v>
      </c>
      <c r="D5872" t="inlineStr">
        <is>
          <t>GÄVLEBORGS LÄN</t>
        </is>
      </c>
      <c r="E5872" t="inlineStr">
        <is>
          <t>HUDIKSVALL</t>
        </is>
      </c>
      <c r="G5872" t="n">
        <v>2.7</v>
      </c>
      <c r="H5872" t="n">
        <v>0</v>
      </c>
      <c r="I5872" t="n">
        <v>0</v>
      </c>
      <c r="J5872" t="n">
        <v>0</v>
      </c>
      <c r="K5872" t="n">
        <v>0</v>
      </c>
      <c r="L5872" t="n">
        <v>0</v>
      </c>
      <c r="M5872" t="n">
        <v>0</v>
      </c>
      <c r="N5872" t="n">
        <v>0</v>
      </c>
      <c r="O5872" t="n">
        <v>0</v>
      </c>
      <c r="P5872" t="n">
        <v>0</v>
      </c>
      <c r="Q5872" t="n">
        <v>0</v>
      </c>
      <c r="R5872" s="2" t="inlineStr"/>
    </row>
    <row r="5873" ht="15" customHeight="1">
      <c r="A5873" t="inlineStr">
        <is>
          <t>A 7461-2025</t>
        </is>
      </c>
      <c r="B5873" s="1" t="n">
        <v>45705.4404050926</v>
      </c>
      <c r="C5873" s="1" t="n">
        <v>45911</v>
      </c>
      <c r="D5873" t="inlineStr">
        <is>
          <t>GÄVLEBORGS LÄN</t>
        </is>
      </c>
      <c r="E5873" t="inlineStr">
        <is>
          <t>LJUSDAL</t>
        </is>
      </c>
      <c r="G5873" t="n">
        <v>26.4</v>
      </c>
      <c r="H5873" t="n">
        <v>0</v>
      </c>
      <c r="I5873" t="n">
        <v>0</v>
      </c>
      <c r="J5873" t="n">
        <v>0</v>
      </c>
      <c r="K5873" t="n">
        <v>0</v>
      </c>
      <c r="L5873" t="n">
        <v>0</v>
      </c>
      <c r="M5873" t="n">
        <v>0</v>
      </c>
      <c r="N5873" t="n">
        <v>0</v>
      </c>
      <c r="O5873" t="n">
        <v>0</v>
      </c>
      <c r="P5873" t="n">
        <v>0</v>
      </c>
      <c r="Q5873" t="n">
        <v>0</v>
      </c>
      <c r="R5873" s="2" t="inlineStr"/>
    </row>
    <row r="5874" ht="15" customHeight="1">
      <c r="A5874" t="inlineStr">
        <is>
          <t>A 7473-2025</t>
        </is>
      </c>
      <c r="B5874" s="1" t="n">
        <v>45702</v>
      </c>
      <c r="C5874" s="1" t="n">
        <v>45911</v>
      </c>
      <c r="D5874" t="inlineStr">
        <is>
          <t>GÄVLEBORGS LÄN</t>
        </is>
      </c>
      <c r="E5874" t="inlineStr">
        <is>
          <t>HUDIKSVALL</t>
        </is>
      </c>
      <c r="G5874" t="n">
        <v>3.1</v>
      </c>
      <c r="H5874" t="n">
        <v>0</v>
      </c>
      <c r="I5874" t="n">
        <v>0</v>
      </c>
      <c r="J5874" t="n">
        <v>0</v>
      </c>
      <c r="K5874" t="n">
        <v>0</v>
      </c>
      <c r="L5874" t="n">
        <v>0</v>
      </c>
      <c r="M5874" t="n">
        <v>0</v>
      </c>
      <c r="N5874" t="n">
        <v>0</v>
      </c>
      <c r="O5874" t="n">
        <v>0</v>
      </c>
      <c r="P5874" t="n">
        <v>0</v>
      </c>
      <c r="Q5874" t="n">
        <v>0</v>
      </c>
      <c r="R5874" s="2" t="inlineStr"/>
    </row>
    <row r="5875" ht="15" customHeight="1">
      <c r="A5875" t="inlineStr">
        <is>
          <t>A 10375-2023</t>
        </is>
      </c>
      <c r="B5875" s="1" t="n">
        <v>44987</v>
      </c>
      <c r="C5875" s="1" t="n">
        <v>45911</v>
      </c>
      <c r="D5875" t="inlineStr">
        <is>
          <t>GÄVLEBORGS LÄN</t>
        </is>
      </c>
      <c r="E5875" t="inlineStr">
        <is>
          <t>HUDIKSVALL</t>
        </is>
      </c>
      <c r="G5875" t="n">
        <v>6</v>
      </c>
      <c r="H5875" t="n">
        <v>0</v>
      </c>
      <c r="I5875" t="n">
        <v>0</v>
      </c>
      <c r="J5875" t="n">
        <v>0</v>
      </c>
      <c r="K5875" t="n">
        <v>0</v>
      </c>
      <c r="L5875" t="n">
        <v>0</v>
      </c>
      <c r="M5875" t="n">
        <v>0</v>
      </c>
      <c r="N5875" t="n">
        <v>0</v>
      </c>
      <c r="O5875" t="n">
        <v>0</v>
      </c>
      <c r="P5875" t="n">
        <v>0</v>
      </c>
      <c r="Q5875" t="n">
        <v>0</v>
      </c>
      <c r="R5875" s="2" t="inlineStr"/>
    </row>
    <row r="5876" ht="15" customHeight="1">
      <c r="A5876" t="inlineStr">
        <is>
          <t>A 7533-2025</t>
        </is>
      </c>
      <c r="B5876" s="1" t="n">
        <v>45705.5609375</v>
      </c>
      <c r="C5876" s="1" t="n">
        <v>45911</v>
      </c>
      <c r="D5876" t="inlineStr">
        <is>
          <t>GÄVLEBORGS LÄN</t>
        </is>
      </c>
      <c r="E5876" t="inlineStr">
        <is>
          <t>SÖDERHAMN</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32002-2024</t>
        </is>
      </c>
      <c r="B5877" s="1" t="n">
        <v>45510.60306712963</v>
      </c>
      <c r="C5877" s="1" t="n">
        <v>45911</v>
      </c>
      <c r="D5877" t="inlineStr">
        <is>
          <t>GÄVLEBORGS LÄN</t>
        </is>
      </c>
      <c r="E5877" t="inlineStr">
        <is>
          <t>SANDVIKEN</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53503-2023</t>
        </is>
      </c>
      <c r="B5878" s="1" t="n">
        <v>45230</v>
      </c>
      <c r="C5878" s="1" t="n">
        <v>45911</v>
      </c>
      <c r="D5878" t="inlineStr">
        <is>
          <t>GÄVLEBORGS LÄN</t>
        </is>
      </c>
      <c r="E5878" t="inlineStr">
        <is>
          <t>SÖDERHAMN</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36833-2022</t>
        </is>
      </c>
      <c r="B5879" s="1" t="n">
        <v>44805.569375</v>
      </c>
      <c r="C5879" s="1" t="n">
        <v>45911</v>
      </c>
      <c r="D5879" t="inlineStr">
        <is>
          <t>GÄVLEBORGS LÄN</t>
        </is>
      </c>
      <c r="E5879" t="inlineStr">
        <is>
          <t>SANDVIKEN</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21772-2023</t>
        </is>
      </c>
      <c r="B5880" s="1" t="n">
        <v>45065.9262962963</v>
      </c>
      <c r="C5880" s="1" t="n">
        <v>45911</v>
      </c>
      <c r="D5880" t="inlineStr">
        <is>
          <t>GÄVLEBORGS LÄN</t>
        </is>
      </c>
      <c r="E5880" t="inlineStr">
        <is>
          <t>HUDIKSVALL</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35017-2025</t>
        </is>
      </c>
      <c r="B5881" s="1" t="n">
        <v>45851</v>
      </c>
      <c r="C5881" s="1" t="n">
        <v>45911</v>
      </c>
      <c r="D5881" t="inlineStr">
        <is>
          <t>GÄVLEBORGS LÄN</t>
        </is>
      </c>
      <c r="E5881" t="inlineStr">
        <is>
          <t>OCKELBO</t>
        </is>
      </c>
      <c r="F5881" t="inlineStr">
        <is>
          <t>Bergvik skog väst AB</t>
        </is>
      </c>
      <c r="G5881" t="n">
        <v>27.8</v>
      </c>
      <c r="H5881" t="n">
        <v>0</v>
      </c>
      <c r="I5881" t="n">
        <v>0</v>
      </c>
      <c r="J5881" t="n">
        <v>0</v>
      </c>
      <c r="K5881" t="n">
        <v>0</v>
      </c>
      <c r="L5881" t="n">
        <v>0</v>
      </c>
      <c r="M5881" t="n">
        <v>0</v>
      </c>
      <c r="N5881" t="n">
        <v>0</v>
      </c>
      <c r="O5881" t="n">
        <v>0</v>
      </c>
      <c r="P5881" t="n">
        <v>0</v>
      </c>
      <c r="Q5881" t="n">
        <v>0</v>
      </c>
      <c r="R5881" s="2" t="inlineStr"/>
    </row>
    <row r="5882" ht="15" customHeight="1">
      <c r="A5882" t="inlineStr">
        <is>
          <t>A 35052-2025</t>
        </is>
      </c>
      <c r="B5882" s="1" t="n">
        <v>45852.36641203704</v>
      </c>
      <c r="C5882" s="1" t="n">
        <v>45911</v>
      </c>
      <c r="D5882" t="inlineStr">
        <is>
          <t>GÄVLEBORGS LÄN</t>
        </is>
      </c>
      <c r="E5882" t="inlineStr">
        <is>
          <t>LJUSDAL</t>
        </is>
      </c>
      <c r="F5882" t="inlineStr">
        <is>
          <t>Bergvik skog väst AB</t>
        </is>
      </c>
      <c r="G5882" t="n">
        <v>4</v>
      </c>
      <c r="H5882" t="n">
        <v>0</v>
      </c>
      <c r="I5882" t="n">
        <v>0</v>
      </c>
      <c r="J5882" t="n">
        <v>0</v>
      </c>
      <c r="K5882" t="n">
        <v>0</v>
      </c>
      <c r="L5882" t="n">
        <v>0</v>
      </c>
      <c r="M5882" t="n">
        <v>0</v>
      </c>
      <c r="N5882" t="n">
        <v>0</v>
      </c>
      <c r="O5882" t="n">
        <v>0</v>
      </c>
      <c r="P5882" t="n">
        <v>0</v>
      </c>
      <c r="Q5882" t="n">
        <v>0</v>
      </c>
      <c r="R5882" s="2" t="inlineStr"/>
    </row>
    <row r="5883" ht="15" customHeight="1">
      <c r="A5883" t="inlineStr">
        <is>
          <t>A 39340-2024</t>
        </is>
      </c>
      <c r="B5883" s="1" t="n">
        <v>45551.44383101852</v>
      </c>
      <c r="C5883" s="1" t="n">
        <v>45911</v>
      </c>
      <c r="D5883" t="inlineStr">
        <is>
          <t>GÄVLEBORGS LÄN</t>
        </is>
      </c>
      <c r="E5883" t="inlineStr">
        <is>
          <t>SANDVIKEN</t>
        </is>
      </c>
      <c r="F5883" t="inlineStr">
        <is>
          <t>Sveaskog</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34964-2021</t>
        </is>
      </c>
      <c r="B5884" s="1" t="n">
        <v>44383.60237268519</v>
      </c>
      <c r="C5884" s="1" t="n">
        <v>45911</v>
      </c>
      <c r="D5884" t="inlineStr">
        <is>
          <t>GÄVLEBORGS LÄN</t>
        </is>
      </c>
      <c r="E5884" t="inlineStr">
        <is>
          <t>HUDIKSVALL</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50637-2022</t>
        </is>
      </c>
      <c r="B5885" s="1" t="n">
        <v>44866.9324537037</v>
      </c>
      <c r="C5885" s="1" t="n">
        <v>45911</v>
      </c>
      <c r="D5885" t="inlineStr">
        <is>
          <t>GÄVLEBORGS LÄN</t>
        </is>
      </c>
      <c r="E5885" t="inlineStr">
        <is>
          <t>OVANÅKER</t>
        </is>
      </c>
      <c r="G5885" t="n">
        <v>3.3</v>
      </c>
      <c r="H5885" t="n">
        <v>0</v>
      </c>
      <c r="I5885" t="n">
        <v>0</v>
      </c>
      <c r="J5885" t="n">
        <v>0</v>
      </c>
      <c r="K5885" t="n">
        <v>0</v>
      </c>
      <c r="L5885" t="n">
        <v>0</v>
      </c>
      <c r="M5885" t="n">
        <v>0</v>
      </c>
      <c r="N5885" t="n">
        <v>0</v>
      </c>
      <c r="O5885" t="n">
        <v>0</v>
      </c>
      <c r="P5885" t="n">
        <v>0</v>
      </c>
      <c r="Q5885" t="n">
        <v>0</v>
      </c>
      <c r="R5885" s="2" t="inlineStr"/>
    </row>
    <row r="5886" ht="15" customHeight="1">
      <c r="A5886" t="inlineStr">
        <is>
          <t>A 39878-2025</t>
        </is>
      </c>
      <c r="B5886" s="1" t="n">
        <v>45891.61590277778</v>
      </c>
      <c r="C5886" s="1" t="n">
        <v>45911</v>
      </c>
      <c r="D5886" t="inlineStr">
        <is>
          <t>GÄVLEBORGS LÄN</t>
        </is>
      </c>
      <c r="E5886" t="inlineStr">
        <is>
          <t>GÄVLE</t>
        </is>
      </c>
      <c r="F5886" t="inlineStr">
        <is>
          <t>Bergvik skog väst AB</t>
        </is>
      </c>
      <c r="G5886" t="n">
        <v>8</v>
      </c>
      <c r="H5886" t="n">
        <v>0</v>
      </c>
      <c r="I5886" t="n">
        <v>0</v>
      </c>
      <c r="J5886" t="n">
        <v>0</v>
      </c>
      <c r="K5886" t="n">
        <v>0</v>
      </c>
      <c r="L5886" t="n">
        <v>0</v>
      </c>
      <c r="M5886" t="n">
        <v>0</v>
      </c>
      <c r="N5886" t="n">
        <v>0</v>
      </c>
      <c r="O5886" t="n">
        <v>0</v>
      </c>
      <c r="P5886" t="n">
        <v>0</v>
      </c>
      <c r="Q5886" t="n">
        <v>0</v>
      </c>
      <c r="R5886" s="2" t="inlineStr"/>
    </row>
    <row r="5887" ht="15" customHeight="1">
      <c r="A5887" t="inlineStr">
        <is>
          <t>A 60822-2022</t>
        </is>
      </c>
      <c r="B5887" s="1" t="n">
        <v>44904</v>
      </c>
      <c r="C5887" s="1" t="n">
        <v>45911</v>
      </c>
      <c r="D5887" t="inlineStr">
        <is>
          <t>GÄVLEBORGS LÄN</t>
        </is>
      </c>
      <c r="E5887" t="inlineStr">
        <is>
          <t>LJUSDAL</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3626-2023</t>
        </is>
      </c>
      <c r="B5888" s="1" t="n">
        <v>44950</v>
      </c>
      <c r="C5888" s="1" t="n">
        <v>45911</v>
      </c>
      <c r="D5888" t="inlineStr">
        <is>
          <t>GÄVLEBORGS LÄN</t>
        </is>
      </c>
      <c r="E5888" t="inlineStr">
        <is>
          <t>OCKELBO</t>
        </is>
      </c>
      <c r="G5888" t="n">
        <v>3.1</v>
      </c>
      <c r="H5888" t="n">
        <v>0</v>
      </c>
      <c r="I5888" t="n">
        <v>0</v>
      </c>
      <c r="J5888" t="n">
        <v>0</v>
      </c>
      <c r="K5888" t="n">
        <v>0</v>
      </c>
      <c r="L5888" t="n">
        <v>0</v>
      </c>
      <c r="M5888" t="n">
        <v>0</v>
      </c>
      <c r="N5888" t="n">
        <v>0</v>
      </c>
      <c r="O5888" t="n">
        <v>0</v>
      </c>
      <c r="P5888" t="n">
        <v>0</v>
      </c>
      <c r="Q5888" t="n">
        <v>0</v>
      </c>
      <c r="R5888" s="2" t="inlineStr"/>
    </row>
    <row r="5889" ht="15" customHeight="1">
      <c r="A5889" t="inlineStr">
        <is>
          <t>A 36713-2021</t>
        </is>
      </c>
      <c r="B5889" s="1" t="n">
        <v>44392.53925925926</v>
      </c>
      <c r="C5889" s="1" t="n">
        <v>45911</v>
      </c>
      <c r="D5889" t="inlineStr">
        <is>
          <t>GÄVLEBORGS LÄN</t>
        </is>
      </c>
      <c r="E5889" t="inlineStr">
        <is>
          <t>LJUSDAL</t>
        </is>
      </c>
      <c r="F5889" t="inlineStr">
        <is>
          <t>Holmen skog AB</t>
        </is>
      </c>
      <c r="G5889" t="n">
        <v>5.6</v>
      </c>
      <c r="H5889" t="n">
        <v>0</v>
      </c>
      <c r="I5889" t="n">
        <v>0</v>
      </c>
      <c r="J5889" t="n">
        <v>0</v>
      </c>
      <c r="K5889" t="n">
        <v>0</v>
      </c>
      <c r="L5889" t="n">
        <v>0</v>
      </c>
      <c r="M5889" t="n">
        <v>0</v>
      </c>
      <c r="N5889" t="n">
        <v>0</v>
      </c>
      <c r="O5889" t="n">
        <v>0</v>
      </c>
      <c r="P5889" t="n">
        <v>0</v>
      </c>
      <c r="Q5889" t="n">
        <v>0</v>
      </c>
      <c r="R5889" s="2" t="inlineStr"/>
    </row>
    <row r="5890" ht="15" customHeight="1">
      <c r="A5890" t="inlineStr">
        <is>
          <t>A 39695-2025</t>
        </is>
      </c>
      <c r="B5890" s="1" t="n">
        <v>45890</v>
      </c>
      <c r="C5890" s="1" t="n">
        <v>45911</v>
      </c>
      <c r="D5890" t="inlineStr">
        <is>
          <t>GÄVLEBORGS LÄN</t>
        </is>
      </c>
      <c r="E5890" t="inlineStr">
        <is>
          <t>LJUSDAL</t>
        </is>
      </c>
      <c r="G5890" t="n">
        <v>4.3</v>
      </c>
      <c r="H5890" t="n">
        <v>0</v>
      </c>
      <c r="I5890" t="n">
        <v>0</v>
      </c>
      <c r="J5890" t="n">
        <v>0</v>
      </c>
      <c r="K5890" t="n">
        <v>0</v>
      </c>
      <c r="L5890" t="n">
        <v>0</v>
      </c>
      <c r="M5890" t="n">
        <v>0</v>
      </c>
      <c r="N5890" t="n">
        <v>0</v>
      </c>
      <c r="O5890" t="n">
        <v>0</v>
      </c>
      <c r="P5890" t="n">
        <v>0</v>
      </c>
      <c r="Q5890" t="n">
        <v>0</v>
      </c>
      <c r="R5890" s="2" t="inlineStr"/>
    </row>
    <row r="5891" ht="15" customHeight="1">
      <c r="A5891" t="inlineStr">
        <is>
          <t>A 51988-2024</t>
        </is>
      </c>
      <c r="B5891" s="1" t="n">
        <v>45607.68701388889</v>
      </c>
      <c r="C5891" s="1" t="n">
        <v>45911</v>
      </c>
      <c r="D5891" t="inlineStr">
        <is>
          <t>GÄVLEBORGS LÄN</t>
        </is>
      </c>
      <c r="E5891" t="inlineStr">
        <is>
          <t>NORDANSTIG</t>
        </is>
      </c>
      <c r="G5891" t="n">
        <v>4.8</v>
      </c>
      <c r="H5891" t="n">
        <v>0</v>
      </c>
      <c r="I5891" t="n">
        <v>0</v>
      </c>
      <c r="J5891" t="n">
        <v>0</v>
      </c>
      <c r="K5891" t="n">
        <v>0</v>
      </c>
      <c r="L5891" t="n">
        <v>0</v>
      </c>
      <c r="M5891" t="n">
        <v>0</v>
      </c>
      <c r="N5891" t="n">
        <v>0</v>
      </c>
      <c r="O5891" t="n">
        <v>0</v>
      </c>
      <c r="P5891" t="n">
        <v>0</v>
      </c>
      <c r="Q5891" t="n">
        <v>0</v>
      </c>
      <c r="R5891" s="2" t="inlineStr"/>
    </row>
    <row r="5892" ht="15" customHeight="1">
      <c r="A5892" t="inlineStr">
        <is>
          <t>A 39897-2025</t>
        </is>
      </c>
      <c r="B5892" s="1" t="n">
        <v>45891.63368055555</v>
      </c>
      <c r="C5892" s="1" t="n">
        <v>45911</v>
      </c>
      <c r="D5892" t="inlineStr">
        <is>
          <t>GÄVLEBORGS LÄN</t>
        </is>
      </c>
      <c r="E5892" t="inlineStr">
        <is>
          <t>BOLLNÄS</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52002-2024</t>
        </is>
      </c>
      <c r="B5893" s="1" t="n">
        <v>45607.75846064815</v>
      </c>
      <c r="C5893" s="1" t="n">
        <v>45911</v>
      </c>
      <c r="D5893" t="inlineStr">
        <is>
          <t>GÄVLEBORGS LÄN</t>
        </is>
      </c>
      <c r="E5893" t="inlineStr">
        <is>
          <t>NORDANSTIG</t>
        </is>
      </c>
      <c r="G5893" t="n">
        <v>5</v>
      </c>
      <c r="H5893" t="n">
        <v>0</v>
      </c>
      <c r="I5893" t="n">
        <v>0</v>
      </c>
      <c r="J5893" t="n">
        <v>0</v>
      </c>
      <c r="K5893" t="n">
        <v>0</v>
      </c>
      <c r="L5893" t="n">
        <v>0</v>
      </c>
      <c r="M5893" t="n">
        <v>0</v>
      </c>
      <c r="N5893" t="n">
        <v>0</v>
      </c>
      <c r="O5893" t="n">
        <v>0</v>
      </c>
      <c r="P5893" t="n">
        <v>0</v>
      </c>
      <c r="Q5893" t="n">
        <v>0</v>
      </c>
      <c r="R5893" s="2" t="inlineStr"/>
    </row>
    <row r="5894" ht="15" customHeight="1">
      <c r="A5894" t="inlineStr">
        <is>
          <t>A 37534-2023</t>
        </is>
      </c>
      <c r="B5894" s="1" t="n">
        <v>45158.91878472222</v>
      </c>
      <c r="C5894" s="1" t="n">
        <v>45911</v>
      </c>
      <c r="D5894" t="inlineStr">
        <is>
          <t>GÄVLEBORGS LÄN</t>
        </is>
      </c>
      <c r="E5894" t="inlineStr">
        <is>
          <t>GÄVLE</t>
        </is>
      </c>
      <c r="G5894" t="n">
        <v>3.6</v>
      </c>
      <c r="H5894" t="n">
        <v>0</v>
      </c>
      <c r="I5894" t="n">
        <v>0</v>
      </c>
      <c r="J5894" t="n">
        <v>0</v>
      </c>
      <c r="K5894" t="n">
        <v>0</v>
      </c>
      <c r="L5894" t="n">
        <v>0</v>
      </c>
      <c r="M5894" t="n">
        <v>0</v>
      </c>
      <c r="N5894" t="n">
        <v>0</v>
      </c>
      <c r="O5894" t="n">
        <v>0</v>
      </c>
      <c r="P5894" t="n">
        <v>0</v>
      </c>
      <c r="Q5894" t="n">
        <v>0</v>
      </c>
      <c r="R5894" s="2" t="inlineStr"/>
    </row>
    <row r="5895" ht="15" customHeight="1">
      <c r="A5895" t="inlineStr">
        <is>
          <t>A 37538-2023</t>
        </is>
      </c>
      <c r="B5895" s="1" t="n">
        <v>45158.94141203703</v>
      </c>
      <c r="C5895" s="1" t="n">
        <v>45911</v>
      </c>
      <c r="D5895" t="inlineStr">
        <is>
          <t>GÄVLEBORGS LÄN</t>
        </is>
      </c>
      <c r="E5895" t="inlineStr">
        <is>
          <t>GÄVLE</t>
        </is>
      </c>
      <c r="G5895" t="n">
        <v>2.9</v>
      </c>
      <c r="H5895" t="n">
        <v>0</v>
      </c>
      <c r="I5895" t="n">
        <v>0</v>
      </c>
      <c r="J5895" t="n">
        <v>0</v>
      </c>
      <c r="K5895" t="n">
        <v>0</v>
      </c>
      <c r="L5895" t="n">
        <v>0</v>
      </c>
      <c r="M5895" t="n">
        <v>0</v>
      </c>
      <c r="N5895" t="n">
        <v>0</v>
      </c>
      <c r="O5895" t="n">
        <v>0</v>
      </c>
      <c r="P5895" t="n">
        <v>0</v>
      </c>
      <c r="Q5895" t="n">
        <v>0</v>
      </c>
      <c r="R5895" s="2" t="inlineStr"/>
    </row>
    <row r="5896" ht="15" customHeight="1">
      <c r="A5896" t="inlineStr">
        <is>
          <t>A 5057-2025</t>
        </is>
      </c>
      <c r="B5896" s="1" t="n">
        <v>45691.46682870371</v>
      </c>
      <c r="C5896" s="1" t="n">
        <v>45911</v>
      </c>
      <c r="D5896" t="inlineStr">
        <is>
          <t>GÄVLEBORGS LÄN</t>
        </is>
      </c>
      <c r="E5896" t="inlineStr">
        <is>
          <t>OVANÅKER</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48301-2023</t>
        </is>
      </c>
      <c r="B5897" s="1" t="n">
        <v>45205</v>
      </c>
      <c r="C5897" s="1" t="n">
        <v>45911</v>
      </c>
      <c r="D5897" t="inlineStr">
        <is>
          <t>GÄVLEBORGS LÄN</t>
        </is>
      </c>
      <c r="E5897" t="inlineStr">
        <is>
          <t>BOLLNÄS</t>
        </is>
      </c>
      <c r="G5897" t="n">
        <v>5.1</v>
      </c>
      <c r="H5897" t="n">
        <v>0</v>
      </c>
      <c r="I5897" t="n">
        <v>0</v>
      </c>
      <c r="J5897" t="n">
        <v>0</v>
      </c>
      <c r="K5897" t="n">
        <v>0</v>
      </c>
      <c r="L5897" t="n">
        <v>0</v>
      </c>
      <c r="M5897" t="n">
        <v>0</v>
      </c>
      <c r="N5897" t="n">
        <v>0</v>
      </c>
      <c r="O5897" t="n">
        <v>0</v>
      </c>
      <c r="P5897" t="n">
        <v>0</v>
      </c>
      <c r="Q5897" t="n">
        <v>0</v>
      </c>
      <c r="R5897" s="2" t="inlineStr"/>
    </row>
    <row r="5898" ht="15" customHeight="1">
      <c r="A5898" t="inlineStr">
        <is>
          <t>A 15464-2022</t>
        </is>
      </c>
      <c r="B5898" s="1" t="n">
        <v>44662</v>
      </c>
      <c r="C5898" s="1" t="n">
        <v>45911</v>
      </c>
      <c r="D5898" t="inlineStr">
        <is>
          <t>GÄVLEBORGS LÄN</t>
        </is>
      </c>
      <c r="E5898" t="inlineStr">
        <is>
          <t>BOLLNÄS</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40588-2025</t>
        </is>
      </c>
      <c r="B5899" s="1" t="n">
        <v>45896.5346412037</v>
      </c>
      <c r="C5899" s="1" t="n">
        <v>45911</v>
      </c>
      <c r="D5899" t="inlineStr">
        <is>
          <t>GÄVLEBORGS LÄN</t>
        </is>
      </c>
      <c r="E5899" t="inlineStr">
        <is>
          <t>SANDVIKEN</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34464-2021</t>
        </is>
      </c>
      <c r="B5900" s="1" t="n">
        <v>44381</v>
      </c>
      <c r="C5900" s="1" t="n">
        <v>45911</v>
      </c>
      <c r="D5900" t="inlineStr">
        <is>
          <t>GÄVLEBORGS LÄN</t>
        </is>
      </c>
      <c r="E5900" t="inlineStr">
        <is>
          <t>BOLLNÄS</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404-2021</t>
        </is>
      </c>
      <c r="B5901" s="1" t="n">
        <v>44201</v>
      </c>
      <c r="C5901" s="1" t="n">
        <v>45911</v>
      </c>
      <c r="D5901" t="inlineStr">
        <is>
          <t>GÄVLEBORGS LÄN</t>
        </is>
      </c>
      <c r="E5901" t="inlineStr">
        <is>
          <t>HUDIKSVALL</t>
        </is>
      </c>
      <c r="G5901" t="n">
        <v>5.3</v>
      </c>
      <c r="H5901" t="n">
        <v>0</v>
      </c>
      <c r="I5901" t="n">
        <v>0</v>
      </c>
      <c r="J5901" t="n">
        <v>0</v>
      </c>
      <c r="K5901" t="n">
        <v>0</v>
      </c>
      <c r="L5901" t="n">
        <v>0</v>
      </c>
      <c r="M5901" t="n">
        <v>0</v>
      </c>
      <c r="N5901" t="n">
        <v>0</v>
      </c>
      <c r="O5901" t="n">
        <v>0</v>
      </c>
      <c r="P5901" t="n">
        <v>0</v>
      </c>
      <c r="Q5901" t="n">
        <v>0</v>
      </c>
      <c r="R5901" s="2" t="inlineStr"/>
    </row>
    <row r="5902" ht="15" customHeight="1">
      <c r="A5902" t="inlineStr">
        <is>
          <t>A 15750-2022</t>
        </is>
      </c>
      <c r="B5902" s="1" t="n">
        <v>44663</v>
      </c>
      <c r="C5902" s="1" t="n">
        <v>45911</v>
      </c>
      <c r="D5902" t="inlineStr">
        <is>
          <t>GÄVLEBORGS LÄN</t>
        </is>
      </c>
      <c r="E5902" t="inlineStr">
        <is>
          <t>LJUSDAL</t>
        </is>
      </c>
      <c r="G5902" t="n">
        <v>3.1</v>
      </c>
      <c r="H5902" t="n">
        <v>0</v>
      </c>
      <c r="I5902" t="n">
        <v>0</v>
      </c>
      <c r="J5902" t="n">
        <v>0</v>
      </c>
      <c r="K5902" t="n">
        <v>0</v>
      </c>
      <c r="L5902" t="n">
        <v>0</v>
      </c>
      <c r="M5902" t="n">
        <v>0</v>
      </c>
      <c r="N5902" t="n">
        <v>0</v>
      </c>
      <c r="O5902" t="n">
        <v>0</v>
      </c>
      <c r="P5902" t="n">
        <v>0</v>
      </c>
      <c r="Q5902" t="n">
        <v>0</v>
      </c>
      <c r="R5902" s="2" t="inlineStr"/>
    </row>
    <row r="5903" ht="15" customHeight="1">
      <c r="A5903" t="inlineStr">
        <is>
          <t>A 34562-2021</t>
        </is>
      </c>
      <c r="B5903" s="1" t="n">
        <v>44382</v>
      </c>
      <c r="C5903" s="1" t="n">
        <v>45911</v>
      </c>
      <c r="D5903" t="inlineStr">
        <is>
          <t>GÄVLEBORGS LÄN</t>
        </is>
      </c>
      <c r="E5903" t="inlineStr">
        <is>
          <t>BOLLNÄS</t>
        </is>
      </c>
      <c r="F5903" t="inlineStr">
        <is>
          <t>Bergvik skog väst AB</t>
        </is>
      </c>
      <c r="G5903" t="n">
        <v>8.800000000000001</v>
      </c>
      <c r="H5903" t="n">
        <v>0</v>
      </c>
      <c r="I5903" t="n">
        <v>0</v>
      </c>
      <c r="J5903" t="n">
        <v>0</v>
      </c>
      <c r="K5903" t="n">
        <v>0</v>
      </c>
      <c r="L5903" t="n">
        <v>0</v>
      </c>
      <c r="M5903" t="n">
        <v>0</v>
      </c>
      <c r="N5903" t="n">
        <v>0</v>
      </c>
      <c r="O5903" t="n">
        <v>0</v>
      </c>
      <c r="P5903" t="n">
        <v>0</v>
      </c>
      <c r="Q5903" t="n">
        <v>0</v>
      </c>
      <c r="R5903" s="2" t="inlineStr"/>
    </row>
    <row r="5904" ht="15" customHeight="1">
      <c r="A5904" t="inlineStr">
        <is>
          <t>A 40512-2025</t>
        </is>
      </c>
      <c r="B5904" s="1" t="n">
        <v>45896.3477662037</v>
      </c>
      <c r="C5904" s="1" t="n">
        <v>45911</v>
      </c>
      <c r="D5904" t="inlineStr">
        <is>
          <t>GÄVLEBORGS LÄN</t>
        </is>
      </c>
      <c r="E5904" t="inlineStr">
        <is>
          <t>LJUSDAL</t>
        </is>
      </c>
      <c r="G5904" t="n">
        <v>26.4</v>
      </c>
      <c r="H5904" t="n">
        <v>0</v>
      </c>
      <c r="I5904" t="n">
        <v>0</v>
      </c>
      <c r="J5904" t="n">
        <v>0</v>
      </c>
      <c r="K5904" t="n">
        <v>0</v>
      </c>
      <c r="L5904" t="n">
        <v>0</v>
      </c>
      <c r="M5904" t="n">
        <v>0</v>
      </c>
      <c r="N5904" t="n">
        <v>0</v>
      </c>
      <c r="O5904" t="n">
        <v>0</v>
      </c>
      <c r="P5904" t="n">
        <v>0</v>
      </c>
      <c r="Q5904" t="n">
        <v>0</v>
      </c>
      <c r="R5904" s="2" t="inlineStr"/>
    </row>
    <row r="5905" ht="15" customHeight="1">
      <c r="A5905" t="inlineStr">
        <is>
          <t>A 25665-2023</t>
        </is>
      </c>
      <c r="B5905" s="1" t="n">
        <v>45089</v>
      </c>
      <c r="C5905" s="1" t="n">
        <v>45911</v>
      </c>
      <c r="D5905" t="inlineStr">
        <is>
          <t>GÄVLEBORGS LÄN</t>
        </is>
      </c>
      <c r="E5905" t="inlineStr">
        <is>
          <t>NORDANSTIG</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37194-2023</t>
        </is>
      </c>
      <c r="B5906" s="1" t="n">
        <v>45155.66672453703</v>
      </c>
      <c r="C5906" s="1" t="n">
        <v>45911</v>
      </c>
      <c r="D5906" t="inlineStr">
        <is>
          <t>GÄVLEBORGS LÄN</t>
        </is>
      </c>
      <c r="E5906" t="inlineStr">
        <is>
          <t>BOLLNÄS</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40530-2025</t>
        </is>
      </c>
      <c r="B5907" s="1" t="n">
        <v>45896.38710648148</v>
      </c>
      <c r="C5907" s="1" t="n">
        <v>45911</v>
      </c>
      <c r="D5907" t="inlineStr">
        <is>
          <t>GÄVLEBORGS LÄN</t>
        </is>
      </c>
      <c r="E5907" t="inlineStr">
        <is>
          <t>GÄVLE</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40290-2025</t>
        </is>
      </c>
      <c r="B5908" s="1" t="n">
        <v>45895.38581018519</v>
      </c>
      <c r="C5908" s="1" t="n">
        <v>45911</v>
      </c>
      <c r="D5908" t="inlineStr">
        <is>
          <t>GÄVLEBORGS LÄN</t>
        </is>
      </c>
      <c r="E5908" t="inlineStr">
        <is>
          <t>NORDANSTIG</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40316-2025</t>
        </is>
      </c>
      <c r="B5909" s="1" t="n">
        <v>45895.42797453704</v>
      </c>
      <c r="C5909" s="1" t="n">
        <v>45911</v>
      </c>
      <c r="D5909" t="inlineStr">
        <is>
          <t>GÄVLEBORGS LÄN</t>
        </is>
      </c>
      <c r="E5909" t="inlineStr">
        <is>
          <t>GÄVLE</t>
        </is>
      </c>
      <c r="F5909" t="inlineStr">
        <is>
          <t>Kyrkan</t>
        </is>
      </c>
      <c r="G5909" t="n">
        <v>4.4</v>
      </c>
      <c r="H5909" t="n">
        <v>0</v>
      </c>
      <c r="I5909" t="n">
        <v>0</v>
      </c>
      <c r="J5909" t="n">
        <v>0</v>
      </c>
      <c r="K5909" t="n">
        <v>0</v>
      </c>
      <c r="L5909" t="n">
        <v>0</v>
      </c>
      <c r="M5909" t="n">
        <v>0</v>
      </c>
      <c r="N5909" t="n">
        <v>0</v>
      </c>
      <c r="O5909" t="n">
        <v>0</v>
      </c>
      <c r="P5909" t="n">
        <v>0</v>
      </c>
      <c r="Q5909" t="n">
        <v>0</v>
      </c>
      <c r="R5909" s="2" t="inlineStr"/>
    </row>
    <row r="5910" ht="15" customHeight="1">
      <c r="A5910" t="inlineStr">
        <is>
          <t>A 40333-2025</t>
        </is>
      </c>
      <c r="B5910" s="1" t="n">
        <v>45895.46172453704</v>
      </c>
      <c r="C5910" s="1" t="n">
        <v>45911</v>
      </c>
      <c r="D5910" t="inlineStr">
        <is>
          <t>GÄVLEBORGS LÄN</t>
        </is>
      </c>
      <c r="E5910" t="inlineStr">
        <is>
          <t>BOLLNÄS</t>
        </is>
      </c>
      <c r="G5910" t="n">
        <v>6.3</v>
      </c>
      <c r="H5910" t="n">
        <v>0</v>
      </c>
      <c r="I5910" t="n">
        <v>0</v>
      </c>
      <c r="J5910" t="n">
        <v>0</v>
      </c>
      <c r="K5910" t="n">
        <v>0</v>
      </c>
      <c r="L5910" t="n">
        <v>0</v>
      </c>
      <c r="M5910" t="n">
        <v>0</v>
      </c>
      <c r="N5910" t="n">
        <v>0</v>
      </c>
      <c r="O5910" t="n">
        <v>0</v>
      </c>
      <c r="P5910" t="n">
        <v>0</v>
      </c>
      <c r="Q5910" t="n">
        <v>0</v>
      </c>
      <c r="R5910" s="2" t="inlineStr"/>
    </row>
    <row r="5911" ht="15" customHeight="1">
      <c r="A5911" t="inlineStr">
        <is>
          <t>A 9884-2023</t>
        </is>
      </c>
      <c r="B5911" s="1" t="n">
        <v>44985.29388888889</v>
      </c>
      <c r="C5911" s="1" t="n">
        <v>45911</v>
      </c>
      <c r="D5911" t="inlineStr">
        <is>
          <t>GÄVLEBORGS LÄN</t>
        </is>
      </c>
      <c r="E5911" t="inlineStr">
        <is>
          <t>NORDANSTIG</t>
        </is>
      </c>
      <c r="F5911" t="inlineStr">
        <is>
          <t>Holmen skog AB</t>
        </is>
      </c>
      <c r="G5911" t="n">
        <v>2.6</v>
      </c>
      <c r="H5911" t="n">
        <v>0</v>
      </c>
      <c r="I5911" t="n">
        <v>0</v>
      </c>
      <c r="J5911" t="n">
        <v>0</v>
      </c>
      <c r="K5911" t="n">
        <v>0</v>
      </c>
      <c r="L5911" t="n">
        <v>0</v>
      </c>
      <c r="M5911" t="n">
        <v>0</v>
      </c>
      <c r="N5911" t="n">
        <v>0</v>
      </c>
      <c r="O5911" t="n">
        <v>0</v>
      </c>
      <c r="P5911" t="n">
        <v>0</v>
      </c>
      <c r="Q5911" t="n">
        <v>0</v>
      </c>
      <c r="R5911" s="2" t="inlineStr"/>
    </row>
    <row r="5912" ht="15" customHeight="1">
      <c r="A5912" t="inlineStr">
        <is>
          <t>A 43018-2023</t>
        </is>
      </c>
      <c r="B5912" s="1" t="n">
        <v>45182.64844907408</v>
      </c>
      <c r="C5912" s="1" t="n">
        <v>45911</v>
      </c>
      <c r="D5912" t="inlineStr">
        <is>
          <t>GÄVLEBORGS LÄN</t>
        </is>
      </c>
      <c r="E5912" t="inlineStr">
        <is>
          <t>LJUSDAL</t>
        </is>
      </c>
      <c r="G5912" t="n">
        <v>8.199999999999999</v>
      </c>
      <c r="H5912" t="n">
        <v>0</v>
      </c>
      <c r="I5912" t="n">
        <v>0</v>
      </c>
      <c r="J5912" t="n">
        <v>0</v>
      </c>
      <c r="K5912" t="n">
        <v>0</v>
      </c>
      <c r="L5912" t="n">
        <v>0</v>
      </c>
      <c r="M5912" t="n">
        <v>0</v>
      </c>
      <c r="N5912" t="n">
        <v>0</v>
      </c>
      <c r="O5912" t="n">
        <v>0</v>
      </c>
      <c r="P5912" t="n">
        <v>0</v>
      </c>
      <c r="Q5912" t="n">
        <v>0</v>
      </c>
      <c r="R5912" s="2" t="inlineStr"/>
    </row>
    <row r="5913" ht="15" customHeight="1">
      <c r="A5913" t="inlineStr">
        <is>
          <t>A 35302-2024</t>
        </is>
      </c>
      <c r="B5913" s="1" t="n">
        <v>45530.66972222222</v>
      </c>
      <c r="C5913" s="1" t="n">
        <v>45911</v>
      </c>
      <c r="D5913" t="inlineStr">
        <is>
          <t>GÄVLEBORGS LÄN</t>
        </is>
      </c>
      <c r="E5913" t="inlineStr">
        <is>
          <t>HUDIKSVALL</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40528-2025</t>
        </is>
      </c>
      <c r="B5914" s="1" t="n">
        <v>45896.38170138889</v>
      </c>
      <c r="C5914" s="1" t="n">
        <v>45911</v>
      </c>
      <c r="D5914" t="inlineStr">
        <is>
          <t>GÄVLEBORGS LÄN</t>
        </is>
      </c>
      <c r="E5914" t="inlineStr">
        <is>
          <t>GÄVLE</t>
        </is>
      </c>
      <c r="F5914" t="inlineStr">
        <is>
          <t>Bergvik skog öst AB</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40534-2025</t>
        </is>
      </c>
      <c r="B5915" s="1" t="n">
        <v>45896.39373842593</v>
      </c>
      <c r="C5915" s="1" t="n">
        <v>45911</v>
      </c>
      <c r="D5915" t="inlineStr">
        <is>
          <t>GÄVLEBORGS LÄN</t>
        </is>
      </c>
      <c r="E5915" t="inlineStr">
        <is>
          <t>GÄVLE</t>
        </is>
      </c>
      <c r="F5915" t="inlineStr">
        <is>
          <t>Bergvik skog öst AB</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40536-2025</t>
        </is>
      </c>
      <c r="B5916" s="1" t="n">
        <v>45896.40668981482</v>
      </c>
      <c r="C5916" s="1" t="n">
        <v>45911</v>
      </c>
      <c r="D5916" t="inlineStr">
        <is>
          <t>GÄVLEBORGS LÄN</t>
        </is>
      </c>
      <c r="E5916" t="inlineStr">
        <is>
          <t>SÖDERHAMN</t>
        </is>
      </c>
      <c r="G5916" t="n">
        <v>3.6</v>
      </c>
      <c r="H5916" t="n">
        <v>0</v>
      </c>
      <c r="I5916" t="n">
        <v>0</v>
      </c>
      <c r="J5916" t="n">
        <v>0</v>
      </c>
      <c r="K5916" t="n">
        <v>0</v>
      </c>
      <c r="L5916" t="n">
        <v>0</v>
      </c>
      <c r="M5916" t="n">
        <v>0</v>
      </c>
      <c r="N5916" t="n">
        <v>0</v>
      </c>
      <c r="O5916" t="n">
        <v>0</v>
      </c>
      <c r="P5916" t="n">
        <v>0</v>
      </c>
      <c r="Q5916" t="n">
        <v>0</v>
      </c>
      <c r="R5916" s="2" t="inlineStr"/>
    </row>
    <row r="5917" ht="15" customHeight="1">
      <c r="A5917" t="inlineStr">
        <is>
          <t>A 17185-2025</t>
        </is>
      </c>
      <c r="B5917" s="1" t="n">
        <v>45755</v>
      </c>
      <c r="C5917" s="1" t="n">
        <v>45911</v>
      </c>
      <c r="D5917" t="inlineStr">
        <is>
          <t>GÄVLEBORGS LÄN</t>
        </is>
      </c>
      <c r="E5917" t="inlineStr">
        <is>
          <t>HOFORS</t>
        </is>
      </c>
      <c r="F5917" t="inlineStr">
        <is>
          <t>Bergvik skog väst AB</t>
        </is>
      </c>
      <c r="G5917" t="n">
        <v>10.3</v>
      </c>
      <c r="H5917" t="n">
        <v>0</v>
      </c>
      <c r="I5917" t="n">
        <v>0</v>
      </c>
      <c r="J5917" t="n">
        <v>0</v>
      </c>
      <c r="K5917" t="n">
        <v>0</v>
      </c>
      <c r="L5917" t="n">
        <v>0</v>
      </c>
      <c r="M5917" t="n">
        <v>0</v>
      </c>
      <c r="N5917" t="n">
        <v>0</v>
      </c>
      <c r="O5917" t="n">
        <v>0</v>
      </c>
      <c r="P5917" t="n">
        <v>0</v>
      </c>
      <c r="Q5917" t="n">
        <v>0</v>
      </c>
      <c r="R5917" s="2" t="inlineStr"/>
    </row>
    <row r="5918" ht="15" customHeight="1">
      <c r="A5918" t="inlineStr">
        <is>
          <t>A 40396-2025</t>
        </is>
      </c>
      <c r="B5918" s="1" t="n">
        <v>45895.55916666667</v>
      </c>
      <c r="C5918" s="1" t="n">
        <v>45911</v>
      </c>
      <c r="D5918" t="inlineStr">
        <is>
          <t>GÄVLEBORGS LÄN</t>
        </is>
      </c>
      <c r="E5918" t="inlineStr">
        <is>
          <t>SÖDERHAMN</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35208-2025</t>
        </is>
      </c>
      <c r="B5919" s="1" t="n">
        <v>45853</v>
      </c>
      <c r="C5919" s="1" t="n">
        <v>45911</v>
      </c>
      <c r="D5919" t="inlineStr">
        <is>
          <t>GÄVLEBORGS LÄN</t>
        </is>
      </c>
      <c r="E5919" t="inlineStr">
        <is>
          <t>BOLLNÄS</t>
        </is>
      </c>
      <c r="F5919" t="inlineStr">
        <is>
          <t>Bergvik skog väst AB</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50197-2024</t>
        </is>
      </c>
      <c r="B5920" s="1" t="n">
        <v>45600.48857638889</v>
      </c>
      <c r="C5920" s="1" t="n">
        <v>45911</v>
      </c>
      <c r="D5920" t="inlineStr">
        <is>
          <t>GÄVLEBORGS LÄN</t>
        </is>
      </c>
      <c r="E5920" t="inlineStr">
        <is>
          <t>OCKELBO</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17206-2025</t>
        </is>
      </c>
      <c r="B5921" s="1" t="n">
        <v>45756.42607638889</v>
      </c>
      <c r="C5921" s="1" t="n">
        <v>45911</v>
      </c>
      <c r="D5921" t="inlineStr">
        <is>
          <t>GÄVLEBORGS LÄN</t>
        </is>
      </c>
      <c r="E5921" t="inlineStr">
        <is>
          <t>HUDIKSVALL</t>
        </is>
      </c>
      <c r="F5921" t="inlineStr">
        <is>
          <t>Holmen skog AB</t>
        </is>
      </c>
      <c r="G5921" t="n">
        <v>15.7</v>
      </c>
      <c r="H5921" t="n">
        <v>0</v>
      </c>
      <c r="I5921" t="n">
        <v>0</v>
      </c>
      <c r="J5921" t="n">
        <v>0</v>
      </c>
      <c r="K5921" t="n">
        <v>0</v>
      </c>
      <c r="L5921" t="n">
        <v>0</v>
      </c>
      <c r="M5921" t="n">
        <v>0</v>
      </c>
      <c r="N5921" t="n">
        <v>0</v>
      </c>
      <c r="O5921" t="n">
        <v>0</v>
      </c>
      <c r="P5921" t="n">
        <v>0</v>
      </c>
      <c r="Q5921" t="n">
        <v>0</v>
      </c>
      <c r="R5921" s="2" t="inlineStr"/>
    </row>
    <row r="5922" ht="15" customHeight="1">
      <c r="A5922" t="inlineStr">
        <is>
          <t>A 14750-2022</t>
        </is>
      </c>
      <c r="B5922" s="1" t="n">
        <v>44656</v>
      </c>
      <c r="C5922" s="1" t="n">
        <v>45911</v>
      </c>
      <c r="D5922" t="inlineStr">
        <is>
          <t>GÄVLEBORGS LÄN</t>
        </is>
      </c>
      <c r="E5922" t="inlineStr">
        <is>
          <t>GÄVLE</t>
        </is>
      </c>
      <c r="G5922" t="n">
        <v>0.1</v>
      </c>
      <c r="H5922" t="n">
        <v>0</v>
      </c>
      <c r="I5922" t="n">
        <v>0</v>
      </c>
      <c r="J5922" t="n">
        <v>0</v>
      </c>
      <c r="K5922" t="n">
        <v>0</v>
      </c>
      <c r="L5922" t="n">
        <v>0</v>
      </c>
      <c r="M5922" t="n">
        <v>0</v>
      </c>
      <c r="N5922" t="n">
        <v>0</v>
      </c>
      <c r="O5922" t="n">
        <v>0</v>
      </c>
      <c r="P5922" t="n">
        <v>0</v>
      </c>
      <c r="Q5922" t="n">
        <v>0</v>
      </c>
      <c r="R5922" s="2" t="inlineStr"/>
    </row>
    <row r="5923" ht="15" customHeight="1">
      <c r="A5923" t="inlineStr">
        <is>
          <t>A 35302-2025</t>
        </is>
      </c>
      <c r="B5923" s="1" t="n">
        <v>45854.42663194444</v>
      </c>
      <c r="C5923" s="1" t="n">
        <v>45911</v>
      </c>
      <c r="D5923" t="inlineStr">
        <is>
          <t>GÄVLEBORGS LÄN</t>
        </is>
      </c>
      <c r="E5923" t="inlineStr">
        <is>
          <t>OVANÅKER</t>
        </is>
      </c>
      <c r="F5923" t="inlineStr">
        <is>
          <t>Bergvik skog väst AB</t>
        </is>
      </c>
      <c r="G5923" t="n">
        <v>3.5</v>
      </c>
      <c r="H5923" t="n">
        <v>0</v>
      </c>
      <c r="I5923" t="n">
        <v>0</v>
      </c>
      <c r="J5923" t="n">
        <v>0</v>
      </c>
      <c r="K5923" t="n">
        <v>0</v>
      </c>
      <c r="L5923" t="n">
        <v>0</v>
      </c>
      <c r="M5923" t="n">
        <v>0</v>
      </c>
      <c r="N5923" t="n">
        <v>0</v>
      </c>
      <c r="O5923" t="n">
        <v>0</v>
      </c>
      <c r="P5923" t="n">
        <v>0</v>
      </c>
      <c r="Q5923" t="n">
        <v>0</v>
      </c>
      <c r="R5923" s="2" t="inlineStr"/>
    </row>
    <row r="5924" ht="15" customHeight="1">
      <c r="A5924" t="inlineStr">
        <is>
          <t>A 14840-2022</t>
        </is>
      </c>
      <c r="B5924" s="1" t="n">
        <v>44656.57594907407</v>
      </c>
      <c r="C5924" s="1" t="n">
        <v>45911</v>
      </c>
      <c r="D5924" t="inlineStr">
        <is>
          <t>GÄVLEBORGS LÄN</t>
        </is>
      </c>
      <c r="E5924" t="inlineStr">
        <is>
          <t>SANDVIKEN</t>
        </is>
      </c>
      <c r="G5924" t="n">
        <v>0.4</v>
      </c>
      <c r="H5924" t="n">
        <v>0</v>
      </c>
      <c r="I5924" t="n">
        <v>0</v>
      </c>
      <c r="J5924" t="n">
        <v>0</v>
      </c>
      <c r="K5924" t="n">
        <v>0</v>
      </c>
      <c r="L5924" t="n">
        <v>0</v>
      </c>
      <c r="M5924" t="n">
        <v>0</v>
      </c>
      <c r="N5924" t="n">
        <v>0</v>
      </c>
      <c r="O5924" t="n">
        <v>0</v>
      </c>
      <c r="P5924" t="n">
        <v>0</v>
      </c>
      <c r="Q5924" t="n">
        <v>0</v>
      </c>
      <c r="R5924" s="2" t="inlineStr"/>
    </row>
    <row r="5925" ht="15" customHeight="1">
      <c r="A5925" t="inlineStr">
        <is>
          <t>A 32577-2021</t>
        </is>
      </c>
      <c r="B5925" s="1" t="n">
        <v>44375.35237268519</v>
      </c>
      <c r="C5925" s="1" t="n">
        <v>45911</v>
      </c>
      <c r="D5925" t="inlineStr">
        <is>
          <t>GÄVLEBORGS LÄN</t>
        </is>
      </c>
      <c r="E5925" t="inlineStr">
        <is>
          <t>HUDIKSVALL</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47651-2023</t>
        </is>
      </c>
      <c r="B5926" s="1" t="n">
        <v>45203</v>
      </c>
      <c r="C5926" s="1" t="n">
        <v>45911</v>
      </c>
      <c r="D5926" t="inlineStr">
        <is>
          <t>GÄVLEBORGS LÄN</t>
        </is>
      </c>
      <c r="E5926" t="inlineStr">
        <is>
          <t>SANDVIKEN</t>
        </is>
      </c>
      <c r="F5926" t="inlineStr">
        <is>
          <t>Kommuner</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2906-2025</t>
        </is>
      </c>
      <c r="B5927" s="1" t="n">
        <v>45677.79960648148</v>
      </c>
      <c r="C5927" s="1" t="n">
        <v>45911</v>
      </c>
      <c r="D5927" t="inlineStr">
        <is>
          <t>GÄVLEBORGS LÄN</t>
        </is>
      </c>
      <c r="E5927" t="inlineStr">
        <is>
          <t>HUDIKSVALL</t>
        </is>
      </c>
      <c r="F5927" t="inlineStr">
        <is>
          <t>Holmen skog AB</t>
        </is>
      </c>
      <c r="G5927" t="n">
        <v>22.5</v>
      </c>
      <c r="H5927" t="n">
        <v>0</v>
      </c>
      <c r="I5927" t="n">
        <v>0</v>
      </c>
      <c r="J5927" t="n">
        <v>0</v>
      </c>
      <c r="K5927" t="n">
        <v>0</v>
      </c>
      <c r="L5927" t="n">
        <v>0</v>
      </c>
      <c r="M5927" t="n">
        <v>0</v>
      </c>
      <c r="N5927" t="n">
        <v>0</v>
      </c>
      <c r="O5927" t="n">
        <v>0</v>
      </c>
      <c r="P5927" t="n">
        <v>0</v>
      </c>
      <c r="Q5927" t="n">
        <v>0</v>
      </c>
      <c r="R5927" s="2" t="inlineStr"/>
    </row>
    <row r="5928" ht="15" customHeight="1">
      <c r="A5928" t="inlineStr">
        <is>
          <t>A 40393-2025</t>
        </is>
      </c>
      <c r="B5928" s="1" t="n">
        <v>45895.55646990741</v>
      </c>
      <c r="C5928" s="1" t="n">
        <v>45911</v>
      </c>
      <c r="D5928" t="inlineStr">
        <is>
          <t>GÄVLEBORGS LÄN</t>
        </is>
      </c>
      <c r="E5928" t="inlineStr">
        <is>
          <t>HOFORS</t>
        </is>
      </c>
      <c r="F5928" t="inlineStr">
        <is>
          <t>Sveaskog</t>
        </is>
      </c>
      <c r="G5928" t="n">
        <v>2.9</v>
      </c>
      <c r="H5928" t="n">
        <v>0</v>
      </c>
      <c r="I5928" t="n">
        <v>0</v>
      </c>
      <c r="J5928" t="n">
        <v>0</v>
      </c>
      <c r="K5928" t="n">
        <v>0</v>
      </c>
      <c r="L5928" t="n">
        <v>0</v>
      </c>
      <c r="M5928" t="n">
        <v>0</v>
      </c>
      <c r="N5928" t="n">
        <v>0</v>
      </c>
      <c r="O5928" t="n">
        <v>0</v>
      </c>
      <c r="P5928" t="n">
        <v>0</v>
      </c>
      <c r="Q5928" t="n">
        <v>0</v>
      </c>
      <c r="R5928" s="2" t="inlineStr"/>
    </row>
    <row r="5929" ht="15" customHeight="1">
      <c r="A5929" t="inlineStr">
        <is>
          <t>A 2937-2025</t>
        </is>
      </c>
      <c r="B5929" s="1" t="n">
        <v>45678.38020833334</v>
      </c>
      <c r="C5929" s="1" t="n">
        <v>45911</v>
      </c>
      <c r="D5929" t="inlineStr">
        <is>
          <t>GÄVLEBORGS LÄN</t>
        </is>
      </c>
      <c r="E5929" t="inlineStr">
        <is>
          <t>LJUSDAL</t>
        </is>
      </c>
      <c r="F5929" t="inlineStr">
        <is>
          <t>Holmen skog AB</t>
        </is>
      </c>
      <c r="G5929" t="n">
        <v>20.2</v>
      </c>
      <c r="H5929" t="n">
        <v>0</v>
      </c>
      <c r="I5929" t="n">
        <v>0</v>
      </c>
      <c r="J5929" t="n">
        <v>0</v>
      </c>
      <c r="K5929" t="n">
        <v>0</v>
      </c>
      <c r="L5929" t="n">
        <v>0</v>
      </c>
      <c r="M5929" t="n">
        <v>0</v>
      </c>
      <c r="N5929" t="n">
        <v>0</v>
      </c>
      <c r="O5929" t="n">
        <v>0</v>
      </c>
      <c r="P5929" t="n">
        <v>0</v>
      </c>
      <c r="Q5929" t="n">
        <v>0</v>
      </c>
      <c r="R5929" s="2" t="inlineStr"/>
    </row>
    <row r="5930" ht="15" customHeight="1">
      <c r="A5930" t="inlineStr">
        <is>
          <t>A 26554-2022</t>
        </is>
      </c>
      <c r="B5930" s="1" t="n">
        <v>44739.47634259259</v>
      </c>
      <c r="C5930" s="1" t="n">
        <v>45911</v>
      </c>
      <c r="D5930" t="inlineStr">
        <is>
          <t>GÄVLEBORGS LÄN</t>
        </is>
      </c>
      <c r="E5930" t="inlineStr">
        <is>
          <t>SÖDERHAMN</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40489-2025</t>
        </is>
      </c>
      <c r="B5931" s="1" t="n">
        <v>45895.89425925926</v>
      </c>
      <c r="C5931" s="1" t="n">
        <v>45911</v>
      </c>
      <c r="D5931" t="inlineStr">
        <is>
          <t>GÄVLEBORGS LÄN</t>
        </is>
      </c>
      <c r="E5931" t="inlineStr">
        <is>
          <t>OVANÅKER</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40491-2025</t>
        </is>
      </c>
      <c r="B5932" s="1" t="n">
        <v>45895.92241898148</v>
      </c>
      <c r="C5932" s="1" t="n">
        <v>45911</v>
      </c>
      <c r="D5932" t="inlineStr">
        <is>
          <t>GÄVLEBORGS LÄN</t>
        </is>
      </c>
      <c r="E5932" t="inlineStr">
        <is>
          <t>OVANÅKER</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16995-2024</t>
        </is>
      </c>
      <c r="B5933" s="1" t="n">
        <v>45412.33939814815</v>
      </c>
      <c r="C5933" s="1" t="n">
        <v>45911</v>
      </c>
      <c r="D5933" t="inlineStr">
        <is>
          <t>GÄVLEBORGS LÄN</t>
        </is>
      </c>
      <c r="E5933" t="inlineStr">
        <is>
          <t>HUDIKSVALL</t>
        </is>
      </c>
      <c r="F5933" t="inlineStr">
        <is>
          <t>Holmen skog AB</t>
        </is>
      </c>
      <c r="G5933" t="n">
        <v>28.6</v>
      </c>
      <c r="H5933" t="n">
        <v>0</v>
      </c>
      <c r="I5933" t="n">
        <v>0</v>
      </c>
      <c r="J5933" t="n">
        <v>0</v>
      </c>
      <c r="K5933" t="n">
        <v>0</v>
      </c>
      <c r="L5933" t="n">
        <v>0</v>
      </c>
      <c r="M5933" t="n">
        <v>0</v>
      </c>
      <c r="N5933" t="n">
        <v>0</v>
      </c>
      <c r="O5933" t="n">
        <v>0</v>
      </c>
      <c r="P5933" t="n">
        <v>0</v>
      </c>
      <c r="Q5933" t="n">
        <v>0</v>
      </c>
      <c r="R5933" s="2" t="inlineStr"/>
    </row>
    <row r="5934" ht="15" customHeight="1">
      <c r="A5934" t="inlineStr">
        <is>
          <t>A 40525-2025</t>
        </is>
      </c>
      <c r="B5934" s="1" t="n">
        <v>45896.37104166667</v>
      </c>
      <c r="C5934" s="1" t="n">
        <v>45911</v>
      </c>
      <c r="D5934" t="inlineStr">
        <is>
          <t>GÄVLEBORGS LÄN</t>
        </is>
      </c>
      <c r="E5934" t="inlineStr">
        <is>
          <t>OCKELBO</t>
        </is>
      </c>
      <c r="G5934" t="n">
        <v>5</v>
      </c>
      <c r="H5934" t="n">
        <v>0</v>
      </c>
      <c r="I5934" t="n">
        <v>0</v>
      </c>
      <c r="J5934" t="n">
        <v>0</v>
      </c>
      <c r="K5934" t="n">
        <v>0</v>
      </c>
      <c r="L5934" t="n">
        <v>0</v>
      </c>
      <c r="M5934" t="n">
        <v>0</v>
      </c>
      <c r="N5934" t="n">
        <v>0</v>
      </c>
      <c r="O5934" t="n">
        <v>0</v>
      </c>
      <c r="P5934" t="n">
        <v>0</v>
      </c>
      <c r="Q5934" t="n">
        <v>0</v>
      </c>
      <c r="R5934" s="2" t="inlineStr"/>
    </row>
    <row r="5935" ht="15" customHeight="1">
      <c r="A5935" t="inlineStr">
        <is>
          <t>A 40561-2025</t>
        </is>
      </c>
      <c r="B5935" s="1" t="n">
        <v>45896.45621527778</v>
      </c>
      <c r="C5935" s="1" t="n">
        <v>45911</v>
      </c>
      <c r="D5935" t="inlineStr">
        <is>
          <t>GÄVLEBORGS LÄN</t>
        </is>
      </c>
      <c r="E5935" t="inlineStr">
        <is>
          <t>HUDIKSVALL</t>
        </is>
      </c>
      <c r="F5935" t="inlineStr">
        <is>
          <t>Kommuner</t>
        </is>
      </c>
      <c r="G5935" t="n">
        <v>2.1</v>
      </c>
      <c r="H5935" t="n">
        <v>0</v>
      </c>
      <c r="I5935" t="n">
        <v>0</v>
      </c>
      <c r="J5935" t="n">
        <v>0</v>
      </c>
      <c r="K5935" t="n">
        <v>0</v>
      </c>
      <c r="L5935" t="n">
        <v>0</v>
      </c>
      <c r="M5935" t="n">
        <v>0</v>
      </c>
      <c r="N5935" t="n">
        <v>0</v>
      </c>
      <c r="O5935" t="n">
        <v>0</v>
      </c>
      <c r="P5935" t="n">
        <v>0</v>
      </c>
      <c r="Q5935" t="n">
        <v>0</v>
      </c>
      <c r="R5935" s="2" t="inlineStr"/>
    </row>
    <row r="5936" ht="15" customHeight="1">
      <c r="A5936" t="inlineStr">
        <is>
          <t>A 32106-2025</t>
        </is>
      </c>
      <c r="B5936" s="1" t="n">
        <v>45835</v>
      </c>
      <c r="C5936" s="1" t="n">
        <v>45911</v>
      </c>
      <c r="D5936" t="inlineStr">
        <is>
          <t>GÄVLEBORGS LÄN</t>
        </is>
      </c>
      <c r="E5936" t="inlineStr">
        <is>
          <t>LJUSDAL</t>
        </is>
      </c>
      <c r="F5936" t="inlineStr">
        <is>
          <t>Allmännings- och besparingsskogar</t>
        </is>
      </c>
      <c r="G5936" t="n">
        <v>11.9</v>
      </c>
      <c r="H5936" t="n">
        <v>0</v>
      </c>
      <c r="I5936" t="n">
        <v>0</v>
      </c>
      <c r="J5936" t="n">
        <v>0</v>
      </c>
      <c r="K5936" t="n">
        <v>0</v>
      </c>
      <c r="L5936" t="n">
        <v>0</v>
      </c>
      <c r="M5936" t="n">
        <v>0</v>
      </c>
      <c r="N5936" t="n">
        <v>0</v>
      </c>
      <c r="O5936" t="n">
        <v>0</v>
      </c>
      <c r="P5936" t="n">
        <v>0</v>
      </c>
      <c r="Q5936" t="n">
        <v>0</v>
      </c>
      <c r="R5936" s="2" t="inlineStr"/>
    </row>
    <row r="5937" ht="15" customHeight="1">
      <c r="A5937" t="inlineStr">
        <is>
          <t>A 926-2022</t>
        </is>
      </c>
      <c r="B5937" s="1" t="n">
        <v>44571</v>
      </c>
      <c r="C5937" s="1" t="n">
        <v>45911</v>
      </c>
      <c r="D5937" t="inlineStr">
        <is>
          <t>GÄVLEBORGS LÄN</t>
        </is>
      </c>
      <c r="E5937" t="inlineStr">
        <is>
          <t>OVANÅKER</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40400-2025</t>
        </is>
      </c>
      <c r="B5938" s="1" t="n">
        <v>45895.56410879629</v>
      </c>
      <c r="C5938" s="1" t="n">
        <v>45911</v>
      </c>
      <c r="D5938" t="inlineStr">
        <is>
          <t>GÄVLEBORGS LÄN</t>
        </is>
      </c>
      <c r="E5938" t="inlineStr">
        <is>
          <t>SÖDERHAMN</t>
        </is>
      </c>
      <c r="G5938" t="n">
        <v>6.3</v>
      </c>
      <c r="H5938" t="n">
        <v>0</v>
      </c>
      <c r="I5938" t="n">
        <v>0</v>
      </c>
      <c r="J5938" t="n">
        <v>0</v>
      </c>
      <c r="K5938" t="n">
        <v>0</v>
      </c>
      <c r="L5938" t="n">
        <v>0</v>
      </c>
      <c r="M5938" t="n">
        <v>0</v>
      </c>
      <c r="N5938" t="n">
        <v>0</v>
      </c>
      <c r="O5938" t="n">
        <v>0</v>
      </c>
      <c r="P5938" t="n">
        <v>0</v>
      </c>
      <c r="Q5938" t="n">
        <v>0</v>
      </c>
      <c r="R5938" s="2" t="inlineStr"/>
    </row>
    <row r="5939" ht="15" customHeight="1">
      <c r="A5939" t="inlineStr">
        <is>
          <t>A 12764-2025</t>
        </is>
      </c>
      <c r="B5939" s="1" t="n">
        <v>45733.57371527778</v>
      </c>
      <c r="C5939" s="1" t="n">
        <v>45911</v>
      </c>
      <c r="D5939" t="inlineStr">
        <is>
          <t>GÄVLEBORGS LÄN</t>
        </is>
      </c>
      <c r="E5939" t="inlineStr">
        <is>
          <t>NORDANSTIG</t>
        </is>
      </c>
      <c r="F5939" t="inlineStr">
        <is>
          <t>Holmen skog AB</t>
        </is>
      </c>
      <c r="G5939" t="n">
        <v>4.4</v>
      </c>
      <c r="H5939" t="n">
        <v>0</v>
      </c>
      <c r="I5939" t="n">
        <v>0</v>
      </c>
      <c r="J5939" t="n">
        <v>0</v>
      </c>
      <c r="K5939" t="n">
        <v>0</v>
      </c>
      <c r="L5939" t="n">
        <v>0</v>
      </c>
      <c r="M5939" t="n">
        <v>0</v>
      </c>
      <c r="N5939" t="n">
        <v>0</v>
      </c>
      <c r="O5939" t="n">
        <v>0</v>
      </c>
      <c r="P5939" t="n">
        <v>0</v>
      </c>
      <c r="Q5939" t="n">
        <v>0</v>
      </c>
      <c r="R5939" s="2" t="inlineStr"/>
    </row>
    <row r="5940" ht="15" customHeight="1">
      <c r="A5940" t="inlineStr">
        <is>
          <t>A 71657-2021</t>
        </is>
      </c>
      <c r="B5940" s="1" t="n">
        <v>44543.37199074074</v>
      </c>
      <c r="C5940" s="1" t="n">
        <v>45911</v>
      </c>
      <c r="D5940" t="inlineStr">
        <is>
          <t>GÄVLEBORGS LÄN</t>
        </is>
      </c>
      <c r="E5940" t="inlineStr">
        <is>
          <t>BOLLNÄS</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45536-2023</t>
        </is>
      </c>
      <c r="B5941" s="1" t="n">
        <v>45194.5497800926</v>
      </c>
      <c r="C5941" s="1" t="n">
        <v>45911</v>
      </c>
      <c r="D5941" t="inlineStr">
        <is>
          <t>GÄVLEBORGS LÄN</t>
        </is>
      </c>
      <c r="E5941" t="inlineStr">
        <is>
          <t>LJUSDAL</t>
        </is>
      </c>
      <c r="G5941" t="n">
        <v>10.7</v>
      </c>
      <c r="H5941" t="n">
        <v>0</v>
      </c>
      <c r="I5941" t="n">
        <v>0</v>
      </c>
      <c r="J5941" t="n">
        <v>0</v>
      </c>
      <c r="K5941" t="n">
        <v>0</v>
      </c>
      <c r="L5941" t="n">
        <v>0</v>
      </c>
      <c r="M5941" t="n">
        <v>0</v>
      </c>
      <c r="N5941" t="n">
        <v>0</v>
      </c>
      <c r="O5941" t="n">
        <v>0</v>
      </c>
      <c r="P5941" t="n">
        <v>0</v>
      </c>
      <c r="Q5941" t="n">
        <v>0</v>
      </c>
      <c r="R5941" s="2" t="inlineStr"/>
    </row>
    <row r="5942" ht="15" customHeight="1">
      <c r="A5942" t="inlineStr">
        <is>
          <t>A 40549-2025</t>
        </is>
      </c>
      <c r="B5942" s="1" t="n">
        <v>45896.4344212963</v>
      </c>
      <c r="C5942" s="1" t="n">
        <v>45911</v>
      </c>
      <c r="D5942" t="inlineStr">
        <is>
          <t>GÄVLEBORGS LÄN</t>
        </is>
      </c>
      <c r="E5942" t="inlineStr">
        <is>
          <t>GÄVLE</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35311-2025</t>
        </is>
      </c>
      <c r="B5943" s="1" t="n">
        <v>45854.45430555556</v>
      </c>
      <c r="C5943" s="1" t="n">
        <v>45911</v>
      </c>
      <c r="D5943" t="inlineStr">
        <is>
          <t>GÄVLEBORGS LÄN</t>
        </is>
      </c>
      <c r="E5943" t="inlineStr">
        <is>
          <t>OVANÅKER</t>
        </is>
      </c>
      <c r="F5943" t="inlineStr">
        <is>
          <t>Bergvik skog väst AB</t>
        </is>
      </c>
      <c r="G5943" t="n">
        <v>4.2</v>
      </c>
      <c r="H5943" t="n">
        <v>0</v>
      </c>
      <c r="I5943" t="n">
        <v>0</v>
      </c>
      <c r="J5943" t="n">
        <v>0</v>
      </c>
      <c r="K5943" t="n">
        <v>0</v>
      </c>
      <c r="L5943" t="n">
        <v>0</v>
      </c>
      <c r="M5943" t="n">
        <v>0</v>
      </c>
      <c r="N5943" t="n">
        <v>0</v>
      </c>
      <c r="O5943" t="n">
        <v>0</v>
      </c>
      <c r="P5943" t="n">
        <v>0</v>
      </c>
      <c r="Q5943" t="n">
        <v>0</v>
      </c>
      <c r="R5943" s="2" t="inlineStr"/>
    </row>
    <row r="5944" ht="15" customHeight="1">
      <c r="A5944" t="inlineStr">
        <is>
          <t>A 35337-2025</t>
        </is>
      </c>
      <c r="B5944" s="1" t="n">
        <v>45854.58831018519</v>
      </c>
      <c r="C5944" s="1" t="n">
        <v>45911</v>
      </c>
      <c r="D5944" t="inlineStr">
        <is>
          <t>GÄVLEBORGS LÄN</t>
        </is>
      </c>
      <c r="E5944" t="inlineStr">
        <is>
          <t>GÄVLE</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40575-2025</t>
        </is>
      </c>
      <c r="B5945" s="1" t="n">
        <v>45896.50347222222</v>
      </c>
      <c r="C5945" s="1" t="n">
        <v>45911</v>
      </c>
      <c r="D5945" t="inlineStr">
        <is>
          <t>GÄVLEBORGS LÄN</t>
        </is>
      </c>
      <c r="E5945" t="inlineStr">
        <is>
          <t>SÖDERHAMN</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40622-2025</t>
        </is>
      </c>
      <c r="B5946" s="1" t="n">
        <v>45896.58621527778</v>
      </c>
      <c r="C5946" s="1" t="n">
        <v>45911</v>
      </c>
      <c r="D5946" t="inlineStr">
        <is>
          <t>GÄVLEBORGS LÄN</t>
        </is>
      </c>
      <c r="E5946" t="inlineStr">
        <is>
          <t>NORDANSTIG</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40647-2025</t>
        </is>
      </c>
      <c r="B5947" s="1" t="n">
        <v>45896.62219907407</v>
      </c>
      <c r="C5947" s="1" t="n">
        <v>45911</v>
      </c>
      <c r="D5947" t="inlineStr">
        <is>
          <t>GÄVLEBORGS LÄN</t>
        </is>
      </c>
      <c r="E5947" t="inlineStr">
        <is>
          <t>NORDANSTIG</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40658-2025</t>
        </is>
      </c>
      <c r="B5948" s="1" t="n">
        <v>45896.64530092593</v>
      </c>
      <c r="C5948" s="1" t="n">
        <v>45911</v>
      </c>
      <c r="D5948" t="inlineStr">
        <is>
          <t>GÄVLEBORGS LÄN</t>
        </is>
      </c>
      <c r="E5948" t="inlineStr">
        <is>
          <t>NORDANSTIG</t>
        </is>
      </c>
      <c r="G5948" t="n">
        <v>11.2</v>
      </c>
      <c r="H5948" t="n">
        <v>0</v>
      </c>
      <c r="I5948" t="n">
        <v>0</v>
      </c>
      <c r="J5948" t="n">
        <v>0</v>
      </c>
      <c r="K5948" t="n">
        <v>0</v>
      </c>
      <c r="L5948" t="n">
        <v>0</v>
      </c>
      <c r="M5948" t="n">
        <v>0</v>
      </c>
      <c r="N5948" t="n">
        <v>0</v>
      </c>
      <c r="O5948" t="n">
        <v>0</v>
      </c>
      <c r="P5948" t="n">
        <v>0</v>
      </c>
      <c r="Q5948" t="n">
        <v>0</v>
      </c>
      <c r="R5948" s="2" t="inlineStr"/>
    </row>
    <row r="5949" ht="15" customHeight="1">
      <c r="A5949" t="inlineStr">
        <is>
          <t>A 40407-2025</t>
        </is>
      </c>
      <c r="B5949" s="1" t="n">
        <v>45895.57083333333</v>
      </c>
      <c r="C5949" s="1" t="n">
        <v>45911</v>
      </c>
      <c r="D5949" t="inlineStr">
        <is>
          <t>GÄVLEBORGS LÄN</t>
        </is>
      </c>
      <c r="E5949" t="inlineStr">
        <is>
          <t>HOFORS</t>
        </is>
      </c>
      <c r="F5949" t="inlineStr">
        <is>
          <t>Sveaskog</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35222-2025</t>
        </is>
      </c>
      <c r="B5950" s="1" t="n">
        <v>45853.54243055556</v>
      </c>
      <c r="C5950" s="1" t="n">
        <v>45911</v>
      </c>
      <c r="D5950" t="inlineStr">
        <is>
          <t>GÄVLEBORGS LÄN</t>
        </is>
      </c>
      <c r="E5950" t="inlineStr">
        <is>
          <t>LJUSDAL</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15864-2025</t>
        </is>
      </c>
      <c r="B5951" s="1" t="n">
        <v>45749.35642361111</v>
      </c>
      <c r="C5951" s="1" t="n">
        <v>45911</v>
      </c>
      <c r="D5951" t="inlineStr">
        <is>
          <t>GÄVLEBORGS LÄN</t>
        </is>
      </c>
      <c r="E5951" t="inlineStr">
        <is>
          <t>LJUSDAL</t>
        </is>
      </c>
      <c r="F5951" t="inlineStr">
        <is>
          <t>SCA</t>
        </is>
      </c>
      <c r="G5951" t="n">
        <v>3.6</v>
      </c>
      <c r="H5951" t="n">
        <v>0</v>
      </c>
      <c r="I5951" t="n">
        <v>0</v>
      </c>
      <c r="J5951" t="n">
        <v>0</v>
      </c>
      <c r="K5951" t="n">
        <v>0</v>
      </c>
      <c r="L5951" t="n">
        <v>0</v>
      </c>
      <c r="M5951" t="n">
        <v>0</v>
      </c>
      <c r="N5951" t="n">
        <v>0</v>
      </c>
      <c r="O5951" t="n">
        <v>0</v>
      </c>
      <c r="P5951" t="n">
        <v>0</v>
      </c>
      <c r="Q5951" t="n">
        <v>0</v>
      </c>
      <c r="R5951" s="2" t="inlineStr"/>
    </row>
    <row r="5952" ht="15" customHeight="1">
      <c r="A5952" t="inlineStr">
        <is>
          <t>A 15881-2025</t>
        </is>
      </c>
      <c r="B5952" s="1" t="n">
        <v>45749.39025462963</v>
      </c>
      <c r="C5952" s="1" t="n">
        <v>45911</v>
      </c>
      <c r="D5952" t="inlineStr">
        <is>
          <t>GÄVLEBORGS LÄN</t>
        </is>
      </c>
      <c r="E5952" t="inlineStr">
        <is>
          <t>SÖDERHAMN</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15939-2025</t>
        </is>
      </c>
      <c r="B5953" s="1" t="n">
        <v>45749.48018518519</v>
      </c>
      <c r="C5953" s="1" t="n">
        <v>45911</v>
      </c>
      <c r="D5953" t="inlineStr">
        <is>
          <t>GÄVLEBORGS LÄN</t>
        </is>
      </c>
      <c r="E5953" t="inlineStr">
        <is>
          <t>GÄVLE</t>
        </is>
      </c>
      <c r="F5953" t="inlineStr">
        <is>
          <t>Bergvik skog öst AB</t>
        </is>
      </c>
      <c r="G5953" t="n">
        <v>7</v>
      </c>
      <c r="H5953" t="n">
        <v>0</v>
      </c>
      <c r="I5953" t="n">
        <v>0</v>
      </c>
      <c r="J5953" t="n">
        <v>0</v>
      </c>
      <c r="K5953" t="n">
        <v>0</v>
      </c>
      <c r="L5953" t="n">
        <v>0</v>
      </c>
      <c r="M5953" t="n">
        <v>0</v>
      </c>
      <c r="N5953" t="n">
        <v>0</v>
      </c>
      <c r="O5953" t="n">
        <v>0</v>
      </c>
      <c r="P5953" t="n">
        <v>0</v>
      </c>
      <c r="Q5953" t="n">
        <v>0</v>
      </c>
      <c r="R5953" s="2" t="inlineStr"/>
    </row>
    <row r="5954" ht="15" customHeight="1">
      <c r="A5954" t="inlineStr">
        <is>
          <t>A 18151-2024</t>
        </is>
      </c>
      <c r="B5954" s="1" t="n">
        <v>45420.60313657407</v>
      </c>
      <c r="C5954" s="1" t="n">
        <v>45911</v>
      </c>
      <c r="D5954" t="inlineStr">
        <is>
          <t>GÄVLEBORGS LÄN</t>
        </is>
      </c>
      <c r="E5954" t="inlineStr">
        <is>
          <t>BOLLNÄS</t>
        </is>
      </c>
      <c r="G5954" t="n">
        <v>7.2</v>
      </c>
      <c r="H5954" t="n">
        <v>0</v>
      </c>
      <c r="I5954" t="n">
        <v>0</v>
      </c>
      <c r="J5954" t="n">
        <v>0</v>
      </c>
      <c r="K5954" t="n">
        <v>0</v>
      </c>
      <c r="L5954" t="n">
        <v>0</v>
      </c>
      <c r="M5954" t="n">
        <v>0</v>
      </c>
      <c r="N5954" t="n">
        <v>0</v>
      </c>
      <c r="O5954" t="n">
        <v>0</v>
      </c>
      <c r="P5954" t="n">
        <v>0</v>
      </c>
      <c r="Q5954" t="n">
        <v>0</v>
      </c>
      <c r="R5954" s="2" t="inlineStr"/>
    </row>
    <row r="5955" ht="15" customHeight="1">
      <c r="A5955" t="inlineStr">
        <is>
          <t>A 40162-2025</t>
        </is>
      </c>
      <c r="B5955" s="1" t="n">
        <v>45894.61478009259</v>
      </c>
      <c r="C5955" s="1" t="n">
        <v>45911</v>
      </c>
      <c r="D5955" t="inlineStr">
        <is>
          <t>GÄVLEBORGS LÄN</t>
        </is>
      </c>
      <c r="E5955" t="inlineStr">
        <is>
          <t>SÖDERHAMN</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31011-2024</t>
        </is>
      </c>
      <c r="B5956" s="1" t="n">
        <v>45499.67101851852</v>
      </c>
      <c r="C5956" s="1" t="n">
        <v>45911</v>
      </c>
      <c r="D5956" t="inlineStr">
        <is>
          <t>GÄVLEBORGS LÄN</t>
        </is>
      </c>
      <c r="E5956" t="inlineStr">
        <is>
          <t>LJUSDAL</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40576-2025</t>
        </is>
      </c>
      <c r="B5957" s="1" t="n">
        <v>45896.50693287037</v>
      </c>
      <c r="C5957" s="1" t="n">
        <v>45911</v>
      </c>
      <c r="D5957" t="inlineStr">
        <is>
          <t>GÄVLEBORGS LÄN</t>
        </is>
      </c>
      <c r="E5957" t="inlineStr">
        <is>
          <t>OCKELBO</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55993-2020</t>
        </is>
      </c>
      <c r="B5958" s="1" t="n">
        <v>44133</v>
      </c>
      <c r="C5958" s="1" t="n">
        <v>45911</v>
      </c>
      <c r="D5958" t="inlineStr">
        <is>
          <t>GÄVLEBORGS LÄN</t>
        </is>
      </c>
      <c r="E5958" t="inlineStr">
        <is>
          <t>HUDIKSVALL</t>
        </is>
      </c>
      <c r="F5958" t="inlineStr">
        <is>
          <t>Sveaskog</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10126-2025</t>
        </is>
      </c>
      <c r="B5959" s="1" t="n">
        <v>45719.60510416667</v>
      </c>
      <c r="C5959" s="1" t="n">
        <v>45911</v>
      </c>
      <c r="D5959" t="inlineStr">
        <is>
          <t>GÄVLEBORGS LÄN</t>
        </is>
      </c>
      <c r="E5959" t="inlineStr">
        <is>
          <t>GÄVLE</t>
        </is>
      </c>
      <c r="F5959" t="inlineStr">
        <is>
          <t>Bergvik skog öst AB</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55048-2022</t>
        </is>
      </c>
      <c r="B5960" s="1" t="n">
        <v>44886</v>
      </c>
      <c r="C5960" s="1" t="n">
        <v>45911</v>
      </c>
      <c r="D5960" t="inlineStr">
        <is>
          <t>GÄVLEBORGS LÄN</t>
        </is>
      </c>
      <c r="E5960" t="inlineStr">
        <is>
          <t>BOLLNÄS</t>
        </is>
      </c>
      <c r="F5960" t="inlineStr">
        <is>
          <t>Sveaskog</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3453-2023</t>
        </is>
      </c>
      <c r="B5961" s="1" t="n">
        <v>44949.62175925926</v>
      </c>
      <c r="C5961" s="1" t="n">
        <v>45911</v>
      </c>
      <c r="D5961" t="inlineStr">
        <is>
          <t>GÄVLEBORGS LÄN</t>
        </is>
      </c>
      <c r="E5961" t="inlineStr">
        <is>
          <t>OVANÅKER</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9595-2025</t>
        </is>
      </c>
      <c r="B5962" s="1" t="n">
        <v>45715</v>
      </c>
      <c r="C5962" s="1" t="n">
        <v>45911</v>
      </c>
      <c r="D5962" t="inlineStr">
        <is>
          <t>GÄVLEBORGS LÄN</t>
        </is>
      </c>
      <c r="E5962" t="inlineStr">
        <is>
          <t>OCKELBO</t>
        </is>
      </c>
      <c r="F5962" t="inlineStr">
        <is>
          <t>Bergvik skog öst AB</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59331-2022</t>
        </is>
      </c>
      <c r="B5963" s="1" t="n">
        <v>44904.6508912037</v>
      </c>
      <c r="C5963" s="1" t="n">
        <v>45911</v>
      </c>
      <c r="D5963" t="inlineStr">
        <is>
          <t>GÄVLEBORGS LÄN</t>
        </is>
      </c>
      <c r="E5963" t="inlineStr">
        <is>
          <t>BOLLNÄS</t>
        </is>
      </c>
      <c r="G5963" t="n">
        <v>2.3</v>
      </c>
      <c r="H5963" t="n">
        <v>0</v>
      </c>
      <c r="I5963" t="n">
        <v>0</v>
      </c>
      <c r="J5963" t="n">
        <v>0</v>
      </c>
      <c r="K5963" t="n">
        <v>0</v>
      </c>
      <c r="L5963" t="n">
        <v>0</v>
      </c>
      <c r="M5963" t="n">
        <v>0</v>
      </c>
      <c r="N5963" t="n">
        <v>0</v>
      </c>
      <c r="O5963" t="n">
        <v>0</v>
      </c>
      <c r="P5963" t="n">
        <v>0</v>
      </c>
      <c r="Q5963" t="n">
        <v>0</v>
      </c>
      <c r="R5963" s="2" t="inlineStr"/>
    </row>
    <row r="5964" ht="15" customHeight="1">
      <c r="A5964" t="inlineStr">
        <is>
          <t>A 6308-2022</t>
        </is>
      </c>
      <c r="B5964" s="1" t="n">
        <v>44600.53630787037</v>
      </c>
      <c r="C5964" s="1" t="n">
        <v>45911</v>
      </c>
      <c r="D5964" t="inlineStr">
        <is>
          <t>GÄVLEBORGS LÄN</t>
        </is>
      </c>
      <c r="E5964" t="inlineStr">
        <is>
          <t>LJUSDAL</t>
        </is>
      </c>
      <c r="G5964" t="n">
        <v>5</v>
      </c>
      <c r="H5964" t="n">
        <v>0</v>
      </c>
      <c r="I5964" t="n">
        <v>0</v>
      </c>
      <c r="J5964" t="n">
        <v>0</v>
      </c>
      <c r="K5964" t="n">
        <v>0</v>
      </c>
      <c r="L5964" t="n">
        <v>0</v>
      </c>
      <c r="M5964" t="n">
        <v>0</v>
      </c>
      <c r="N5964" t="n">
        <v>0</v>
      </c>
      <c r="O5964" t="n">
        <v>0</v>
      </c>
      <c r="P5964" t="n">
        <v>0</v>
      </c>
      <c r="Q5964" t="n">
        <v>0</v>
      </c>
      <c r="R5964" s="2" t="inlineStr"/>
    </row>
    <row r="5965" ht="15" customHeight="1">
      <c r="A5965" t="inlineStr">
        <is>
          <t>A 35356-2025</t>
        </is>
      </c>
      <c r="B5965" s="1" t="n">
        <v>45854.65872685185</v>
      </c>
      <c r="C5965" s="1" t="n">
        <v>45911</v>
      </c>
      <c r="D5965" t="inlineStr">
        <is>
          <t>GÄVLEBORGS LÄN</t>
        </is>
      </c>
      <c r="E5965" t="inlineStr">
        <is>
          <t>GÄVLE</t>
        </is>
      </c>
      <c r="F5965" t="inlineStr">
        <is>
          <t>Bergvik skog öst AB</t>
        </is>
      </c>
      <c r="G5965" t="n">
        <v>8.6</v>
      </c>
      <c r="H5965" t="n">
        <v>0</v>
      </c>
      <c r="I5965" t="n">
        <v>0</v>
      </c>
      <c r="J5965" t="n">
        <v>0</v>
      </c>
      <c r="K5965" t="n">
        <v>0</v>
      </c>
      <c r="L5965" t="n">
        <v>0</v>
      </c>
      <c r="M5965" t="n">
        <v>0</v>
      </c>
      <c r="N5965" t="n">
        <v>0</v>
      </c>
      <c r="O5965" t="n">
        <v>0</v>
      </c>
      <c r="P5965" t="n">
        <v>0</v>
      </c>
      <c r="Q5965" t="n">
        <v>0</v>
      </c>
      <c r="R5965" s="2" t="inlineStr"/>
    </row>
    <row r="5966" ht="15" customHeight="1">
      <c r="A5966" t="inlineStr">
        <is>
          <t>A 53432-2021</t>
        </is>
      </c>
      <c r="B5966" s="1" t="n">
        <v>44468.65246527778</v>
      </c>
      <c r="C5966" s="1" t="n">
        <v>45911</v>
      </c>
      <c r="D5966" t="inlineStr">
        <is>
          <t>GÄVLEBORGS LÄN</t>
        </is>
      </c>
      <c r="E5966" t="inlineStr">
        <is>
          <t>GÄVLE</t>
        </is>
      </c>
      <c r="F5966" t="inlineStr">
        <is>
          <t>Bergvik skog öst AB</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35357-2025</t>
        </is>
      </c>
      <c r="B5967" s="1" t="n">
        <v>45853</v>
      </c>
      <c r="C5967" s="1" t="n">
        <v>45911</v>
      </c>
      <c r="D5967" t="inlineStr">
        <is>
          <t>GÄVLEBORGS LÄN</t>
        </is>
      </c>
      <c r="E5967" t="inlineStr">
        <is>
          <t>LJUSDAL</t>
        </is>
      </c>
      <c r="F5967" t="inlineStr">
        <is>
          <t>Sveaskog</t>
        </is>
      </c>
      <c r="G5967" t="n">
        <v>0.4</v>
      </c>
      <c r="H5967" t="n">
        <v>0</v>
      </c>
      <c r="I5967" t="n">
        <v>0</v>
      </c>
      <c r="J5967" t="n">
        <v>0</v>
      </c>
      <c r="K5967" t="n">
        <v>0</v>
      </c>
      <c r="L5967" t="n">
        <v>0</v>
      </c>
      <c r="M5967" t="n">
        <v>0</v>
      </c>
      <c r="N5967" t="n">
        <v>0</v>
      </c>
      <c r="O5967" t="n">
        <v>0</v>
      </c>
      <c r="P5967" t="n">
        <v>0</v>
      </c>
      <c r="Q5967" t="n">
        <v>0</v>
      </c>
      <c r="R5967" s="2" t="inlineStr"/>
    </row>
    <row r="5968" ht="15" customHeight="1">
      <c r="A5968" t="inlineStr">
        <is>
          <t>A 40474-2025</t>
        </is>
      </c>
      <c r="B5968" s="1" t="n">
        <v>45895.68107638889</v>
      </c>
      <c r="C5968" s="1" t="n">
        <v>45911</v>
      </c>
      <c r="D5968" t="inlineStr">
        <is>
          <t>GÄVLEBORGS LÄN</t>
        </is>
      </c>
      <c r="E5968" t="inlineStr">
        <is>
          <t>HUDIKSVALL</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32832-2022</t>
        </is>
      </c>
      <c r="B5969" s="1" t="n">
        <v>44784.42042824074</v>
      </c>
      <c r="C5969" s="1" t="n">
        <v>45911</v>
      </c>
      <c r="D5969" t="inlineStr">
        <is>
          <t>GÄVLEBORGS LÄN</t>
        </is>
      </c>
      <c r="E5969" t="inlineStr">
        <is>
          <t>LJUSDAL</t>
        </is>
      </c>
      <c r="F5969" t="inlineStr">
        <is>
          <t>Bergvik skog väst AB</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40488-2025</t>
        </is>
      </c>
      <c r="B5970" s="1" t="n">
        <v>45895.88559027778</v>
      </c>
      <c r="C5970" s="1" t="n">
        <v>45911</v>
      </c>
      <c r="D5970" t="inlineStr">
        <is>
          <t>GÄVLEBORGS LÄN</t>
        </is>
      </c>
      <c r="E5970" t="inlineStr">
        <is>
          <t>OVANÅKER</t>
        </is>
      </c>
      <c r="G5970" t="n">
        <v>2.1</v>
      </c>
      <c r="H5970" t="n">
        <v>0</v>
      </c>
      <c r="I5970" t="n">
        <v>0</v>
      </c>
      <c r="J5970" t="n">
        <v>0</v>
      </c>
      <c r="K5970" t="n">
        <v>0</v>
      </c>
      <c r="L5970" t="n">
        <v>0</v>
      </c>
      <c r="M5970" t="n">
        <v>0</v>
      </c>
      <c r="N5970" t="n">
        <v>0</v>
      </c>
      <c r="O5970" t="n">
        <v>0</v>
      </c>
      <c r="P5970" t="n">
        <v>0</v>
      </c>
      <c r="Q5970" t="n">
        <v>0</v>
      </c>
      <c r="R5970" s="2" t="inlineStr"/>
    </row>
    <row r="5971" ht="15" customHeight="1">
      <c r="A5971" t="inlineStr">
        <is>
          <t>A 40503-2025</t>
        </is>
      </c>
      <c r="B5971" s="1" t="n">
        <v>45896.33780092592</v>
      </c>
      <c r="C5971" s="1" t="n">
        <v>45911</v>
      </c>
      <c r="D5971" t="inlineStr">
        <is>
          <t>GÄVLEBORGS LÄN</t>
        </is>
      </c>
      <c r="E5971" t="inlineStr">
        <is>
          <t>LJUSDAL</t>
        </is>
      </c>
      <c r="G5971" t="n">
        <v>13.6</v>
      </c>
      <c r="H5971" t="n">
        <v>0</v>
      </c>
      <c r="I5971" t="n">
        <v>0</v>
      </c>
      <c r="J5971" t="n">
        <v>0</v>
      </c>
      <c r="K5971" t="n">
        <v>0</v>
      </c>
      <c r="L5971" t="n">
        <v>0</v>
      </c>
      <c r="M5971" t="n">
        <v>0</v>
      </c>
      <c r="N5971" t="n">
        <v>0</v>
      </c>
      <c r="O5971" t="n">
        <v>0</v>
      </c>
      <c r="P5971" t="n">
        <v>0</v>
      </c>
      <c r="Q5971" t="n">
        <v>0</v>
      </c>
      <c r="R5971" s="2" t="inlineStr"/>
    </row>
    <row r="5972" ht="15" customHeight="1">
      <c r="A5972" t="inlineStr">
        <is>
          <t>A 29219-2024</t>
        </is>
      </c>
      <c r="B5972" s="1" t="n">
        <v>45482.70034722222</v>
      </c>
      <c r="C5972" s="1" t="n">
        <v>45911</v>
      </c>
      <c r="D5972" t="inlineStr">
        <is>
          <t>GÄVLEBORGS LÄN</t>
        </is>
      </c>
      <c r="E5972" t="inlineStr">
        <is>
          <t>BOLLNÄS</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37680-2022</t>
        </is>
      </c>
      <c r="B5973" s="1" t="n">
        <v>44810</v>
      </c>
      <c r="C5973" s="1" t="n">
        <v>45911</v>
      </c>
      <c r="D5973" t="inlineStr">
        <is>
          <t>GÄVLEBORGS LÄN</t>
        </is>
      </c>
      <c r="E5973" t="inlineStr">
        <is>
          <t>HOFORS</t>
        </is>
      </c>
      <c r="G5973" t="n">
        <v>6.6</v>
      </c>
      <c r="H5973" t="n">
        <v>0</v>
      </c>
      <c r="I5973" t="n">
        <v>0</v>
      </c>
      <c r="J5973" t="n">
        <v>0</v>
      </c>
      <c r="K5973" t="n">
        <v>0</v>
      </c>
      <c r="L5973" t="n">
        <v>0</v>
      </c>
      <c r="M5973" t="n">
        <v>0</v>
      </c>
      <c r="N5973" t="n">
        <v>0</v>
      </c>
      <c r="O5973" t="n">
        <v>0</v>
      </c>
      <c r="P5973" t="n">
        <v>0</v>
      </c>
      <c r="Q5973" t="n">
        <v>0</v>
      </c>
      <c r="R5973" s="2" t="inlineStr"/>
    </row>
    <row r="5974" ht="15" customHeight="1">
      <c r="A5974" t="inlineStr">
        <is>
          <t>A 14913-2025</t>
        </is>
      </c>
      <c r="B5974" s="1" t="n">
        <v>45743.52796296297</v>
      </c>
      <c r="C5974" s="1" t="n">
        <v>45911</v>
      </c>
      <c r="D5974" t="inlineStr">
        <is>
          <t>GÄVLEBORGS LÄN</t>
        </is>
      </c>
      <c r="E5974" t="inlineStr">
        <is>
          <t>BOLLNÄS</t>
        </is>
      </c>
      <c r="F5974" t="inlineStr">
        <is>
          <t>Bergvik skog väst AB</t>
        </is>
      </c>
      <c r="G5974" t="n">
        <v>9.199999999999999</v>
      </c>
      <c r="H5974" t="n">
        <v>0</v>
      </c>
      <c r="I5974" t="n">
        <v>0</v>
      </c>
      <c r="J5974" t="n">
        <v>0</v>
      </c>
      <c r="K5974" t="n">
        <v>0</v>
      </c>
      <c r="L5974" t="n">
        <v>0</v>
      </c>
      <c r="M5974" t="n">
        <v>0</v>
      </c>
      <c r="N5974" t="n">
        <v>0</v>
      </c>
      <c r="O5974" t="n">
        <v>0</v>
      </c>
      <c r="P5974" t="n">
        <v>0</v>
      </c>
      <c r="Q5974" t="n">
        <v>0</v>
      </c>
      <c r="R5974" s="2" t="inlineStr"/>
    </row>
    <row r="5975" ht="15" customHeight="1">
      <c r="A5975" t="inlineStr">
        <is>
          <t>A 40632-2025</t>
        </is>
      </c>
      <c r="B5975" s="1" t="n">
        <v>45896.6021875</v>
      </c>
      <c r="C5975" s="1" t="n">
        <v>45911</v>
      </c>
      <c r="D5975" t="inlineStr">
        <is>
          <t>GÄVLEBORGS LÄN</t>
        </is>
      </c>
      <c r="E5975" t="inlineStr">
        <is>
          <t>BOLLNÄS</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57196-2022</t>
        </is>
      </c>
      <c r="B5976" s="1" t="n">
        <v>44895.63180555555</v>
      </c>
      <c r="C5976" s="1" t="n">
        <v>45911</v>
      </c>
      <c r="D5976" t="inlineStr">
        <is>
          <t>GÄVLEBORGS LÄN</t>
        </is>
      </c>
      <c r="E5976" t="inlineStr">
        <is>
          <t>NORDANSTIG</t>
        </is>
      </c>
      <c r="F5976" t="inlineStr">
        <is>
          <t>Holmen skog AB</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52330-2024</t>
        </is>
      </c>
      <c r="B5977" s="1" t="n">
        <v>45609.31627314815</v>
      </c>
      <c r="C5977" s="1" t="n">
        <v>45911</v>
      </c>
      <c r="D5977" t="inlineStr">
        <is>
          <t>GÄVLEBORGS LÄN</t>
        </is>
      </c>
      <c r="E5977" t="inlineStr">
        <is>
          <t>OCKELBO</t>
        </is>
      </c>
      <c r="F5977" t="inlineStr">
        <is>
          <t>Bergvik skog väst AB</t>
        </is>
      </c>
      <c r="G5977" t="n">
        <v>5.6</v>
      </c>
      <c r="H5977" t="n">
        <v>0</v>
      </c>
      <c r="I5977" t="n">
        <v>0</v>
      </c>
      <c r="J5977" t="n">
        <v>0</v>
      </c>
      <c r="K5977" t="n">
        <v>0</v>
      </c>
      <c r="L5977" t="n">
        <v>0</v>
      </c>
      <c r="M5977" t="n">
        <v>0</v>
      </c>
      <c r="N5977" t="n">
        <v>0</v>
      </c>
      <c r="O5977" t="n">
        <v>0</v>
      </c>
      <c r="P5977" t="n">
        <v>0</v>
      </c>
      <c r="Q5977" t="n">
        <v>0</v>
      </c>
      <c r="R5977" s="2" t="inlineStr"/>
    </row>
    <row r="5978" ht="15" customHeight="1">
      <c r="A5978" t="inlineStr">
        <is>
          <t>A 25645-2023</t>
        </is>
      </c>
      <c r="B5978" s="1" t="n">
        <v>45089.77170138889</v>
      </c>
      <c r="C5978" s="1" t="n">
        <v>45911</v>
      </c>
      <c r="D5978" t="inlineStr">
        <is>
          <t>GÄVLEBORGS LÄN</t>
        </is>
      </c>
      <c r="E5978" t="inlineStr">
        <is>
          <t>GÄVLE</t>
        </is>
      </c>
      <c r="F5978" t="inlineStr">
        <is>
          <t>Bergvik skog öst AB</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7616-2025</t>
        </is>
      </c>
      <c r="B5979" s="1" t="n">
        <v>45705</v>
      </c>
      <c r="C5979" s="1" t="n">
        <v>45911</v>
      </c>
      <c r="D5979" t="inlineStr">
        <is>
          <t>GÄVLEBORGS LÄN</t>
        </is>
      </c>
      <c r="E5979" t="inlineStr">
        <is>
          <t>SANDVIKEN</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35336-2025</t>
        </is>
      </c>
      <c r="B5980" s="1" t="n">
        <v>45854.58572916667</v>
      </c>
      <c r="C5980" s="1" t="n">
        <v>45911</v>
      </c>
      <c r="D5980" t="inlineStr">
        <is>
          <t>GÄVLEBORGS LÄN</t>
        </is>
      </c>
      <c r="E5980" t="inlineStr">
        <is>
          <t>GÄVLE</t>
        </is>
      </c>
      <c r="G5980" t="n">
        <v>10</v>
      </c>
      <c r="H5980" t="n">
        <v>0</v>
      </c>
      <c r="I5980" t="n">
        <v>0</v>
      </c>
      <c r="J5980" t="n">
        <v>0</v>
      </c>
      <c r="K5980" t="n">
        <v>0</v>
      </c>
      <c r="L5980" t="n">
        <v>0</v>
      </c>
      <c r="M5980" t="n">
        <v>0</v>
      </c>
      <c r="N5980" t="n">
        <v>0</v>
      </c>
      <c r="O5980" t="n">
        <v>0</v>
      </c>
      <c r="P5980" t="n">
        <v>0</v>
      </c>
      <c r="Q5980" t="n">
        <v>0</v>
      </c>
      <c r="R5980" s="2" t="inlineStr"/>
    </row>
    <row r="5981" ht="15" customHeight="1">
      <c r="A5981" t="inlineStr">
        <is>
          <t>A 14693-2025</t>
        </is>
      </c>
      <c r="B5981" s="1" t="n">
        <v>45742.58847222223</v>
      </c>
      <c r="C5981" s="1" t="n">
        <v>45911</v>
      </c>
      <c r="D5981" t="inlineStr">
        <is>
          <t>GÄVLEBORGS LÄN</t>
        </is>
      </c>
      <c r="E5981" t="inlineStr">
        <is>
          <t>OVANÅKER</t>
        </is>
      </c>
      <c r="G5981" t="n">
        <v>3.5</v>
      </c>
      <c r="H5981" t="n">
        <v>0</v>
      </c>
      <c r="I5981" t="n">
        <v>0</v>
      </c>
      <c r="J5981" t="n">
        <v>0</v>
      </c>
      <c r="K5981" t="n">
        <v>0</v>
      </c>
      <c r="L5981" t="n">
        <v>0</v>
      </c>
      <c r="M5981" t="n">
        <v>0</v>
      </c>
      <c r="N5981" t="n">
        <v>0</v>
      </c>
      <c r="O5981" t="n">
        <v>0</v>
      </c>
      <c r="P5981" t="n">
        <v>0</v>
      </c>
      <c r="Q5981" t="n">
        <v>0</v>
      </c>
      <c r="R5981" s="2" t="inlineStr"/>
    </row>
    <row r="5982" ht="15" customHeight="1">
      <c r="A5982" t="inlineStr">
        <is>
          <t>A 14212-2021</t>
        </is>
      </c>
      <c r="B5982" s="1" t="n">
        <v>44278.52945601852</v>
      </c>
      <c r="C5982" s="1" t="n">
        <v>45911</v>
      </c>
      <c r="D5982" t="inlineStr">
        <is>
          <t>GÄVLEBORGS LÄN</t>
        </is>
      </c>
      <c r="E5982" t="inlineStr">
        <is>
          <t>GÄVLE</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14735-2024</t>
        </is>
      </c>
      <c r="B5983" s="1" t="n">
        <v>45397</v>
      </c>
      <c r="C5983" s="1" t="n">
        <v>45911</v>
      </c>
      <c r="D5983" t="inlineStr">
        <is>
          <t>GÄVLEBORGS LÄN</t>
        </is>
      </c>
      <c r="E5983" t="inlineStr">
        <is>
          <t>GÄVLE</t>
        </is>
      </c>
      <c r="F5983" t="inlineStr">
        <is>
          <t>Bergvik skog öst AB</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51259-2023</t>
        </is>
      </c>
      <c r="B5984" s="1" t="n">
        <v>45219</v>
      </c>
      <c r="C5984" s="1" t="n">
        <v>45911</v>
      </c>
      <c r="D5984" t="inlineStr">
        <is>
          <t>GÄVLEBORGS LÄN</t>
        </is>
      </c>
      <c r="E5984" t="inlineStr">
        <is>
          <t>BOLLNÄS</t>
        </is>
      </c>
      <c r="G5984" t="n">
        <v>0.4</v>
      </c>
      <c r="H5984" t="n">
        <v>0</v>
      </c>
      <c r="I5984" t="n">
        <v>0</v>
      </c>
      <c r="J5984" t="n">
        <v>0</v>
      </c>
      <c r="K5984" t="n">
        <v>0</v>
      </c>
      <c r="L5984" t="n">
        <v>0</v>
      </c>
      <c r="M5984" t="n">
        <v>0</v>
      </c>
      <c r="N5984" t="n">
        <v>0</v>
      </c>
      <c r="O5984" t="n">
        <v>0</v>
      </c>
      <c r="P5984" t="n">
        <v>0</v>
      </c>
      <c r="Q5984" t="n">
        <v>0</v>
      </c>
      <c r="R5984" s="2" t="inlineStr"/>
    </row>
    <row r="5985" ht="15" customHeight="1">
      <c r="A5985" t="inlineStr">
        <is>
          <t>A 40629-2025</t>
        </is>
      </c>
      <c r="B5985" s="1" t="n">
        <v>45896.59113425926</v>
      </c>
      <c r="C5985" s="1" t="n">
        <v>45911</v>
      </c>
      <c r="D5985" t="inlineStr">
        <is>
          <t>GÄVLEBORGS LÄN</t>
        </is>
      </c>
      <c r="E5985" t="inlineStr">
        <is>
          <t>NORDANSTIG</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59998-2022</t>
        </is>
      </c>
      <c r="B5986" s="1" t="n">
        <v>44909</v>
      </c>
      <c r="C5986" s="1" t="n">
        <v>45911</v>
      </c>
      <c r="D5986" t="inlineStr">
        <is>
          <t>GÄVLEBORGS LÄN</t>
        </is>
      </c>
      <c r="E5986" t="inlineStr">
        <is>
          <t>OVANÅKER</t>
        </is>
      </c>
      <c r="F5986" t="inlineStr">
        <is>
          <t>Bergvik skog väst AB</t>
        </is>
      </c>
      <c r="G5986" t="n">
        <v>4.5</v>
      </c>
      <c r="H5986" t="n">
        <v>0</v>
      </c>
      <c r="I5986" t="n">
        <v>0</v>
      </c>
      <c r="J5986" t="n">
        <v>0</v>
      </c>
      <c r="K5986" t="n">
        <v>0</v>
      </c>
      <c r="L5986" t="n">
        <v>0</v>
      </c>
      <c r="M5986" t="n">
        <v>0</v>
      </c>
      <c r="N5986" t="n">
        <v>0</v>
      </c>
      <c r="O5986" t="n">
        <v>0</v>
      </c>
      <c r="P5986" t="n">
        <v>0</v>
      </c>
      <c r="Q5986" t="n">
        <v>0</v>
      </c>
      <c r="R5986" s="2" t="inlineStr"/>
    </row>
    <row r="5987" ht="15" customHeight="1">
      <c r="A5987" t="inlineStr">
        <is>
          <t>A 40811-2022</t>
        </is>
      </c>
      <c r="B5987" s="1" t="n">
        <v>44824</v>
      </c>
      <c r="C5987" s="1" t="n">
        <v>45911</v>
      </c>
      <c r="D5987" t="inlineStr">
        <is>
          <t>GÄVLEBORGS LÄN</t>
        </is>
      </c>
      <c r="E5987" t="inlineStr">
        <is>
          <t>SÖDERHAMN</t>
        </is>
      </c>
      <c r="G5987" t="n">
        <v>2.8</v>
      </c>
      <c r="H5987" t="n">
        <v>0</v>
      </c>
      <c r="I5987" t="n">
        <v>0</v>
      </c>
      <c r="J5987" t="n">
        <v>0</v>
      </c>
      <c r="K5987" t="n">
        <v>0</v>
      </c>
      <c r="L5987" t="n">
        <v>0</v>
      </c>
      <c r="M5987" t="n">
        <v>0</v>
      </c>
      <c r="N5987" t="n">
        <v>0</v>
      </c>
      <c r="O5987" t="n">
        <v>0</v>
      </c>
      <c r="P5987" t="n">
        <v>0</v>
      </c>
      <c r="Q5987" t="n">
        <v>0</v>
      </c>
      <c r="R5987" s="2" t="inlineStr"/>
    </row>
    <row r="5988" ht="15" customHeight="1">
      <c r="A5988" t="inlineStr">
        <is>
          <t>A 6219-2025</t>
        </is>
      </c>
      <c r="B5988" s="1" t="n">
        <v>45698.53550925926</v>
      </c>
      <c r="C5988" s="1" t="n">
        <v>45911</v>
      </c>
      <c r="D5988" t="inlineStr">
        <is>
          <t>GÄVLEBORGS LÄN</t>
        </is>
      </c>
      <c r="E5988" t="inlineStr">
        <is>
          <t>BOLLNÄS</t>
        </is>
      </c>
      <c r="G5988" t="n">
        <v>3.7</v>
      </c>
      <c r="H5988" t="n">
        <v>0</v>
      </c>
      <c r="I5988" t="n">
        <v>0</v>
      </c>
      <c r="J5988" t="n">
        <v>0</v>
      </c>
      <c r="K5988" t="n">
        <v>0</v>
      </c>
      <c r="L5988" t="n">
        <v>0</v>
      </c>
      <c r="M5988" t="n">
        <v>0</v>
      </c>
      <c r="N5988" t="n">
        <v>0</v>
      </c>
      <c r="O5988" t="n">
        <v>0</v>
      </c>
      <c r="P5988" t="n">
        <v>0</v>
      </c>
      <c r="Q5988" t="n">
        <v>0</v>
      </c>
      <c r="R5988" s="2" t="inlineStr"/>
    </row>
    <row r="5989" ht="15" customHeight="1">
      <c r="A5989" t="inlineStr">
        <is>
          <t>A 20407-2023</t>
        </is>
      </c>
      <c r="B5989" s="1" t="n">
        <v>45056.63667824074</v>
      </c>
      <c r="C5989" s="1" t="n">
        <v>45911</v>
      </c>
      <c r="D5989" t="inlineStr">
        <is>
          <t>GÄVLEBORGS LÄN</t>
        </is>
      </c>
      <c r="E5989" t="inlineStr">
        <is>
          <t>OCKELBO</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42118-2022</t>
        </is>
      </c>
      <c r="B5990" s="1" t="n">
        <v>44830.5665162037</v>
      </c>
      <c r="C5990" s="1" t="n">
        <v>45911</v>
      </c>
      <c r="D5990" t="inlineStr">
        <is>
          <t>GÄVLEBORGS LÄN</t>
        </is>
      </c>
      <c r="E5990" t="inlineStr">
        <is>
          <t>NORDANSTIG</t>
        </is>
      </c>
      <c r="G5990" t="n">
        <v>3.3</v>
      </c>
      <c r="H5990" t="n">
        <v>0</v>
      </c>
      <c r="I5990" t="n">
        <v>0</v>
      </c>
      <c r="J5990" t="n">
        <v>0</v>
      </c>
      <c r="K5990" t="n">
        <v>0</v>
      </c>
      <c r="L5990" t="n">
        <v>0</v>
      </c>
      <c r="M5990" t="n">
        <v>0</v>
      </c>
      <c r="N5990" t="n">
        <v>0</v>
      </c>
      <c r="O5990" t="n">
        <v>0</v>
      </c>
      <c r="P5990" t="n">
        <v>0</v>
      </c>
      <c r="Q5990" t="n">
        <v>0</v>
      </c>
      <c r="R5990" s="2" t="inlineStr"/>
    </row>
    <row r="5991" ht="15" customHeight="1">
      <c r="A5991" t="inlineStr">
        <is>
          <t>A 35255-2025</t>
        </is>
      </c>
      <c r="B5991" s="1" t="n">
        <v>45853</v>
      </c>
      <c r="C5991" s="1" t="n">
        <v>45911</v>
      </c>
      <c r="D5991" t="inlineStr">
        <is>
          <t>GÄVLEBORGS LÄN</t>
        </is>
      </c>
      <c r="E5991" t="inlineStr">
        <is>
          <t>LJUSDAL</t>
        </is>
      </c>
      <c r="F5991" t="inlineStr">
        <is>
          <t>Sveaskog</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40291-2025</t>
        </is>
      </c>
      <c r="B5992" s="1" t="n">
        <v>45895.38584490741</v>
      </c>
      <c r="C5992" s="1" t="n">
        <v>45911</v>
      </c>
      <c r="D5992" t="inlineStr">
        <is>
          <t>GÄVLEBORGS LÄN</t>
        </is>
      </c>
      <c r="E5992" t="inlineStr">
        <is>
          <t>NORDANSTIG</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6194-2025</t>
        </is>
      </c>
      <c r="B5993" s="1" t="n">
        <v>45698.46994212963</v>
      </c>
      <c r="C5993" s="1" t="n">
        <v>45911</v>
      </c>
      <c r="D5993" t="inlineStr">
        <is>
          <t>GÄVLEBORGS LÄN</t>
        </is>
      </c>
      <c r="E5993" t="inlineStr">
        <is>
          <t>OCKELBO</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24088-2021</t>
        </is>
      </c>
      <c r="B5994" s="1" t="n">
        <v>44336</v>
      </c>
      <c r="C5994" s="1" t="n">
        <v>45911</v>
      </c>
      <c r="D5994" t="inlineStr">
        <is>
          <t>GÄVLEBORGS LÄN</t>
        </is>
      </c>
      <c r="E5994" t="inlineStr">
        <is>
          <t>SANDVIKEN</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2755-2022</t>
        </is>
      </c>
      <c r="B5995" s="1" t="n">
        <v>44580.92254629629</v>
      </c>
      <c r="C5995" s="1" t="n">
        <v>45911</v>
      </c>
      <c r="D5995" t="inlineStr">
        <is>
          <t>GÄVLEBORGS LÄN</t>
        </is>
      </c>
      <c r="E5995" t="inlineStr">
        <is>
          <t>SÖDERHAMN</t>
        </is>
      </c>
      <c r="G5995" t="n">
        <v>5.8</v>
      </c>
      <c r="H5995" t="n">
        <v>0</v>
      </c>
      <c r="I5995" t="n">
        <v>0</v>
      </c>
      <c r="J5995" t="n">
        <v>0</v>
      </c>
      <c r="K5995" t="n">
        <v>0</v>
      </c>
      <c r="L5995" t="n">
        <v>0</v>
      </c>
      <c r="M5995" t="n">
        <v>0</v>
      </c>
      <c r="N5995" t="n">
        <v>0</v>
      </c>
      <c r="O5995" t="n">
        <v>0</v>
      </c>
      <c r="P5995" t="n">
        <v>0</v>
      </c>
      <c r="Q5995" t="n">
        <v>0</v>
      </c>
      <c r="R5995" s="2" t="inlineStr"/>
    </row>
    <row r="5996" ht="15" customHeight="1">
      <c r="A5996" t="inlineStr">
        <is>
          <t>A 40440-2025</t>
        </is>
      </c>
      <c r="B5996" s="1" t="n">
        <v>45895.62541666667</v>
      </c>
      <c r="C5996" s="1" t="n">
        <v>45911</v>
      </c>
      <c r="D5996" t="inlineStr">
        <is>
          <t>GÄVLEBORGS LÄN</t>
        </is>
      </c>
      <c r="E5996" t="inlineStr">
        <is>
          <t>BOLLNÄS</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40362-2025</t>
        </is>
      </c>
      <c r="B5997" s="1" t="n">
        <v>45895.49094907408</v>
      </c>
      <c r="C5997" s="1" t="n">
        <v>45911</v>
      </c>
      <c r="D5997" t="inlineStr">
        <is>
          <t>GÄVLEBORGS LÄN</t>
        </is>
      </c>
      <c r="E5997" t="inlineStr">
        <is>
          <t>LJUSDAL</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40314-2025</t>
        </is>
      </c>
      <c r="B5998" s="1" t="n">
        <v>45895.42366898148</v>
      </c>
      <c r="C5998" s="1" t="n">
        <v>45911</v>
      </c>
      <c r="D5998" t="inlineStr">
        <is>
          <t>GÄVLEBORGS LÄN</t>
        </is>
      </c>
      <c r="E5998" t="inlineStr">
        <is>
          <t>GÄVLE</t>
        </is>
      </c>
      <c r="F5998" t="inlineStr">
        <is>
          <t>Bergvik skog väst AB</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40335-2025</t>
        </is>
      </c>
      <c r="B5999" s="1" t="n">
        <v>45895.4652199074</v>
      </c>
      <c r="C5999" s="1" t="n">
        <v>45911</v>
      </c>
      <c r="D5999" t="inlineStr">
        <is>
          <t>GÄVLEBORGS LÄN</t>
        </is>
      </c>
      <c r="E5999" t="inlineStr">
        <is>
          <t>BOLLNÄS</t>
        </is>
      </c>
      <c r="G5999" t="n">
        <v>3.3</v>
      </c>
      <c r="H5999" t="n">
        <v>0</v>
      </c>
      <c r="I5999" t="n">
        <v>0</v>
      </c>
      <c r="J5999" t="n">
        <v>0</v>
      </c>
      <c r="K5999" t="n">
        <v>0</v>
      </c>
      <c r="L5999" t="n">
        <v>0</v>
      </c>
      <c r="M5999" t="n">
        <v>0</v>
      </c>
      <c r="N5999" t="n">
        <v>0</v>
      </c>
      <c r="O5999" t="n">
        <v>0</v>
      </c>
      <c r="P5999" t="n">
        <v>0</v>
      </c>
      <c r="Q5999" t="n">
        <v>0</v>
      </c>
      <c r="R5999" s="2" t="inlineStr"/>
    </row>
    <row r="6000" ht="15" customHeight="1">
      <c r="A6000" t="inlineStr">
        <is>
          <t>A 40401-2025</t>
        </is>
      </c>
      <c r="B6000" s="1" t="n">
        <v>45895.56739583334</v>
      </c>
      <c r="C6000" s="1" t="n">
        <v>45911</v>
      </c>
      <c r="D6000" t="inlineStr">
        <is>
          <t>GÄVLEBORGS LÄN</t>
        </is>
      </c>
      <c r="E6000" t="inlineStr">
        <is>
          <t>HOFORS</t>
        </is>
      </c>
      <c r="F6000" t="inlineStr">
        <is>
          <t>Sveaskog</t>
        </is>
      </c>
      <c r="G6000" t="n">
        <v>12.6</v>
      </c>
      <c r="H6000" t="n">
        <v>0</v>
      </c>
      <c r="I6000" t="n">
        <v>0</v>
      </c>
      <c r="J6000" t="n">
        <v>0</v>
      </c>
      <c r="K6000" t="n">
        <v>0</v>
      </c>
      <c r="L6000" t="n">
        <v>0</v>
      </c>
      <c r="M6000" t="n">
        <v>0</v>
      </c>
      <c r="N6000" t="n">
        <v>0</v>
      </c>
      <c r="O6000" t="n">
        <v>0</v>
      </c>
      <c r="P6000" t="n">
        <v>0</v>
      </c>
      <c r="Q6000" t="n">
        <v>0</v>
      </c>
      <c r="R6000" s="2" t="inlineStr"/>
    </row>
    <row r="6001" ht="15" customHeight="1">
      <c r="A6001" t="inlineStr">
        <is>
          <t>A 11799-2025</t>
        </is>
      </c>
      <c r="B6001" s="1" t="n">
        <v>45727.8137037037</v>
      </c>
      <c r="C6001" s="1" t="n">
        <v>45911</v>
      </c>
      <c r="D6001" t="inlineStr">
        <is>
          <t>GÄVLEBORGS LÄN</t>
        </is>
      </c>
      <c r="E6001" t="inlineStr">
        <is>
          <t>BOLLNÄS</t>
        </is>
      </c>
      <c r="G6001" t="n">
        <v>9.5</v>
      </c>
      <c r="H6001" t="n">
        <v>0</v>
      </c>
      <c r="I6001" t="n">
        <v>0</v>
      </c>
      <c r="J6001" t="n">
        <v>0</v>
      </c>
      <c r="K6001" t="n">
        <v>0</v>
      </c>
      <c r="L6001" t="n">
        <v>0</v>
      </c>
      <c r="M6001" t="n">
        <v>0</v>
      </c>
      <c r="N6001" t="n">
        <v>0</v>
      </c>
      <c r="O6001" t="n">
        <v>0</v>
      </c>
      <c r="P6001" t="n">
        <v>0</v>
      </c>
      <c r="Q6001" t="n">
        <v>0</v>
      </c>
      <c r="R6001" s="2" t="inlineStr"/>
    </row>
    <row r="6002" ht="15" customHeight="1">
      <c r="A6002" t="inlineStr">
        <is>
          <t>A 13047-2023</t>
        </is>
      </c>
      <c r="B6002" s="1" t="n">
        <v>45002</v>
      </c>
      <c r="C6002" s="1" t="n">
        <v>45911</v>
      </c>
      <c r="D6002" t="inlineStr">
        <is>
          <t>GÄVLEBORGS LÄN</t>
        </is>
      </c>
      <c r="E6002" t="inlineStr">
        <is>
          <t>OVANÅKER</t>
        </is>
      </c>
      <c r="G6002" t="n">
        <v>0.2</v>
      </c>
      <c r="H6002" t="n">
        <v>0</v>
      </c>
      <c r="I6002" t="n">
        <v>0</v>
      </c>
      <c r="J6002" t="n">
        <v>0</v>
      </c>
      <c r="K6002" t="n">
        <v>0</v>
      </c>
      <c r="L6002" t="n">
        <v>0</v>
      </c>
      <c r="M6002" t="n">
        <v>0</v>
      </c>
      <c r="N6002" t="n">
        <v>0</v>
      </c>
      <c r="O6002" t="n">
        <v>0</v>
      </c>
      <c r="P6002" t="n">
        <v>0</v>
      </c>
      <c r="Q6002" t="n">
        <v>0</v>
      </c>
      <c r="R6002" s="2" t="inlineStr"/>
    </row>
    <row r="6003" ht="15" customHeight="1">
      <c r="A6003" t="inlineStr">
        <is>
          <t>A 40355-2025</t>
        </is>
      </c>
      <c r="B6003" s="1" t="n">
        <v>45895.48716435185</v>
      </c>
      <c r="C6003" s="1" t="n">
        <v>45911</v>
      </c>
      <c r="D6003" t="inlineStr">
        <is>
          <t>GÄVLEBORGS LÄN</t>
        </is>
      </c>
      <c r="E6003" t="inlineStr">
        <is>
          <t>LJUSDAL</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19712-2022</t>
        </is>
      </c>
      <c r="B6004" s="1" t="n">
        <v>44694</v>
      </c>
      <c r="C6004" s="1" t="n">
        <v>45911</v>
      </c>
      <c r="D6004" t="inlineStr">
        <is>
          <t>GÄVLEBORGS LÄN</t>
        </is>
      </c>
      <c r="E6004" t="inlineStr">
        <is>
          <t>GÄVLE</t>
        </is>
      </c>
      <c r="F6004" t="inlineStr">
        <is>
          <t>Bergvik skog väst AB</t>
        </is>
      </c>
      <c r="G6004" t="n">
        <v>4</v>
      </c>
      <c r="H6004" t="n">
        <v>0</v>
      </c>
      <c r="I6004" t="n">
        <v>0</v>
      </c>
      <c r="J6004" t="n">
        <v>0</v>
      </c>
      <c r="K6004" t="n">
        <v>0</v>
      </c>
      <c r="L6004" t="n">
        <v>0</v>
      </c>
      <c r="M6004" t="n">
        <v>0</v>
      </c>
      <c r="N6004" t="n">
        <v>0</v>
      </c>
      <c r="O6004" t="n">
        <v>0</v>
      </c>
      <c r="P6004" t="n">
        <v>0</v>
      </c>
      <c r="Q6004" t="n">
        <v>0</v>
      </c>
      <c r="R6004" s="2" t="inlineStr"/>
    </row>
    <row r="6005" ht="15" customHeight="1">
      <c r="A6005" t="inlineStr">
        <is>
          <t>A 44387-2021</t>
        </is>
      </c>
      <c r="B6005" s="1" t="n">
        <v>44435</v>
      </c>
      <c r="C6005" s="1" t="n">
        <v>45911</v>
      </c>
      <c r="D6005" t="inlineStr">
        <is>
          <t>GÄVLEBORGS LÄN</t>
        </is>
      </c>
      <c r="E6005" t="inlineStr">
        <is>
          <t>LJUSDAL</t>
        </is>
      </c>
      <c r="F6005" t="inlineStr">
        <is>
          <t>Sveaskog</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41151-2025</t>
        </is>
      </c>
      <c r="B6006" s="1" t="n">
        <v>45898.5127199074</v>
      </c>
      <c r="C6006" s="1" t="n">
        <v>45911</v>
      </c>
      <c r="D6006" t="inlineStr">
        <is>
          <t>GÄVLEBORGS LÄN</t>
        </is>
      </c>
      <c r="E6006" t="inlineStr">
        <is>
          <t>HUDIKSVALL</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41164-2025</t>
        </is>
      </c>
      <c r="B6007" s="1" t="n">
        <v>45898.53631944444</v>
      </c>
      <c r="C6007" s="1" t="n">
        <v>45911</v>
      </c>
      <c r="D6007" t="inlineStr">
        <is>
          <t>GÄVLEBORGS LÄN</t>
        </is>
      </c>
      <c r="E6007" t="inlineStr">
        <is>
          <t>HUDIKSVALL</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41202-2025</t>
        </is>
      </c>
      <c r="B6008" s="1" t="n">
        <v>45898.5747337963</v>
      </c>
      <c r="C6008" s="1" t="n">
        <v>45911</v>
      </c>
      <c r="D6008" t="inlineStr">
        <is>
          <t>GÄVLEBORGS LÄN</t>
        </is>
      </c>
      <c r="E6008" t="inlineStr">
        <is>
          <t>NORDANSTIG</t>
        </is>
      </c>
      <c r="F6008" t="inlineStr">
        <is>
          <t>Holmen skog AB</t>
        </is>
      </c>
      <c r="G6008" t="n">
        <v>3.1</v>
      </c>
      <c r="H6008" t="n">
        <v>0</v>
      </c>
      <c r="I6008" t="n">
        <v>0</v>
      </c>
      <c r="J6008" t="n">
        <v>0</v>
      </c>
      <c r="K6008" t="n">
        <v>0</v>
      </c>
      <c r="L6008" t="n">
        <v>0</v>
      </c>
      <c r="M6008" t="n">
        <v>0</v>
      </c>
      <c r="N6008" t="n">
        <v>0</v>
      </c>
      <c r="O6008" t="n">
        <v>0</v>
      </c>
      <c r="P6008" t="n">
        <v>0</v>
      </c>
      <c r="Q6008" t="n">
        <v>0</v>
      </c>
      <c r="R6008" s="2" t="inlineStr"/>
    </row>
    <row r="6009" ht="15" customHeight="1">
      <c r="A6009" t="inlineStr">
        <is>
          <t>A 24092-2023</t>
        </is>
      </c>
      <c r="B6009" s="1" t="n">
        <v>45079.42591435185</v>
      </c>
      <c r="C6009" s="1" t="n">
        <v>45911</v>
      </c>
      <c r="D6009" t="inlineStr">
        <is>
          <t>GÄVLEBORGS LÄN</t>
        </is>
      </c>
      <c r="E6009" t="inlineStr">
        <is>
          <t>HUDIKSVALL</t>
        </is>
      </c>
      <c r="F6009" t="inlineStr">
        <is>
          <t>Holmen skog AB</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16137-2022</t>
        </is>
      </c>
      <c r="B6010" s="1" t="n">
        <v>44665</v>
      </c>
      <c r="C6010" s="1" t="n">
        <v>45911</v>
      </c>
      <c r="D6010" t="inlineStr">
        <is>
          <t>GÄVLEBORGS LÄN</t>
        </is>
      </c>
      <c r="E6010" t="inlineStr">
        <is>
          <t>SÖDERHAMN</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17164-2023</t>
        </is>
      </c>
      <c r="B6011" s="1" t="n">
        <v>45034</v>
      </c>
      <c r="C6011" s="1" t="n">
        <v>45911</v>
      </c>
      <c r="D6011" t="inlineStr">
        <is>
          <t>GÄVLEBORGS LÄN</t>
        </is>
      </c>
      <c r="E6011" t="inlineStr">
        <is>
          <t>HUDIKSVALL</t>
        </is>
      </c>
      <c r="G6011" t="n">
        <v>2.8</v>
      </c>
      <c r="H6011" t="n">
        <v>0</v>
      </c>
      <c r="I6011" t="n">
        <v>0</v>
      </c>
      <c r="J6011" t="n">
        <v>0</v>
      </c>
      <c r="K6011" t="n">
        <v>0</v>
      </c>
      <c r="L6011" t="n">
        <v>0</v>
      </c>
      <c r="M6011" t="n">
        <v>0</v>
      </c>
      <c r="N6011" t="n">
        <v>0</v>
      </c>
      <c r="O6011" t="n">
        <v>0</v>
      </c>
      <c r="P6011" t="n">
        <v>0</v>
      </c>
      <c r="Q6011" t="n">
        <v>0</v>
      </c>
      <c r="R6011" s="2" t="inlineStr"/>
    </row>
    <row r="6012" ht="15" customHeight="1">
      <c r="A6012" t="inlineStr">
        <is>
          <t>A 40726-2025</t>
        </is>
      </c>
      <c r="B6012" s="1" t="n">
        <v>45897.3466550926</v>
      </c>
      <c r="C6012" s="1" t="n">
        <v>45911</v>
      </c>
      <c r="D6012" t="inlineStr">
        <is>
          <t>GÄVLEBORGS LÄN</t>
        </is>
      </c>
      <c r="E6012" t="inlineStr">
        <is>
          <t>GÄVLE</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40747-2025</t>
        </is>
      </c>
      <c r="B6013" s="1" t="n">
        <v>45897.37946759259</v>
      </c>
      <c r="C6013" s="1" t="n">
        <v>45911</v>
      </c>
      <c r="D6013" t="inlineStr">
        <is>
          <t>GÄVLEBORGS LÄN</t>
        </is>
      </c>
      <c r="E6013" t="inlineStr">
        <is>
          <t>LJUSDAL</t>
        </is>
      </c>
      <c r="F6013" t="inlineStr">
        <is>
          <t>Kommuner</t>
        </is>
      </c>
      <c r="G6013" t="n">
        <v>4.1</v>
      </c>
      <c r="H6013" t="n">
        <v>0</v>
      </c>
      <c r="I6013" t="n">
        <v>0</v>
      </c>
      <c r="J6013" t="n">
        <v>0</v>
      </c>
      <c r="K6013" t="n">
        <v>0</v>
      </c>
      <c r="L6013" t="n">
        <v>0</v>
      </c>
      <c r="M6013" t="n">
        <v>0</v>
      </c>
      <c r="N6013" t="n">
        <v>0</v>
      </c>
      <c r="O6013" t="n">
        <v>0</v>
      </c>
      <c r="P6013" t="n">
        <v>0</v>
      </c>
      <c r="Q6013" t="n">
        <v>0</v>
      </c>
      <c r="R6013" s="2" t="inlineStr"/>
    </row>
    <row r="6014" ht="15" customHeight="1">
      <c r="A6014" t="inlineStr">
        <is>
          <t>A 37974-2024</t>
        </is>
      </c>
      <c r="B6014" s="1" t="n">
        <v>45544.57392361111</v>
      </c>
      <c r="C6014" s="1" t="n">
        <v>45911</v>
      </c>
      <c r="D6014" t="inlineStr">
        <is>
          <t>GÄVLEBORGS LÄN</t>
        </is>
      </c>
      <c r="E6014" t="inlineStr">
        <is>
          <t>NORDANSTIG</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2962-2025</t>
        </is>
      </c>
      <c r="B6015" s="1" t="n">
        <v>45678.45496527778</v>
      </c>
      <c r="C6015" s="1" t="n">
        <v>45911</v>
      </c>
      <c r="D6015" t="inlineStr">
        <is>
          <t>GÄVLEBORGS LÄN</t>
        </is>
      </c>
      <c r="E6015" t="inlineStr">
        <is>
          <t>NORDANSTIG</t>
        </is>
      </c>
      <c r="F6015" t="inlineStr">
        <is>
          <t>Holmen skog AB</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40948-2025</t>
        </is>
      </c>
      <c r="B6016" s="1" t="n">
        <v>45897.66027777778</v>
      </c>
      <c r="C6016" s="1" t="n">
        <v>45911</v>
      </c>
      <c r="D6016" t="inlineStr">
        <is>
          <t>GÄVLEBORGS LÄN</t>
        </is>
      </c>
      <c r="E6016" t="inlineStr">
        <is>
          <t>OVANÅKER</t>
        </is>
      </c>
      <c r="G6016" t="n">
        <v>3.1</v>
      </c>
      <c r="H6016" t="n">
        <v>0</v>
      </c>
      <c r="I6016" t="n">
        <v>0</v>
      </c>
      <c r="J6016" t="n">
        <v>0</v>
      </c>
      <c r="K6016" t="n">
        <v>0</v>
      </c>
      <c r="L6016" t="n">
        <v>0</v>
      </c>
      <c r="M6016" t="n">
        <v>0</v>
      </c>
      <c r="N6016" t="n">
        <v>0</v>
      </c>
      <c r="O6016" t="n">
        <v>0</v>
      </c>
      <c r="P6016" t="n">
        <v>0</v>
      </c>
      <c r="Q6016" t="n">
        <v>0</v>
      </c>
      <c r="R6016" s="2" t="inlineStr"/>
    </row>
    <row r="6017" ht="15" customHeight="1">
      <c r="A6017" t="inlineStr">
        <is>
          <t>A 41240-2025</t>
        </is>
      </c>
      <c r="B6017" s="1" t="n">
        <v>45898.59614583333</v>
      </c>
      <c r="C6017" s="1" t="n">
        <v>45911</v>
      </c>
      <c r="D6017" t="inlineStr">
        <is>
          <t>GÄVLEBORGS LÄN</t>
        </is>
      </c>
      <c r="E6017" t="inlineStr">
        <is>
          <t>GÄVLE</t>
        </is>
      </c>
      <c r="F6017" t="inlineStr">
        <is>
          <t>Bergvik skog väst AB</t>
        </is>
      </c>
      <c r="G6017" t="n">
        <v>5.9</v>
      </c>
      <c r="H6017" t="n">
        <v>0</v>
      </c>
      <c r="I6017" t="n">
        <v>0</v>
      </c>
      <c r="J6017" t="n">
        <v>0</v>
      </c>
      <c r="K6017" t="n">
        <v>0</v>
      </c>
      <c r="L6017" t="n">
        <v>0</v>
      </c>
      <c r="M6017" t="n">
        <v>0</v>
      </c>
      <c r="N6017" t="n">
        <v>0</v>
      </c>
      <c r="O6017" t="n">
        <v>0</v>
      </c>
      <c r="P6017" t="n">
        <v>0</v>
      </c>
      <c r="Q6017" t="n">
        <v>0</v>
      </c>
      <c r="R6017" s="2" t="inlineStr"/>
    </row>
    <row r="6018" ht="15" customHeight="1">
      <c r="A6018" t="inlineStr">
        <is>
          <t>A 28080-2024</t>
        </is>
      </c>
      <c r="B6018" s="1" t="n">
        <v>45476.58725694445</v>
      </c>
      <c r="C6018" s="1" t="n">
        <v>45911</v>
      </c>
      <c r="D6018" t="inlineStr">
        <is>
          <t>GÄVLEBORGS LÄN</t>
        </is>
      </c>
      <c r="E6018" t="inlineStr">
        <is>
          <t>BOLLNÄS</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62123-2024</t>
        </is>
      </c>
      <c r="B6019" s="1" t="n">
        <v>45646</v>
      </c>
      <c r="C6019" s="1" t="n">
        <v>45911</v>
      </c>
      <c r="D6019" t="inlineStr">
        <is>
          <t>GÄVLEBORGS LÄN</t>
        </is>
      </c>
      <c r="E6019" t="inlineStr">
        <is>
          <t>BOLLNÄS</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26827-2021</t>
        </is>
      </c>
      <c r="B6020" s="1" t="n">
        <v>44349</v>
      </c>
      <c r="C6020" s="1" t="n">
        <v>45911</v>
      </c>
      <c r="D6020" t="inlineStr">
        <is>
          <t>GÄVLEBORGS LÄN</t>
        </is>
      </c>
      <c r="E6020" t="inlineStr">
        <is>
          <t>NORDANSTIG</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28918-2021</t>
        </is>
      </c>
      <c r="B6021" s="1" t="n">
        <v>44358</v>
      </c>
      <c r="C6021" s="1" t="n">
        <v>45911</v>
      </c>
      <c r="D6021" t="inlineStr">
        <is>
          <t>GÄVLEBORGS LÄN</t>
        </is>
      </c>
      <c r="E6021" t="inlineStr">
        <is>
          <t>OCKELBO</t>
        </is>
      </c>
      <c r="F6021" t="inlineStr">
        <is>
          <t>Bergvik skog väst AB</t>
        </is>
      </c>
      <c r="G6021" t="n">
        <v>4.2</v>
      </c>
      <c r="H6021" t="n">
        <v>0</v>
      </c>
      <c r="I6021" t="n">
        <v>0</v>
      </c>
      <c r="J6021" t="n">
        <v>0</v>
      </c>
      <c r="K6021" t="n">
        <v>0</v>
      </c>
      <c r="L6021" t="n">
        <v>0</v>
      </c>
      <c r="M6021" t="n">
        <v>0</v>
      </c>
      <c r="N6021" t="n">
        <v>0</v>
      </c>
      <c r="O6021" t="n">
        <v>0</v>
      </c>
      <c r="P6021" t="n">
        <v>0</v>
      </c>
      <c r="Q6021" t="n">
        <v>0</v>
      </c>
      <c r="R6021" s="2" t="inlineStr"/>
    </row>
    <row r="6022" ht="15" customHeight="1">
      <c r="A6022" t="inlineStr">
        <is>
          <t>A 15985-2025</t>
        </is>
      </c>
      <c r="B6022" s="1" t="n">
        <v>45749.57207175926</v>
      </c>
      <c r="C6022" s="1" t="n">
        <v>45911</v>
      </c>
      <c r="D6022" t="inlineStr">
        <is>
          <t>GÄVLEBORGS LÄN</t>
        </is>
      </c>
      <c r="E6022" t="inlineStr">
        <is>
          <t>HUDIKSVALL</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41239-2025</t>
        </is>
      </c>
      <c r="B6023" s="1" t="n">
        <v>45898.59612268519</v>
      </c>
      <c r="C6023" s="1" t="n">
        <v>45911</v>
      </c>
      <c r="D6023" t="inlineStr">
        <is>
          <t>GÄVLEBORGS LÄN</t>
        </is>
      </c>
      <c r="E6023" t="inlineStr">
        <is>
          <t>HUDIKSVALL</t>
        </is>
      </c>
      <c r="F6023" t="inlineStr">
        <is>
          <t>Holmen skog AB</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1887-2025</t>
        </is>
      </c>
      <c r="B6024" s="1" t="n">
        <v>45671.63185185185</v>
      </c>
      <c r="C6024" s="1" t="n">
        <v>45911</v>
      </c>
      <c r="D6024" t="inlineStr">
        <is>
          <t>GÄVLEBORGS LÄN</t>
        </is>
      </c>
      <c r="E6024" t="inlineStr">
        <is>
          <t>HUDIKSVALL</t>
        </is>
      </c>
      <c r="F6024" t="inlineStr">
        <is>
          <t>Holmen skog AB</t>
        </is>
      </c>
      <c r="G6024" t="n">
        <v>2.6</v>
      </c>
      <c r="H6024" t="n">
        <v>0</v>
      </c>
      <c r="I6024" t="n">
        <v>0</v>
      </c>
      <c r="J6024" t="n">
        <v>0</v>
      </c>
      <c r="K6024" t="n">
        <v>0</v>
      </c>
      <c r="L6024" t="n">
        <v>0</v>
      </c>
      <c r="M6024" t="n">
        <v>0</v>
      </c>
      <c r="N6024" t="n">
        <v>0</v>
      </c>
      <c r="O6024" t="n">
        <v>0</v>
      </c>
      <c r="P6024" t="n">
        <v>0</v>
      </c>
      <c r="Q6024" t="n">
        <v>0</v>
      </c>
      <c r="R6024" s="2" t="inlineStr"/>
    </row>
    <row r="6025" ht="15" customHeight="1">
      <c r="A6025" t="inlineStr">
        <is>
          <t>A 48139-2023</t>
        </is>
      </c>
      <c r="B6025" s="1" t="n">
        <v>45205.3875</v>
      </c>
      <c r="C6025" s="1" t="n">
        <v>45911</v>
      </c>
      <c r="D6025" t="inlineStr">
        <is>
          <t>GÄVLEBORGS LÄN</t>
        </is>
      </c>
      <c r="E6025" t="inlineStr">
        <is>
          <t>SÖDERHAMN</t>
        </is>
      </c>
      <c r="G6025" t="n">
        <v>2.9</v>
      </c>
      <c r="H6025" t="n">
        <v>0</v>
      </c>
      <c r="I6025" t="n">
        <v>0</v>
      </c>
      <c r="J6025" t="n">
        <v>0</v>
      </c>
      <c r="K6025" t="n">
        <v>0</v>
      </c>
      <c r="L6025" t="n">
        <v>0</v>
      </c>
      <c r="M6025" t="n">
        <v>0</v>
      </c>
      <c r="N6025" t="n">
        <v>0</v>
      </c>
      <c r="O6025" t="n">
        <v>0</v>
      </c>
      <c r="P6025" t="n">
        <v>0</v>
      </c>
      <c r="Q6025" t="n">
        <v>0</v>
      </c>
      <c r="R6025" s="2" t="inlineStr"/>
    </row>
    <row r="6026" ht="15" customHeight="1">
      <c r="A6026" t="inlineStr">
        <is>
          <t>A 48148-2023</t>
        </is>
      </c>
      <c r="B6026" s="1" t="n">
        <v>45205.40086805556</v>
      </c>
      <c r="C6026" s="1" t="n">
        <v>45911</v>
      </c>
      <c r="D6026" t="inlineStr">
        <is>
          <t>GÄVLEBORGS LÄN</t>
        </is>
      </c>
      <c r="E6026" t="inlineStr">
        <is>
          <t>OCKELBO</t>
        </is>
      </c>
      <c r="F6026" t="inlineStr">
        <is>
          <t>Kyrkan</t>
        </is>
      </c>
      <c r="G6026" t="n">
        <v>2.7</v>
      </c>
      <c r="H6026" t="n">
        <v>0</v>
      </c>
      <c r="I6026" t="n">
        <v>0</v>
      </c>
      <c r="J6026" t="n">
        <v>0</v>
      </c>
      <c r="K6026" t="n">
        <v>0</v>
      </c>
      <c r="L6026" t="n">
        <v>0</v>
      </c>
      <c r="M6026" t="n">
        <v>0</v>
      </c>
      <c r="N6026" t="n">
        <v>0</v>
      </c>
      <c r="O6026" t="n">
        <v>0</v>
      </c>
      <c r="P6026" t="n">
        <v>0</v>
      </c>
      <c r="Q6026" t="n">
        <v>0</v>
      </c>
      <c r="R6026" s="2" t="inlineStr"/>
    </row>
    <row r="6027" ht="15" customHeight="1">
      <c r="A6027" t="inlineStr">
        <is>
          <t>A 41047-2025</t>
        </is>
      </c>
      <c r="B6027" s="1" t="n">
        <v>45898.40085648148</v>
      </c>
      <c r="C6027" s="1" t="n">
        <v>45911</v>
      </c>
      <c r="D6027" t="inlineStr">
        <is>
          <t>GÄVLEBORGS LÄN</t>
        </is>
      </c>
      <c r="E6027" t="inlineStr">
        <is>
          <t>GÄVLE</t>
        </is>
      </c>
      <c r="F6027" t="inlineStr">
        <is>
          <t>Bergvik skog väst AB</t>
        </is>
      </c>
      <c r="G6027" t="n">
        <v>2.8</v>
      </c>
      <c r="H6027" t="n">
        <v>0</v>
      </c>
      <c r="I6027" t="n">
        <v>0</v>
      </c>
      <c r="J6027" t="n">
        <v>0</v>
      </c>
      <c r="K6027" t="n">
        <v>0</v>
      </c>
      <c r="L6027" t="n">
        <v>0</v>
      </c>
      <c r="M6027" t="n">
        <v>0</v>
      </c>
      <c r="N6027" t="n">
        <v>0</v>
      </c>
      <c r="O6027" t="n">
        <v>0</v>
      </c>
      <c r="P6027" t="n">
        <v>0</v>
      </c>
      <c r="Q6027" t="n">
        <v>0</v>
      </c>
      <c r="R6027" s="2" t="inlineStr"/>
    </row>
    <row r="6028" ht="15" customHeight="1">
      <c r="A6028" t="inlineStr">
        <is>
          <t>A 4235-2025</t>
        </is>
      </c>
      <c r="B6028" s="1" t="n">
        <v>45685.56496527778</v>
      </c>
      <c r="C6028" s="1" t="n">
        <v>45911</v>
      </c>
      <c r="D6028" t="inlineStr">
        <is>
          <t>GÄVLEBORGS LÄN</t>
        </is>
      </c>
      <c r="E6028" t="inlineStr">
        <is>
          <t>GÄVLE</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50299-2024</t>
        </is>
      </c>
      <c r="B6029" s="1" t="n">
        <v>45600.62952546297</v>
      </c>
      <c r="C6029" s="1" t="n">
        <v>45911</v>
      </c>
      <c r="D6029" t="inlineStr">
        <is>
          <t>GÄVLEBORGS LÄN</t>
        </is>
      </c>
      <c r="E6029" t="inlineStr">
        <is>
          <t>SANDVIKEN</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9412-2025</t>
        </is>
      </c>
      <c r="B6030" s="1" t="n">
        <v>45715.39028935185</v>
      </c>
      <c r="C6030" s="1" t="n">
        <v>45911</v>
      </c>
      <c r="D6030" t="inlineStr">
        <is>
          <t>GÄVLEBORGS LÄN</t>
        </is>
      </c>
      <c r="E6030" t="inlineStr">
        <is>
          <t>GÄVLE</t>
        </is>
      </c>
      <c r="G6030" t="n">
        <v>3.3</v>
      </c>
      <c r="H6030" t="n">
        <v>0</v>
      </c>
      <c r="I6030" t="n">
        <v>0</v>
      </c>
      <c r="J6030" t="n">
        <v>0</v>
      </c>
      <c r="K6030" t="n">
        <v>0</v>
      </c>
      <c r="L6030" t="n">
        <v>0</v>
      </c>
      <c r="M6030" t="n">
        <v>0</v>
      </c>
      <c r="N6030" t="n">
        <v>0</v>
      </c>
      <c r="O6030" t="n">
        <v>0</v>
      </c>
      <c r="P6030" t="n">
        <v>0</v>
      </c>
      <c r="Q6030" t="n">
        <v>0</v>
      </c>
      <c r="R6030" s="2" t="inlineStr"/>
    </row>
    <row r="6031" ht="15" customHeight="1">
      <c r="A6031" t="inlineStr">
        <is>
          <t>A 9452-2025</t>
        </is>
      </c>
      <c r="B6031" s="1" t="n">
        <v>45715.42872685185</v>
      </c>
      <c r="C6031" s="1" t="n">
        <v>45911</v>
      </c>
      <c r="D6031" t="inlineStr">
        <is>
          <t>GÄVLEBORGS LÄN</t>
        </is>
      </c>
      <c r="E6031" t="inlineStr">
        <is>
          <t>GÄVLE</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40777-2025</t>
        </is>
      </c>
      <c r="B6032" s="1" t="n">
        <v>45897.43212962963</v>
      </c>
      <c r="C6032" s="1" t="n">
        <v>45911</v>
      </c>
      <c r="D6032" t="inlineStr">
        <is>
          <t>GÄVLEBORGS LÄN</t>
        </is>
      </c>
      <c r="E6032" t="inlineStr">
        <is>
          <t>BOLLNÄS</t>
        </is>
      </c>
      <c r="G6032" t="n">
        <v>2.5</v>
      </c>
      <c r="H6032" t="n">
        <v>0</v>
      </c>
      <c r="I6032" t="n">
        <v>0</v>
      </c>
      <c r="J6032" t="n">
        <v>0</v>
      </c>
      <c r="K6032" t="n">
        <v>0</v>
      </c>
      <c r="L6032" t="n">
        <v>0</v>
      </c>
      <c r="M6032" t="n">
        <v>0</v>
      </c>
      <c r="N6032" t="n">
        <v>0</v>
      </c>
      <c r="O6032" t="n">
        <v>0</v>
      </c>
      <c r="P6032" t="n">
        <v>0</v>
      </c>
      <c r="Q6032" t="n">
        <v>0</v>
      </c>
      <c r="R6032" s="2" t="inlineStr"/>
    </row>
    <row r="6033" ht="15" customHeight="1">
      <c r="A6033" t="inlineStr">
        <is>
          <t>A 9459-2025</t>
        </is>
      </c>
      <c r="B6033" s="1" t="n">
        <v>45715.44862268519</v>
      </c>
      <c r="C6033" s="1" t="n">
        <v>45911</v>
      </c>
      <c r="D6033" t="inlineStr">
        <is>
          <t>GÄVLEBORGS LÄN</t>
        </is>
      </c>
      <c r="E6033" t="inlineStr">
        <is>
          <t>OCKELBO</t>
        </is>
      </c>
      <c r="F6033" t="inlineStr">
        <is>
          <t>Bergvik skog öst AB</t>
        </is>
      </c>
      <c r="G6033" t="n">
        <v>3.3</v>
      </c>
      <c r="H6033" t="n">
        <v>0</v>
      </c>
      <c r="I6033" t="n">
        <v>0</v>
      </c>
      <c r="J6033" t="n">
        <v>0</v>
      </c>
      <c r="K6033" t="n">
        <v>0</v>
      </c>
      <c r="L6033" t="n">
        <v>0</v>
      </c>
      <c r="M6033" t="n">
        <v>0</v>
      </c>
      <c r="N6033" t="n">
        <v>0</v>
      </c>
      <c r="O6033" t="n">
        <v>0</v>
      </c>
      <c r="P6033" t="n">
        <v>0</v>
      </c>
      <c r="Q6033" t="n">
        <v>0</v>
      </c>
      <c r="R6033" s="2" t="inlineStr"/>
    </row>
    <row r="6034" ht="15" customHeight="1">
      <c r="A6034" t="inlineStr">
        <is>
          <t>A 5979-2025</t>
        </is>
      </c>
      <c r="B6034" s="1" t="n">
        <v>45695.54638888889</v>
      </c>
      <c r="C6034" s="1" t="n">
        <v>45911</v>
      </c>
      <c r="D6034" t="inlineStr">
        <is>
          <t>GÄVLEBORGS LÄN</t>
        </is>
      </c>
      <c r="E6034" t="inlineStr">
        <is>
          <t>OVANÅKER</t>
        </is>
      </c>
      <c r="G6034" t="n">
        <v>8.4</v>
      </c>
      <c r="H6034" t="n">
        <v>0</v>
      </c>
      <c r="I6034" t="n">
        <v>0</v>
      </c>
      <c r="J6034" t="n">
        <v>0</v>
      </c>
      <c r="K6034" t="n">
        <v>0</v>
      </c>
      <c r="L6034" t="n">
        <v>0</v>
      </c>
      <c r="M6034" t="n">
        <v>0</v>
      </c>
      <c r="N6034" t="n">
        <v>0</v>
      </c>
      <c r="O6034" t="n">
        <v>0</v>
      </c>
      <c r="P6034" t="n">
        <v>0</v>
      </c>
      <c r="Q6034" t="n">
        <v>0</v>
      </c>
      <c r="R6034" s="2" t="inlineStr"/>
    </row>
    <row r="6035" ht="15" customHeight="1">
      <c r="A6035" t="inlineStr">
        <is>
          <t>A 35447-2025</t>
        </is>
      </c>
      <c r="B6035" s="1" t="n">
        <v>45855.54505787037</v>
      </c>
      <c r="C6035" s="1" t="n">
        <v>45911</v>
      </c>
      <c r="D6035" t="inlineStr">
        <is>
          <t>GÄVLEBORGS LÄN</t>
        </is>
      </c>
      <c r="E6035" t="inlineStr">
        <is>
          <t>BOLLNÄS</t>
        </is>
      </c>
      <c r="F6035" t="inlineStr">
        <is>
          <t>Bergvik skog väst AB</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35475-2025</t>
        </is>
      </c>
      <c r="B6036" s="1" t="n">
        <v>45855.67001157408</v>
      </c>
      <c r="C6036" s="1" t="n">
        <v>45911</v>
      </c>
      <c r="D6036" t="inlineStr">
        <is>
          <t>GÄVLEBORGS LÄN</t>
        </is>
      </c>
      <c r="E6036" t="inlineStr">
        <is>
          <t>HOFORS</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20351-2025</t>
        </is>
      </c>
      <c r="B6037" s="1" t="n">
        <v>45775.38898148148</v>
      </c>
      <c r="C6037" s="1" t="n">
        <v>45911</v>
      </c>
      <c r="D6037" t="inlineStr">
        <is>
          <t>GÄVLEBORGS LÄN</t>
        </is>
      </c>
      <c r="E6037" t="inlineStr">
        <is>
          <t>LJUSDAL</t>
        </is>
      </c>
      <c r="F6037" t="inlineStr">
        <is>
          <t>Holmen skog AB</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1649-2025</t>
        </is>
      </c>
      <c r="B6038" s="1" t="n">
        <v>45670.6528587963</v>
      </c>
      <c r="C6038" s="1" t="n">
        <v>45911</v>
      </c>
      <c r="D6038" t="inlineStr">
        <is>
          <t>GÄVLEBORGS LÄN</t>
        </is>
      </c>
      <c r="E6038" t="inlineStr">
        <is>
          <t>SÖDERHAMN</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69215-2020</t>
        </is>
      </c>
      <c r="B6039" s="1" t="n">
        <v>44192</v>
      </c>
      <c r="C6039" s="1" t="n">
        <v>45911</v>
      </c>
      <c r="D6039" t="inlineStr">
        <is>
          <t>GÄVLEBORGS LÄN</t>
        </is>
      </c>
      <c r="E6039" t="inlineStr">
        <is>
          <t>GÄVLE</t>
        </is>
      </c>
      <c r="F6039" t="inlineStr">
        <is>
          <t>Kommuner</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60099-2022</t>
        </is>
      </c>
      <c r="B6040" s="1" t="n">
        <v>44909.62553240741</v>
      </c>
      <c r="C6040" s="1" t="n">
        <v>45911</v>
      </c>
      <c r="D6040" t="inlineStr">
        <is>
          <t>GÄVLEBORGS LÄN</t>
        </is>
      </c>
      <c r="E6040" t="inlineStr">
        <is>
          <t>LJUSDAL</t>
        </is>
      </c>
      <c r="F6040" t="inlineStr">
        <is>
          <t>Bergvik skog väst AB</t>
        </is>
      </c>
      <c r="G6040" t="n">
        <v>2.7</v>
      </c>
      <c r="H6040" t="n">
        <v>0</v>
      </c>
      <c r="I6040" t="n">
        <v>0</v>
      </c>
      <c r="J6040" t="n">
        <v>0</v>
      </c>
      <c r="K6040" t="n">
        <v>0</v>
      </c>
      <c r="L6040" t="n">
        <v>0</v>
      </c>
      <c r="M6040" t="n">
        <v>0</v>
      </c>
      <c r="N6040" t="n">
        <v>0</v>
      </c>
      <c r="O6040" t="n">
        <v>0</v>
      </c>
      <c r="P6040" t="n">
        <v>0</v>
      </c>
      <c r="Q6040" t="n">
        <v>0</v>
      </c>
      <c r="R6040" s="2" t="inlineStr"/>
    </row>
    <row r="6041" ht="15" customHeight="1">
      <c r="A6041" t="inlineStr">
        <is>
          <t>A 40790-2025</t>
        </is>
      </c>
      <c r="B6041" s="1" t="n">
        <v>45897.44836805556</v>
      </c>
      <c r="C6041" s="1" t="n">
        <v>45911</v>
      </c>
      <c r="D6041" t="inlineStr">
        <is>
          <t>GÄVLEBORGS LÄN</t>
        </is>
      </c>
      <c r="E6041" t="inlineStr">
        <is>
          <t>LJUSDAL</t>
        </is>
      </c>
      <c r="F6041" t="inlineStr">
        <is>
          <t>SCA</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1675-2025</t>
        </is>
      </c>
      <c r="B6042" s="1" t="n">
        <v>45670</v>
      </c>
      <c r="C6042" s="1" t="n">
        <v>45911</v>
      </c>
      <c r="D6042" t="inlineStr">
        <is>
          <t>GÄVLEBORGS LÄN</t>
        </is>
      </c>
      <c r="E6042" t="inlineStr">
        <is>
          <t>SANDVIKEN</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48856-2023</t>
        </is>
      </c>
      <c r="B6043" s="1" t="n">
        <v>45209.43892361111</v>
      </c>
      <c r="C6043" s="1" t="n">
        <v>45911</v>
      </c>
      <c r="D6043" t="inlineStr">
        <is>
          <t>GÄVLEBORGS LÄN</t>
        </is>
      </c>
      <c r="E6043" t="inlineStr">
        <is>
          <t>LJUSDAL</t>
        </is>
      </c>
      <c r="F6043" t="inlineStr">
        <is>
          <t>Bergvik skog väst AB</t>
        </is>
      </c>
      <c r="G6043" t="n">
        <v>2.4</v>
      </c>
      <c r="H6043" t="n">
        <v>0</v>
      </c>
      <c r="I6043" t="n">
        <v>0</v>
      </c>
      <c r="J6043" t="n">
        <v>0</v>
      </c>
      <c r="K6043" t="n">
        <v>0</v>
      </c>
      <c r="L6043" t="n">
        <v>0</v>
      </c>
      <c r="M6043" t="n">
        <v>0</v>
      </c>
      <c r="N6043" t="n">
        <v>0</v>
      </c>
      <c r="O6043" t="n">
        <v>0</v>
      </c>
      <c r="P6043" t="n">
        <v>0</v>
      </c>
      <c r="Q6043" t="n">
        <v>0</v>
      </c>
      <c r="R6043" s="2" t="inlineStr"/>
    </row>
    <row r="6044" ht="15" customHeight="1">
      <c r="A6044" t="inlineStr">
        <is>
          <t>A 5190-2025</t>
        </is>
      </c>
      <c r="B6044" s="1" t="n">
        <v>45691.64688657408</v>
      </c>
      <c r="C6044" s="1" t="n">
        <v>45911</v>
      </c>
      <c r="D6044" t="inlineStr">
        <is>
          <t>GÄVLEBORGS LÄN</t>
        </is>
      </c>
      <c r="E6044" t="inlineStr">
        <is>
          <t>HUDIKSVALL</t>
        </is>
      </c>
      <c r="G6044" t="n">
        <v>8.699999999999999</v>
      </c>
      <c r="H6044" t="n">
        <v>0</v>
      </c>
      <c r="I6044" t="n">
        <v>0</v>
      </c>
      <c r="J6044" t="n">
        <v>0</v>
      </c>
      <c r="K6044" t="n">
        <v>0</v>
      </c>
      <c r="L6044" t="n">
        <v>0</v>
      </c>
      <c r="M6044" t="n">
        <v>0</v>
      </c>
      <c r="N6044" t="n">
        <v>0</v>
      </c>
      <c r="O6044" t="n">
        <v>0</v>
      </c>
      <c r="P6044" t="n">
        <v>0</v>
      </c>
      <c r="Q6044" t="n">
        <v>0</v>
      </c>
      <c r="R6044" s="2" t="inlineStr"/>
    </row>
    <row r="6045" ht="15" customHeight="1">
      <c r="A6045" t="inlineStr">
        <is>
          <t>A 13531-2021</t>
        </is>
      </c>
      <c r="B6045" s="1" t="n">
        <v>44273.695625</v>
      </c>
      <c r="C6045" s="1" t="n">
        <v>45911</v>
      </c>
      <c r="D6045" t="inlineStr">
        <is>
          <t>GÄVLEBORGS LÄN</t>
        </is>
      </c>
      <c r="E6045" t="inlineStr">
        <is>
          <t>SANDVIKEN</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9989-2025</t>
        </is>
      </c>
      <c r="B6046" s="1" t="n">
        <v>45719.42958333333</v>
      </c>
      <c r="C6046" s="1" t="n">
        <v>45911</v>
      </c>
      <c r="D6046" t="inlineStr">
        <is>
          <t>GÄVLEBORGS LÄN</t>
        </is>
      </c>
      <c r="E6046" t="inlineStr">
        <is>
          <t>HUDIKSVALL</t>
        </is>
      </c>
      <c r="G6046" t="n">
        <v>5</v>
      </c>
      <c r="H6046" t="n">
        <v>0</v>
      </c>
      <c r="I6046" t="n">
        <v>0</v>
      </c>
      <c r="J6046" t="n">
        <v>0</v>
      </c>
      <c r="K6046" t="n">
        <v>0</v>
      </c>
      <c r="L6046" t="n">
        <v>0</v>
      </c>
      <c r="M6046" t="n">
        <v>0</v>
      </c>
      <c r="N6046" t="n">
        <v>0</v>
      </c>
      <c r="O6046" t="n">
        <v>0</v>
      </c>
      <c r="P6046" t="n">
        <v>0</v>
      </c>
      <c r="Q6046" t="n">
        <v>0</v>
      </c>
      <c r="R6046" s="2" t="inlineStr"/>
    </row>
    <row r="6047" ht="15" customHeight="1">
      <c r="A6047" t="inlineStr">
        <is>
          <t>A 40838-2025</t>
        </is>
      </c>
      <c r="B6047" s="1" t="n">
        <v>45897.51347222222</v>
      </c>
      <c r="C6047" s="1" t="n">
        <v>45911</v>
      </c>
      <c r="D6047" t="inlineStr">
        <is>
          <t>GÄVLEBORGS LÄN</t>
        </is>
      </c>
      <c r="E6047" t="inlineStr">
        <is>
          <t>HUDIKSVALL</t>
        </is>
      </c>
      <c r="G6047" t="n">
        <v>3.7</v>
      </c>
      <c r="H6047" t="n">
        <v>0</v>
      </c>
      <c r="I6047" t="n">
        <v>0</v>
      </c>
      <c r="J6047" t="n">
        <v>0</v>
      </c>
      <c r="K6047" t="n">
        <v>0</v>
      </c>
      <c r="L6047" t="n">
        <v>0</v>
      </c>
      <c r="M6047" t="n">
        <v>0</v>
      </c>
      <c r="N6047" t="n">
        <v>0</v>
      </c>
      <c r="O6047" t="n">
        <v>0</v>
      </c>
      <c r="P6047" t="n">
        <v>0</v>
      </c>
      <c r="Q6047" t="n">
        <v>0</v>
      </c>
      <c r="R6047" s="2" t="inlineStr"/>
    </row>
    <row r="6048" ht="15" customHeight="1">
      <c r="A6048" t="inlineStr">
        <is>
          <t>A 30078-2024</t>
        </is>
      </c>
      <c r="B6048" s="1" t="n">
        <v>45489</v>
      </c>
      <c r="C6048" s="1" t="n">
        <v>45911</v>
      </c>
      <c r="D6048" t="inlineStr">
        <is>
          <t>GÄVLEBORGS LÄN</t>
        </is>
      </c>
      <c r="E6048" t="inlineStr">
        <is>
          <t>NORDANSTIG</t>
        </is>
      </c>
      <c r="F6048" t="inlineStr">
        <is>
          <t>Holmen skog AB</t>
        </is>
      </c>
      <c r="G6048" t="n">
        <v>4.7</v>
      </c>
      <c r="H6048" t="n">
        <v>0</v>
      </c>
      <c r="I6048" t="n">
        <v>0</v>
      </c>
      <c r="J6048" t="n">
        <v>0</v>
      </c>
      <c r="K6048" t="n">
        <v>0</v>
      </c>
      <c r="L6048" t="n">
        <v>0</v>
      </c>
      <c r="M6048" t="n">
        <v>0</v>
      </c>
      <c r="N6048" t="n">
        <v>0</v>
      </c>
      <c r="O6048" t="n">
        <v>0</v>
      </c>
      <c r="P6048" t="n">
        <v>0</v>
      </c>
      <c r="Q6048" t="n">
        <v>0</v>
      </c>
      <c r="R6048" s="2" t="inlineStr"/>
    </row>
    <row r="6049" ht="15" customHeight="1">
      <c r="A6049" t="inlineStr">
        <is>
          <t>A 30104-2024</t>
        </is>
      </c>
      <c r="B6049" s="1" t="n">
        <v>45485</v>
      </c>
      <c r="C6049" s="1" t="n">
        <v>45911</v>
      </c>
      <c r="D6049" t="inlineStr">
        <is>
          <t>GÄVLEBORGS LÄN</t>
        </is>
      </c>
      <c r="E6049" t="inlineStr">
        <is>
          <t>GÄVLE</t>
        </is>
      </c>
      <c r="F6049" t="inlineStr">
        <is>
          <t>Bergvik skog väst AB</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30116-2024</t>
        </is>
      </c>
      <c r="B6050" s="1" t="n">
        <v>45489</v>
      </c>
      <c r="C6050" s="1" t="n">
        <v>45911</v>
      </c>
      <c r="D6050" t="inlineStr">
        <is>
          <t>GÄVLEBORGS LÄN</t>
        </is>
      </c>
      <c r="E6050" t="inlineStr">
        <is>
          <t>HUDIKSVALL</t>
        </is>
      </c>
      <c r="F6050" t="inlineStr">
        <is>
          <t>Holmen skog AB</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9363-2024</t>
        </is>
      </c>
      <c r="B6051" s="1" t="n">
        <v>45359.33664351852</v>
      </c>
      <c r="C6051" s="1" t="n">
        <v>45911</v>
      </c>
      <c r="D6051" t="inlineStr">
        <is>
          <t>GÄVLEBORGS LÄN</t>
        </is>
      </c>
      <c r="E6051" t="inlineStr">
        <is>
          <t>LJUSDAL</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18431-2025</t>
        </is>
      </c>
      <c r="B6052" s="1" t="n">
        <v>45762.63586805556</v>
      </c>
      <c r="C6052" s="1" t="n">
        <v>45911</v>
      </c>
      <c r="D6052" t="inlineStr">
        <is>
          <t>GÄVLEBORGS LÄN</t>
        </is>
      </c>
      <c r="E6052" t="inlineStr">
        <is>
          <t>SÖDERHAMN</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226-2025</t>
        </is>
      </c>
      <c r="B6053" s="1" t="n">
        <v>45660</v>
      </c>
      <c r="C6053" s="1" t="n">
        <v>45911</v>
      </c>
      <c r="D6053" t="inlineStr">
        <is>
          <t>GÄVLEBORGS LÄN</t>
        </is>
      </c>
      <c r="E6053" t="inlineStr">
        <is>
          <t>BOLLNÄS</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232-2025</t>
        </is>
      </c>
      <c r="B6054" s="1" t="n">
        <v>45660.37127314815</v>
      </c>
      <c r="C6054" s="1" t="n">
        <v>45911</v>
      </c>
      <c r="D6054" t="inlineStr">
        <is>
          <t>GÄVLEBORGS LÄN</t>
        </is>
      </c>
      <c r="E6054" t="inlineStr">
        <is>
          <t>GÄVLE</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250-2025</t>
        </is>
      </c>
      <c r="B6055" s="1" t="n">
        <v>45660.42574074074</v>
      </c>
      <c r="C6055" s="1" t="n">
        <v>45911</v>
      </c>
      <c r="D6055" t="inlineStr">
        <is>
          <t>GÄVLEBORGS LÄN</t>
        </is>
      </c>
      <c r="E6055" t="inlineStr">
        <is>
          <t>GÄVLE</t>
        </is>
      </c>
      <c r="G6055" t="n">
        <v>3.1</v>
      </c>
      <c r="H6055" t="n">
        <v>0</v>
      </c>
      <c r="I6055" t="n">
        <v>0</v>
      </c>
      <c r="J6055" t="n">
        <v>0</v>
      </c>
      <c r="K6055" t="n">
        <v>0</v>
      </c>
      <c r="L6055" t="n">
        <v>0</v>
      </c>
      <c r="M6055" t="n">
        <v>0</v>
      </c>
      <c r="N6055" t="n">
        <v>0</v>
      </c>
      <c r="O6055" t="n">
        <v>0</v>
      </c>
      <c r="P6055" t="n">
        <v>0</v>
      </c>
      <c r="Q6055" t="n">
        <v>0</v>
      </c>
      <c r="R6055" s="2" t="inlineStr"/>
    </row>
    <row r="6056" ht="15" customHeight="1">
      <c r="A6056" t="inlineStr">
        <is>
          <t>A 15674-2024</t>
        </is>
      </c>
      <c r="B6056" s="1" t="n">
        <v>45404.40354166667</v>
      </c>
      <c r="C6056" s="1" t="n">
        <v>45911</v>
      </c>
      <c r="D6056" t="inlineStr">
        <is>
          <t>GÄVLEBORGS LÄN</t>
        </is>
      </c>
      <c r="E6056" t="inlineStr">
        <is>
          <t>SANDVIKEN</t>
        </is>
      </c>
      <c r="F6056" t="inlineStr">
        <is>
          <t>Bergvik skog öst AB</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18488-2024</t>
        </is>
      </c>
      <c r="B6057" s="1" t="n">
        <v>45425.54863425926</v>
      </c>
      <c r="C6057" s="1" t="n">
        <v>45911</v>
      </c>
      <c r="D6057" t="inlineStr">
        <is>
          <t>GÄVLEBORGS LÄN</t>
        </is>
      </c>
      <c r="E6057" t="inlineStr">
        <is>
          <t>LJUSDAL</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35530-2025</t>
        </is>
      </c>
      <c r="B6058" s="1" t="n">
        <v>45856.43303240741</v>
      </c>
      <c r="C6058" s="1" t="n">
        <v>45911</v>
      </c>
      <c r="D6058" t="inlineStr">
        <is>
          <t>GÄVLEBORGS LÄN</t>
        </is>
      </c>
      <c r="E6058" t="inlineStr">
        <is>
          <t>OCKELBO</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40941-2025</t>
        </is>
      </c>
      <c r="B6059" s="1" t="n">
        <v>45897.65469907408</v>
      </c>
      <c r="C6059" s="1" t="n">
        <v>45911</v>
      </c>
      <c r="D6059" t="inlineStr">
        <is>
          <t>GÄVLEBORGS LÄN</t>
        </is>
      </c>
      <c r="E6059" t="inlineStr">
        <is>
          <t>OVANÅKER</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45102-2022</t>
        </is>
      </c>
      <c r="B6060" s="1" t="n">
        <v>44843.47506944444</v>
      </c>
      <c r="C6060" s="1" t="n">
        <v>45911</v>
      </c>
      <c r="D6060" t="inlineStr">
        <is>
          <t>GÄVLEBORGS LÄN</t>
        </is>
      </c>
      <c r="E6060" t="inlineStr">
        <is>
          <t>SANDVIKEN</t>
        </is>
      </c>
      <c r="G6060" t="n">
        <v>3.6</v>
      </c>
      <c r="H6060" t="n">
        <v>0</v>
      </c>
      <c r="I6060" t="n">
        <v>0</v>
      </c>
      <c r="J6060" t="n">
        <v>0</v>
      </c>
      <c r="K6060" t="n">
        <v>0</v>
      </c>
      <c r="L6060" t="n">
        <v>0</v>
      </c>
      <c r="M6060" t="n">
        <v>0</v>
      </c>
      <c r="N6060" t="n">
        <v>0</v>
      </c>
      <c r="O6060" t="n">
        <v>0</v>
      </c>
      <c r="P6060" t="n">
        <v>0</v>
      </c>
      <c r="Q6060" t="n">
        <v>0</v>
      </c>
      <c r="R6060" s="2" t="inlineStr"/>
    </row>
    <row r="6061" ht="15" customHeight="1">
      <c r="A6061" t="inlineStr">
        <is>
          <t>A 19839-2025</t>
        </is>
      </c>
      <c r="B6061" s="1" t="n">
        <v>45771.47800925926</v>
      </c>
      <c r="C6061" s="1" t="n">
        <v>45911</v>
      </c>
      <c r="D6061" t="inlineStr">
        <is>
          <t>GÄVLEBORGS LÄN</t>
        </is>
      </c>
      <c r="E6061" t="inlineStr">
        <is>
          <t>NORDANSTIG</t>
        </is>
      </c>
      <c r="F6061" t="inlineStr">
        <is>
          <t>Holmen skog AB</t>
        </is>
      </c>
      <c r="G6061" t="n">
        <v>3.5</v>
      </c>
      <c r="H6061" t="n">
        <v>0</v>
      </c>
      <c r="I6061" t="n">
        <v>0</v>
      </c>
      <c r="J6061" t="n">
        <v>0</v>
      </c>
      <c r="K6061" t="n">
        <v>0</v>
      </c>
      <c r="L6061" t="n">
        <v>0</v>
      </c>
      <c r="M6061" t="n">
        <v>0</v>
      </c>
      <c r="N6061" t="n">
        <v>0</v>
      </c>
      <c r="O6061" t="n">
        <v>0</v>
      </c>
      <c r="P6061" t="n">
        <v>0</v>
      </c>
      <c r="Q6061" t="n">
        <v>0</v>
      </c>
      <c r="R6061" s="2" t="inlineStr"/>
    </row>
    <row r="6062" ht="15" customHeight="1">
      <c r="A6062" t="inlineStr">
        <is>
          <t>A 19894-2025</t>
        </is>
      </c>
      <c r="B6062" s="1" t="n">
        <v>45771.57770833333</v>
      </c>
      <c r="C6062" s="1" t="n">
        <v>45911</v>
      </c>
      <c r="D6062" t="inlineStr">
        <is>
          <t>GÄVLEBORGS LÄN</t>
        </is>
      </c>
      <c r="E6062" t="inlineStr">
        <is>
          <t>HUDIKSVALL</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41205-2025</t>
        </is>
      </c>
      <c r="B6063" s="1" t="n">
        <v>45898.57606481481</v>
      </c>
      <c r="C6063" s="1" t="n">
        <v>45911</v>
      </c>
      <c r="D6063" t="inlineStr">
        <is>
          <t>GÄVLEBORGS LÄN</t>
        </is>
      </c>
      <c r="E6063" t="inlineStr">
        <is>
          <t>LJUSDAL</t>
        </is>
      </c>
      <c r="F6063" t="inlineStr">
        <is>
          <t>Sveaskog</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41213-2025</t>
        </is>
      </c>
      <c r="B6064" s="1" t="n">
        <v>45898.58056712963</v>
      </c>
      <c r="C6064" s="1" t="n">
        <v>45911</v>
      </c>
      <c r="D6064" t="inlineStr">
        <is>
          <t>GÄVLEBORGS LÄN</t>
        </is>
      </c>
      <c r="E6064" t="inlineStr">
        <is>
          <t>GÄVLE</t>
        </is>
      </c>
      <c r="F6064" t="inlineStr">
        <is>
          <t>Bergvik skog väst AB</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7979-2025</t>
        </is>
      </c>
      <c r="B6065" s="1" t="n">
        <v>45707</v>
      </c>
      <c r="C6065" s="1" t="n">
        <v>45911</v>
      </c>
      <c r="D6065" t="inlineStr">
        <is>
          <t>GÄVLEBORGS LÄN</t>
        </is>
      </c>
      <c r="E6065" t="inlineStr">
        <is>
          <t>SÖDERHAMN</t>
        </is>
      </c>
      <c r="G6065" t="n">
        <v>6.6</v>
      </c>
      <c r="H6065" t="n">
        <v>0</v>
      </c>
      <c r="I6065" t="n">
        <v>0</v>
      </c>
      <c r="J6065" t="n">
        <v>0</v>
      </c>
      <c r="K6065" t="n">
        <v>0</v>
      </c>
      <c r="L6065" t="n">
        <v>0</v>
      </c>
      <c r="M6065" t="n">
        <v>0</v>
      </c>
      <c r="N6065" t="n">
        <v>0</v>
      </c>
      <c r="O6065" t="n">
        <v>0</v>
      </c>
      <c r="P6065" t="n">
        <v>0</v>
      </c>
      <c r="Q6065" t="n">
        <v>0</v>
      </c>
      <c r="R6065" s="2" t="inlineStr"/>
    </row>
    <row r="6066" ht="15" customHeight="1">
      <c r="A6066" t="inlineStr">
        <is>
          <t>A 14128-2022</t>
        </is>
      </c>
      <c r="B6066" s="1" t="n">
        <v>44651.41497685185</v>
      </c>
      <c r="C6066" s="1" t="n">
        <v>45911</v>
      </c>
      <c r="D6066" t="inlineStr">
        <is>
          <t>GÄVLEBORGS LÄN</t>
        </is>
      </c>
      <c r="E6066" t="inlineStr">
        <is>
          <t>SÖDERHAMN</t>
        </is>
      </c>
      <c r="F6066" t="inlineStr">
        <is>
          <t>Bergvik skog väst AB</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14173-2022</t>
        </is>
      </c>
      <c r="B6067" s="1" t="n">
        <v>44651</v>
      </c>
      <c r="C6067" s="1" t="n">
        <v>45911</v>
      </c>
      <c r="D6067" t="inlineStr">
        <is>
          <t>GÄVLEBORGS LÄN</t>
        </is>
      </c>
      <c r="E6067" t="inlineStr">
        <is>
          <t>GÄVLE</t>
        </is>
      </c>
      <c r="F6067" t="inlineStr">
        <is>
          <t>Bergvik skog väst AB</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59301-2024</t>
        </is>
      </c>
      <c r="B6068" s="1" t="n">
        <v>45637</v>
      </c>
      <c r="C6068" s="1" t="n">
        <v>45911</v>
      </c>
      <c r="D6068" t="inlineStr">
        <is>
          <t>GÄVLEBORGS LÄN</t>
        </is>
      </c>
      <c r="E6068" t="inlineStr">
        <is>
          <t>SÖDERHAMN</t>
        </is>
      </c>
      <c r="G6068" t="n">
        <v>3.9</v>
      </c>
      <c r="H6068" t="n">
        <v>0</v>
      </c>
      <c r="I6068" t="n">
        <v>0</v>
      </c>
      <c r="J6068" t="n">
        <v>0</v>
      </c>
      <c r="K6068" t="n">
        <v>0</v>
      </c>
      <c r="L6068" t="n">
        <v>0</v>
      </c>
      <c r="M6068" t="n">
        <v>0</v>
      </c>
      <c r="N6068" t="n">
        <v>0</v>
      </c>
      <c r="O6068" t="n">
        <v>0</v>
      </c>
      <c r="P6068" t="n">
        <v>0</v>
      </c>
      <c r="Q6068" t="n">
        <v>0</v>
      </c>
      <c r="R6068" s="2" t="inlineStr"/>
    </row>
    <row r="6069" ht="15" customHeight="1">
      <c r="A6069" t="inlineStr">
        <is>
          <t>A 40510-2025</t>
        </is>
      </c>
      <c r="B6069" s="1" t="n">
        <v>45896.34497685185</v>
      </c>
      <c r="C6069" s="1" t="n">
        <v>45911</v>
      </c>
      <c r="D6069" t="inlineStr">
        <is>
          <t>GÄVLEBORGS LÄN</t>
        </is>
      </c>
      <c r="E6069" t="inlineStr">
        <is>
          <t>LJUSDAL</t>
        </is>
      </c>
      <c r="F6069" t="inlineStr">
        <is>
          <t>SCA</t>
        </is>
      </c>
      <c r="G6069" t="n">
        <v>5.6</v>
      </c>
      <c r="H6069" t="n">
        <v>0</v>
      </c>
      <c r="I6069" t="n">
        <v>0</v>
      </c>
      <c r="J6069" t="n">
        <v>0</v>
      </c>
      <c r="K6069" t="n">
        <v>0</v>
      </c>
      <c r="L6069" t="n">
        <v>0</v>
      </c>
      <c r="M6069" t="n">
        <v>0</v>
      </c>
      <c r="N6069" t="n">
        <v>0</v>
      </c>
      <c r="O6069" t="n">
        <v>0</v>
      </c>
      <c r="P6069" t="n">
        <v>0</v>
      </c>
      <c r="Q6069" t="n">
        <v>0</v>
      </c>
      <c r="R6069" s="2" t="inlineStr"/>
    </row>
    <row r="6070" ht="15" customHeight="1">
      <c r="A6070" t="inlineStr">
        <is>
          <t>A 45807-2022</t>
        </is>
      </c>
      <c r="B6070" s="1" t="n">
        <v>44846</v>
      </c>
      <c r="C6070" s="1" t="n">
        <v>45911</v>
      </c>
      <c r="D6070" t="inlineStr">
        <is>
          <t>GÄVLEBORGS LÄN</t>
        </is>
      </c>
      <c r="E6070" t="inlineStr">
        <is>
          <t>SÖDERHAMN</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41046-2025</t>
        </is>
      </c>
      <c r="B6071" s="1" t="n">
        <v>45898.39636574074</v>
      </c>
      <c r="C6071" s="1" t="n">
        <v>45911</v>
      </c>
      <c r="D6071" t="inlineStr">
        <is>
          <t>GÄVLEBORGS LÄN</t>
        </is>
      </c>
      <c r="E6071" t="inlineStr">
        <is>
          <t>GÄVLE</t>
        </is>
      </c>
      <c r="F6071" t="inlineStr">
        <is>
          <t>Bergvik skog väst AB</t>
        </is>
      </c>
      <c r="G6071" t="n">
        <v>6.5</v>
      </c>
      <c r="H6071" t="n">
        <v>0</v>
      </c>
      <c r="I6071" t="n">
        <v>0</v>
      </c>
      <c r="J6071" t="n">
        <v>0</v>
      </c>
      <c r="K6071" t="n">
        <v>0</v>
      </c>
      <c r="L6071" t="n">
        <v>0</v>
      </c>
      <c r="M6071" t="n">
        <v>0</v>
      </c>
      <c r="N6071" t="n">
        <v>0</v>
      </c>
      <c r="O6071" t="n">
        <v>0</v>
      </c>
      <c r="P6071" t="n">
        <v>0</v>
      </c>
      <c r="Q6071" t="n">
        <v>0</v>
      </c>
      <c r="R6071" s="2" t="inlineStr"/>
    </row>
    <row r="6072" ht="15" customHeight="1">
      <c r="A6072" t="inlineStr">
        <is>
          <t>A 41072-2025</t>
        </is>
      </c>
      <c r="B6072" s="1" t="n">
        <v>45898.42072916667</v>
      </c>
      <c r="C6072" s="1" t="n">
        <v>45911</v>
      </c>
      <c r="D6072" t="inlineStr">
        <is>
          <t>GÄVLEBORGS LÄN</t>
        </is>
      </c>
      <c r="E6072" t="inlineStr">
        <is>
          <t>BOLLNÄS</t>
        </is>
      </c>
      <c r="G6072" t="n">
        <v>3.5</v>
      </c>
      <c r="H6072" t="n">
        <v>0</v>
      </c>
      <c r="I6072" t="n">
        <v>0</v>
      </c>
      <c r="J6072" t="n">
        <v>0</v>
      </c>
      <c r="K6072" t="n">
        <v>0</v>
      </c>
      <c r="L6072" t="n">
        <v>0</v>
      </c>
      <c r="M6072" t="n">
        <v>0</v>
      </c>
      <c r="N6072" t="n">
        <v>0</v>
      </c>
      <c r="O6072" t="n">
        <v>0</v>
      </c>
      <c r="P6072" t="n">
        <v>0</v>
      </c>
      <c r="Q6072" t="n">
        <v>0</v>
      </c>
      <c r="R6072" s="2" t="inlineStr"/>
    </row>
    <row r="6073" ht="15" customHeight="1">
      <c r="A6073" t="inlineStr">
        <is>
          <t>A 41088-2025</t>
        </is>
      </c>
      <c r="B6073" s="1" t="n">
        <v>45898.43726851852</v>
      </c>
      <c r="C6073" s="1" t="n">
        <v>45911</v>
      </c>
      <c r="D6073" t="inlineStr">
        <is>
          <t>GÄVLEBORGS LÄN</t>
        </is>
      </c>
      <c r="E6073" t="inlineStr">
        <is>
          <t>BOLLNÄS</t>
        </is>
      </c>
      <c r="G6073" t="n">
        <v>3.9</v>
      </c>
      <c r="H6073" t="n">
        <v>0</v>
      </c>
      <c r="I6073" t="n">
        <v>0</v>
      </c>
      <c r="J6073" t="n">
        <v>0</v>
      </c>
      <c r="K6073" t="n">
        <v>0</v>
      </c>
      <c r="L6073" t="n">
        <v>0</v>
      </c>
      <c r="M6073" t="n">
        <v>0</v>
      </c>
      <c r="N6073" t="n">
        <v>0</v>
      </c>
      <c r="O6073" t="n">
        <v>0</v>
      </c>
      <c r="P6073" t="n">
        <v>0</v>
      </c>
      <c r="Q6073" t="n">
        <v>0</v>
      </c>
      <c r="R6073" s="2" t="inlineStr"/>
    </row>
    <row r="6074" ht="15" customHeight="1">
      <c r="A6074" t="inlineStr">
        <is>
          <t>A 17515-2025</t>
        </is>
      </c>
      <c r="B6074" s="1" t="n">
        <v>45757.57398148148</v>
      </c>
      <c r="C6074" s="1" t="n">
        <v>45911</v>
      </c>
      <c r="D6074" t="inlineStr">
        <is>
          <t>GÄVLEBORGS LÄN</t>
        </is>
      </c>
      <c r="E6074" t="inlineStr">
        <is>
          <t>LJUSDAL</t>
        </is>
      </c>
      <c r="F6074" t="inlineStr">
        <is>
          <t>Bergvik skog väst AB</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41120-2025</t>
        </is>
      </c>
      <c r="B6075" s="1" t="n">
        <v>45898.46620370371</v>
      </c>
      <c r="C6075" s="1" t="n">
        <v>45911</v>
      </c>
      <c r="D6075" t="inlineStr">
        <is>
          <t>GÄVLEBORGS LÄN</t>
        </is>
      </c>
      <c r="E6075" t="inlineStr">
        <is>
          <t>OVANÅKER</t>
        </is>
      </c>
      <c r="G6075" t="n">
        <v>4.6</v>
      </c>
      <c r="H6075" t="n">
        <v>0</v>
      </c>
      <c r="I6075" t="n">
        <v>0</v>
      </c>
      <c r="J6075" t="n">
        <v>0</v>
      </c>
      <c r="K6075" t="n">
        <v>0</v>
      </c>
      <c r="L6075" t="n">
        <v>0</v>
      </c>
      <c r="M6075" t="n">
        <v>0</v>
      </c>
      <c r="N6075" t="n">
        <v>0</v>
      </c>
      <c r="O6075" t="n">
        <v>0</v>
      </c>
      <c r="P6075" t="n">
        <v>0</v>
      </c>
      <c r="Q6075" t="n">
        <v>0</v>
      </c>
      <c r="R6075" s="2" t="inlineStr"/>
    </row>
    <row r="6076" ht="15" customHeight="1">
      <c r="A6076" t="inlineStr">
        <is>
          <t>A 29337-2024</t>
        </is>
      </c>
      <c r="B6076" s="1" t="n">
        <v>45483</v>
      </c>
      <c r="C6076" s="1" t="n">
        <v>45911</v>
      </c>
      <c r="D6076" t="inlineStr">
        <is>
          <t>GÄVLEBORGS LÄN</t>
        </is>
      </c>
      <c r="E6076" t="inlineStr">
        <is>
          <t>HUDIKSVALL</t>
        </is>
      </c>
      <c r="F6076" t="inlineStr">
        <is>
          <t>Holmen skog AB</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30523-2021</t>
        </is>
      </c>
      <c r="B6077" s="1" t="n">
        <v>44364</v>
      </c>
      <c r="C6077" s="1" t="n">
        <v>45911</v>
      </c>
      <c r="D6077" t="inlineStr">
        <is>
          <t>GÄVLEBORGS LÄN</t>
        </is>
      </c>
      <c r="E6077" t="inlineStr">
        <is>
          <t>BOLLNÄS</t>
        </is>
      </c>
      <c r="G6077" t="n">
        <v>3.2</v>
      </c>
      <c r="H6077" t="n">
        <v>0</v>
      </c>
      <c r="I6077" t="n">
        <v>0</v>
      </c>
      <c r="J6077" t="n">
        <v>0</v>
      </c>
      <c r="K6077" t="n">
        <v>0</v>
      </c>
      <c r="L6077" t="n">
        <v>0</v>
      </c>
      <c r="M6077" t="n">
        <v>0</v>
      </c>
      <c r="N6077" t="n">
        <v>0</v>
      </c>
      <c r="O6077" t="n">
        <v>0</v>
      </c>
      <c r="P6077" t="n">
        <v>0</v>
      </c>
      <c r="Q6077" t="n">
        <v>0</v>
      </c>
      <c r="R6077" s="2" t="inlineStr"/>
    </row>
    <row r="6078" ht="15" customHeight="1">
      <c r="A6078" t="inlineStr">
        <is>
          <t>A 25093-2024</t>
        </is>
      </c>
      <c r="B6078" s="1" t="n">
        <v>45462</v>
      </c>
      <c r="C6078" s="1" t="n">
        <v>45911</v>
      </c>
      <c r="D6078" t="inlineStr">
        <is>
          <t>GÄVLEBORGS LÄN</t>
        </is>
      </c>
      <c r="E6078" t="inlineStr">
        <is>
          <t>LJUSDAL</t>
        </is>
      </c>
      <c r="F6078" t="inlineStr">
        <is>
          <t>Bergvik skog väst AB</t>
        </is>
      </c>
      <c r="G6078" t="n">
        <v>10.6</v>
      </c>
      <c r="H6078" t="n">
        <v>0</v>
      </c>
      <c r="I6078" t="n">
        <v>0</v>
      </c>
      <c r="J6078" t="n">
        <v>0</v>
      </c>
      <c r="K6078" t="n">
        <v>0</v>
      </c>
      <c r="L6078" t="n">
        <v>0</v>
      </c>
      <c r="M6078" t="n">
        <v>0</v>
      </c>
      <c r="N6078" t="n">
        <v>0</v>
      </c>
      <c r="O6078" t="n">
        <v>0</v>
      </c>
      <c r="P6078" t="n">
        <v>0</v>
      </c>
      <c r="Q6078" t="n">
        <v>0</v>
      </c>
      <c r="R6078" s="2" t="inlineStr"/>
    </row>
    <row r="6079" ht="15" customHeight="1">
      <c r="A6079" t="inlineStr">
        <is>
          <t>A 51983-2024</t>
        </is>
      </c>
      <c r="B6079" s="1" t="n">
        <v>45607.67049768518</v>
      </c>
      <c r="C6079" s="1" t="n">
        <v>45911</v>
      </c>
      <c r="D6079" t="inlineStr">
        <is>
          <t>GÄVLEBORGS LÄN</t>
        </is>
      </c>
      <c r="E6079" t="inlineStr">
        <is>
          <t>BOLLNÄS</t>
        </is>
      </c>
      <c r="G6079" t="n">
        <v>0.4</v>
      </c>
      <c r="H6079" t="n">
        <v>0</v>
      </c>
      <c r="I6079" t="n">
        <v>0</v>
      </c>
      <c r="J6079" t="n">
        <v>0</v>
      </c>
      <c r="K6079" t="n">
        <v>0</v>
      </c>
      <c r="L6079" t="n">
        <v>0</v>
      </c>
      <c r="M6079" t="n">
        <v>0</v>
      </c>
      <c r="N6079" t="n">
        <v>0</v>
      </c>
      <c r="O6079" t="n">
        <v>0</v>
      </c>
      <c r="P6079" t="n">
        <v>0</v>
      </c>
      <c r="Q6079" t="n">
        <v>0</v>
      </c>
      <c r="R6079" s="2" t="inlineStr"/>
    </row>
    <row r="6080" ht="15" customHeight="1">
      <c r="A6080" t="inlineStr">
        <is>
          <t>A 52006-2024</t>
        </is>
      </c>
      <c r="B6080" s="1" t="n">
        <v>45607.76726851852</v>
      </c>
      <c r="C6080" s="1" t="n">
        <v>45911</v>
      </c>
      <c r="D6080" t="inlineStr">
        <is>
          <t>GÄVLEBORGS LÄN</t>
        </is>
      </c>
      <c r="E6080" t="inlineStr">
        <is>
          <t>NORDANSTIG</t>
        </is>
      </c>
      <c r="G6080" t="n">
        <v>6</v>
      </c>
      <c r="H6080" t="n">
        <v>0</v>
      </c>
      <c r="I6080" t="n">
        <v>0</v>
      </c>
      <c r="J6080" t="n">
        <v>0</v>
      </c>
      <c r="K6080" t="n">
        <v>0</v>
      </c>
      <c r="L6080" t="n">
        <v>0</v>
      </c>
      <c r="M6080" t="n">
        <v>0</v>
      </c>
      <c r="N6080" t="n">
        <v>0</v>
      </c>
      <c r="O6080" t="n">
        <v>0</v>
      </c>
      <c r="P6080" t="n">
        <v>0</v>
      </c>
      <c r="Q6080" t="n">
        <v>0</v>
      </c>
      <c r="R6080" s="2" t="inlineStr"/>
    </row>
    <row r="6081" ht="15" customHeight="1">
      <c r="A6081" t="inlineStr">
        <is>
          <t>A 41708-2023</t>
        </is>
      </c>
      <c r="B6081" s="1" t="n">
        <v>45176</v>
      </c>
      <c r="C6081" s="1" t="n">
        <v>45911</v>
      </c>
      <c r="D6081" t="inlineStr">
        <is>
          <t>GÄVLEBORGS LÄN</t>
        </is>
      </c>
      <c r="E6081" t="inlineStr">
        <is>
          <t>GÄVLE</t>
        </is>
      </c>
      <c r="G6081" t="n">
        <v>6.5</v>
      </c>
      <c r="H6081" t="n">
        <v>0</v>
      </c>
      <c r="I6081" t="n">
        <v>0</v>
      </c>
      <c r="J6081" t="n">
        <v>0</v>
      </c>
      <c r="K6081" t="n">
        <v>0</v>
      </c>
      <c r="L6081" t="n">
        <v>0</v>
      </c>
      <c r="M6081" t="n">
        <v>0</v>
      </c>
      <c r="N6081" t="n">
        <v>0</v>
      </c>
      <c r="O6081" t="n">
        <v>0</v>
      </c>
      <c r="P6081" t="n">
        <v>0</v>
      </c>
      <c r="Q6081" t="n">
        <v>0</v>
      </c>
      <c r="R6081" s="2" t="inlineStr"/>
    </row>
    <row r="6082" ht="15" customHeight="1">
      <c r="A6082" t="inlineStr">
        <is>
          <t>A 41712-2023</t>
        </is>
      </c>
      <c r="B6082" s="1" t="n">
        <v>45176</v>
      </c>
      <c r="C6082" s="1" t="n">
        <v>45911</v>
      </c>
      <c r="D6082" t="inlineStr">
        <is>
          <t>GÄVLEBORGS LÄN</t>
        </is>
      </c>
      <c r="E6082" t="inlineStr">
        <is>
          <t>GÄVLE</t>
        </is>
      </c>
      <c r="G6082" t="n">
        <v>7.8</v>
      </c>
      <c r="H6082" t="n">
        <v>0</v>
      </c>
      <c r="I6082" t="n">
        <v>0</v>
      </c>
      <c r="J6082" t="n">
        <v>0</v>
      </c>
      <c r="K6082" t="n">
        <v>0</v>
      </c>
      <c r="L6082" t="n">
        <v>0</v>
      </c>
      <c r="M6082" t="n">
        <v>0</v>
      </c>
      <c r="N6082" t="n">
        <v>0</v>
      </c>
      <c r="O6082" t="n">
        <v>0</v>
      </c>
      <c r="P6082" t="n">
        <v>0</v>
      </c>
      <c r="Q6082" t="n">
        <v>0</v>
      </c>
      <c r="R6082" s="2" t="inlineStr"/>
    </row>
    <row r="6083" ht="15" customHeight="1">
      <c r="A6083" t="inlineStr">
        <is>
          <t>A 41735-2023</t>
        </is>
      </c>
      <c r="B6083" s="1" t="n">
        <v>45176</v>
      </c>
      <c r="C6083" s="1" t="n">
        <v>45911</v>
      </c>
      <c r="D6083" t="inlineStr">
        <is>
          <t>GÄVLEBORGS LÄN</t>
        </is>
      </c>
      <c r="E6083" t="inlineStr">
        <is>
          <t>HUDIKSVALL</t>
        </is>
      </c>
      <c r="F6083" t="inlineStr">
        <is>
          <t>Holmen skog AB</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41745-2023</t>
        </is>
      </c>
      <c r="B6084" s="1" t="n">
        <v>45176.42905092592</v>
      </c>
      <c r="C6084" s="1" t="n">
        <v>45911</v>
      </c>
      <c r="D6084" t="inlineStr">
        <is>
          <t>GÄVLEBORGS LÄN</t>
        </is>
      </c>
      <c r="E6084" t="inlineStr">
        <is>
          <t>HUDIKSVALL</t>
        </is>
      </c>
      <c r="F6084" t="inlineStr">
        <is>
          <t>Holmen skog AB</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51790-2020</t>
        </is>
      </c>
      <c r="B6085" s="1" t="n">
        <v>44116</v>
      </c>
      <c r="C6085" s="1" t="n">
        <v>45911</v>
      </c>
      <c r="D6085" t="inlineStr">
        <is>
          <t>GÄVLEBORGS LÄN</t>
        </is>
      </c>
      <c r="E6085" t="inlineStr">
        <is>
          <t>LJUSDAL</t>
        </is>
      </c>
      <c r="F6085" t="inlineStr">
        <is>
          <t>Holmen skog AB</t>
        </is>
      </c>
      <c r="G6085" t="n">
        <v>5.9</v>
      </c>
      <c r="H6085" t="n">
        <v>0</v>
      </c>
      <c r="I6085" t="n">
        <v>0</v>
      </c>
      <c r="J6085" t="n">
        <v>0</v>
      </c>
      <c r="K6085" t="n">
        <v>0</v>
      </c>
      <c r="L6085" t="n">
        <v>0</v>
      </c>
      <c r="M6085" t="n">
        <v>0</v>
      </c>
      <c r="N6085" t="n">
        <v>0</v>
      </c>
      <c r="O6085" t="n">
        <v>0</v>
      </c>
      <c r="P6085" t="n">
        <v>0</v>
      </c>
      <c r="Q6085" t="n">
        <v>0</v>
      </c>
      <c r="R6085" s="2" t="inlineStr"/>
    </row>
    <row r="6086" ht="15" customHeight="1">
      <c r="A6086" t="inlineStr">
        <is>
          <t>A 472-2024</t>
        </is>
      </c>
      <c r="B6086" s="1" t="n">
        <v>45297.71927083333</v>
      </c>
      <c r="C6086" s="1" t="n">
        <v>45911</v>
      </c>
      <c r="D6086" t="inlineStr">
        <is>
          <t>GÄVLEBORGS LÄN</t>
        </is>
      </c>
      <c r="E6086" t="inlineStr">
        <is>
          <t>NORDANSTIG</t>
        </is>
      </c>
      <c r="F6086" t="inlineStr">
        <is>
          <t>Holmen skog AB</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18988-2022</t>
        </is>
      </c>
      <c r="B6087" s="1" t="n">
        <v>44690</v>
      </c>
      <c r="C6087" s="1" t="n">
        <v>45911</v>
      </c>
      <c r="D6087" t="inlineStr">
        <is>
          <t>GÄVLEBORGS LÄN</t>
        </is>
      </c>
      <c r="E6087" t="inlineStr">
        <is>
          <t>NORDANSTIG</t>
        </is>
      </c>
      <c r="G6087" t="n">
        <v>9.300000000000001</v>
      </c>
      <c r="H6087" t="n">
        <v>0</v>
      </c>
      <c r="I6087" t="n">
        <v>0</v>
      </c>
      <c r="J6087" t="n">
        <v>0</v>
      </c>
      <c r="K6087" t="n">
        <v>0</v>
      </c>
      <c r="L6087" t="n">
        <v>0</v>
      </c>
      <c r="M6087" t="n">
        <v>0</v>
      </c>
      <c r="N6087" t="n">
        <v>0</v>
      </c>
      <c r="O6087" t="n">
        <v>0</v>
      </c>
      <c r="P6087" t="n">
        <v>0</v>
      </c>
      <c r="Q6087" t="n">
        <v>0</v>
      </c>
      <c r="R6087" s="2" t="inlineStr"/>
    </row>
    <row r="6088" ht="15" customHeight="1">
      <c r="A6088" t="inlineStr">
        <is>
          <t>A 12607-2024</t>
        </is>
      </c>
      <c r="B6088" s="1" t="n">
        <v>45382.54315972222</v>
      </c>
      <c r="C6088" s="1" t="n">
        <v>45911</v>
      </c>
      <c r="D6088" t="inlineStr">
        <is>
          <t>GÄVLEBORGS LÄN</t>
        </is>
      </c>
      <c r="E6088" t="inlineStr">
        <is>
          <t>NORDANSTIG</t>
        </is>
      </c>
      <c r="G6088" t="n">
        <v>0.4</v>
      </c>
      <c r="H6088" t="n">
        <v>0</v>
      </c>
      <c r="I6088" t="n">
        <v>0</v>
      </c>
      <c r="J6088" t="n">
        <v>0</v>
      </c>
      <c r="K6088" t="n">
        <v>0</v>
      </c>
      <c r="L6088" t="n">
        <v>0</v>
      </c>
      <c r="M6088" t="n">
        <v>0</v>
      </c>
      <c r="N6088" t="n">
        <v>0</v>
      </c>
      <c r="O6088" t="n">
        <v>0</v>
      </c>
      <c r="P6088" t="n">
        <v>0</v>
      </c>
      <c r="Q6088" t="n">
        <v>0</v>
      </c>
      <c r="R6088" s="2" t="inlineStr"/>
    </row>
    <row r="6089" ht="15" customHeight="1">
      <c r="A6089" t="inlineStr">
        <is>
          <t>A 9462-2025</t>
        </is>
      </c>
      <c r="B6089" s="1" t="n">
        <v>45715.45438657407</v>
      </c>
      <c r="C6089" s="1" t="n">
        <v>45911</v>
      </c>
      <c r="D6089" t="inlineStr">
        <is>
          <t>GÄVLEBORGS LÄN</t>
        </is>
      </c>
      <c r="E6089" t="inlineStr">
        <is>
          <t>HUDIKSVALL</t>
        </is>
      </c>
      <c r="F6089" t="inlineStr">
        <is>
          <t>Holmen skog AB</t>
        </is>
      </c>
      <c r="G6089" t="n">
        <v>24.3</v>
      </c>
      <c r="H6089" t="n">
        <v>0</v>
      </c>
      <c r="I6089" t="n">
        <v>0</v>
      </c>
      <c r="J6089" t="n">
        <v>0</v>
      </c>
      <c r="K6089" t="n">
        <v>0</v>
      </c>
      <c r="L6089" t="n">
        <v>0</v>
      </c>
      <c r="M6089" t="n">
        <v>0</v>
      </c>
      <c r="N6089" t="n">
        <v>0</v>
      </c>
      <c r="O6089" t="n">
        <v>0</v>
      </c>
      <c r="P6089" t="n">
        <v>0</v>
      </c>
      <c r="Q6089" t="n">
        <v>0</v>
      </c>
      <c r="R6089" s="2" t="inlineStr"/>
    </row>
    <row r="6090" ht="15" customHeight="1">
      <c r="A6090" t="inlineStr">
        <is>
          <t>A 15146-2023</t>
        </is>
      </c>
      <c r="B6090" s="1" t="n">
        <v>45016</v>
      </c>
      <c r="C6090" s="1" t="n">
        <v>45911</v>
      </c>
      <c r="D6090" t="inlineStr">
        <is>
          <t>GÄVLEBORGS LÄN</t>
        </is>
      </c>
      <c r="E6090" t="inlineStr">
        <is>
          <t>BOLLNÄS</t>
        </is>
      </c>
      <c r="G6090" t="n">
        <v>0.4</v>
      </c>
      <c r="H6090" t="n">
        <v>0</v>
      </c>
      <c r="I6090" t="n">
        <v>0</v>
      </c>
      <c r="J6090" t="n">
        <v>0</v>
      </c>
      <c r="K6090" t="n">
        <v>0</v>
      </c>
      <c r="L6090" t="n">
        <v>0</v>
      </c>
      <c r="M6090" t="n">
        <v>0</v>
      </c>
      <c r="N6090" t="n">
        <v>0</v>
      </c>
      <c r="O6090" t="n">
        <v>0</v>
      </c>
      <c r="P6090" t="n">
        <v>0</v>
      </c>
      <c r="Q6090" t="n">
        <v>0</v>
      </c>
      <c r="R6090" s="2" t="inlineStr"/>
    </row>
    <row r="6091" ht="15" customHeight="1">
      <c r="A6091" t="inlineStr">
        <is>
          <t>A 4689-2025</t>
        </is>
      </c>
      <c r="B6091" s="1" t="n">
        <v>45688.33554398148</v>
      </c>
      <c r="C6091" s="1" t="n">
        <v>45911</v>
      </c>
      <c r="D6091" t="inlineStr">
        <is>
          <t>GÄVLEBORGS LÄN</t>
        </is>
      </c>
      <c r="E6091" t="inlineStr">
        <is>
          <t>OVANÅKER</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4704-2025</t>
        </is>
      </c>
      <c r="B6092" s="1" t="n">
        <v>45688.37835648148</v>
      </c>
      <c r="C6092" s="1" t="n">
        <v>45911</v>
      </c>
      <c r="D6092" t="inlineStr">
        <is>
          <t>GÄVLEBORGS LÄN</t>
        </is>
      </c>
      <c r="E6092" t="inlineStr">
        <is>
          <t>OVANÅKER</t>
        </is>
      </c>
      <c r="G6092" t="n">
        <v>5.6</v>
      </c>
      <c r="H6092" t="n">
        <v>0</v>
      </c>
      <c r="I6092" t="n">
        <v>0</v>
      </c>
      <c r="J6092" t="n">
        <v>0</v>
      </c>
      <c r="K6092" t="n">
        <v>0</v>
      </c>
      <c r="L6092" t="n">
        <v>0</v>
      </c>
      <c r="M6092" t="n">
        <v>0</v>
      </c>
      <c r="N6092" t="n">
        <v>0</v>
      </c>
      <c r="O6092" t="n">
        <v>0</v>
      </c>
      <c r="P6092" t="n">
        <v>0</v>
      </c>
      <c r="Q6092" t="n">
        <v>0</v>
      </c>
      <c r="R6092" s="2" t="inlineStr"/>
    </row>
    <row r="6093" ht="15" customHeight="1">
      <c r="A6093" t="inlineStr">
        <is>
          <t>A 55681-2023</t>
        </is>
      </c>
      <c r="B6093" s="1" t="n">
        <v>45239.34327546296</v>
      </c>
      <c r="C6093" s="1" t="n">
        <v>45911</v>
      </c>
      <c r="D6093" t="inlineStr">
        <is>
          <t>GÄVLEBORGS LÄN</t>
        </is>
      </c>
      <c r="E6093" t="inlineStr">
        <is>
          <t>LJUSDAL</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10602-2022</t>
        </is>
      </c>
      <c r="B6094" s="1" t="n">
        <v>44624</v>
      </c>
      <c r="C6094" s="1" t="n">
        <v>45911</v>
      </c>
      <c r="D6094" t="inlineStr">
        <is>
          <t>GÄVLEBORGS LÄN</t>
        </is>
      </c>
      <c r="E6094" t="inlineStr">
        <is>
          <t>HOFORS</t>
        </is>
      </c>
      <c r="G6094" t="n">
        <v>7</v>
      </c>
      <c r="H6094" t="n">
        <v>0</v>
      </c>
      <c r="I6094" t="n">
        <v>0</v>
      </c>
      <c r="J6094" t="n">
        <v>0</v>
      </c>
      <c r="K6094" t="n">
        <v>0</v>
      </c>
      <c r="L6094" t="n">
        <v>0</v>
      </c>
      <c r="M6094" t="n">
        <v>0</v>
      </c>
      <c r="N6094" t="n">
        <v>0</v>
      </c>
      <c r="O6094" t="n">
        <v>0</v>
      </c>
      <c r="P6094" t="n">
        <v>0</v>
      </c>
      <c r="Q6094" t="n">
        <v>0</v>
      </c>
      <c r="R6094" s="2" t="inlineStr"/>
    </row>
    <row r="6095" ht="15" customHeight="1">
      <c r="A6095" t="inlineStr">
        <is>
          <t>A 9307-2022</t>
        </is>
      </c>
      <c r="B6095" s="1" t="n">
        <v>44616.49033564814</v>
      </c>
      <c r="C6095" s="1" t="n">
        <v>45911</v>
      </c>
      <c r="D6095" t="inlineStr">
        <is>
          <t>GÄVLEBORGS LÄN</t>
        </is>
      </c>
      <c r="E6095" t="inlineStr">
        <is>
          <t>GÄVLE</t>
        </is>
      </c>
      <c r="G6095" t="n">
        <v>4.8</v>
      </c>
      <c r="H6095" t="n">
        <v>0</v>
      </c>
      <c r="I6095" t="n">
        <v>0</v>
      </c>
      <c r="J6095" t="n">
        <v>0</v>
      </c>
      <c r="K6095" t="n">
        <v>0</v>
      </c>
      <c r="L6095" t="n">
        <v>0</v>
      </c>
      <c r="M6095" t="n">
        <v>0</v>
      </c>
      <c r="N6095" t="n">
        <v>0</v>
      </c>
      <c r="O6095" t="n">
        <v>0</v>
      </c>
      <c r="P6095" t="n">
        <v>0</v>
      </c>
      <c r="Q6095" t="n">
        <v>0</v>
      </c>
      <c r="R6095" s="2" t="inlineStr"/>
    </row>
    <row r="6096" ht="15" customHeight="1">
      <c r="A6096" t="inlineStr">
        <is>
          <t>A 4751-2025</t>
        </is>
      </c>
      <c r="B6096" s="1" t="n">
        <v>45688.46480324074</v>
      </c>
      <c r="C6096" s="1" t="n">
        <v>45911</v>
      </c>
      <c r="D6096" t="inlineStr">
        <is>
          <t>GÄVLEBORGS LÄN</t>
        </is>
      </c>
      <c r="E6096" t="inlineStr">
        <is>
          <t>OVANÅKER</t>
        </is>
      </c>
      <c r="G6096" t="n">
        <v>4.4</v>
      </c>
      <c r="H6096" t="n">
        <v>0</v>
      </c>
      <c r="I6096" t="n">
        <v>0</v>
      </c>
      <c r="J6096" t="n">
        <v>0</v>
      </c>
      <c r="K6096" t="n">
        <v>0</v>
      </c>
      <c r="L6096" t="n">
        <v>0</v>
      </c>
      <c r="M6096" t="n">
        <v>0</v>
      </c>
      <c r="N6096" t="n">
        <v>0</v>
      </c>
      <c r="O6096" t="n">
        <v>0</v>
      </c>
      <c r="P6096" t="n">
        <v>0</v>
      </c>
      <c r="Q6096" t="n">
        <v>0</v>
      </c>
      <c r="R6096" s="2" t="inlineStr"/>
    </row>
    <row r="6097" ht="15" customHeight="1">
      <c r="A6097" t="inlineStr">
        <is>
          <t>A 5861-2025</t>
        </is>
      </c>
      <c r="B6097" s="1" t="n">
        <v>45695.34664351852</v>
      </c>
      <c r="C6097" s="1" t="n">
        <v>45911</v>
      </c>
      <c r="D6097" t="inlineStr">
        <is>
          <t>GÄVLEBORGS LÄN</t>
        </is>
      </c>
      <c r="E6097" t="inlineStr">
        <is>
          <t>HUDIKSVALL</t>
        </is>
      </c>
      <c r="F6097" t="inlineStr">
        <is>
          <t>Holmen skog AB</t>
        </is>
      </c>
      <c r="G6097" t="n">
        <v>3.2</v>
      </c>
      <c r="H6097" t="n">
        <v>0</v>
      </c>
      <c r="I6097" t="n">
        <v>0</v>
      </c>
      <c r="J6097" t="n">
        <v>0</v>
      </c>
      <c r="K6097" t="n">
        <v>0</v>
      </c>
      <c r="L6097" t="n">
        <v>0</v>
      </c>
      <c r="M6097" t="n">
        <v>0</v>
      </c>
      <c r="N6097" t="n">
        <v>0</v>
      </c>
      <c r="O6097" t="n">
        <v>0</v>
      </c>
      <c r="P6097" t="n">
        <v>0</v>
      </c>
      <c r="Q6097" t="n">
        <v>0</v>
      </c>
      <c r="R6097" s="2" t="inlineStr"/>
    </row>
    <row r="6098" ht="15" customHeight="1">
      <c r="A6098" t="inlineStr">
        <is>
          <t>A 35380-2025</t>
        </is>
      </c>
      <c r="B6098" s="1" t="n">
        <v>45855.3087962963</v>
      </c>
      <c r="C6098" s="1" t="n">
        <v>45911</v>
      </c>
      <c r="D6098" t="inlineStr">
        <is>
          <t>GÄVLEBORGS LÄN</t>
        </is>
      </c>
      <c r="E6098" t="inlineStr">
        <is>
          <t>BOLLNÄS</t>
        </is>
      </c>
      <c r="F6098" t="inlineStr">
        <is>
          <t>Bergvik skog väst AB</t>
        </is>
      </c>
      <c r="G6098" t="n">
        <v>13.2</v>
      </c>
      <c r="H6098" t="n">
        <v>0</v>
      </c>
      <c r="I6098" t="n">
        <v>0</v>
      </c>
      <c r="J6098" t="n">
        <v>0</v>
      </c>
      <c r="K6098" t="n">
        <v>0</v>
      </c>
      <c r="L6098" t="n">
        <v>0</v>
      </c>
      <c r="M6098" t="n">
        <v>0</v>
      </c>
      <c r="N6098" t="n">
        <v>0</v>
      </c>
      <c r="O6098" t="n">
        <v>0</v>
      </c>
      <c r="P6098" t="n">
        <v>0</v>
      </c>
      <c r="Q6098" t="n">
        <v>0</v>
      </c>
      <c r="R6098" s="2" t="inlineStr"/>
    </row>
    <row r="6099" ht="15" customHeight="1">
      <c r="A6099" t="inlineStr">
        <is>
          <t>A 23217-2023</t>
        </is>
      </c>
      <c r="B6099" s="1" t="n">
        <v>45075</v>
      </c>
      <c r="C6099" s="1" t="n">
        <v>45911</v>
      </c>
      <c r="D6099" t="inlineStr">
        <is>
          <t>GÄVLEBORGS LÄN</t>
        </is>
      </c>
      <c r="E6099" t="inlineStr">
        <is>
          <t>SANDVIKEN</t>
        </is>
      </c>
      <c r="F6099" t="inlineStr">
        <is>
          <t>Sveaskog</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56150-2023</t>
        </is>
      </c>
      <c r="B6100" s="1" t="n">
        <v>45240.604375</v>
      </c>
      <c r="C6100" s="1" t="n">
        <v>45911</v>
      </c>
      <c r="D6100" t="inlineStr">
        <is>
          <t>GÄVLEBORGS LÄN</t>
        </is>
      </c>
      <c r="E6100" t="inlineStr">
        <is>
          <t>SANDVIKEN</t>
        </is>
      </c>
      <c r="F6100" t="inlineStr">
        <is>
          <t>Sveaskog</t>
        </is>
      </c>
      <c r="G6100" t="n">
        <v>2.8</v>
      </c>
      <c r="H6100" t="n">
        <v>0</v>
      </c>
      <c r="I6100" t="n">
        <v>0</v>
      </c>
      <c r="J6100" t="n">
        <v>0</v>
      </c>
      <c r="K6100" t="n">
        <v>0</v>
      </c>
      <c r="L6100" t="n">
        <v>0</v>
      </c>
      <c r="M6100" t="n">
        <v>0</v>
      </c>
      <c r="N6100" t="n">
        <v>0</v>
      </c>
      <c r="O6100" t="n">
        <v>0</v>
      </c>
      <c r="P6100" t="n">
        <v>0</v>
      </c>
      <c r="Q6100" t="n">
        <v>0</v>
      </c>
      <c r="R6100" s="2" t="inlineStr"/>
    </row>
    <row r="6101" ht="15" customHeight="1">
      <c r="A6101" t="inlineStr">
        <is>
          <t>A 20364-2025</t>
        </is>
      </c>
      <c r="B6101" s="1" t="n">
        <v>45775.40340277777</v>
      </c>
      <c r="C6101" s="1" t="n">
        <v>45911</v>
      </c>
      <c r="D6101" t="inlineStr">
        <is>
          <t>GÄVLEBORGS LÄN</t>
        </is>
      </c>
      <c r="E6101" t="inlineStr">
        <is>
          <t>GÄVLE</t>
        </is>
      </c>
      <c r="G6101" t="n">
        <v>3.4</v>
      </c>
      <c r="H6101" t="n">
        <v>0</v>
      </c>
      <c r="I6101" t="n">
        <v>0</v>
      </c>
      <c r="J6101" t="n">
        <v>0</v>
      </c>
      <c r="K6101" t="n">
        <v>0</v>
      </c>
      <c r="L6101" t="n">
        <v>0</v>
      </c>
      <c r="M6101" t="n">
        <v>0</v>
      </c>
      <c r="N6101" t="n">
        <v>0</v>
      </c>
      <c r="O6101" t="n">
        <v>0</v>
      </c>
      <c r="P6101" t="n">
        <v>0</v>
      </c>
      <c r="Q6101" t="n">
        <v>0</v>
      </c>
      <c r="R6101" s="2" t="inlineStr"/>
    </row>
    <row r="6102" ht="15" customHeight="1">
      <c r="A6102" t="inlineStr">
        <is>
          <t>A 40979-2025</t>
        </is>
      </c>
      <c r="B6102" s="1" t="n">
        <v>45898.2896875</v>
      </c>
      <c r="C6102" s="1" t="n">
        <v>45911</v>
      </c>
      <c r="D6102" t="inlineStr">
        <is>
          <t>GÄVLEBORGS LÄN</t>
        </is>
      </c>
      <c r="E6102" t="inlineStr">
        <is>
          <t>OVANÅKER</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41044-2025</t>
        </is>
      </c>
      <c r="B6103" s="1" t="n">
        <v>45898.39563657407</v>
      </c>
      <c r="C6103" s="1" t="n">
        <v>45911</v>
      </c>
      <c r="D6103" t="inlineStr">
        <is>
          <t>GÄVLEBORGS LÄN</t>
        </is>
      </c>
      <c r="E6103" t="inlineStr">
        <is>
          <t>OCKELBO</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7578-2023</t>
        </is>
      </c>
      <c r="B6104" s="1" t="n">
        <v>44972.38614583333</v>
      </c>
      <c r="C6104" s="1" t="n">
        <v>45911</v>
      </c>
      <c r="D6104" t="inlineStr">
        <is>
          <t>GÄVLEBORGS LÄN</t>
        </is>
      </c>
      <c r="E6104" t="inlineStr">
        <is>
          <t>LJUSDAL</t>
        </is>
      </c>
      <c r="F6104" t="inlineStr">
        <is>
          <t>Kommuner</t>
        </is>
      </c>
      <c r="G6104" t="n">
        <v>4.5</v>
      </c>
      <c r="H6104" t="n">
        <v>0</v>
      </c>
      <c r="I6104" t="n">
        <v>0</v>
      </c>
      <c r="J6104" t="n">
        <v>0</v>
      </c>
      <c r="K6104" t="n">
        <v>0</v>
      </c>
      <c r="L6104" t="n">
        <v>0</v>
      </c>
      <c r="M6104" t="n">
        <v>0</v>
      </c>
      <c r="N6104" t="n">
        <v>0</v>
      </c>
      <c r="O6104" t="n">
        <v>0</v>
      </c>
      <c r="P6104" t="n">
        <v>0</v>
      </c>
      <c r="Q6104" t="n">
        <v>0</v>
      </c>
      <c r="R6104" s="2" t="inlineStr"/>
    </row>
    <row r="6105" ht="15" customHeight="1">
      <c r="A6105" t="inlineStr">
        <is>
          <t>A 41081-2025</t>
        </is>
      </c>
      <c r="B6105" s="1" t="n">
        <v>45898.42881944445</v>
      </c>
      <c r="C6105" s="1" t="n">
        <v>45911</v>
      </c>
      <c r="D6105" t="inlineStr">
        <is>
          <t>GÄVLEBORGS LÄN</t>
        </is>
      </c>
      <c r="E6105" t="inlineStr">
        <is>
          <t>BOLLNÄS</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41084-2025</t>
        </is>
      </c>
      <c r="B6106" s="1" t="n">
        <v>45898.43175925926</v>
      </c>
      <c r="C6106" s="1" t="n">
        <v>45911</v>
      </c>
      <c r="D6106" t="inlineStr">
        <is>
          <t>GÄVLEBORGS LÄN</t>
        </is>
      </c>
      <c r="E6106" t="inlineStr">
        <is>
          <t>LJUSDAL</t>
        </is>
      </c>
      <c r="F6106" t="inlineStr">
        <is>
          <t>Sveaskog</t>
        </is>
      </c>
      <c r="G6106" t="n">
        <v>5.9</v>
      </c>
      <c r="H6106" t="n">
        <v>0</v>
      </c>
      <c r="I6106" t="n">
        <v>0</v>
      </c>
      <c r="J6106" t="n">
        <v>0</v>
      </c>
      <c r="K6106" t="n">
        <v>0</v>
      </c>
      <c r="L6106" t="n">
        <v>0</v>
      </c>
      <c r="M6106" t="n">
        <v>0</v>
      </c>
      <c r="N6106" t="n">
        <v>0</v>
      </c>
      <c r="O6106" t="n">
        <v>0</v>
      </c>
      <c r="P6106" t="n">
        <v>0</v>
      </c>
      <c r="Q6106" t="n">
        <v>0</v>
      </c>
      <c r="R6106" s="2" t="inlineStr"/>
    </row>
    <row r="6107" ht="15" customHeight="1">
      <c r="A6107" t="inlineStr">
        <is>
          <t>A 18332-2024</t>
        </is>
      </c>
      <c r="B6107" s="1" t="n">
        <v>45422.56459490741</v>
      </c>
      <c r="C6107" s="1" t="n">
        <v>45911</v>
      </c>
      <c r="D6107" t="inlineStr">
        <is>
          <t>GÄVLEBORGS LÄN</t>
        </is>
      </c>
      <c r="E6107" t="inlineStr">
        <is>
          <t>NORDANSTIG</t>
        </is>
      </c>
      <c r="F6107" t="inlineStr">
        <is>
          <t>Holmen skog AB</t>
        </is>
      </c>
      <c r="G6107" t="n">
        <v>3.5</v>
      </c>
      <c r="H6107" t="n">
        <v>0</v>
      </c>
      <c r="I6107" t="n">
        <v>0</v>
      </c>
      <c r="J6107" t="n">
        <v>0</v>
      </c>
      <c r="K6107" t="n">
        <v>0</v>
      </c>
      <c r="L6107" t="n">
        <v>0</v>
      </c>
      <c r="M6107" t="n">
        <v>0</v>
      </c>
      <c r="N6107" t="n">
        <v>0</v>
      </c>
      <c r="O6107" t="n">
        <v>0</v>
      </c>
      <c r="P6107" t="n">
        <v>0</v>
      </c>
      <c r="Q6107" t="n">
        <v>0</v>
      </c>
      <c r="R6107" s="2" t="inlineStr"/>
    </row>
    <row r="6108" ht="15" customHeight="1">
      <c r="A6108" t="inlineStr">
        <is>
          <t>A 18334-2024</t>
        </is>
      </c>
      <c r="B6108" s="1" t="n">
        <v>45422.56760416667</v>
      </c>
      <c r="C6108" s="1" t="n">
        <v>45911</v>
      </c>
      <c r="D6108" t="inlineStr">
        <is>
          <t>GÄVLEBORGS LÄN</t>
        </is>
      </c>
      <c r="E6108" t="inlineStr">
        <is>
          <t>BOLLNÄS</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3718-2025</t>
        </is>
      </c>
      <c r="B6109" s="1" t="n">
        <v>45681.5280787037</v>
      </c>
      <c r="C6109" s="1" t="n">
        <v>45911</v>
      </c>
      <c r="D6109" t="inlineStr">
        <is>
          <t>GÄVLEBORGS LÄN</t>
        </is>
      </c>
      <c r="E6109" t="inlineStr">
        <is>
          <t>GÄVLE</t>
        </is>
      </c>
      <c r="F6109" t="inlineStr">
        <is>
          <t>Bergvik skog öst AB</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51387-2024</t>
        </is>
      </c>
      <c r="B6110" s="1" t="n">
        <v>45604.39825231482</v>
      </c>
      <c r="C6110" s="1" t="n">
        <v>45911</v>
      </c>
      <c r="D6110" t="inlineStr">
        <is>
          <t>GÄVLEBORGS LÄN</t>
        </is>
      </c>
      <c r="E6110" t="inlineStr">
        <is>
          <t>NORDANSTIG</t>
        </is>
      </c>
      <c r="F6110" t="inlineStr">
        <is>
          <t>Holmen skog AB</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29568-2021</t>
        </is>
      </c>
      <c r="B6111" s="1" t="n">
        <v>44361.91872685185</v>
      </c>
      <c r="C6111" s="1" t="n">
        <v>45911</v>
      </c>
      <c r="D6111" t="inlineStr">
        <is>
          <t>GÄVLEBORGS LÄN</t>
        </is>
      </c>
      <c r="E6111" t="inlineStr">
        <is>
          <t>LJUSDAL</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8031-2024</t>
        </is>
      </c>
      <c r="B6112" s="1" t="n">
        <v>45350.95267361111</v>
      </c>
      <c r="C6112" s="1" t="n">
        <v>45911</v>
      </c>
      <c r="D6112" t="inlineStr">
        <is>
          <t>GÄVLEBORGS LÄN</t>
        </is>
      </c>
      <c r="E6112" t="inlineStr">
        <is>
          <t>GÄVLE</t>
        </is>
      </c>
      <c r="G6112" t="n">
        <v>0.4</v>
      </c>
      <c r="H6112" t="n">
        <v>0</v>
      </c>
      <c r="I6112" t="n">
        <v>0</v>
      </c>
      <c r="J6112" t="n">
        <v>0</v>
      </c>
      <c r="K6112" t="n">
        <v>0</v>
      </c>
      <c r="L6112" t="n">
        <v>0</v>
      </c>
      <c r="M6112" t="n">
        <v>0</v>
      </c>
      <c r="N6112" t="n">
        <v>0</v>
      </c>
      <c r="O6112" t="n">
        <v>0</v>
      </c>
      <c r="P6112" t="n">
        <v>0</v>
      </c>
      <c r="Q6112" t="n">
        <v>0</v>
      </c>
      <c r="R6112" s="2" t="inlineStr"/>
    </row>
    <row r="6113" ht="15" customHeight="1">
      <c r="A6113" t="inlineStr">
        <is>
          <t>A 8040-2024</t>
        </is>
      </c>
      <c r="B6113" s="1" t="n">
        <v>45350</v>
      </c>
      <c r="C6113" s="1" t="n">
        <v>45911</v>
      </c>
      <c r="D6113" t="inlineStr">
        <is>
          <t>GÄVLEBORGS LÄN</t>
        </is>
      </c>
      <c r="E6113" t="inlineStr">
        <is>
          <t>NORDANSTIG</t>
        </is>
      </c>
      <c r="F6113" t="inlineStr">
        <is>
          <t>SCA</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40882-2025</t>
        </is>
      </c>
      <c r="B6114" s="1" t="n">
        <v>45897.5972337963</v>
      </c>
      <c r="C6114" s="1" t="n">
        <v>45911</v>
      </c>
      <c r="D6114" t="inlineStr">
        <is>
          <t>GÄVLEBORGS LÄN</t>
        </is>
      </c>
      <c r="E6114" t="inlineStr">
        <is>
          <t>GÄVLE</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33535-2022</t>
        </is>
      </c>
      <c r="B6115" s="1" t="n">
        <v>44789.34496527778</v>
      </c>
      <c r="C6115" s="1" t="n">
        <v>45911</v>
      </c>
      <c r="D6115" t="inlineStr">
        <is>
          <t>GÄVLEBORGS LÄN</t>
        </is>
      </c>
      <c r="E6115" t="inlineStr">
        <is>
          <t>NORDANSTIG</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38581-2024</t>
        </is>
      </c>
      <c r="B6116" s="1" t="n">
        <v>45546.64888888889</v>
      </c>
      <c r="C6116" s="1" t="n">
        <v>45911</v>
      </c>
      <c r="D6116" t="inlineStr">
        <is>
          <t>GÄVLEBORGS LÄN</t>
        </is>
      </c>
      <c r="E6116" t="inlineStr">
        <is>
          <t>NORDANSTIG</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38589-2024</t>
        </is>
      </c>
      <c r="B6117" s="1" t="n">
        <v>45546.65302083334</v>
      </c>
      <c r="C6117" s="1" t="n">
        <v>45911</v>
      </c>
      <c r="D6117" t="inlineStr">
        <is>
          <t>GÄVLEBORGS LÄN</t>
        </is>
      </c>
      <c r="E6117" t="inlineStr">
        <is>
          <t>NORDANSTIG</t>
        </is>
      </c>
      <c r="G6117" t="n">
        <v>0.4</v>
      </c>
      <c r="H6117" t="n">
        <v>0</v>
      </c>
      <c r="I6117" t="n">
        <v>0</v>
      </c>
      <c r="J6117" t="n">
        <v>0</v>
      </c>
      <c r="K6117" t="n">
        <v>0</v>
      </c>
      <c r="L6117" t="n">
        <v>0</v>
      </c>
      <c r="M6117" t="n">
        <v>0</v>
      </c>
      <c r="N6117" t="n">
        <v>0</v>
      </c>
      <c r="O6117" t="n">
        <v>0</v>
      </c>
      <c r="P6117" t="n">
        <v>0</v>
      </c>
      <c r="Q6117" t="n">
        <v>0</v>
      </c>
      <c r="R6117" s="2" t="inlineStr"/>
    </row>
    <row r="6118" ht="15" customHeight="1">
      <c r="A6118" t="inlineStr">
        <is>
          <t>A 7792-2023</t>
        </is>
      </c>
      <c r="B6118" s="1" t="n">
        <v>44973.42633101852</v>
      </c>
      <c r="C6118" s="1" t="n">
        <v>45911</v>
      </c>
      <c r="D6118" t="inlineStr">
        <is>
          <t>GÄVLEBORGS LÄN</t>
        </is>
      </c>
      <c r="E6118" t="inlineStr">
        <is>
          <t>GÄVLE</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29982-2023</t>
        </is>
      </c>
      <c r="B6119" s="1" t="n">
        <v>45108.92460648148</v>
      </c>
      <c r="C6119" s="1" t="n">
        <v>45911</v>
      </c>
      <c r="D6119" t="inlineStr">
        <is>
          <t>GÄVLEBORGS LÄN</t>
        </is>
      </c>
      <c r="E6119" t="inlineStr">
        <is>
          <t>SÖDERHAMN</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41217-2025</t>
        </is>
      </c>
      <c r="B6120" s="1" t="n">
        <v>45898.583125</v>
      </c>
      <c r="C6120" s="1" t="n">
        <v>45911</v>
      </c>
      <c r="D6120" t="inlineStr">
        <is>
          <t>GÄVLEBORGS LÄN</t>
        </is>
      </c>
      <c r="E6120" t="inlineStr">
        <is>
          <t>HUDIKSVALL</t>
        </is>
      </c>
      <c r="F6120" t="inlineStr">
        <is>
          <t>Holmen skog AB</t>
        </is>
      </c>
      <c r="G6120" t="n">
        <v>6.3</v>
      </c>
      <c r="H6120" t="n">
        <v>0</v>
      </c>
      <c r="I6120" t="n">
        <v>0</v>
      </c>
      <c r="J6120" t="n">
        <v>0</v>
      </c>
      <c r="K6120" t="n">
        <v>0</v>
      </c>
      <c r="L6120" t="n">
        <v>0</v>
      </c>
      <c r="M6120" t="n">
        <v>0</v>
      </c>
      <c r="N6120" t="n">
        <v>0</v>
      </c>
      <c r="O6120" t="n">
        <v>0</v>
      </c>
      <c r="P6120" t="n">
        <v>0</v>
      </c>
      <c r="Q6120" t="n">
        <v>0</v>
      </c>
      <c r="R6120" s="2" t="inlineStr"/>
    </row>
    <row r="6121" ht="15" customHeight="1">
      <c r="A6121" t="inlineStr">
        <is>
          <t>A 40812-2025</t>
        </is>
      </c>
      <c r="B6121" s="1" t="n">
        <v>45897.47065972222</v>
      </c>
      <c r="C6121" s="1" t="n">
        <v>45911</v>
      </c>
      <c r="D6121" t="inlineStr">
        <is>
          <t>GÄVLEBORGS LÄN</t>
        </is>
      </c>
      <c r="E6121" t="inlineStr">
        <is>
          <t>NORDANSTIG</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10683-2021</t>
        </is>
      </c>
      <c r="B6122" s="1" t="n">
        <v>44258.63650462963</v>
      </c>
      <c r="C6122" s="1" t="n">
        <v>45911</v>
      </c>
      <c r="D6122" t="inlineStr">
        <is>
          <t>GÄVLEBORGS LÄN</t>
        </is>
      </c>
      <c r="E6122" t="inlineStr">
        <is>
          <t>HUDIKSVALL</t>
        </is>
      </c>
      <c r="F6122" t="inlineStr">
        <is>
          <t>Holmen skog AB</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17529-2025</t>
        </is>
      </c>
      <c r="B6123" s="1" t="n">
        <v>45757.58861111111</v>
      </c>
      <c r="C6123" s="1" t="n">
        <v>45911</v>
      </c>
      <c r="D6123" t="inlineStr">
        <is>
          <t>GÄVLEBORGS LÄN</t>
        </is>
      </c>
      <c r="E6123" t="inlineStr">
        <is>
          <t>OCKELBO</t>
        </is>
      </c>
      <c r="F6123" t="inlineStr">
        <is>
          <t>Bergvik skog väst AB</t>
        </is>
      </c>
      <c r="G6123" t="n">
        <v>5.8</v>
      </c>
      <c r="H6123" t="n">
        <v>0</v>
      </c>
      <c r="I6123" t="n">
        <v>0</v>
      </c>
      <c r="J6123" t="n">
        <v>0</v>
      </c>
      <c r="K6123" t="n">
        <v>0</v>
      </c>
      <c r="L6123" t="n">
        <v>0</v>
      </c>
      <c r="M6123" t="n">
        <v>0</v>
      </c>
      <c r="N6123" t="n">
        <v>0</v>
      </c>
      <c r="O6123" t="n">
        <v>0</v>
      </c>
      <c r="P6123" t="n">
        <v>0</v>
      </c>
      <c r="Q6123" t="n">
        <v>0</v>
      </c>
      <c r="R6123" s="2" t="inlineStr"/>
    </row>
    <row r="6124" ht="15" customHeight="1">
      <c r="A6124" t="inlineStr">
        <is>
          <t>A 57199-2022</t>
        </is>
      </c>
      <c r="B6124" s="1" t="n">
        <v>44895</v>
      </c>
      <c r="C6124" s="1" t="n">
        <v>45911</v>
      </c>
      <c r="D6124" t="inlineStr">
        <is>
          <t>GÄVLEBORGS LÄN</t>
        </is>
      </c>
      <c r="E6124" t="inlineStr">
        <is>
          <t>HUDIKSVALL</t>
        </is>
      </c>
      <c r="G6124" t="n">
        <v>7.2</v>
      </c>
      <c r="H6124" t="n">
        <v>0</v>
      </c>
      <c r="I6124" t="n">
        <v>0</v>
      </c>
      <c r="J6124" t="n">
        <v>0</v>
      </c>
      <c r="K6124" t="n">
        <v>0</v>
      </c>
      <c r="L6124" t="n">
        <v>0</v>
      </c>
      <c r="M6124" t="n">
        <v>0</v>
      </c>
      <c r="N6124" t="n">
        <v>0</v>
      </c>
      <c r="O6124" t="n">
        <v>0</v>
      </c>
      <c r="P6124" t="n">
        <v>0</v>
      </c>
      <c r="Q6124" t="n">
        <v>0</v>
      </c>
      <c r="R6124" s="2" t="inlineStr"/>
    </row>
    <row r="6125" ht="15" customHeight="1">
      <c r="A6125" t="inlineStr">
        <is>
          <t>A 4482-2022</t>
        </is>
      </c>
      <c r="B6125" s="1" t="n">
        <v>44589</v>
      </c>
      <c r="C6125" s="1" t="n">
        <v>45911</v>
      </c>
      <c r="D6125" t="inlineStr">
        <is>
          <t>GÄVLEBORGS LÄN</t>
        </is>
      </c>
      <c r="E6125" t="inlineStr">
        <is>
          <t>GÄVLE</t>
        </is>
      </c>
      <c r="F6125" t="inlineStr">
        <is>
          <t>Bergvik skog öst AB</t>
        </is>
      </c>
      <c r="G6125" t="n">
        <v>2.5</v>
      </c>
      <c r="H6125" t="n">
        <v>0</v>
      </c>
      <c r="I6125" t="n">
        <v>0</v>
      </c>
      <c r="J6125" t="n">
        <v>0</v>
      </c>
      <c r="K6125" t="n">
        <v>0</v>
      </c>
      <c r="L6125" t="n">
        <v>0</v>
      </c>
      <c r="M6125" t="n">
        <v>0</v>
      </c>
      <c r="N6125" t="n">
        <v>0</v>
      </c>
      <c r="O6125" t="n">
        <v>0</v>
      </c>
      <c r="P6125" t="n">
        <v>0</v>
      </c>
      <c r="Q6125" t="n">
        <v>0</v>
      </c>
      <c r="R6125" s="2" t="inlineStr"/>
    </row>
    <row r="6126" ht="15" customHeight="1">
      <c r="A6126" t="inlineStr">
        <is>
          <t>A 2935-2023</t>
        </is>
      </c>
      <c r="B6126" s="1" t="n">
        <v>44944</v>
      </c>
      <c r="C6126" s="1" t="n">
        <v>45911</v>
      </c>
      <c r="D6126" t="inlineStr">
        <is>
          <t>GÄVLEBORGS LÄN</t>
        </is>
      </c>
      <c r="E6126" t="inlineStr">
        <is>
          <t>BOLLNÄS</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60148-2023</t>
        </is>
      </c>
      <c r="B6127" s="1" t="n">
        <v>45258.52659722222</v>
      </c>
      <c r="C6127" s="1" t="n">
        <v>45911</v>
      </c>
      <c r="D6127" t="inlineStr">
        <is>
          <t>GÄVLEBORGS LÄN</t>
        </is>
      </c>
      <c r="E6127" t="inlineStr">
        <is>
          <t>OCKELBO</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40689-2025</t>
        </is>
      </c>
      <c r="B6128" s="1" t="n">
        <v>45896.92719907407</v>
      </c>
      <c r="C6128" s="1" t="n">
        <v>45911</v>
      </c>
      <c r="D6128" t="inlineStr">
        <is>
          <t>GÄVLEBORGS LÄN</t>
        </is>
      </c>
      <c r="E6128" t="inlineStr">
        <is>
          <t>LJUSDAL</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7679-2025</t>
        </is>
      </c>
      <c r="B6129" s="1" t="n">
        <v>45706.36291666667</v>
      </c>
      <c r="C6129" s="1" t="n">
        <v>45911</v>
      </c>
      <c r="D6129" t="inlineStr">
        <is>
          <t>GÄVLEBORGS LÄN</t>
        </is>
      </c>
      <c r="E6129" t="inlineStr">
        <is>
          <t>SANDVIKEN</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68342-2021</t>
        </is>
      </c>
      <c r="B6130" s="1" t="n">
        <v>44528.64484953704</v>
      </c>
      <c r="C6130" s="1" t="n">
        <v>45911</v>
      </c>
      <c r="D6130" t="inlineStr">
        <is>
          <t>GÄVLEBORGS LÄN</t>
        </is>
      </c>
      <c r="E6130" t="inlineStr">
        <is>
          <t>HUDIKSVALL</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41225-2025</t>
        </is>
      </c>
      <c r="B6131" s="1" t="n">
        <v>45898.58877314815</v>
      </c>
      <c r="C6131" s="1" t="n">
        <v>45911</v>
      </c>
      <c r="D6131" t="inlineStr">
        <is>
          <t>GÄVLEBORGS LÄN</t>
        </is>
      </c>
      <c r="E6131" t="inlineStr">
        <is>
          <t>SÖDERHAMN</t>
        </is>
      </c>
      <c r="G6131" t="n">
        <v>4</v>
      </c>
      <c r="H6131" t="n">
        <v>0</v>
      </c>
      <c r="I6131" t="n">
        <v>0</v>
      </c>
      <c r="J6131" t="n">
        <v>0</v>
      </c>
      <c r="K6131" t="n">
        <v>0</v>
      </c>
      <c r="L6131" t="n">
        <v>0</v>
      </c>
      <c r="M6131" t="n">
        <v>0</v>
      </c>
      <c r="N6131" t="n">
        <v>0</v>
      </c>
      <c r="O6131" t="n">
        <v>0</v>
      </c>
      <c r="P6131" t="n">
        <v>0</v>
      </c>
      <c r="Q6131" t="n">
        <v>0</v>
      </c>
      <c r="R6131" s="2" t="inlineStr"/>
    </row>
    <row r="6132" ht="15" customHeight="1">
      <c r="A6132" t="inlineStr">
        <is>
          <t>A 41214-2025</t>
        </is>
      </c>
      <c r="B6132" s="1" t="n">
        <v>45898.58079861111</v>
      </c>
      <c r="C6132" s="1" t="n">
        <v>45911</v>
      </c>
      <c r="D6132" t="inlineStr">
        <is>
          <t>GÄVLEBORGS LÄN</t>
        </is>
      </c>
      <c r="E6132" t="inlineStr">
        <is>
          <t>LJUSDAL</t>
        </is>
      </c>
      <c r="F6132" t="inlineStr">
        <is>
          <t>Sveaskog</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35405-2025</t>
        </is>
      </c>
      <c r="B6133" s="1" t="n">
        <v>45855</v>
      </c>
      <c r="C6133" s="1" t="n">
        <v>45911</v>
      </c>
      <c r="D6133" t="inlineStr">
        <is>
          <t>GÄVLEBORGS LÄN</t>
        </is>
      </c>
      <c r="E6133" t="inlineStr">
        <is>
          <t>NORDANSTIG</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41282-2025</t>
        </is>
      </c>
      <c r="B6134" s="1" t="n">
        <v>45898.63521990741</v>
      </c>
      <c r="C6134" s="1" t="n">
        <v>45911</v>
      </c>
      <c r="D6134" t="inlineStr">
        <is>
          <t>GÄVLEBORGS LÄN</t>
        </is>
      </c>
      <c r="E6134" t="inlineStr">
        <is>
          <t>GÄVLE</t>
        </is>
      </c>
      <c r="F6134" t="inlineStr">
        <is>
          <t>Bergvik skog väst AB</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28708-2021</t>
        </is>
      </c>
      <c r="B6135" s="1" t="n">
        <v>44357</v>
      </c>
      <c r="C6135" s="1" t="n">
        <v>45911</v>
      </c>
      <c r="D6135" t="inlineStr">
        <is>
          <t>GÄVLEBORGS LÄN</t>
        </is>
      </c>
      <c r="E6135" t="inlineStr">
        <is>
          <t>HUDIKSVALL</t>
        </is>
      </c>
      <c r="G6135" t="n">
        <v>5.5</v>
      </c>
      <c r="H6135" t="n">
        <v>0</v>
      </c>
      <c r="I6135" t="n">
        <v>0</v>
      </c>
      <c r="J6135" t="n">
        <v>0</v>
      </c>
      <c r="K6135" t="n">
        <v>0</v>
      </c>
      <c r="L6135" t="n">
        <v>0</v>
      </c>
      <c r="M6135" t="n">
        <v>0</v>
      </c>
      <c r="N6135" t="n">
        <v>0</v>
      </c>
      <c r="O6135" t="n">
        <v>0</v>
      </c>
      <c r="P6135" t="n">
        <v>0</v>
      </c>
      <c r="Q6135" t="n">
        <v>0</v>
      </c>
      <c r="R6135" s="2" t="inlineStr"/>
    </row>
    <row r="6136" ht="15" customHeight="1">
      <c r="A6136" t="inlineStr">
        <is>
          <t>A 68659-2021</t>
        </is>
      </c>
      <c r="B6136" s="1" t="n">
        <v>44529</v>
      </c>
      <c r="C6136" s="1" t="n">
        <v>45911</v>
      </c>
      <c r="D6136" t="inlineStr">
        <is>
          <t>GÄVLEBORGS LÄN</t>
        </is>
      </c>
      <c r="E6136" t="inlineStr">
        <is>
          <t>HUDIKSVALL</t>
        </is>
      </c>
      <c r="F6136" t="inlineStr">
        <is>
          <t>Holmen skog AB</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45260-2023</t>
        </is>
      </c>
      <c r="B6137" s="1" t="n">
        <v>45191.62356481481</v>
      </c>
      <c r="C6137" s="1" t="n">
        <v>45911</v>
      </c>
      <c r="D6137" t="inlineStr">
        <is>
          <t>GÄVLEBORGS LÄN</t>
        </is>
      </c>
      <c r="E6137" t="inlineStr">
        <is>
          <t>LJUSDAL</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45279-2023</t>
        </is>
      </c>
      <c r="B6138" s="1" t="n">
        <v>45191</v>
      </c>
      <c r="C6138" s="1" t="n">
        <v>45911</v>
      </c>
      <c r="D6138" t="inlineStr">
        <is>
          <t>GÄVLEBORGS LÄN</t>
        </is>
      </c>
      <c r="E6138" t="inlineStr">
        <is>
          <t>SANDVIKEN</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2742-2025</t>
        </is>
      </c>
      <c r="B6139" s="1" t="n">
        <v>45677.45900462963</v>
      </c>
      <c r="C6139" s="1" t="n">
        <v>45911</v>
      </c>
      <c r="D6139" t="inlineStr">
        <is>
          <t>GÄVLEBORGS LÄN</t>
        </is>
      </c>
      <c r="E6139" t="inlineStr">
        <is>
          <t>HUDIKSVALL</t>
        </is>
      </c>
      <c r="G6139" t="n">
        <v>3.6</v>
      </c>
      <c r="H6139" t="n">
        <v>0</v>
      </c>
      <c r="I6139" t="n">
        <v>0</v>
      </c>
      <c r="J6139" t="n">
        <v>0</v>
      </c>
      <c r="K6139" t="n">
        <v>0</v>
      </c>
      <c r="L6139" t="n">
        <v>0</v>
      </c>
      <c r="M6139" t="n">
        <v>0</v>
      </c>
      <c r="N6139" t="n">
        <v>0</v>
      </c>
      <c r="O6139" t="n">
        <v>0</v>
      </c>
      <c r="P6139" t="n">
        <v>0</v>
      </c>
      <c r="Q6139" t="n">
        <v>0</v>
      </c>
      <c r="R6139" s="2" t="inlineStr"/>
    </row>
    <row r="6140" ht="15" customHeight="1">
      <c r="A6140" t="inlineStr">
        <is>
          <t>A 2750-2025</t>
        </is>
      </c>
      <c r="B6140" s="1" t="n">
        <v>45677.46671296296</v>
      </c>
      <c r="C6140" s="1" t="n">
        <v>45911</v>
      </c>
      <c r="D6140" t="inlineStr">
        <is>
          <t>GÄVLEBORGS LÄN</t>
        </is>
      </c>
      <c r="E6140" t="inlineStr">
        <is>
          <t>HUDIKSVALL</t>
        </is>
      </c>
      <c r="G6140" t="n">
        <v>5.6</v>
      </c>
      <c r="H6140" t="n">
        <v>0</v>
      </c>
      <c r="I6140" t="n">
        <v>0</v>
      </c>
      <c r="J6140" t="n">
        <v>0</v>
      </c>
      <c r="K6140" t="n">
        <v>0</v>
      </c>
      <c r="L6140" t="n">
        <v>0</v>
      </c>
      <c r="M6140" t="n">
        <v>0</v>
      </c>
      <c r="N6140" t="n">
        <v>0</v>
      </c>
      <c r="O6140" t="n">
        <v>0</v>
      </c>
      <c r="P6140" t="n">
        <v>0</v>
      </c>
      <c r="Q6140" t="n">
        <v>0</v>
      </c>
      <c r="R6140" s="2" t="inlineStr"/>
    </row>
    <row r="6141" ht="15" customHeight="1">
      <c r="A6141" t="inlineStr">
        <is>
          <t>A 2754-2025</t>
        </is>
      </c>
      <c r="B6141" s="1" t="n">
        <v>45677.47336805556</v>
      </c>
      <c r="C6141" s="1" t="n">
        <v>45911</v>
      </c>
      <c r="D6141" t="inlineStr">
        <is>
          <t>GÄVLEBORGS LÄN</t>
        </is>
      </c>
      <c r="E6141" t="inlineStr">
        <is>
          <t>HUDIKSVALL</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5191-2025</t>
        </is>
      </c>
      <c r="B6142" s="1" t="n">
        <v>45691.6490625</v>
      </c>
      <c r="C6142" s="1" t="n">
        <v>45911</v>
      </c>
      <c r="D6142" t="inlineStr">
        <is>
          <t>GÄVLEBORGS LÄN</t>
        </is>
      </c>
      <c r="E6142" t="inlineStr">
        <is>
          <t>HUDIKSVALL</t>
        </is>
      </c>
      <c r="G6142" t="n">
        <v>2.3</v>
      </c>
      <c r="H6142" t="n">
        <v>0</v>
      </c>
      <c r="I6142" t="n">
        <v>0</v>
      </c>
      <c r="J6142" t="n">
        <v>0</v>
      </c>
      <c r="K6142" t="n">
        <v>0</v>
      </c>
      <c r="L6142" t="n">
        <v>0</v>
      </c>
      <c r="M6142" t="n">
        <v>0</v>
      </c>
      <c r="N6142" t="n">
        <v>0</v>
      </c>
      <c r="O6142" t="n">
        <v>0</v>
      </c>
      <c r="P6142" t="n">
        <v>0</v>
      </c>
      <c r="Q6142" t="n">
        <v>0</v>
      </c>
      <c r="R6142" s="2" t="inlineStr"/>
    </row>
    <row r="6143" ht="15" customHeight="1">
      <c r="A6143" t="inlineStr">
        <is>
          <t>A 2798-2025</t>
        </is>
      </c>
      <c r="B6143" s="1" t="n">
        <v>45677.57865740741</v>
      </c>
      <c r="C6143" s="1" t="n">
        <v>45911</v>
      </c>
      <c r="D6143" t="inlineStr">
        <is>
          <t>GÄVLEBORGS LÄN</t>
        </is>
      </c>
      <c r="E6143" t="inlineStr">
        <is>
          <t>BOLLNÄS</t>
        </is>
      </c>
      <c r="G6143" t="n">
        <v>2.6</v>
      </c>
      <c r="H6143" t="n">
        <v>0</v>
      </c>
      <c r="I6143" t="n">
        <v>0</v>
      </c>
      <c r="J6143" t="n">
        <v>0</v>
      </c>
      <c r="K6143" t="n">
        <v>0</v>
      </c>
      <c r="L6143" t="n">
        <v>0</v>
      </c>
      <c r="M6143" t="n">
        <v>0</v>
      </c>
      <c r="N6143" t="n">
        <v>0</v>
      </c>
      <c r="O6143" t="n">
        <v>0</v>
      </c>
      <c r="P6143" t="n">
        <v>0</v>
      </c>
      <c r="Q6143" t="n">
        <v>0</v>
      </c>
      <c r="R6143" s="2" t="inlineStr"/>
    </row>
    <row r="6144" ht="15" customHeight="1">
      <c r="A6144" t="inlineStr">
        <is>
          <t>A 11759-2022</t>
        </is>
      </c>
      <c r="B6144" s="1" t="n">
        <v>44634.57420138889</v>
      </c>
      <c r="C6144" s="1" t="n">
        <v>45911</v>
      </c>
      <c r="D6144" t="inlineStr">
        <is>
          <t>GÄVLEBORGS LÄN</t>
        </is>
      </c>
      <c r="E6144" t="inlineStr">
        <is>
          <t>HUDIKSVALL</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53298-2023</t>
        </is>
      </c>
      <c r="B6145" s="1" t="n">
        <v>45229</v>
      </c>
      <c r="C6145" s="1" t="n">
        <v>45911</v>
      </c>
      <c r="D6145" t="inlineStr">
        <is>
          <t>GÄVLEBORGS LÄN</t>
        </is>
      </c>
      <c r="E6145" t="inlineStr">
        <is>
          <t>BOLLNÄS</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2873-2025</t>
        </is>
      </c>
      <c r="B6146" s="1" t="n">
        <v>45677.68695601852</v>
      </c>
      <c r="C6146" s="1" t="n">
        <v>45911</v>
      </c>
      <c r="D6146" t="inlineStr">
        <is>
          <t>GÄVLEBORGS LÄN</t>
        </is>
      </c>
      <c r="E6146" t="inlineStr">
        <is>
          <t>SÖDERHAMN</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40498-2024</t>
        </is>
      </c>
      <c r="B6147" s="1" t="n">
        <v>45555.57181712963</v>
      </c>
      <c r="C6147" s="1" t="n">
        <v>45911</v>
      </c>
      <c r="D6147" t="inlineStr">
        <is>
          <t>GÄVLEBORGS LÄN</t>
        </is>
      </c>
      <c r="E6147" t="inlineStr">
        <is>
          <t>NORDANSTIG</t>
        </is>
      </c>
      <c r="G6147" t="n">
        <v>12.5</v>
      </c>
      <c r="H6147" t="n">
        <v>0</v>
      </c>
      <c r="I6147" t="n">
        <v>0</v>
      </c>
      <c r="J6147" t="n">
        <v>0</v>
      </c>
      <c r="K6147" t="n">
        <v>0</v>
      </c>
      <c r="L6147" t="n">
        <v>0</v>
      </c>
      <c r="M6147" t="n">
        <v>0</v>
      </c>
      <c r="N6147" t="n">
        <v>0</v>
      </c>
      <c r="O6147" t="n">
        <v>0</v>
      </c>
      <c r="P6147" t="n">
        <v>0</v>
      </c>
      <c r="Q6147" t="n">
        <v>0</v>
      </c>
      <c r="R6147" s="2" t="inlineStr"/>
    </row>
    <row r="6148" ht="15" customHeight="1">
      <c r="A6148" t="inlineStr">
        <is>
          <t>A 41093-2025</t>
        </is>
      </c>
      <c r="B6148" s="1" t="n">
        <v>45898.44236111111</v>
      </c>
      <c r="C6148" s="1" t="n">
        <v>45911</v>
      </c>
      <c r="D6148" t="inlineStr">
        <is>
          <t>GÄVLEBORGS LÄN</t>
        </is>
      </c>
      <c r="E6148" t="inlineStr">
        <is>
          <t>GÄVLE</t>
        </is>
      </c>
      <c r="G6148" t="n">
        <v>3.7</v>
      </c>
      <c r="H6148" t="n">
        <v>0</v>
      </c>
      <c r="I6148" t="n">
        <v>0</v>
      </c>
      <c r="J6148" t="n">
        <v>0</v>
      </c>
      <c r="K6148" t="n">
        <v>0</v>
      </c>
      <c r="L6148" t="n">
        <v>0</v>
      </c>
      <c r="M6148" t="n">
        <v>0</v>
      </c>
      <c r="N6148" t="n">
        <v>0</v>
      </c>
      <c r="O6148" t="n">
        <v>0</v>
      </c>
      <c r="P6148" t="n">
        <v>0</v>
      </c>
      <c r="Q6148" t="n">
        <v>0</v>
      </c>
      <c r="R6148" s="2" t="inlineStr"/>
    </row>
    <row r="6149" ht="15" customHeight="1">
      <c r="A6149" t="inlineStr">
        <is>
          <t>A 53384-2023</t>
        </is>
      </c>
      <c r="B6149" s="1" t="n">
        <v>45223</v>
      </c>
      <c r="C6149" s="1" t="n">
        <v>45911</v>
      </c>
      <c r="D6149" t="inlineStr">
        <is>
          <t>GÄVLEBORGS LÄN</t>
        </is>
      </c>
      <c r="E6149" t="inlineStr">
        <is>
          <t>BOLLNÄS</t>
        </is>
      </c>
      <c r="G6149" t="n">
        <v>2.8</v>
      </c>
      <c r="H6149" t="n">
        <v>0</v>
      </c>
      <c r="I6149" t="n">
        <v>0</v>
      </c>
      <c r="J6149" t="n">
        <v>0</v>
      </c>
      <c r="K6149" t="n">
        <v>0</v>
      </c>
      <c r="L6149" t="n">
        <v>0</v>
      </c>
      <c r="M6149" t="n">
        <v>0</v>
      </c>
      <c r="N6149" t="n">
        <v>0</v>
      </c>
      <c r="O6149" t="n">
        <v>0</v>
      </c>
      <c r="P6149" t="n">
        <v>0</v>
      </c>
      <c r="Q6149" t="n">
        <v>0</v>
      </c>
      <c r="R6149" s="2" t="inlineStr"/>
    </row>
    <row r="6150" ht="15" customHeight="1">
      <c r="A6150" t="inlineStr">
        <is>
          <t>A 182-2024</t>
        </is>
      </c>
      <c r="B6150" s="1" t="n">
        <v>45294.59164351852</v>
      </c>
      <c r="C6150" s="1" t="n">
        <v>45911</v>
      </c>
      <c r="D6150" t="inlineStr">
        <is>
          <t>GÄVLEBORGS LÄN</t>
        </is>
      </c>
      <c r="E6150" t="inlineStr">
        <is>
          <t>HUDIKSVALL</t>
        </is>
      </c>
      <c r="F6150" t="inlineStr">
        <is>
          <t>Holmen skog AB</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5968-2025</t>
        </is>
      </c>
      <c r="B6151" s="1" t="n">
        <v>45695.49866898148</v>
      </c>
      <c r="C6151" s="1" t="n">
        <v>45911</v>
      </c>
      <c r="D6151" t="inlineStr">
        <is>
          <t>GÄVLEBORGS LÄN</t>
        </is>
      </c>
      <c r="E6151" t="inlineStr">
        <is>
          <t>NORDANSTIG</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41083-2025</t>
        </is>
      </c>
      <c r="B6152" s="1" t="n">
        <v>45898.43148148148</v>
      </c>
      <c r="C6152" s="1" t="n">
        <v>45911</v>
      </c>
      <c r="D6152" t="inlineStr">
        <is>
          <t>GÄVLEBORGS LÄN</t>
        </is>
      </c>
      <c r="E6152" t="inlineStr">
        <is>
          <t>GÄVLE</t>
        </is>
      </c>
      <c r="F6152" t="inlineStr">
        <is>
          <t>Bergvik skog väst AB</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41086-2025</t>
        </is>
      </c>
      <c r="B6153" s="1" t="n">
        <v>45898.4344212963</v>
      </c>
      <c r="C6153" s="1" t="n">
        <v>45911</v>
      </c>
      <c r="D6153" t="inlineStr">
        <is>
          <t>GÄVLEBORGS LÄN</t>
        </is>
      </c>
      <c r="E6153" t="inlineStr">
        <is>
          <t>LJUSDAL</t>
        </is>
      </c>
      <c r="F6153" t="inlineStr">
        <is>
          <t>Sveaskog</t>
        </is>
      </c>
      <c r="G6153" t="n">
        <v>2.7</v>
      </c>
      <c r="H6153" t="n">
        <v>0</v>
      </c>
      <c r="I6153" t="n">
        <v>0</v>
      </c>
      <c r="J6153" t="n">
        <v>0</v>
      </c>
      <c r="K6153" t="n">
        <v>0</v>
      </c>
      <c r="L6153" t="n">
        <v>0</v>
      </c>
      <c r="M6153" t="n">
        <v>0</v>
      </c>
      <c r="N6153" t="n">
        <v>0</v>
      </c>
      <c r="O6153" t="n">
        <v>0</v>
      </c>
      <c r="P6153" t="n">
        <v>0</v>
      </c>
      <c r="Q6153" t="n">
        <v>0</v>
      </c>
      <c r="R6153" s="2" t="inlineStr"/>
    </row>
    <row r="6154" ht="15" customHeight="1">
      <c r="A6154" t="inlineStr">
        <is>
          <t>A 13663-2025</t>
        </is>
      </c>
      <c r="B6154" s="1" t="n">
        <v>45736.78520833333</v>
      </c>
      <c r="C6154" s="1" t="n">
        <v>45911</v>
      </c>
      <c r="D6154" t="inlineStr">
        <is>
          <t>GÄVLEBORGS LÄN</t>
        </is>
      </c>
      <c r="E6154" t="inlineStr">
        <is>
          <t>HUDIKSVALL</t>
        </is>
      </c>
      <c r="G6154" t="n">
        <v>3.5</v>
      </c>
      <c r="H6154" t="n">
        <v>0</v>
      </c>
      <c r="I6154" t="n">
        <v>0</v>
      </c>
      <c r="J6154" t="n">
        <v>0</v>
      </c>
      <c r="K6154" t="n">
        <v>0</v>
      </c>
      <c r="L6154" t="n">
        <v>0</v>
      </c>
      <c r="M6154" t="n">
        <v>0</v>
      </c>
      <c r="N6154" t="n">
        <v>0</v>
      </c>
      <c r="O6154" t="n">
        <v>0</v>
      </c>
      <c r="P6154" t="n">
        <v>0</v>
      </c>
      <c r="Q6154" t="n">
        <v>0</v>
      </c>
      <c r="R6154" s="2" t="inlineStr"/>
    </row>
    <row r="6155" ht="15" customHeight="1">
      <c r="A6155" t="inlineStr">
        <is>
          <t>A 5728-2023</t>
        </is>
      </c>
      <c r="B6155" s="1" t="n">
        <v>44962.43650462963</v>
      </c>
      <c r="C6155" s="1" t="n">
        <v>45911</v>
      </c>
      <c r="D6155" t="inlineStr">
        <is>
          <t>GÄVLEBORGS LÄN</t>
        </is>
      </c>
      <c r="E6155" t="inlineStr">
        <is>
          <t>GÄVLE</t>
        </is>
      </c>
      <c r="G6155" t="n">
        <v>2.8</v>
      </c>
      <c r="H6155" t="n">
        <v>0</v>
      </c>
      <c r="I6155" t="n">
        <v>0</v>
      </c>
      <c r="J6155" t="n">
        <v>0</v>
      </c>
      <c r="K6155" t="n">
        <v>0</v>
      </c>
      <c r="L6155" t="n">
        <v>0</v>
      </c>
      <c r="M6155" t="n">
        <v>0</v>
      </c>
      <c r="N6155" t="n">
        <v>0</v>
      </c>
      <c r="O6155" t="n">
        <v>0</v>
      </c>
      <c r="P6155" t="n">
        <v>0</v>
      </c>
      <c r="Q6155" t="n">
        <v>0</v>
      </c>
      <c r="R6155" s="2" t="inlineStr"/>
    </row>
    <row r="6156" ht="15" customHeight="1">
      <c r="A6156" t="inlineStr">
        <is>
          <t>A 41111-2025</t>
        </is>
      </c>
      <c r="B6156" s="1" t="n">
        <v>45898</v>
      </c>
      <c r="C6156" s="1" t="n">
        <v>45911</v>
      </c>
      <c r="D6156" t="inlineStr">
        <is>
          <t>GÄVLEBORGS LÄN</t>
        </is>
      </c>
      <c r="E6156" t="inlineStr">
        <is>
          <t>SANDVIKEN</t>
        </is>
      </c>
      <c r="F6156" t="inlineStr">
        <is>
          <t>Bergvik skog väst AB</t>
        </is>
      </c>
      <c r="G6156" t="n">
        <v>8.1</v>
      </c>
      <c r="H6156" t="n">
        <v>0</v>
      </c>
      <c r="I6156" t="n">
        <v>0</v>
      </c>
      <c r="J6156" t="n">
        <v>0</v>
      </c>
      <c r="K6156" t="n">
        <v>0</v>
      </c>
      <c r="L6156" t="n">
        <v>0</v>
      </c>
      <c r="M6156" t="n">
        <v>0</v>
      </c>
      <c r="N6156" t="n">
        <v>0</v>
      </c>
      <c r="O6156" t="n">
        <v>0</v>
      </c>
      <c r="P6156" t="n">
        <v>0</v>
      </c>
      <c r="Q6156" t="n">
        <v>0</v>
      </c>
      <c r="R6156" s="2" t="inlineStr"/>
    </row>
    <row r="6157" ht="15" customHeight="1">
      <c r="A6157" t="inlineStr">
        <is>
          <t>A 38292-2021</t>
        </is>
      </c>
      <c r="B6157" s="1" t="n">
        <v>44406.33724537037</v>
      </c>
      <c r="C6157" s="1" t="n">
        <v>45911</v>
      </c>
      <c r="D6157" t="inlineStr">
        <is>
          <t>GÄVLEBORGS LÄN</t>
        </is>
      </c>
      <c r="E6157" t="inlineStr">
        <is>
          <t>OCKELBO</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40804-2025</t>
        </is>
      </c>
      <c r="B6158" s="1" t="n">
        <v>45897.46543981481</v>
      </c>
      <c r="C6158" s="1" t="n">
        <v>45911</v>
      </c>
      <c r="D6158" t="inlineStr">
        <is>
          <t>GÄVLEBORGS LÄN</t>
        </is>
      </c>
      <c r="E6158" t="inlineStr">
        <is>
          <t>NORDANSTIG</t>
        </is>
      </c>
      <c r="G6158" t="n">
        <v>7.1</v>
      </c>
      <c r="H6158" t="n">
        <v>0</v>
      </c>
      <c r="I6158" t="n">
        <v>0</v>
      </c>
      <c r="J6158" t="n">
        <v>0</v>
      </c>
      <c r="K6158" t="n">
        <v>0</v>
      </c>
      <c r="L6158" t="n">
        <v>0</v>
      </c>
      <c r="M6158" t="n">
        <v>0</v>
      </c>
      <c r="N6158" t="n">
        <v>0</v>
      </c>
      <c r="O6158" t="n">
        <v>0</v>
      </c>
      <c r="P6158" t="n">
        <v>0</v>
      </c>
      <c r="Q6158" t="n">
        <v>0</v>
      </c>
      <c r="R6158" s="2" t="inlineStr"/>
    </row>
    <row r="6159" ht="15" customHeight="1">
      <c r="A6159" t="inlineStr">
        <is>
          <t>A 59186-2022</t>
        </is>
      </c>
      <c r="B6159" s="1" t="n">
        <v>44904.49101851852</v>
      </c>
      <c r="C6159" s="1" t="n">
        <v>45911</v>
      </c>
      <c r="D6159" t="inlineStr">
        <is>
          <t>GÄVLEBORGS LÄN</t>
        </is>
      </c>
      <c r="E6159" t="inlineStr">
        <is>
          <t>OVANÅKER</t>
        </is>
      </c>
      <c r="G6159" t="n">
        <v>3</v>
      </c>
      <c r="H6159" t="n">
        <v>0</v>
      </c>
      <c r="I6159" t="n">
        <v>0</v>
      </c>
      <c r="J6159" t="n">
        <v>0</v>
      </c>
      <c r="K6159" t="n">
        <v>0</v>
      </c>
      <c r="L6159" t="n">
        <v>0</v>
      </c>
      <c r="M6159" t="n">
        <v>0</v>
      </c>
      <c r="N6159" t="n">
        <v>0</v>
      </c>
      <c r="O6159" t="n">
        <v>0</v>
      </c>
      <c r="P6159" t="n">
        <v>0</v>
      </c>
      <c r="Q6159" t="n">
        <v>0</v>
      </c>
      <c r="R6159" s="2" t="inlineStr"/>
    </row>
    <row r="6160" ht="15" customHeight="1">
      <c r="A6160" t="inlineStr">
        <is>
          <t>A 766-2025</t>
        </is>
      </c>
      <c r="B6160" s="1" t="n">
        <v>45665.45438657407</v>
      </c>
      <c r="C6160" s="1" t="n">
        <v>45911</v>
      </c>
      <c r="D6160" t="inlineStr">
        <is>
          <t>GÄVLEBORGS LÄN</t>
        </is>
      </c>
      <c r="E6160" t="inlineStr">
        <is>
          <t>SANDVIKEN</t>
        </is>
      </c>
      <c r="G6160" t="n">
        <v>4.8</v>
      </c>
      <c r="H6160" t="n">
        <v>0</v>
      </c>
      <c r="I6160" t="n">
        <v>0</v>
      </c>
      <c r="J6160" t="n">
        <v>0</v>
      </c>
      <c r="K6160" t="n">
        <v>0</v>
      </c>
      <c r="L6160" t="n">
        <v>0</v>
      </c>
      <c r="M6160" t="n">
        <v>0</v>
      </c>
      <c r="N6160" t="n">
        <v>0</v>
      </c>
      <c r="O6160" t="n">
        <v>0</v>
      </c>
      <c r="P6160" t="n">
        <v>0</v>
      </c>
      <c r="Q6160" t="n">
        <v>0</v>
      </c>
      <c r="R6160" s="2" t="inlineStr"/>
    </row>
    <row r="6161" ht="15" customHeight="1">
      <c r="A6161" t="inlineStr">
        <is>
          <t>A 41208-2025</t>
        </is>
      </c>
      <c r="B6161" s="1" t="n">
        <v>45898.57782407408</v>
      </c>
      <c r="C6161" s="1" t="n">
        <v>45911</v>
      </c>
      <c r="D6161" t="inlineStr">
        <is>
          <t>GÄVLEBORGS LÄN</t>
        </is>
      </c>
      <c r="E6161" t="inlineStr">
        <is>
          <t>LJUSDAL</t>
        </is>
      </c>
      <c r="F6161" t="inlineStr">
        <is>
          <t>Sveaskog</t>
        </is>
      </c>
      <c r="G6161" t="n">
        <v>10.3</v>
      </c>
      <c r="H6161" t="n">
        <v>0</v>
      </c>
      <c r="I6161" t="n">
        <v>0</v>
      </c>
      <c r="J6161" t="n">
        <v>0</v>
      </c>
      <c r="K6161" t="n">
        <v>0</v>
      </c>
      <c r="L6161" t="n">
        <v>0</v>
      </c>
      <c r="M6161" t="n">
        <v>0</v>
      </c>
      <c r="N6161" t="n">
        <v>0</v>
      </c>
      <c r="O6161" t="n">
        <v>0</v>
      </c>
      <c r="P6161" t="n">
        <v>0</v>
      </c>
      <c r="Q6161" t="n">
        <v>0</v>
      </c>
      <c r="R6161" s="2" t="inlineStr"/>
    </row>
    <row r="6162" ht="15" customHeight="1">
      <c r="A6162" t="inlineStr">
        <is>
          <t>A 54519-2024</t>
        </is>
      </c>
      <c r="B6162" s="1" t="n">
        <v>45617</v>
      </c>
      <c r="C6162" s="1" t="n">
        <v>45911</v>
      </c>
      <c r="D6162" t="inlineStr">
        <is>
          <t>GÄVLEBORGS LÄN</t>
        </is>
      </c>
      <c r="E6162" t="inlineStr">
        <is>
          <t>NORDANSTIG</t>
        </is>
      </c>
      <c r="F6162" t="inlineStr">
        <is>
          <t>Holmen skog AB</t>
        </is>
      </c>
      <c r="G6162" t="n">
        <v>5.8</v>
      </c>
      <c r="H6162" t="n">
        <v>0</v>
      </c>
      <c r="I6162" t="n">
        <v>0</v>
      </c>
      <c r="J6162" t="n">
        <v>0</v>
      </c>
      <c r="K6162" t="n">
        <v>0</v>
      </c>
      <c r="L6162" t="n">
        <v>0</v>
      </c>
      <c r="M6162" t="n">
        <v>0</v>
      </c>
      <c r="N6162" t="n">
        <v>0</v>
      </c>
      <c r="O6162" t="n">
        <v>0</v>
      </c>
      <c r="P6162" t="n">
        <v>0</v>
      </c>
      <c r="Q6162" t="n">
        <v>0</v>
      </c>
      <c r="R6162" s="2" t="inlineStr"/>
    </row>
    <row r="6163" ht="15" customHeight="1">
      <c r="A6163" t="inlineStr">
        <is>
          <t>A 14206-2025</t>
        </is>
      </c>
      <c r="B6163" s="1" t="n">
        <v>45740.57578703704</v>
      </c>
      <c r="C6163" s="1" t="n">
        <v>45911</v>
      </c>
      <c r="D6163" t="inlineStr">
        <is>
          <t>GÄVLEBORGS LÄN</t>
        </is>
      </c>
      <c r="E6163" t="inlineStr">
        <is>
          <t>SANDVIKEN</t>
        </is>
      </c>
      <c r="F6163" t="inlineStr">
        <is>
          <t>Bergvik skog öst AB</t>
        </is>
      </c>
      <c r="G6163" t="n">
        <v>11.3</v>
      </c>
      <c r="H6163" t="n">
        <v>0</v>
      </c>
      <c r="I6163" t="n">
        <v>0</v>
      </c>
      <c r="J6163" t="n">
        <v>0</v>
      </c>
      <c r="K6163" t="n">
        <v>0</v>
      </c>
      <c r="L6163" t="n">
        <v>0</v>
      </c>
      <c r="M6163" t="n">
        <v>0</v>
      </c>
      <c r="N6163" t="n">
        <v>0</v>
      </c>
      <c r="O6163" t="n">
        <v>0</v>
      </c>
      <c r="P6163" t="n">
        <v>0</v>
      </c>
      <c r="Q6163" t="n">
        <v>0</v>
      </c>
      <c r="R6163" s="2" t="inlineStr"/>
    </row>
    <row r="6164" ht="15" customHeight="1">
      <c r="A6164" t="inlineStr">
        <is>
          <t>A 40986-2025</t>
        </is>
      </c>
      <c r="B6164" s="1" t="n">
        <v>45898.30623842592</v>
      </c>
      <c r="C6164" s="1" t="n">
        <v>45911</v>
      </c>
      <c r="D6164" t="inlineStr">
        <is>
          <t>GÄVLEBORGS LÄN</t>
        </is>
      </c>
      <c r="E6164" t="inlineStr">
        <is>
          <t>OVANÅKER</t>
        </is>
      </c>
      <c r="G6164" t="n">
        <v>3.2</v>
      </c>
      <c r="H6164" t="n">
        <v>0</v>
      </c>
      <c r="I6164" t="n">
        <v>0</v>
      </c>
      <c r="J6164" t="n">
        <v>0</v>
      </c>
      <c r="K6164" t="n">
        <v>0</v>
      </c>
      <c r="L6164" t="n">
        <v>0</v>
      </c>
      <c r="M6164" t="n">
        <v>0</v>
      </c>
      <c r="N6164" t="n">
        <v>0</v>
      </c>
      <c r="O6164" t="n">
        <v>0</v>
      </c>
      <c r="P6164" t="n">
        <v>0</v>
      </c>
      <c r="Q6164" t="n">
        <v>0</v>
      </c>
      <c r="R6164" s="2" t="inlineStr"/>
    </row>
    <row r="6165" ht="15" customHeight="1">
      <c r="A6165" t="inlineStr">
        <is>
          <t>A 41013-2025</t>
        </is>
      </c>
      <c r="B6165" s="1" t="n">
        <v>45898.35738425926</v>
      </c>
      <c r="C6165" s="1" t="n">
        <v>45911</v>
      </c>
      <c r="D6165" t="inlineStr">
        <is>
          <t>GÄVLEBORGS LÄN</t>
        </is>
      </c>
      <c r="E6165" t="inlineStr">
        <is>
          <t>OCKELBO</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41302-2025</t>
        </is>
      </c>
      <c r="B6166" s="1" t="n">
        <v>45898.69194444444</v>
      </c>
      <c r="C6166" s="1" t="n">
        <v>45911</v>
      </c>
      <c r="D6166" t="inlineStr">
        <is>
          <t>GÄVLEBORGS LÄN</t>
        </is>
      </c>
      <c r="E6166" t="inlineStr">
        <is>
          <t>GÄVLE</t>
        </is>
      </c>
      <c r="F6166" t="inlineStr">
        <is>
          <t>Bergvik skog väst AB</t>
        </is>
      </c>
      <c r="G6166" t="n">
        <v>9.699999999999999</v>
      </c>
      <c r="H6166" t="n">
        <v>0</v>
      </c>
      <c r="I6166" t="n">
        <v>0</v>
      </c>
      <c r="J6166" t="n">
        <v>0</v>
      </c>
      <c r="K6166" t="n">
        <v>0</v>
      </c>
      <c r="L6166" t="n">
        <v>0</v>
      </c>
      <c r="M6166" t="n">
        <v>0</v>
      </c>
      <c r="N6166" t="n">
        <v>0</v>
      </c>
      <c r="O6166" t="n">
        <v>0</v>
      </c>
      <c r="P6166" t="n">
        <v>0</v>
      </c>
      <c r="Q6166" t="n">
        <v>0</v>
      </c>
      <c r="R6166" s="2" t="inlineStr"/>
    </row>
    <row r="6167" ht="15" customHeight="1">
      <c r="A6167" t="inlineStr">
        <is>
          <t>A 10095-2025</t>
        </is>
      </c>
      <c r="B6167" s="1" t="n">
        <v>45719</v>
      </c>
      <c r="C6167" s="1" t="n">
        <v>45911</v>
      </c>
      <c r="D6167" t="inlineStr">
        <is>
          <t>GÄVLEBORGS LÄN</t>
        </is>
      </c>
      <c r="E6167" t="inlineStr">
        <is>
          <t>GÄVLE</t>
        </is>
      </c>
      <c r="F6167" t="inlineStr">
        <is>
          <t>Bergvik skog öst AB</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56487-2023</t>
        </is>
      </c>
      <c r="B6168" s="1" t="n">
        <v>45243</v>
      </c>
      <c r="C6168" s="1" t="n">
        <v>45911</v>
      </c>
      <c r="D6168" t="inlineStr">
        <is>
          <t>GÄVLEBORGS LÄN</t>
        </is>
      </c>
      <c r="E6168" t="inlineStr">
        <is>
          <t>GÄVLE</t>
        </is>
      </c>
      <c r="G6168" t="n">
        <v>8.699999999999999</v>
      </c>
      <c r="H6168" t="n">
        <v>0</v>
      </c>
      <c r="I6168" t="n">
        <v>0</v>
      </c>
      <c r="J6168" t="n">
        <v>0</v>
      </c>
      <c r="K6168" t="n">
        <v>0</v>
      </c>
      <c r="L6168" t="n">
        <v>0</v>
      </c>
      <c r="M6168" t="n">
        <v>0</v>
      </c>
      <c r="N6168" t="n">
        <v>0</v>
      </c>
      <c r="O6168" t="n">
        <v>0</v>
      </c>
      <c r="P6168" t="n">
        <v>0</v>
      </c>
      <c r="Q6168" t="n">
        <v>0</v>
      </c>
      <c r="R6168" s="2" t="inlineStr"/>
    </row>
    <row r="6169" ht="15" customHeight="1">
      <c r="A6169" t="inlineStr">
        <is>
          <t>A 56500-2023</t>
        </is>
      </c>
      <c r="B6169" s="1" t="n">
        <v>45243</v>
      </c>
      <c r="C6169" s="1" t="n">
        <v>45911</v>
      </c>
      <c r="D6169" t="inlineStr">
        <is>
          <t>GÄVLEBORGS LÄN</t>
        </is>
      </c>
      <c r="E6169" t="inlineStr">
        <is>
          <t>SÖDERHAMN</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9309-2022</t>
        </is>
      </c>
      <c r="B6170" s="1" t="n">
        <v>44616.50363425926</v>
      </c>
      <c r="C6170" s="1" t="n">
        <v>45911</v>
      </c>
      <c r="D6170" t="inlineStr">
        <is>
          <t>GÄVLEBORGS LÄN</t>
        </is>
      </c>
      <c r="E6170" t="inlineStr">
        <is>
          <t>HUDIKSVALL</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30349-2023</t>
        </is>
      </c>
      <c r="B6171" s="1" t="n">
        <v>45111.39857638889</v>
      </c>
      <c r="C6171" s="1" t="n">
        <v>45911</v>
      </c>
      <c r="D6171" t="inlineStr">
        <is>
          <t>GÄVLEBORGS LÄN</t>
        </is>
      </c>
      <c r="E6171" t="inlineStr">
        <is>
          <t>OCKELBO</t>
        </is>
      </c>
      <c r="G6171" t="n">
        <v>5.3</v>
      </c>
      <c r="H6171" t="n">
        <v>0</v>
      </c>
      <c r="I6171" t="n">
        <v>0</v>
      </c>
      <c r="J6171" t="n">
        <v>0</v>
      </c>
      <c r="K6171" t="n">
        <v>0</v>
      </c>
      <c r="L6171" t="n">
        <v>0</v>
      </c>
      <c r="M6171" t="n">
        <v>0</v>
      </c>
      <c r="N6171" t="n">
        <v>0</v>
      </c>
      <c r="O6171" t="n">
        <v>0</v>
      </c>
      <c r="P6171" t="n">
        <v>0</v>
      </c>
      <c r="Q6171" t="n">
        <v>0</v>
      </c>
      <c r="R6171" s="2" t="inlineStr"/>
    </row>
    <row r="6172" ht="15" customHeight="1">
      <c r="A6172" t="inlineStr">
        <is>
          <t>A 54676-2024</t>
        </is>
      </c>
      <c r="B6172" s="1" t="n">
        <v>45618.34304398148</v>
      </c>
      <c r="C6172" s="1" t="n">
        <v>45911</v>
      </c>
      <c r="D6172" t="inlineStr">
        <is>
          <t>GÄVLEBORGS LÄN</t>
        </is>
      </c>
      <c r="E6172" t="inlineStr">
        <is>
          <t>HUDIKSVALL</t>
        </is>
      </c>
      <c r="F6172" t="inlineStr">
        <is>
          <t>Holmen skog AB</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57977-2022</t>
        </is>
      </c>
      <c r="B6173" s="1" t="n">
        <v>44900.45950231481</v>
      </c>
      <c r="C6173" s="1" t="n">
        <v>45911</v>
      </c>
      <c r="D6173" t="inlineStr">
        <is>
          <t>GÄVLEBORGS LÄN</t>
        </is>
      </c>
      <c r="E6173" t="inlineStr">
        <is>
          <t>LJUSDAL</t>
        </is>
      </c>
      <c r="F6173" t="inlineStr">
        <is>
          <t>Holmen skog AB</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39566-2022</t>
        </is>
      </c>
      <c r="B6174" s="1" t="n">
        <v>44818.57881944445</v>
      </c>
      <c r="C6174" s="1" t="n">
        <v>45911</v>
      </c>
      <c r="D6174" t="inlineStr">
        <is>
          <t>GÄVLEBORGS LÄN</t>
        </is>
      </c>
      <c r="E6174" t="inlineStr">
        <is>
          <t>SANDVIKEN</t>
        </is>
      </c>
      <c r="G6174" t="n">
        <v>2.7</v>
      </c>
      <c r="H6174" t="n">
        <v>0</v>
      </c>
      <c r="I6174" t="n">
        <v>0</v>
      </c>
      <c r="J6174" t="n">
        <v>0</v>
      </c>
      <c r="K6174" t="n">
        <v>0</v>
      </c>
      <c r="L6174" t="n">
        <v>0</v>
      </c>
      <c r="M6174" t="n">
        <v>0</v>
      </c>
      <c r="N6174" t="n">
        <v>0</v>
      </c>
      <c r="O6174" t="n">
        <v>0</v>
      </c>
      <c r="P6174" t="n">
        <v>0</v>
      </c>
      <c r="Q6174" t="n">
        <v>0</v>
      </c>
      <c r="R6174" s="2" t="inlineStr"/>
    </row>
    <row r="6175" ht="15" customHeight="1">
      <c r="A6175" t="inlineStr">
        <is>
          <t>A 35473-2025</t>
        </is>
      </c>
      <c r="B6175" s="1" t="n">
        <v>45855.66804398148</v>
      </c>
      <c r="C6175" s="1" t="n">
        <v>45911</v>
      </c>
      <c r="D6175" t="inlineStr">
        <is>
          <t>GÄVLEBORGS LÄN</t>
        </is>
      </c>
      <c r="E6175" t="inlineStr">
        <is>
          <t>HOFORS</t>
        </is>
      </c>
      <c r="G6175" t="n">
        <v>3.3</v>
      </c>
      <c r="H6175" t="n">
        <v>0</v>
      </c>
      <c r="I6175" t="n">
        <v>0</v>
      </c>
      <c r="J6175" t="n">
        <v>0</v>
      </c>
      <c r="K6175" t="n">
        <v>0</v>
      </c>
      <c r="L6175" t="n">
        <v>0</v>
      </c>
      <c r="M6175" t="n">
        <v>0</v>
      </c>
      <c r="N6175" t="n">
        <v>0</v>
      </c>
      <c r="O6175" t="n">
        <v>0</v>
      </c>
      <c r="P6175" t="n">
        <v>0</v>
      </c>
      <c r="Q6175" t="n">
        <v>0</v>
      </c>
      <c r="R6175" s="2" t="inlineStr"/>
    </row>
    <row r="6176" ht="15" customHeight="1">
      <c r="A6176" t="inlineStr">
        <is>
          <t>A 55411-2024</t>
        </is>
      </c>
      <c r="B6176" s="1" t="n">
        <v>45622.36931712963</v>
      </c>
      <c r="C6176" s="1" t="n">
        <v>45911</v>
      </c>
      <c r="D6176" t="inlineStr">
        <is>
          <t>GÄVLEBORGS LÄN</t>
        </is>
      </c>
      <c r="E6176" t="inlineStr">
        <is>
          <t>OVANÅKER</t>
        </is>
      </c>
      <c r="G6176" t="n">
        <v>2.9</v>
      </c>
      <c r="H6176" t="n">
        <v>0</v>
      </c>
      <c r="I6176" t="n">
        <v>0</v>
      </c>
      <c r="J6176" t="n">
        <v>0</v>
      </c>
      <c r="K6176" t="n">
        <v>0</v>
      </c>
      <c r="L6176" t="n">
        <v>0</v>
      </c>
      <c r="M6176" t="n">
        <v>0</v>
      </c>
      <c r="N6176" t="n">
        <v>0</v>
      </c>
      <c r="O6176" t="n">
        <v>0</v>
      </c>
      <c r="P6176" t="n">
        <v>0</v>
      </c>
      <c r="Q6176" t="n">
        <v>0</v>
      </c>
      <c r="R6176" s="2" t="inlineStr"/>
    </row>
    <row r="6177" ht="15" customHeight="1">
      <c r="A6177" t="inlineStr">
        <is>
          <t>A 62196-2023</t>
        </is>
      </c>
      <c r="B6177" s="1" t="n">
        <v>45267.46763888889</v>
      </c>
      <c r="C6177" s="1" t="n">
        <v>45911</v>
      </c>
      <c r="D6177" t="inlineStr">
        <is>
          <t>GÄVLEBORGS LÄN</t>
        </is>
      </c>
      <c r="E6177" t="inlineStr">
        <is>
          <t>OVANÅKER</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34363-2022</t>
        </is>
      </c>
      <c r="B6178" s="1" t="n">
        <v>44792.46133101852</v>
      </c>
      <c r="C6178" s="1" t="n">
        <v>45911</v>
      </c>
      <c r="D6178" t="inlineStr">
        <is>
          <t>GÄVLEBORGS LÄN</t>
        </is>
      </c>
      <c r="E6178" t="inlineStr">
        <is>
          <t>HUDIKSVALL</t>
        </is>
      </c>
      <c r="F6178" t="inlineStr">
        <is>
          <t>Holmen skog AB</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63145-2023</t>
        </is>
      </c>
      <c r="B6179" s="1" t="n">
        <v>45273</v>
      </c>
      <c r="C6179" s="1" t="n">
        <v>45911</v>
      </c>
      <c r="D6179" t="inlineStr">
        <is>
          <t>GÄVLEBORGS LÄN</t>
        </is>
      </c>
      <c r="E6179" t="inlineStr">
        <is>
          <t>NORDANSTIG</t>
        </is>
      </c>
      <c r="F6179" t="inlineStr">
        <is>
          <t>Holmen skog AB</t>
        </is>
      </c>
      <c r="G6179" t="n">
        <v>0.3</v>
      </c>
      <c r="H6179" t="n">
        <v>0</v>
      </c>
      <c r="I6179" t="n">
        <v>0</v>
      </c>
      <c r="J6179" t="n">
        <v>0</v>
      </c>
      <c r="K6179" t="n">
        <v>0</v>
      </c>
      <c r="L6179" t="n">
        <v>0</v>
      </c>
      <c r="M6179" t="n">
        <v>0</v>
      </c>
      <c r="N6179" t="n">
        <v>0</v>
      </c>
      <c r="O6179" t="n">
        <v>0</v>
      </c>
      <c r="P6179" t="n">
        <v>0</v>
      </c>
      <c r="Q6179" t="n">
        <v>0</v>
      </c>
      <c r="R6179" s="2" t="inlineStr"/>
    </row>
    <row r="6180" ht="15" customHeight="1">
      <c r="A6180" t="inlineStr">
        <is>
          <t>A 41156-2025</t>
        </is>
      </c>
      <c r="B6180" s="1" t="n">
        <v>45898.52877314815</v>
      </c>
      <c r="C6180" s="1" t="n">
        <v>45911</v>
      </c>
      <c r="D6180" t="inlineStr">
        <is>
          <t>GÄVLEBORGS LÄN</t>
        </is>
      </c>
      <c r="E6180" t="inlineStr">
        <is>
          <t>HUDIKSVALL</t>
        </is>
      </c>
      <c r="F6180" t="inlineStr">
        <is>
          <t>Holmen skog AB</t>
        </is>
      </c>
      <c r="G6180" t="n">
        <v>5.3</v>
      </c>
      <c r="H6180" t="n">
        <v>0</v>
      </c>
      <c r="I6180" t="n">
        <v>0</v>
      </c>
      <c r="J6180" t="n">
        <v>0</v>
      </c>
      <c r="K6180" t="n">
        <v>0</v>
      </c>
      <c r="L6180" t="n">
        <v>0</v>
      </c>
      <c r="M6180" t="n">
        <v>0</v>
      </c>
      <c r="N6180" t="n">
        <v>0</v>
      </c>
      <c r="O6180" t="n">
        <v>0</v>
      </c>
      <c r="P6180" t="n">
        <v>0</v>
      </c>
      <c r="Q6180" t="n">
        <v>0</v>
      </c>
      <c r="R6180" s="2" t="inlineStr"/>
    </row>
    <row r="6181" ht="15" customHeight="1">
      <c r="A6181" t="inlineStr">
        <is>
          <t>A 41167-2025</t>
        </is>
      </c>
      <c r="B6181" s="1" t="n">
        <v>45898.54394675926</v>
      </c>
      <c r="C6181" s="1" t="n">
        <v>45911</v>
      </c>
      <c r="D6181" t="inlineStr">
        <is>
          <t>GÄVLEBORGS LÄN</t>
        </is>
      </c>
      <c r="E6181" t="inlineStr">
        <is>
          <t>BOLLNÄS</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41192-2025</t>
        </is>
      </c>
      <c r="B6182" s="1" t="n">
        <v>45898.56827546296</v>
      </c>
      <c r="C6182" s="1" t="n">
        <v>45911</v>
      </c>
      <c r="D6182" t="inlineStr">
        <is>
          <t>GÄVLEBORGS LÄN</t>
        </is>
      </c>
      <c r="E6182" t="inlineStr">
        <is>
          <t>HUDIKSVALL</t>
        </is>
      </c>
      <c r="F6182" t="inlineStr">
        <is>
          <t>Holmen skog AB</t>
        </is>
      </c>
      <c r="G6182" t="n">
        <v>4.7</v>
      </c>
      <c r="H6182" t="n">
        <v>0</v>
      </c>
      <c r="I6182" t="n">
        <v>0</v>
      </c>
      <c r="J6182" t="n">
        <v>0</v>
      </c>
      <c r="K6182" t="n">
        <v>0</v>
      </c>
      <c r="L6182" t="n">
        <v>0</v>
      </c>
      <c r="M6182" t="n">
        <v>0</v>
      </c>
      <c r="N6182" t="n">
        <v>0</v>
      </c>
      <c r="O6182" t="n">
        <v>0</v>
      </c>
      <c r="P6182" t="n">
        <v>0</v>
      </c>
      <c r="Q6182" t="n">
        <v>0</v>
      </c>
      <c r="R6182" s="2" t="inlineStr"/>
    </row>
    <row r="6183" ht="15" customHeight="1">
      <c r="A6183" t="inlineStr">
        <is>
          <t>A 40866-2025</t>
        </is>
      </c>
      <c r="B6183" s="1" t="n">
        <v>45897.5697337963</v>
      </c>
      <c r="C6183" s="1" t="n">
        <v>45911</v>
      </c>
      <c r="D6183" t="inlineStr">
        <is>
          <t>GÄVLEBORGS LÄN</t>
        </is>
      </c>
      <c r="E6183" t="inlineStr">
        <is>
          <t>LJUSDAL</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35443-2025</t>
        </is>
      </c>
      <c r="B6184" s="1" t="n">
        <v>45855.52385416667</v>
      </c>
      <c r="C6184" s="1" t="n">
        <v>45911</v>
      </c>
      <c r="D6184" t="inlineStr">
        <is>
          <t>GÄVLEBORGS LÄN</t>
        </is>
      </c>
      <c r="E6184" t="inlineStr">
        <is>
          <t>SANDVIKEN</t>
        </is>
      </c>
      <c r="G6184" t="n">
        <v>3.8</v>
      </c>
      <c r="H6184" t="n">
        <v>0</v>
      </c>
      <c r="I6184" t="n">
        <v>0</v>
      </c>
      <c r="J6184" t="n">
        <v>0</v>
      </c>
      <c r="K6184" t="n">
        <v>0</v>
      </c>
      <c r="L6184" t="n">
        <v>0</v>
      </c>
      <c r="M6184" t="n">
        <v>0</v>
      </c>
      <c r="N6184" t="n">
        <v>0</v>
      </c>
      <c r="O6184" t="n">
        <v>0</v>
      </c>
      <c r="P6184" t="n">
        <v>0</v>
      </c>
      <c r="Q6184" t="n">
        <v>0</v>
      </c>
      <c r="R6184" s="2" t="inlineStr"/>
    </row>
    <row r="6185" ht="15" customHeight="1">
      <c r="A6185" t="inlineStr">
        <is>
          <t>A 35450-2025</t>
        </is>
      </c>
      <c r="B6185" s="1" t="n">
        <v>45855.56597222222</v>
      </c>
      <c r="C6185" s="1" t="n">
        <v>45911</v>
      </c>
      <c r="D6185" t="inlineStr">
        <is>
          <t>GÄVLEBORGS LÄN</t>
        </is>
      </c>
      <c r="E6185" t="inlineStr">
        <is>
          <t>GÄVLE</t>
        </is>
      </c>
      <c r="G6185" t="n">
        <v>8.199999999999999</v>
      </c>
      <c r="H6185" t="n">
        <v>0</v>
      </c>
      <c r="I6185" t="n">
        <v>0</v>
      </c>
      <c r="J6185" t="n">
        <v>0</v>
      </c>
      <c r="K6185" t="n">
        <v>0</v>
      </c>
      <c r="L6185" t="n">
        <v>0</v>
      </c>
      <c r="M6185" t="n">
        <v>0</v>
      </c>
      <c r="N6185" t="n">
        <v>0</v>
      </c>
      <c r="O6185" t="n">
        <v>0</v>
      </c>
      <c r="P6185" t="n">
        <v>0</v>
      </c>
      <c r="Q6185" t="n">
        <v>0</v>
      </c>
      <c r="R6185" s="2" t="inlineStr"/>
    </row>
    <row r="6186" ht="15" customHeight="1">
      <c r="A6186" t="inlineStr">
        <is>
          <t>A 60356-2024</t>
        </is>
      </c>
      <c r="B6186" s="1" t="n">
        <v>45643.44497685185</v>
      </c>
      <c r="C6186" s="1" t="n">
        <v>45911</v>
      </c>
      <c r="D6186" t="inlineStr">
        <is>
          <t>GÄVLEBORGS LÄN</t>
        </is>
      </c>
      <c r="E6186" t="inlineStr">
        <is>
          <t>HUDIKSVALL</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24551-2024</t>
        </is>
      </c>
      <c r="B6187" s="1" t="n">
        <v>45460.40803240741</v>
      </c>
      <c r="C6187" s="1" t="n">
        <v>45911</v>
      </c>
      <c r="D6187" t="inlineStr">
        <is>
          <t>GÄVLEBORGS LÄN</t>
        </is>
      </c>
      <c r="E6187" t="inlineStr">
        <is>
          <t>BOLLNÄS</t>
        </is>
      </c>
      <c r="G6187" t="n">
        <v>6.8</v>
      </c>
      <c r="H6187" t="n">
        <v>0</v>
      </c>
      <c r="I6187" t="n">
        <v>0</v>
      </c>
      <c r="J6187" t="n">
        <v>0</v>
      </c>
      <c r="K6187" t="n">
        <v>0</v>
      </c>
      <c r="L6187" t="n">
        <v>0</v>
      </c>
      <c r="M6187" t="n">
        <v>0</v>
      </c>
      <c r="N6187" t="n">
        <v>0</v>
      </c>
      <c r="O6187" t="n">
        <v>0</v>
      </c>
      <c r="P6187" t="n">
        <v>0</v>
      </c>
      <c r="Q6187" t="n">
        <v>0</v>
      </c>
      <c r="R6187" s="2" t="inlineStr"/>
    </row>
    <row r="6188" ht="15" customHeight="1">
      <c r="A6188" t="inlineStr">
        <is>
          <t>A 61130-2024</t>
        </is>
      </c>
      <c r="B6188" s="1" t="n">
        <v>45645.58069444444</v>
      </c>
      <c r="C6188" s="1" t="n">
        <v>45911</v>
      </c>
      <c r="D6188" t="inlineStr">
        <is>
          <t>GÄVLEBORGS LÄN</t>
        </is>
      </c>
      <c r="E6188" t="inlineStr">
        <is>
          <t>GÄVLE</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41185-2025</t>
        </is>
      </c>
      <c r="B6189" s="1" t="n">
        <v>45898.56283564815</v>
      </c>
      <c r="C6189" s="1" t="n">
        <v>45911</v>
      </c>
      <c r="D6189" t="inlineStr">
        <is>
          <t>GÄVLEBORGS LÄN</t>
        </is>
      </c>
      <c r="E6189" t="inlineStr">
        <is>
          <t>SANDVIKEN</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41241-2025</t>
        </is>
      </c>
      <c r="B6190" s="1" t="n">
        <v>45898.59780092593</v>
      </c>
      <c r="C6190" s="1" t="n">
        <v>45911</v>
      </c>
      <c r="D6190" t="inlineStr">
        <is>
          <t>GÄVLEBORGS LÄN</t>
        </is>
      </c>
      <c r="E6190" t="inlineStr">
        <is>
          <t>GÄVLE</t>
        </is>
      </c>
      <c r="F6190" t="inlineStr">
        <is>
          <t>Bergvik skog öst AB</t>
        </is>
      </c>
      <c r="G6190" t="n">
        <v>20.9</v>
      </c>
      <c r="H6190" t="n">
        <v>0</v>
      </c>
      <c r="I6190" t="n">
        <v>0</v>
      </c>
      <c r="J6190" t="n">
        <v>0</v>
      </c>
      <c r="K6190" t="n">
        <v>0</v>
      </c>
      <c r="L6190" t="n">
        <v>0</v>
      </c>
      <c r="M6190" t="n">
        <v>0</v>
      </c>
      <c r="N6190" t="n">
        <v>0</v>
      </c>
      <c r="O6190" t="n">
        <v>0</v>
      </c>
      <c r="P6190" t="n">
        <v>0</v>
      </c>
      <c r="Q6190" t="n">
        <v>0</v>
      </c>
      <c r="R6190" s="2" t="inlineStr"/>
    </row>
    <row r="6191" ht="15" customHeight="1">
      <c r="A6191" t="inlineStr">
        <is>
          <t>A 14771-2025</t>
        </is>
      </c>
      <c r="B6191" s="1" t="n">
        <v>45742.68819444445</v>
      </c>
      <c r="C6191" s="1" t="n">
        <v>45911</v>
      </c>
      <c r="D6191" t="inlineStr">
        <is>
          <t>GÄVLEBORGS LÄN</t>
        </is>
      </c>
      <c r="E6191" t="inlineStr">
        <is>
          <t>HUDIKSVALL</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40780-2025</t>
        </is>
      </c>
      <c r="B6192" s="1" t="n">
        <v>45897.43541666667</v>
      </c>
      <c r="C6192" s="1" t="n">
        <v>45911</v>
      </c>
      <c r="D6192" t="inlineStr">
        <is>
          <t>GÄVLEBORGS LÄN</t>
        </is>
      </c>
      <c r="E6192" t="inlineStr">
        <is>
          <t>BOLLNÄS</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40824-2025</t>
        </is>
      </c>
      <c r="B6193" s="1" t="n">
        <v>45897.49759259259</v>
      </c>
      <c r="C6193" s="1" t="n">
        <v>45911</v>
      </c>
      <c r="D6193" t="inlineStr">
        <is>
          <t>GÄVLEBORGS LÄN</t>
        </is>
      </c>
      <c r="E6193" t="inlineStr">
        <is>
          <t>NORDANSTIG</t>
        </is>
      </c>
      <c r="F6193" t="inlineStr">
        <is>
          <t>Holmen skog AB</t>
        </is>
      </c>
      <c r="G6193" t="n">
        <v>10.6</v>
      </c>
      <c r="H6193" t="n">
        <v>0</v>
      </c>
      <c r="I6193" t="n">
        <v>0</v>
      </c>
      <c r="J6193" t="n">
        <v>0</v>
      </c>
      <c r="K6193" t="n">
        <v>0</v>
      </c>
      <c r="L6193" t="n">
        <v>0</v>
      </c>
      <c r="M6193" t="n">
        <v>0</v>
      </c>
      <c r="N6193" t="n">
        <v>0</v>
      </c>
      <c r="O6193" t="n">
        <v>0</v>
      </c>
      <c r="P6193" t="n">
        <v>0</v>
      </c>
      <c r="Q6193" t="n">
        <v>0</v>
      </c>
      <c r="R6193" s="2" t="inlineStr"/>
    </row>
    <row r="6194" ht="15" customHeight="1">
      <c r="A6194" t="inlineStr">
        <is>
          <t>A 18195-2023</t>
        </is>
      </c>
      <c r="B6194" s="1" t="n">
        <v>45041.3624537037</v>
      </c>
      <c r="C6194" s="1" t="n">
        <v>45911</v>
      </c>
      <c r="D6194" t="inlineStr">
        <is>
          <t>GÄVLEBORGS LÄN</t>
        </is>
      </c>
      <c r="E6194" t="inlineStr">
        <is>
          <t>SÖDERHAMN</t>
        </is>
      </c>
      <c r="F6194" t="inlineStr">
        <is>
          <t>Bergvik skog väst AB</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40992-2025</t>
        </is>
      </c>
      <c r="B6195" s="1" t="n">
        <v>45898.32689814815</v>
      </c>
      <c r="C6195" s="1" t="n">
        <v>45911</v>
      </c>
      <c r="D6195" t="inlineStr">
        <is>
          <t>GÄVLEBORGS LÄN</t>
        </is>
      </c>
      <c r="E6195" t="inlineStr">
        <is>
          <t>GÄVLE</t>
        </is>
      </c>
      <c r="F6195" t="inlineStr">
        <is>
          <t>Bergvik skog väst AB</t>
        </is>
      </c>
      <c r="G6195" t="n">
        <v>2.6</v>
      </c>
      <c r="H6195" t="n">
        <v>0</v>
      </c>
      <c r="I6195" t="n">
        <v>0</v>
      </c>
      <c r="J6195" t="n">
        <v>0</v>
      </c>
      <c r="K6195" t="n">
        <v>0</v>
      </c>
      <c r="L6195" t="n">
        <v>0</v>
      </c>
      <c r="M6195" t="n">
        <v>0</v>
      </c>
      <c r="N6195" t="n">
        <v>0</v>
      </c>
      <c r="O6195" t="n">
        <v>0</v>
      </c>
      <c r="P6195" t="n">
        <v>0</v>
      </c>
      <c r="Q6195" t="n">
        <v>0</v>
      </c>
      <c r="R6195" s="2" t="inlineStr"/>
    </row>
    <row r="6196" ht="15" customHeight="1">
      <c r="A6196" t="inlineStr">
        <is>
          <t>A 40993-2025</t>
        </is>
      </c>
      <c r="B6196" s="1" t="n">
        <v>45898.33373842593</v>
      </c>
      <c r="C6196" s="1" t="n">
        <v>45911</v>
      </c>
      <c r="D6196" t="inlineStr">
        <is>
          <t>GÄVLEBORGS LÄN</t>
        </is>
      </c>
      <c r="E6196" t="inlineStr">
        <is>
          <t>GÄVLE</t>
        </is>
      </c>
      <c r="F6196" t="inlineStr">
        <is>
          <t>Bergvik skog väst AB</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6833-2023</t>
        </is>
      </c>
      <c r="B6197" s="1" t="n">
        <v>44967</v>
      </c>
      <c r="C6197" s="1" t="n">
        <v>45911</v>
      </c>
      <c r="D6197" t="inlineStr">
        <is>
          <t>GÄVLEBORGS LÄN</t>
        </is>
      </c>
      <c r="E6197" t="inlineStr">
        <is>
          <t>BOLLNÄS</t>
        </is>
      </c>
      <c r="G6197" t="n">
        <v>11.1</v>
      </c>
      <c r="H6197" t="n">
        <v>0</v>
      </c>
      <c r="I6197" t="n">
        <v>0</v>
      </c>
      <c r="J6197" t="n">
        <v>0</v>
      </c>
      <c r="K6197" t="n">
        <v>0</v>
      </c>
      <c r="L6197" t="n">
        <v>0</v>
      </c>
      <c r="M6197" t="n">
        <v>0</v>
      </c>
      <c r="N6197" t="n">
        <v>0</v>
      </c>
      <c r="O6197" t="n">
        <v>0</v>
      </c>
      <c r="P6197" t="n">
        <v>0</v>
      </c>
      <c r="Q6197" t="n">
        <v>0</v>
      </c>
      <c r="R6197" s="2" t="inlineStr"/>
    </row>
    <row r="6198" ht="15" customHeight="1">
      <c r="A6198" t="inlineStr">
        <is>
          <t>A 28367-2024</t>
        </is>
      </c>
      <c r="B6198" s="1" t="n">
        <v>45477.57800925926</v>
      </c>
      <c r="C6198" s="1" t="n">
        <v>45911</v>
      </c>
      <c r="D6198" t="inlineStr">
        <is>
          <t>GÄVLEBORGS LÄN</t>
        </is>
      </c>
      <c r="E6198" t="inlineStr">
        <is>
          <t>HUDIKSVALL</t>
        </is>
      </c>
      <c r="F6198" t="inlineStr">
        <is>
          <t>Holmen skog AB</t>
        </is>
      </c>
      <c r="G6198" t="n">
        <v>2.6</v>
      </c>
      <c r="H6198" t="n">
        <v>0</v>
      </c>
      <c r="I6198" t="n">
        <v>0</v>
      </c>
      <c r="J6198" t="n">
        <v>0</v>
      </c>
      <c r="K6198" t="n">
        <v>0</v>
      </c>
      <c r="L6198" t="n">
        <v>0</v>
      </c>
      <c r="M6198" t="n">
        <v>0</v>
      </c>
      <c r="N6198" t="n">
        <v>0</v>
      </c>
      <c r="O6198" t="n">
        <v>0</v>
      </c>
      <c r="P6198" t="n">
        <v>0</v>
      </c>
      <c r="Q6198" t="n">
        <v>0</v>
      </c>
      <c r="R6198" s="2" t="inlineStr"/>
    </row>
    <row r="6199" ht="15" customHeight="1">
      <c r="A6199" t="inlineStr">
        <is>
          <t>A 40927-2025</t>
        </is>
      </c>
      <c r="B6199" s="1" t="n">
        <v>45897.643125</v>
      </c>
      <c r="C6199" s="1" t="n">
        <v>45911</v>
      </c>
      <c r="D6199" t="inlineStr">
        <is>
          <t>GÄVLEBORGS LÄN</t>
        </is>
      </c>
      <c r="E6199" t="inlineStr">
        <is>
          <t>BOLLNÄS</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5034-2025</t>
        </is>
      </c>
      <c r="B6200" s="1" t="n">
        <v>45691.42743055556</v>
      </c>
      <c r="C6200" s="1" t="n">
        <v>45911</v>
      </c>
      <c r="D6200" t="inlineStr">
        <is>
          <t>GÄVLEBORGS LÄN</t>
        </is>
      </c>
      <c r="E6200" t="inlineStr">
        <is>
          <t>LJUSDAL</t>
        </is>
      </c>
      <c r="F6200" t="inlineStr">
        <is>
          <t>SCA</t>
        </is>
      </c>
      <c r="G6200" t="n">
        <v>2.5</v>
      </c>
      <c r="H6200" t="n">
        <v>0</v>
      </c>
      <c r="I6200" t="n">
        <v>0</v>
      </c>
      <c r="J6200" t="n">
        <v>0</v>
      </c>
      <c r="K6200" t="n">
        <v>0</v>
      </c>
      <c r="L6200" t="n">
        <v>0</v>
      </c>
      <c r="M6200" t="n">
        <v>0</v>
      </c>
      <c r="N6200" t="n">
        <v>0</v>
      </c>
      <c r="O6200" t="n">
        <v>0</v>
      </c>
      <c r="P6200" t="n">
        <v>0</v>
      </c>
      <c r="Q6200" t="n">
        <v>0</v>
      </c>
      <c r="R6200" s="2" t="inlineStr"/>
    </row>
    <row r="6201" ht="15" customHeight="1">
      <c r="A6201" t="inlineStr">
        <is>
          <t>A 40946-2025</t>
        </is>
      </c>
      <c r="B6201" s="1" t="n">
        <v>45897.65844907407</v>
      </c>
      <c r="C6201" s="1" t="n">
        <v>45911</v>
      </c>
      <c r="D6201" t="inlineStr">
        <is>
          <t>GÄVLEBORGS LÄN</t>
        </is>
      </c>
      <c r="E6201" t="inlineStr">
        <is>
          <t>OVANÅKER</t>
        </is>
      </c>
      <c r="G6201" t="n">
        <v>3.5</v>
      </c>
      <c r="H6201" t="n">
        <v>0</v>
      </c>
      <c r="I6201" t="n">
        <v>0</v>
      </c>
      <c r="J6201" t="n">
        <v>0</v>
      </c>
      <c r="K6201" t="n">
        <v>0</v>
      </c>
      <c r="L6201" t="n">
        <v>0</v>
      </c>
      <c r="M6201" t="n">
        <v>0</v>
      </c>
      <c r="N6201" t="n">
        <v>0</v>
      </c>
      <c r="O6201" t="n">
        <v>0</v>
      </c>
      <c r="P6201" t="n">
        <v>0</v>
      </c>
      <c r="Q6201" t="n">
        <v>0</v>
      </c>
      <c r="R6201" s="2" t="inlineStr"/>
    </row>
    <row r="6202" ht="15" customHeight="1">
      <c r="A6202" t="inlineStr">
        <is>
          <t>A 40073-2024</t>
        </is>
      </c>
      <c r="B6202" s="1" t="n">
        <v>45554</v>
      </c>
      <c r="C6202" s="1" t="n">
        <v>45911</v>
      </c>
      <c r="D6202" t="inlineStr">
        <is>
          <t>GÄVLEBORGS LÄN</t>
        </is>
      </c>
      <c r="E6202" t="inlineStr">
        <is>
          <t>HUDIKSVALL</t>
        </is>
      </c>
      <c r="F6202" t="inlineStr">
        <is>
          <t>Naturvårdsverket</t>
        </is>
      </c>
      <c r="G6202" t="n">
        <v>4.1</v>
      </c>
      <c r="H6202" t="n">
        <v>0</v>
      </c>
      <c r="I6202" t="n">
        <v>0</v>
      </c>
      <c r="J6202" t="n">
        <v>0</v>
      </c>
      <c r="K6202" t="n">
        <v>0</v>
      </c>
      <c r="L6202" t="n">
        <v>0</v>
      </c>
      <c r="M6202" t="n">
        <v>0</v>
      </c>
      <c r="N6202" t="n">
        <v>0</v>
      </c>
      <c r="O6202" t="n">
        <v>0</v>
      </c>
      <c r="P6202" t="n">
        <v>0</v>
      </c>
      <c r="Q6202" t="n">
        <v>0</v>
      </c>
      <c r="R6202" s="2" t="inlineStr"/>
    </row>
    <row r="6203" ht="15" customHeight="1">
      <c r="A6203" t="inlineStr">
        <is>
          <t>A 40078-2024</t>
        </is>
      </c>
      <c r="B6203" s="1" t="n">
        <v>45554.34570601852</v>
      </c>
      <c r="C6203" s="1" t="n">
        <v>45911</v>
      </c>
      <c r="D6203" t="inlineStr">
        <is>
          <t>GÄVLEBORGS LÄN</t>
        </is>
      </c>
      <c r="E6203" t="inlineStr">
        <is>
          <t>NORDANSTIG</t>
        </is>
      </c>
      <c r="G6203" t="n">
        <v>0.3</v>
      </c>
      <c r="H6203" t="n">
        <v>0</v>
      </c>
      <c r="I6203" t="n">
        <v>0</v>
      </c>
      <c r="J6203" t="n">
        <v>0</v>
      </c>
      <c r="K6203" t="n">
        <v>0</v>
      </c>
      <c r="L6203" t="n">
        <v>0</v>
      </c>
      <c r="M6203" t="n">
        <v>0</v>
      </c>
      <c r="N6203" t="n">
        <v>0</v>
      </c>
      <c r="O6203" t="n">
        <v>0</v>
      </c>
      <c r="P6203" t="n">
        <v>0</v>
      </c>
      <c r="Q6203" t="n">
        <v>0</v>
      </c>
      <c r="R6203" s="2" t="inlineStr"/>
    </row>
    <row r="6204" ht="15" customHeight="1">
      <c r="A6204" t="inlineStr">
        <is>
          <t>A 19737-2025</t>
        </is>
      </c>
      <c r="B6204" s="1" t="n">
        <v>45771.36810185185</v>
      </c>
      <c r="C6204" s="1" t="n">
        <v>45911</v>
      </c>
      <c r="D6204" t="inlineStr">
        <is>
          <t>GÄVLEBORGS LÄN</t>
        </is>
      </c>
      <c r="E6204" t="inlineStr">
        <is>
          <t>OVANÅKER</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8754-2023</t>
        </is>
      </c>
      <c r="B6205" s="1" t="n">
        <v>44978</v>
      </c>
      <c r="C6205" s="1" t="n">
        <v>45911</v>
      </c>
      <c r="D6205" t="inlineStr">
        <is>
          <t>GÄVLEBORGS LÄN</t>
        </is>
      </c>
      <c r="E6205" t="inlineStr">
        <is>
          <t>HUDIKSVALL</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19771-2025</t>
        </is>
      </c>
      <c r="B6206" s="1" t="n">
        <v>45771.41731481482</v>
      </c>
      <c r="C6206" s="1" t="n">
        <v>45911</v>
      </c>
      <c r="D6206" t="inlineStr">
        <is>
          <t>GÄVLEBORGS LÄN</t>
        </is>
      </c>
      <c r="E6206" t="inlineStr">
        <is>
          <t>SANDVIKEN</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35614-2025</t>
        </is>
      </c>
      <c r="B6207" s="1" t="n">
        <v>45859.376875</v>
      </c>
      <c r="C6207" s="1" t="n">
        <v>45911</v>
      </c>
      <c r="D6207" t="inlineStr">
        <is>
          <t>GÄVLEBORGS LÄN</t>
        </is>
      </c>
      <c r="E6207" t="inlineStr">
        <is>
          <t>OCKELBO</t>
        </is>
      </c>
      <c r="F6207" t="inlineStr">
        <is>
          <t>Bergvik skog väst AB</t>
        </is>
      </c>
      <c r="G6207" t="n">
        <v>2.6</v>
      </c>
      <c r="H6207" t="n">
        <v>0</v>
      </c>
      <c r="I6207" t="n">
        <v>0</v>
      </c>
      <c r="J6207" t="n">
        <v>0</v>
      </c>
      <c r="K6207" t="n">
        <v>0</v>
      </c>
      <c r="L6207" t="n">
        <v>0</v>
      </c>
      <c r="M6207" t="n">
        <v>0</v>
      </c>
      <c r="N6207" t="n">
        <v>0</v>
      </c>
      <c r="O6207" t="n">
        <v>0</v>
      </c>
      <c r="P6207" t="n">
        <v>0</v>
      </c>
      <c r="Q6207" t="n">
        <v>0</v>
      </c>
      <c r="R6207" s="2" t="inlineStr"/>
    </row>
    <row r="6208" ht="15" customHeight="1">
      <c r="A6208" t="inlineStr">
        <is>
          <t>A 55704-2024</t>
        </is>
      </c>
      <c r="B6208" s="1" t="n">
        <v>45622.69447916667</v>
      </c>
      <c r="C6208" s="1" t="n">
        <v>45911</v>
      </c>
      <c r="D6208" t="inlineStr">
        <is>
          <t>GÄVLEBORGS LÄN</t>
        </is>
      </c>
      <c r="E6208" t="inlineStr">
        <is>
          <t>NORDANSTIG</t>
        </is>
      </c>
      <c r="F6208" t="inlineStr">
        <is>
          <t>Holmen skog AB</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59085-2021</t>
        </is>
      </c>
      <c r="B6209" s="1" t="n">
        <v>44490.41263888889</v>
      </c>
      <c r="C6209" s="1" t="n">
        <v>45911</v>
      </c>
      <c r="D6209" t="inlineStr">
        <is>
          <t>GÄVLEBORGS LÄN</t>
        </is>
      </c>
      <c r="E6209" t="inlineStr">
        <is>
          <t>BOLLNÄS</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20441-2023</t>
        </is>
      </c>
      <c r="B6210" s="1" t="n">
        <v>45056.82412037037</v>
      </c>
      <c r="C6210" s="1" t="n">
        <v>45911</v>
      </c>
      <c r="D6210" t="inlineStr">
        <is>
          <t>GÄVLEBORGS LÄN</t>
        </is>
      </c>
      <c r="E6210" t="inlineStr">
        <is>
          <t>NORDANSTIG</t>
        </is>
      </c>
      <c r="F6210" t="inlineStr">
        <is>
          <t>Holmen skog AB</t>
        </is>
      </c>
      <c r="G6210" t="n">
        <v>3.7</v>
      </c>
      <c r="H6210" t="n">
        <v>0</v>
      </c>
      <c r="I6210" t="n">
        <v>0</v>
      </c>
      <c r="J6210" t="n">
        <v>0</v>
      </c>
      <c r="K6210" t="n">
        <v>0</v>
      </c>
      <c r="L6210" t="n">
        <v>0</v>
      </c>
      <c r="M6210" t="n">
        <v>0</v>
      </c>
      <c r="N6210" t="n">
        <v>0</v>
      </c>
      <c r="O6210" t="n">
        <v>0</v>
      </c>
      <c r="P6210" t="n">
        <v>0</v>
      </c>
      <c r="Q6210" t="n">
        <v>0</v>
      </c>
      <c r="R6210" s="2" t="inlineStr"/>
    </row>
    <row r="6211" ht="15" customHeight="1">
      <c r="A6211" t="inlineStr">
        <is>
          <t>A 12181-2025</t>
        </is>
      </c>
      <c r="B6211" s="1" t="n">
        <v>45729.45688657407</v>
      </c>
      <c r="C6211" s="1" t="n">
        <v>45911</v>
      </c>
      <c r="D6211" t="inlineStr">
        <is>
          <t>GÄVLEBORGS LÄN</t>
        </is>
      </c>
      <c r="E6211" t="inlineStr">
        <is>
          <t>BOLLNÄS</t>
        </is>
      </c>
      <c r="G6211" t="n">
        <v>3.8</v>
      </c>
      <c r="H6211" t="n">
        <v>0</v>
      </c>
      <c r="I6211" t="n">
        <v>0</v>
      </c>
      <c r="J6211" t="n">
        <v>0</v>
      </c>
      <c r="K6211" t="n">
        <v>0</v>
      </c>
      <c r="L6211" t="n">
        <v>0</v>
      </c>
      <c r="M6211" t="n">
        <v>0</v>
      </c>
      <c r="N6211" t="n">
        <v>0</v>
      </c>
      <c r="O6211" t="n">
        <v>0</v>
      </c>
      <c r="P6211" t="n">
        <v>0</v>
      </c>
      <c r="Q6211" t="n">
        <v>0</v>
      </c>
      <c r="R6211" s="2" t="inlineStr"/>
    </row>
    <row r="6212" ht="15" customHeight="1">
      <c r="A6212" t="inlineStr">
        <is>
          <t>A 32174-2021</t>
        </is>
      </c>
      <c r="B6212" s="1" t="n">
        <v>44371</v>
      </c>
      <c r="C6212" s="1" t="n">
        <v>45911</v>
      </c>
      <c r="D6212" t="inlineStr">
        <is>
          <t>GÄVLEBORGS LÄN</t>
        </is>
      </c>
      <c r="E6212" t="inlineStr">
        <is>
          <t>BOLLNÄS</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10888-2025</t>
        </is>
      </c>
      <c r="B6213" s="1" t="n">
        <v>45722.67070601852</v>
      </c>
      <c r="C6213" s="1" t="n">
        <v>45911</v>
      </c>
      <c r="D6213" t="inlineStr">
        <is>
          <t>GÄVLEBORGS LÄN</t>
        </is>
      </c>
      <c r="E6213" t="inlineStr">
        <is>
          <t>OVANÅKER</t>
        </is>
      </c>
      <c r="F6213" t="inlineStr">
        <is>
          <t>Bergvik skog öst AB</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33278-2021</t>
        </is>
      </c>
      <c r="B6214" s="1" t="n">
        <v>44377</v>
      </c>
      <c r="C6214" s="1" t="n">
        <v>45911</v>
      </c>
      <c r="D6214" t="inlineStr">
        <is>
          <t>GÄVLEBORGS LÄN</t>
        </is>
      </c>
      <c r="E6214" t="inlineStr">
        <is>
          <t>OCKELBO</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12434-2025</t>
        </is>
      </c>
      <c r="B6215" s="1" t="n">
        <v>45730.46855324074</v>
      </c>
      <c r="C6215" s="1" t="n">
        <v>45911</v>
      </c>
      <c r="D6215" t="inlineStr">
        <is>
          <t>GÄVLEBORGS LÄN</t>
        </is>
      </c>
      <c r="E6215" t="inlineStr">
        <is>
          <t>GÄVLE</t>
        </is>
      </c>
      <c r="F6215" t="inlineStr">
        <is>
          <t>Bergvik skog öst AB</t>
        </is>
      </c>
      <c r="G6215" t="n">
        <v>3</v>
      </c>
      <c r="H6215" t="n">
        <v>0</v>
      </c>
      <c r="I6215" t="n">
        <v>0</v>
      </c>
      <c r="J6215" t="n">
        <v>0</v>
      </c>
      <c r="K6215" t="n">
        <v>0</v>
      </c>
      <c r="L6215" t="n">
        <v>0</v>
      </c>
      <c r="M6215" t="n">
        <v>0</v>
      </c>
      <c r="N6215" t="n">
        <v>0</v>
      </c>
      <c r="O6215" t="n">
        <v>0</v>
      </c>
      <c r="P6215" t="n">
        <v>0</v>
      </c>
      <c r="Q6215" t="n">
        <v>0</v>
      </c>
      <c r="R6215" s="2" t="inlineStr"/>
    </row>
    <row r="6216" ht="15" customHeight="1">
      <c r="A6216" t="inlineStr">
        <is>
          <t>A 26114-2024</t>
        </is>
      </c>
      <c r="B6216" s="1" t="n">
        <v>45468</v>
      </c>
      <c r="C6216" s="1" t="n">
        <v>45911</v>
      </c>
      <c r="D6216" t="inlineStr">
        <is>
          <t>GÄVLEBORGS LÄN</t>
        </is>
      </c>
      <c r="E6216" t="inlineStr">
        <is>
          <t>LJUSDAL</t>
        </is>
      </c>
      <c r="G6216" t="n">
        <v>22.6</v>
      </c>
      <c r="H6216" t="n">
        <v>0</v>
      </c>
      <c r="I6216" t="n">
        <v>0</v>
      </c>
      <c r="J6216" t="n">
        <v>0</v>
      </c>
      <c r="K6216" t="n">
        <v>0</v>
      </c>
      <c r="L6216" t="n">
        <v>0</v>
      </c>
      <c r="M6216" t="n">
        <v>0</v>
      </c>
      <c r="N6216" t="n">
        <v>0</v>
      </c>
      <c r="O6216" t="n">
        <v>0</v>
      </c>
      <c r="P6216" t="n">
        <v>0</v>
      </c>
      <c r="Q6216" t="n">
        <v>0</v>
      </c>
      <c r="R6216" s="2" t="inlineStr"/>
    </row>
    <row r="6217" ht="15" customHeight="1">
      <c r="A6217" t="inlineStr">
        <is>
          <t>A 23187-2023</t>
        </is>
      </c>
      <c r="B6217" s="1" t="n">
        <v>45075</v>
      </c>
      <c r="C6217" s="1" t="n">
        <v>45911</v>
      </c>
      <c r="D6217" t="inlineStr">
        <is>
          <t>GÄVLEBORGS LÄN</t>
        </is>
      </c>
      <c r="E6217" t="inlineStr">
        <is>
          <t>HUDIKSVALL</t>
        </is>
      </c>
      <c r="F6217" t="inlineStr">
        <is>
          <t>Kommuner</t>
        </is>
      </c>
      <c r="G6217" t="n">
        <v>0.3</v>
      </c>
      <c r="H6217" t="n">
        <v>0</v>
      </c>
      <c r="I6217" t="n">
        <v>0</v>
      </c>
      <c r="J6217" t="n">
        <v>0</v>
      </c>
      <c r="K6217" t="n">
        <v>0</v>
      </c>
      <c r="L6217" t="n">
        <v>0</v>
      </c>
      <c r="M6217" t="n">
        <v>0</v>
      </c>
      <c r="N6217" t="n">
        <v>0</v>
      </c>
      <c r="O6217" t="n">
        <v>0</v>
      </c>
      <c r="P6217" t="n">
        <v>0</v>
      </c>
      <c r="Q6217" t="n">
        <v>0</v>
      </c>
      <c r="R6217" s="2" t="inlineStr"/>
    </row>
    <row r="6218" ht="15" customHeight="1">
      <c r="A6218" t="inlineStr">
        <is>
          <t>A 30893-2023</t>
        </is>
      </c>
      <c r="B6218" s="1" t="n">
        <v>45113.39641203704</v>
      </c>
      <c r="C6218" s="1" t="n">
        <v>45911</v>
      </c>
      <c r="D6218" t="inlineStr">
        <is>
          <t>GÄVLEBORGS LÄN</t>
        </is>
      </c>
      <c r="E6218" t="inlineStr">
        <is>
          <t>OVANÅKER</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19066-2025</t>
        </is>
      </c>
      <c r="B6219" s="1" t="n">
        <v>45765.42739583334</v>
      </c>
      <c r="C6219" s="1" t="n">
        <v>45911</v>
      </c>
      <c r="D6219" t="inlineStr">
        <is>
          <t>GÄVLEBORGS LÄN</t>
        </is>
      </c>
      <c r="E6219" t="inlineStr">
        <is>
          <t>LJUSDAL</t>
        </is>
      </c>
      <c r="F6219" t="inlineStr">
        <is>
          <t>SCA</t>
        </is>
      </c>
      <c r="G6219" t="n">
        <v>3.5</v>
      </c>
      <c r="H6219" t="n">
        <v>0</v>
      </c>
      <c r="I6219" t="n">
        <v>0</v>
      </c>
      <c r="J6219" t="n">
        <v>0</v>
      </c>
      <c r="K6219" t="n">
        <v>0</v>
      </c>
      <c r="L6219" t="n">
        <v>0</v>
      </c>
      <c r="M6219" t="n">
        <v>0</v>
      </c>
      <c r="N6219" t="n">
        <v>0</v>
      </c>
      <c r="O6219" t="n">
        <v>0</v>
      </c>
      <c r="P6219" t="n">
        <v>0</v>
      </c>
      <c r="Q6219" t="n">
        <v>0</v>
      </c>
      <c r="R6219" s="2" t="inlineStr"/>
    </row>
    <row r="6220" ht="15" customHeight="1">
      <c r="A6220" t="inlineStr">
        <is>
          <t>A 40733-2023</t>
        </is>
      </c>
      <c r="B6220" s="1" t="n">
        <v>45170.70216435185</v>
      </c>
      <c r="C6220" s="1" t="n">
        <v>45911</v>
      </c>
      <c r="D6220" t="inlineStr">
        <is>
          <t>GÄVLEBORGS LÄN</t>
        </is>
      </c>
      <c r="E6220" t="inlineStr">
        <is>
          <t>NORDANSTIG</t>
        </is>
      </c>
      <c r="F6220" t="inlineStr">
        <is>
          <t>Holmen skog AB</t>
        </is>
      </c>
      <c r="G6220" t="n">
        <v>3.7</v>
      </c>
      <c r="H6220" t="n">
        <v>0</v>
      </c>
      <c r="I6220" t="n">
        <v>0</v>
      </c>
      <c r="J6220" t="n">
        <v>0</v>
      </c>
      <c r="K6220" t="n">
        <v>0</v>
      </c>
      <c r="L6220" t="n">
        <v>0</v>
      </c>
      <c r="M6220" t="n">
        <v>0</v>
      </c>
      <c r="N6220" t="n">
        <v>0</v>
      </c>
      <c r="O6220" t="n">
        <v>0</v>
      </c>
      <c r="P6220" t="n">
        <v>0</v>
      </c>
      <c r="Q6220" t="n">
        <v>0</v>
      </c>
      <c r="R6220" s="2" t="inlineStr"/>
    </row>
    <row r="6221" ht="15" customHeight="1">
      <c r="A6221" t="inlineStr">
        <is>
          <t>A 40745-2023</t>
        </is>
      </c>
      <c r="B6221" s="1" t="n">
        <v>45170</v>
      </c>
      <c r="C6221" s="1" t="n">
        <v>45911</v>
      </c>
      <c r="D6221" t="inlineStr">
        <is>
          <t>GÄVLEBORGS LÄN</t>
        </is>
      </c>
      <c r="E6221" t="inlineStr">
        <is>
          <t>SÖDERHAMN</t>
        </is>
      </c>
      <c r="G6221" t="n">
        <v>0.3</v>
      </c>
      <c r="H6221" t="n">
        <v>0</v>
      </c>
      <c r="I6221" t="n">
        <v>0</v>
      </c>
      <c r="J6221" t="n">
        <v>0</v>
      </c>
      <c r="K6221" t="n">
        <v>0</v>
      </c>
      <c r="L6221" t="n">
        <v>0</v>
      </c>
      <c r="M6221" t="n">
        <v>0</v>
      </c>
      <c r="N6221" t="n">
        <v>0</v>
      </c>
      <c r="O6221" t="n">
        <v>0</v>
      </c>
      <c r="P6221" t="n">
        <v>0</v>
      </c>
      <c r="Q6221" t="n">
        <v>0</v>
      </c>
      <c r="R6221" s="2" t="inlineStr"/>
    </row>
    <row r="6222" ht="15" customHeight="1">
      <c r="A6222" t="inlineStr">
        <is>
          <t>A 41745-2025</t>
        </is>
      </c>
      <c r="B6222" s="1" t="n">
        <v>45902.48480324074</v>
      </c>
      <c r="C6222" s="1" t="n">
        <v>45911</v>
      </c>
      <c r="D6222" t="inlineStr">
        <is>
          <t>GÄVLEBORGS LÄN</t>
        </is>
      </c>
      <c r="E6222" t="inlineStr">
        <is>
          <t>LJUSDAL</t>
        </is>
      </c>
      <c r="G6222" t="n">
        <v>7.8</v>
      </c>
      <c r="H6222" t="n">
        <v>0</v>
      </c>
      <c r="I6222" t="n">
        <v>0</v>
      </c>
      <c r="J6222" t="n">
        <v>0</v>
      </c>
      <c r="K6222" t="n">
        <v>0</v>
      </c>
      <c r="L6222" t="n">
        <v>0</v>
      </c>
      <c r="M6222" t="n">
        <v>0</v>
      </c>
      <c r="N6222" t="n">
        <v>0</v>
      </c>
      <c r="O6222" t="n">
        <v>0</v>
      </c>
      <c r="P6222" t="n">
        <v>0</v>
      </c>
      <c r="Q6222" t="n">
        <v>0</v>
      </c>
      <c r="R6222" s="2" t="inlineStr"/>
    </row>
    <row r="6223" ht="15" customHeight="1">
      <c r="A6223" t="inlineStr">
        <is>
          <t>A 61116-2023</t>
        </is>
      </c>
      <c r="B6223" s="1" t="n">
        <v>45261</v>
      </c>
      <c r="C6223" s="1" t="n">
        <v>45911</v>
      </c>
      <c r="D6223" t="inlineStr">
        <is>
          <t>GÄVLEBORGS LÄN</t>
        </is>
      </c>
      <c r="E6223" t="inlineStr">
        <is>
          <t>OCKELBO</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19657-2023</t>
        </is>
      </c>
      <c r="B6224" s="1" t="n">
        <v>45051</v>
      </c>
      <c r="C6224" s="1" t="n">
        <v>45911</v>
      </c>
      <c r="D6224" t="inlineStr">
        <is>
          <t>GÄVLEBORGS LÄN</t>
        </is>
      </c>
      <c r="E6224" t="inlineStr">
        <is>
          <t>OVANÅKER</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41786-2025</t>
        </is>
      </c>
      <c r="B6225" s="1" t="n">
        <v>45902.5905787037</v>
      </c>
      <c r="C6225" s="1" t="n">
        <v>45911</v>
      </c>
      <c r="D6225" t="inlineStr">
        <is>
          <t>GÄVLEBORGS LÄN</t>
        </is>
      </c>
      <c r="E6225" t="inlineStr">
        <is>
          <t>LJUSDAL</t>
        </is>
      </c>
      <c r="F6225" t="inlineStr">
        <is>
          <t>Kommuner</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17853-2025</t>
        </is>
      </c>
      <c r="B6226" s="1" t="n">
        <v>45758.61561342593</v>
      </c>
      <c r="C6226" s="1" t="n">
        <v>45911</v>
      </c>
      <c r="D6226" t="inlineStr">
        <is>
          <t>GÄVLEBORGS LÄN</t>
        </is>
      </c>
      <c r="E6226" t="inlineStr">
        <is>
          <t>NORDANSTIG</t>
        </is>
      </c>
      <c r="F6226" t="inlineStr">
        <is>
          <t>Holmen skog AB</t>
        </is>
      </c>
      <c r="G6226" t="n">
        <v>2.8</v>
      </c>
      <c r="H6226" t="n">
        <v>0</v>
      </c>
      <c r="I6226" t="n">
        <v>0</v>
      </c>
      <c r="J6226" t="n">
        <v>0</v>
      </c>
      <c r="K6226" t="n">
        <v>0</v>
      </c>
      <c r="L6226" t="n">
        <v>0</v>
      </c>
      <c r="M6226" t="n">
        <v>0</v>
      </c>
      <c r="N6226" t="n">
        <v>0</v>
      </c>
      <c r="O6226" t="n">
        <v>0</v>
      </c>
      <c r="P6226" t="n">
        <v>0</v>
      </c>
      <c r="Q6226" t="n">
        <v>0</v>
      </c>
      <c r="R6226" s="2" t="inlineStr"/>
    </row>
    <row r="6227" ht="15" customHeight="1">
      <c r="A6227" t="inlineStr">
        <is>
          <t>A 18250-2025</t>
        </is>
      </c>
      <c r="B6227" s="1" t="n">
        <v>45762.33427083334</v>
      </c>
      <c r="C6227" s="1" t="n">
        <v>45911</v>
      </c>
      <c r="D6227" t="inlineStr">
        <is>
          <t>GÄVLEBORGS LÄN</t>
        </is>
      </c>
      <c r="E6227" t="inlineStr">
        <is>
          <t>LJUSDAL</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27475-2023</t>
        </is>
      </c>
      <c r="B6228" s="1" t="n">
        <v>45097</v>
      </c>
      <c r="C6228" s="1" t="n">
        <v>45911</v>
      </c>
      <c r="D6228" t="inlineStr">
        <is>
          <t>GÄVLEBORGS LÄN</t>
        </is>
      </c>
      <c r="E6228" t="inlineStr">
        <is>
          <t>HUDIKSVALL</t>
        </is>
      </c>
      <c r="F6228" t="inlineStr">
        <is>
          <t>Holmen skog AB</t>
        </is>
      </c>
      <c r="G6228" t="n">
        <v>14.6</v>
      </c>
      <c r="H6228" t="n">
        <v>0</v>
      </c>
      <c r="I6228" t="n">
        <v>0</v>
      </c>
      <c r="J6228" t="n">
        <v>0</v>
      </c>
      <c r="K6228" t="n">
        <v>0</v>
      </c>
      <c r="L6228" t="n">
        <v>0</v>
      </c>
      <c r="M6228" t="n">
        <v>0</v>
      </c>
      <c r="N6228" t="n">
        <v>0</v>
      </c>
      <c r="O6228" t="n">
        <v>0</v>
      </c>
      <c r="P6228" t="n">
        <v>0</v>
      </c>
      <c r="Q6228" t="n">
        <v>0</v>
      </c>
      <c r="R6228" s="2" t="inlineStr"/>
    </row>
    <row r="6229" ht="15" customHeight="1">
      <c r="A6229" t="inlineStr">
        <is>
          <t>A 41351-2025</t>
        </is>
      </c>
      <c r="B6229" s="1" t="n">
        <v>45899.67356481482</v>
      </c>
      <c r="C6229" s="1" t="n">
        <v>45911</v>
      </c>
      <c r="D6229" t="inlineStr">
        <is>
          <t>GÄVLEBORGS LÄN</t>
        </is>
      </c>
      <c r="E6229" t="inlineStr">
        <is>
          <t>SÖDERHAMN</t>
        </is>
      </c>
      <c r="F6229" t="inlineStr">
        <is>
          <t>Bergvik skog väst AB</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27590-2023</t>
        </is>
      </c>
      <c r="B6230" s="1" t="n">
        <v>45097</v>
      </c>
      <c r="C6230" s="1" t="n">
        <v>45911</v>
      </c>
      <c r="D6230" t="inlineStr">
        <is>
          <t>GÄVLEBORGS LÄN</t>
        </is>
      </c>
      <c r="E6230" t="inlineStr">
        <is>
          <t>BOLLNÄS</t>
        </is>
      </c>
      <c r="G6230" t="n">
        <v>3.8</v>
      </c>
      <c r="H6230" t="n">
        <v>0</v>
      </c>
      <c r="I6230" t="n">
        <v>0</v>
      </c>
      <c r="J6230" t="n">
        <v>0</v>
      </c>
      <c r="K6230" t="n">
        <v>0</v>
      </c>
      <c r="L6230" t="n">
        <v>0</v>
      </c>
      <c r="M6230" t="n">
        <v>0</v>
      </c>
      <c r="N6230" t="n">
        <v>0</v>
      </c>
      <c r="O6230" t="n">
        <v>0</v>
      </c>
      <c r="P6230" t="n">
        <v>0</v>
      </c>
      <c r="Q6230" t="n">
        <v>0</v>
      </c>
      <c r="R6230" s="2" t="inlineStr"/>
    </row>
    <row r="6231" ht="15" customHeight="1">
      <c r="A6231" t="inlineStr">
        <is>
          <t>A 41504-2025</t>
        </is>
      </c>
      <c r="B6231" s="1" t="n">
        <v>45901.52376157408</v>
      </c>
      <c r="C6231" s="1" t="n">
        <v>45911</v>
      </c>
      <c r="D6231" t="inlineStr">
        <is>
          <t>GÄVLEBORGS LÄN</t>
        </is>
      </c>
      <c r="E6231" t="inlineStr">
        <is>
          <t>BOLLNÄS</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59072-2020</t>
        </is>
      </c>
      <c r="B6232" s="1" t="n">
        <v>44147</v>
      </c>
      <c r="C6232" s="1" t="n">
        <v>45911</v>
      </c>
      <c r="D6232" t="inlineStr">
        <is>
          <t>GÄVLEBORGS LÄN</t>
        </is>
      </c>
      <c r="E6232" t="inlineStr">
        <is>
          <t>GÄVLE</t>
        </is>
      </c>
      <c r="G6232" t="n">
        <v>0.2</v>
      </c>
      <c r="H6232" t="n">
        <v>0</v>
      </c>
      <c r="I6232" t="n">
        <v>0</v>
      </c>
      <c r="J6232" t="n">
        <v>0</v>
      </c>
      <c r="K6232" t="n">
        <v>0</v>
      </c>
      <c r="L6232" t="n">
        <v>0</v>
      </c>
      <c r="M6232" t="n">
        <v>0</v>
      </c>
      <c r="N6232" t="n">
        <v>0</v>
      </c>
      <c r="O6232" t="n">
        <v>0</v>
      </c>
      <c r="P6232" t="n">
        <v>0</v>
      </c>
      <c r="Q6232" t="n">
        <v>0</v>
      </c>
      <c r="R6232" s="2" t="inlineStr"/>
    </row>
    <row r="6233" ht="15" customHeight="1">
      <c r="A6233" t="inlineStr">
        <is>
          <t>A 49518-2023</t>
        </is>
      </c>
      <c r="B6233" s="1" t="n">
        <v>45211.58746527778</v>
      </c>
      <c r="C6233" s="1" t="n">
        <v>45911</v>
      </c>
      <c r="D6233" t="inlineStr">
        <is>
          <t>GÄVLEBORGS LÄN</t>
        </is>
      </c>
      <c r="E6233" t="inlineStr">
        <is>
          <t>SANDVIKEN</t>
        </is>
      </c>
      <c r="G6233" t="n">
        <v>7.4</v>
      </c>
      <c r="H6233" t="n">
        <v>0</v>
      </c>
      <c r="I6233" t="n">
        <v>0</v>
      </c>
      <c r="J6233" t="n">
        <v>0</v>
      </c>
      <c r="K6233" t="n">
        <v>0</v>
      </c>
      <c r="L6233" t="n">
        <v>0</v>
      </c>
      <c r="M6233" t="n">
        <v>0</v>
      </c>
      <c r="N6233" t="n">
        <v>0</v>
      </c>
      <c r="O6233" t="n">
        <v>0</v>
      </c>
      <c r="P6233" t="n">
        <v>0</v>
      </c>
      <c r="Q6233" t="n">
        <v>0</v>
      </c>
      <c r="R6233" s="2" t="inlineStr"/>
    </row>
    <row r="6234" ht="15" customHeight="1">
      <c r="A6234" t="inlineStr">
        <is>
          <t>A 40736-2021</t>
        </is>
      </c>
      <c r="B6234" s="1" t="n">
        <v>44420.66540509259</v>
      </c>
      <c r="C6234" s="1" t="n">
        <v>45911</v>
      </c>
      <c r="D6234" t="inlineStr">
        <is>
          <t>GÄVLEBORGS LÄN</t>
        </is>
      </c>
      <c r="E6234" t="inlineStr">
        <is>
          <t>SÖDERHAMN</t>
        </is>
      </c>
      <c r="G6234" t="n">
        <v>5.2</v>
      </c>
      <c r="H6234" t="n">
        <v>0</v>
      </c>
      <c r="I6234" t="n">
        <v>0</v>
      </c>
      <c r="J6234" t="n">
        <v>0</v>
      </c>
      <c r="K6234" t="n">
        <v>0</v>
      </c>
      <c r="L6234" t="n">
        <v>0</v>
      </c>
      <c r="M6234" t="n">
        <v>0</v>
      </c>
      <c r="N6234" t="n">
        <v>0</v>
      </c>
      <c r="O6234" t="n">
        <v>0</v>
      </c>
      <c r="P6234" t="n">
        <v>0</v>
      </c>
      <c r="Q6234" t="n">
        <v>0</v>
      </c>
      <c r="R6234" s="2" t="inlineStr"/>
    </row>
    <row r="6235" ht="15" customHeight="1">
      <c r="A6235" t="inlineStr">
        <is>
          <t>A 41458-2025</t>
        </is>
      </c>
      <c r="B6235" s="1" t="n">
        <v>45901.44769675926</v>
      </c>
      <c r="C6235" s="1" t="n">
        <v>45911</v>
      </c>
      <c r="D6235" t="inlineStr">
        <is>
          <t>GÄVLEBORGS LÄN</t>
        </is>
      </c>
      <c r="E6235" t="inlineStr">
        <is>
          <t>HUDIKSVALL</t>
        </is>
      </c>
      <c r="G6235" t="n">
        <v>5</v>
      </c>
      <c r="H6235" t="n">
        <v>0</v>
      </c>
      <c r="I6235" t="n">
        <v>0</v>
      </c>
      <c r="J6235" t="n">
        <v>0</v>
      </c>
      <c r="K6235" t="n">
        <v>0</v>
      </c>
      <c r="L6235" t="n">
        <v>0</v>
      </c>
      <c r="M6235" t="n">
        <v>0</v>
      </c>
      <c r="N6235" t="n">
        <v>0</v>
      </c>
      <c r="O6235" t="n">
        <v>0</v>
      </c>
      <c r="P6235" t="n">
        <v>0</v>
      </c>
      <c r="Q6235" t="n">
        <v>0</v>
      </c>
      <c r="R6235" s="2" t="inlineStr"/>
    </row>
    <row r="6236" ht="15" customHeight="1">
      <c r="A6236" t="inlineStr">
        <is>
          <t>A 20513-2025</t>
        </is>
      </c>
      <c r="B6236" s="1" t="n">
        <v>45775.59555555556</v>
      </c>
      <c r="C6236" s="1" t="n">
        <v>45911</v>
      </c>
      <c r="D6236" t="inlineStr">
        <is>
          <t>GÄVLEBORGS LÄN</t>
        </is>
      </c>
      <c r="E6236" t="inlineStr">
        <is>
          <t>LJUSDAL</t>
        </is>
      </c>
      <c r="F6236" t="inlineStr">
        <is>
          <t>Sveaskog</t>
        </is>
      </c>
      <c r="G6236" t="n">
        <v>13.1</v>
      </c>
      <c r="H6236" t="n">
        <v>0</v>
      </c>
      <c r="I6236" t="n">
        <v>0</v>
      </c>
      <c r="J6236" t="n">
        <v>0</v>
      </c>
      <c r="K6236" t="n">
        <v>0</v>
      </c>
      <c r="L6236" t="n">
        <v>0</v>
      </c>
      <c r="M6236" t="n">
        <v>0</v>
      </c>
      <c r="N6236" t="n">
        <v>0</v>
      </c>
      <c r="O6236" t="n">
        <v>0</v>
      </c>
      <c r="P6236" t="n">
        <v>0</v>
      </c>
      <c r="Q6236" t="n">
        <v>0</v>
      </c>
      <c r="R6236" s="2" t="inlineStr"/>
    </row>
    <row r="6237" ht="15" customHeight="1">
      <c r="A6237" t="inlineStr">
        <is>
          <t>A 20517-2025</t>
        </is>
      </c>
      <c r="B6237" s="1" t="n">
        <v>45775.59769675926</v>
      </c>
      <c r="C6237" s="1" t="n">
        <v>45911</v>
      </c>
      <c r="D6237" t="inlineStr">
        <is>
          <t>GÄVLEBORGS LÄN</t>
        </is>
      </c>
      <c r="E6237" t="inlineStr">
        <is>
          <t>BOLLNÄS</t>
        </is>
      </c>
      <c r="G6237" t="n">
        <v>8.4</v>
      </c>
      <c r="H6237" t="n">
        <v>0</v>
      </c>
      <c r="I6237" t="n">
        <v>0</v>
      </c>
      <c r="J6237" t="n">
        <v>0</v>
      </c>
      <c r="K6237" t="n">
        <v>0</v>
      </c>
      <c r="L6237" t="n">
        <v>0</v>
      </c>
      <c r="M6237" t="n">
        <v>0</v>
      </c>
      <c r="N6237" t="n">
        <v>0</v>
      </c>
      <c r="O6237" t="n">
        <v>0</v>
      </c>
      <c r="P6237" t="n">
        <v>0</v>
      </c>
      <c r="Q6237" t="n">
        <v>0</v>
      </c>
      <c r="R6237" s="2" t="inlineStr"/>
    </row>
    <row r="6238" ht="15" customHeight="1">
      <c r="A6238" t="inlineStr">
        <is>
          <t>A 20543-2025</t>
        </is>
      </c>
      <c r="B6238" s="1" t="n">
        <v>45775.6283912037</v>
      </c>
      <c r="C6238" s="1" t="n">
        <v>45911</v>
      </c>
      <c r="D6238" t="inlineStr">
        <is>
          <t>GÄVLEBORGS LÄN</t>
        </is>
      </c>
      <c r="E6238" t="inlineStr">
        <is>
          <t>HOFORS</t>
        </is>
      </c>
      <c r="G6238" t="n">
        <v>4.3</v>
      </c>
      <c r="H6238" t="n">
        <v>0</v>
      </c>
      <c r="I6238" t="n">
        <v>0</v>
      </c>
      <c r="J6238" t="n">
        <v>0</v>
      </c>
      <c r="K6238" t="n">
        <v>0</v>
      </c>
      <c r="L6238" t="n">
        <v>0</v>
      </c>
      <c r="M6238" t="n">
        <v>0</v>
      </c>
      <c r="N6238" t="n">
        <v>0</v>
      </c>
      <c r="O6238" t="n">
        <v>0</v>
      </c>
      <c r="P6238" t="n">
        <v>0</v>
      </c>
      <c r="Q6238" t="n">
        <v>0</v>
      </c>
      <c r="R6238" s="2" t="inlineStr"/>
    </row>
    <row r="6239" ht="15" customHeight="1">
      <c r="A6239" t="inlineStr">
        <is>
          <t>A 16627-2025</t>
        </is>
      </c>
      <c r="B6239" s="1" t="n">
        <v>45754.35082175926</v>
      </c>
      <c r="C6239" s="1" t="n">
        <v>45911</v>
      </c>
      <c r="D6239" t="inlineStr">
        <is>
          <t>GÄVLEBORGS LÄN</t>
        </is>
      </c>
      <c r="E6239" t="inlineStr">
        <is>
          <t>BOLLNÄS</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20566-2025</t>
        </is>
      </c>
      <c r="B6240" s="1" t="n">
        <v>45775.66376157408</v>
      </c>
      <c r="C6240" s="1" t="n">
        <v>45911</v>
      </c>
      <c r="D6240" t="inlineStr">
        <is>
          <t>GÄVLEBORGS LÄN</t>
        </is>
      </c>
      <c r="E6240" t="inlineStr">
        <is>
          <t>NORDANSTIG</t>
        </is>
      </c>
      <c r="F6240" t="inlineStr">
        <is>
          <t>Holmen skog AB</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15966-2023</t>
        </is>
      </c>
      <c r="B6241" s="1" t="n">
        <v>45022.66271990741</v>
      </c>
      <c r="C6241" s="1" t="n">
        <v>45911</v>
      </c>
      <c r="D6241" t="inlineStr">
        <is>
          <t>GÄVLEBORGS LÄN</t>
        </is>
      </c>
      <c r="E6241" t="inlineStr">
        <is>
          <t>OCKELBO</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41482-2025</t>
        </is>
      </c>
      <c r="B6242" s="1" t="n">
        <v>45901.47646990741</v>
      </c>
      <c r="C6242" s="1" t="n">
        <v>45911</v>
      </c>
      <c r="D6242" t="inlineStr">
        <is>
          <t>GÄVLEBORGS LÄN</t>
        </is>
      </c>
      <c r="E6242" t="inlineStr">
        <is>
          <t>NORDANSTIG</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16141-2023</t>
        </is>
      </c>
      <c r="B6243" s="1" t="n">
        <v>45027</v>
      </c>
      <c r="C6243" s="1" t="n">
        <v>45911</v>
      </c>
      <c r="D6243" t="inlineStr">
        <is>
          <t>GÄVLEBORGS LÄN</t>
        </is>
      </c>
      <c r="E6243" t="inlineStr">
        <is>
          <t>OCKELBO</t>
        </is>
      </c>
      <c r="F6243" t="inlineStr">
        <is>
          <t>Bergvik skog väst AB</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41515-2025</t>
        </is>
      </c>
      <c r="B6244" s="1" t="n">
        <v>45901.54324074074</v>
      </c>
      <c r="C6244" s="1" t="n">
        <v>45911</v>
      </c>
      <c r="D6244" t="inlineStr">
        <is>
          <t>GÄVLEBORGS LÄN</t>
        </is>
      </c>
      <c r="E6244" t="inlineStr">
        <is>
          <t>HUDIKSVALL</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20208-2023</t>
        </is>
      </c>
      <c r="B6245" s="1" t="n">
        <v>45055.60613425926</v>
      </c>
      <c r="C6245" s="1" t="n">
        <v>45911</v>
      </c>
      <c r="D6245" t="inlineStr">
        <is>
          <t>GÄVLEBORGS LÄN</t>
        </is>
      </c>
      <c r="E6245" t="inlineStr">
        <is>
          <t>HUDIKSVALL</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56232-2022</t>
        </is>
      </c>
      <c r="B6246" s="1" t="n">
        <v>44890.52128472222</v>
      </c>
      <c r="C6246" s="1" t="n">
        <v>45911</v>
      </c>
      <c r="D6246" t="inlineStr">
        <is>
          <t>GÄVLEBORGS LÄN</t>
        </is>
      </c>
      <c r="E6246" t="inlineStr">
        <is>
          <t>OCKELBO</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5886-2023</t>
        </is>
      </c>
      <c r="B6247" s="1" t="n">
        <v>44963.64210648148</v>
      </c>
      <c r="C6247" s="1" t="n">
        <v>45911</v>
      </c>
      <c r="D6247" t="inlineStr">
        <is>
          <t>GÄVLEBORGS LÄN</t>
        </is>
      </c>
      <c r="E6247" t="inlineStr">
        <is>
          <t>SÖDERHAMN</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41665-2025</t>
        </is>
      </c>
      <c r="B6248" s="1" t="n">
        <v>45902.35806712963</v>
      </c>
      <c r="C6248" s="1" t="n">
        <v>45911</v>
      </c>
      <c r="D6248" t="inlineStr">
        <is>
          <t>GÄVLEBORGS LÄN</t>
        </is>
      </c>
      <c r="E6248" t="inlineStr">
        <is>
          <t>HUDIKSVALL</t>
        </is>
      </c>
      <c r="G6248" t="n">
        <v>4.6</v>
      </c>
      <c r="H6248" t="n">
        <v>0</v>
      </c>
      <c r="I6248" t="n">
        <v>0</v>
      </c>
      <c r="J6248" t="n">
        <v>0</v>
      </c>
      <c r="K6248" t="n">
        <v>0</v>
      </c>
      <c r="L6248" t="n">
        <v>0</v>
      </c>
      <c r="M6248" t="n">
        <v>0</v>
      </c>
      <c r="N6248" t="n">
        <v>0</v>
      </c>
      <c r="O6248" t="n">
        <v>0</v>
      </c>
      <c r="P6248" t="n">
        <v>0</v>
      </c>
      <c r="Q6248" t="n">
        <v>0</v>
      </c>
      <c r="R6248" s="2" t="inlineStr"/>
    </row>
    <row r="6249" ht="15" customHeight="1">
      <c r="A6249" t="inlineStr">
        <is>
          <t>A 34919-2024</t>
        </is>
      </c>
      <c r="B6249" s="1" t="n">
        <v>45527</v>
      </c>
      <c r="C6249" s="1" t="n">
        <v>45911</v>
      </c>
      <c r="D6249" t="inlineStr">
        <is>
          <t>GÄVLEBORGS LÄN</t>
        </is>
      </c>
      <c r="E6249" t="inlineStr">
        <is>
          <t>LJUSDAL</t>
        </is>
      </c>
      <c r="F6249" t="inlineStr">
        <is>
          <t>Holmen skog AB</t>
        </is>
      </c>
      <c r="G6249" t="n">
        <v>2.3</v>
      </c>
      <c r="H6249" t="n">
        <v>0</v>
      </c>
      <c r="I6249" t="n">
        <v>0</v>
      </c>
      <c r="J6249" t="n">
        <v>0</v>
      </c>
      <c r="K6249" t="n">
        <v>0</v>
      </c>
      <c r="L6249" t="n">
        <v>0</v>
      </c>
      <c r="M6249" t="n">
        <v>0</v>
      </c>
      <c r="N6249" t="n">
        <v>0</v>
      </c>
      <c r="O6249" t="n">
        <v>0</v>
      </c>
      <c r="P6249" t="n">
        <v>0</v>
      </c>
      <c r="Q6249" t="n">
        <v>0</v>
      </c>
      <c r="R6249" s="2" t="inlineStr"/>
    </row>
    <row r="6250" ht="15" customHeight="1">
      <c r="A6250" t="inlineStr">
        <is>
          <t>A 40641-2024</t>
        </is>
      </c>
      <c r="B6250" s="1" t="n">
        <v>45558.30701388889</v>
      </c>
      <c r="C6250" s="1" t="n">
        <v>45911</v>
      </c>
      <c r="D6250" t="inlineStr">
        <is>
          <t>GÄVLEBORGS LÄN</t>
        </is>
      </c>
      <c r="E6250" t="inlineStr">
        <is>
          <t>NORDANSTIG</t>
        </is>
      </c>
      <c r="F6250" t="inlineStr">
        <is>
          <t>Holmen skog AB</t>
        </is>
      </c>
      <c r="G6250" t="n">
        <v>15.7</v>
      </c>
      <c r="H6250" t="n">
        <v>0</v>
      </c>
      <c r="I6250" t="n">
        <v>0</v>
      </c>
      <c r="J6250" t="n">
        <v>0</v>
      </c>
      <c r="K6250" t="n">
        <v>0</v>
      </c>
      <c r="L6250" t="n">
        <v>0</v>
      </c>
      <c r="M6250" t="n">
        <v>0</v>
      </c>
      <c r="N6250" t="n">
        <v>0</v>
      </c>
      <c r="O6250" t="n">
        <v>0</v>
      </c>
      <c r="P6250" t="n">
        <v>0</v>
      </c>
      <c r="Q6250" t="n">
        <v>0</v>
      </c>
      <c r="R6250" s="2" t="inlineStr"/>
    </row>
    <row r="6251" ht="15" customHeight="1">
      <c r="A6251" t="inlineStr">
        <is>
          <t>A 41655-2025</t>
        </is>
      </c>
      <c r="B6251" s="1" t="n">
        <v>45902.34259259259</v>
      </c>
      <c r="C6251" s="1" t="n">
        <v>45911</v>
      </c>
      <c r="D6251" t="inlineStr">
        <is>
          <t>GÄVLEBORGS LÄN</t>
        </is>
      </c>
      <c r="E6251" t="inlineStr">
        <is>
          <t>BOLLNÄS</t>
        </is>
      </c>
      <c r="G6251" t="n">
        <v>4.1</v>
      </c>
      <c r="H6251" t="n">
        <v>0</v>
      </c>
      <c r="I6251" t="n">
        <v>0</v>
      </c>
      <c r="J6251" t="n">
        <v>0</v>
      </c>
      <c r="K6251" t="n">
        <v>0</v>
      </c>
      <c r="L6251" t="n">
        <v>0</v>
      </c>
      <c r="M6251" t="n">
        <v>0</v>
      </c>
      <c r="N6251" t="n">
        <v>0</v>
      </c>
      <c r="O6251" t="n">
        <v>0</v>
      </c>
      <c r="P6251" t="n">
        <v>0</v>
      </c>
      <c r="Q6251" t="n">
        <v>0</v>
      </c>
      <c r="R6251" s="2" t="inlineStr"/>
    </row>
    <row r="6252" ht="15" customHeight="1">
      <c r="A6252" t="inlineStr">
        <is>
          <t>A 57171-2023</t>
        </is>
      </c>
      <c r="B6252" s="1" t="n">
        <v>45245</v>
      </c>
      <c r="C6252" s="1" t="n">
        <v>45911</v>
      </c>
      <c r="D6252" t="inlineStr">
        <is>
          <t>GÄVLEBORGS LÄN</t>
        </is>
      </c>
      <c r="E6252" t="inlineStr">
        <is>
          <t>GÄVLE</t>
        </is>
      </c>
      <c r="F6252" t="inlineStr">
        <is>
          <t>Kyrkan</t>
        </is>
      </c>
      <c r="G6252" t="n">
        <v>3.5</v>
      </c>
      <c r="H6252" t="n">
        <v>0</v>
      </c>
      <c r="I6252" t="n">
        <v>0</v>
      </c>
      <c r="J6252" t="n">
        <v>0</v>
      </c>
      <c r="K6252" t="n">
        <v>0</v>
      </c>
      <c r="L6252" t="n">
        <v>0</v>
      </c>
      <c r="M6252" t="n">
        <v>0</v>
      </c>
      <c r="N6252" t="n">
        <v>0</v>
      </c>
      <c r="O6252" t="n">
        <v>0</v>
      </c>
      <c r="P6252" t="n">
        <v>0</v>
      </c>
      <c r="Q6252" t="n">
        <v>0</v>
      </c>
      <c r="R6252" s="2" t="inlineStr"/>
    </row>
    <row r="6253" ht="15" customHeight="1">
      <c r="A6253" t="inlineStr">
        <is>
          <t>A 19566-2025</t>
        </is>
      </c>
      <c r="B6253" s="1" t="n">
        <v>45770.53225694445</v>
      </c>
      <c r="C6253" s="1" t="n">
        <v>45911</v>
      </c>
      <c r="D6253" t="inlineStr">
        <is>
          <t>GÄVLEBORGS LÄN</t>
        </is>
      </c>
      <c r="E6253" t="inlineStr">
        <is>
          <t>NORDANSTIG</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19569-2025</t>
        </is>
      </c>
      <c r="B6254" s="1" t="n">
        <v>45770.53775462963</v>
      </c>
      <c r="C6254" s="1" t="n">
        <v>45911</v>
      </c>
      <c r="D6254" t="inlineStr">
        <is>
          <t>GÄVLEBORGS LÄN</t>
        </is>
      </c>
      <c r="E6254" t="inlineStr">
        <is>
          <t>NORDANSTIG</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18913-2025</t>
        </is>
      </c>
      <c r="B6255" s="1" t="n">
        <v>45764.46673611111</v>
      </c>
      <c r="C6255" s="1" t="n">
        <v>45911</v>
      </c>
      <c r="D6255" t="inlineStr">
        <is>
          <t>GÄVLEBORGS LÄN</t>
        </is>
      </c>
      <c r="E6255" t="inlineStr">
        <is>
          <t>SÖDERHAMN</t>
        </is>
      </c>
      <c r="F6255" t="inlineStr">
        <is>
          <t>Kommuner</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1509-2025</t>
        </is>
      </c>
      <c r="B6256" s="1" t="n">
        <v>45670.44252314815</v>
      </c>
      <c r="C6256" s="1" t="n">
        <v>45911</v>
      </c>
      <c r="D6256" t="inlineStr">
        <is>
          <t>GÄVLEBORGS LÄN</t>
        </is>
      </c>
      <c r="E6256" t="inlineStr">
        <is>
          <t>OVANÅKER</t>
        </is>
      </c>
      <c r="F6256" t="inlineStr">
        <is>
          <t>Bergvik skog väst AB</t>
        </is>
      </c>
      <c r="G6256" t="n">
        <v>4.9</v>
      </c>
      <c r="H6256" t="n">
        <v>0</v>
      </c>
      <c r="I6256" t="n">
        <v>0</v>
      </c>
      <c r="J6256" t="n">
        <v>0</v>
      </c>
      <c r="K6256" t="n">
        <v>0</v>
      </c>
      <c r="L6256" t="n">
        <v>0</v>
      </c>
      <c r="M6256" t="n">
        <v>0</v>
      </c>
      <c r="N6256" t="n">
        <v>0</v>
      </c>
      <c r="O6256" t="n">
        <v>0</v>
      </c>
      <c r="P6256" t="n">
        <v>0</v>
      </c>
      <c r="Q6256" t="n">
        <v>0</v>
      </c>
      <c r="R6256" s="2" t="inlineStr"/>
    </row>
    <row r="6257" ht="15" customHeight="1">
      <c r="A6257" t="inlineStr">
        <is>
          <t>A 35714-2025</t>
        </is>
      </c>
      <c r="B6257" s="1" t="n">
        <v>45860.41956018518</v>
      </c>
      <c r="C6257" s="1" t="n">
        <v>45911</v>
      </c>
      <c r="D6257" t="inlineStr">
        <is>
          <t>GÄVLEBORGS LÄN</t>
        </is>
      </c>
      <c r="E6257" t="inlineStr">
        <is>
          <t>NORDANSTIG</t>
        </is>
      </c>
      <c r="F6257" t="inlineStr">
        <is>
          <t>Holmen skog AB</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35722-2025</t>
        </is>
      </c>
      <c r="B6258" s="1" t="n">
        <v>45860.44288194444</v>
      </c>
      <c r="C6258" s="1" t="n">
        <v>45911</v>
      </c>
      <c r="D6258" t="inlineStr">
        <is>
          <t>GÄVLEBORGS LÄN</t>
        </is>
      </c>
      <c r="E6258" t="inlineStr">
        <is>
          <t>SÖDERHAMN</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7532-2025</t>
        </is>
      </c>
      <c r="B6259" s="1" t="n">
        <v>45705.560625</v>
      </c>
      <c r="C6259" s="1" t="n">
        <v>45911</v>
      </c>
      <c r="D6259" t="inlineStr">
        <is>
          <t>GÄVLEBORGS LÄN</t>
        </is>
      </c>
      <c r="E6259" t="inlineStr">
        <is>
          <t>HUDIKSVALL</t>
        </is>
      </c>
      <c r="F6259" t="inlineStr">
        <is>
          <t>Holmen skog AB</t>
        </is>
      </c>
      <c r="G6259" t="n">
        <v>4.8</v>
      </c>
      <c r="H6259" t="n">
        <v>0</v>
      </c>
      <c r="I6259" t="n">
        <v>0</v>
      </c>
      <c r="J6259" t="n">
        <v>0</v>
      </c>
      <c r="K6259" t="n">
        <v>0</v>
      </c>
      <c r="L6259" t="n">
        <v>0</v>
      </c>
      <c r="M6259" t="n">
        <v>0</v>
      </c>
      <c r="N6259" t="n">
        <v>0</v>
      </c>
      <c r="O6259" t="n">
        <v>0</v>
      </c>
      <c r="P6259" t="n">
        <v>0</v>
      </c>
      <c r="Q6259" t="n">
        <v>0</v>
      </c>
      <c r="R6259" s="2" t="inlineStr"/>
    </row>
    <row r="6260" ht="15" customHeight="1">
      <c r="A6260" t="inlineStr">
        <is>
          <t>A 13137-2025</t>
        </is>
      </c>
      <c r="B6260" s="1" t="n">
        <v>45735.2934837963</v>
      </c>
      <c r="C6260" s="1" t="n">
        <v>45911</v>
      </c>
      <c r="D6260" t="inlineStr">
        <is>
          <t>GÄVLEBORGS LÄN</t>
        </is>
      </c>
      <c r="E6260" t="inlineStr">
        <is>
          <t>BOLLNÄS</t>
        </is>
      </c>
      <c r="F6260" t="inlineStr">
        <is>
          <t>Bergvik skog väst AB</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54007-2023</t>
        </is>
      </c>
      <c r="B6261" s="1" t="n">
        <v>45231</v>
      </c>
      <c r="C6261" s="1" t="n">
        <v>45911</v>
      </c>
      <c r="D6261" t="inlineStr">
        <is>
          <t>GÄVLEBORGS LÄN</t>
        </is>
      </c>
      <c r="E6261" t="inlineStr">
        <is>
          <t>SÖDERHAMN</t>
        </is>
      </c>
      <c r="F6261" t="inlineStr">
        <is>
          <t>Kommuner</t>
        </is>
      </c>
      <c r="G6261" t="n">
        <v>2.6</v>
      </c>
      <c r="H6261" t="n">
        <v>0</v>
      </c>
      <c r="I6261" t="n">
        <v>0</v>
      </c>
      <c r="J6261" t="n">
        <v>0</v>
      </c>
      <c r="K6261" t="n">
        <v>0</v>
      </c>
      <c r="L6261" t="n">
        <v>0</v>
      </c>
      <c r="M6261" t="n">
        <v>0</v>
      </c>
      <c r="N6261" t="n">
        <v>0</v>
      </c>
      <c r="O6261" t="n">
        <v>0</v>
      </c>
      <c r="P6261" t="n">
        <v>0</v>
      </c>
      <c r="Q6261" t="n">
        <v>0</v>
      </c>
      <c r="R6261" s="2" t="inlineStr"/>
    </row>
    <row r="6262" ht="15" customHeight="1">
      <c r="A6262" t="inlineStr">
        <is>
          <t>A 7617-2025</t>
        </is>
      </c>
      <c r="B6262" s="1" t="n">
        <v>45705</v>
      </c>
      <c r="C6262" s="1" t="n">
        <v>45911</v>
      </c>
      <c r="D6262" t="inlineStr">
        <is>
          <t>GÄVLEBORGS LÄN</t>
        </is>
      </c>
      <c r="E6262" t="inlineStr">
        <is>
          <t>SANDVIKEN</t>
        </is>
      </c>
      <c r="G6262" t="n">
        <v>6.7</v>
      </c>
      <c r="H6262" t="n">
        <v>0</v>
      </c>
      <c r="I6262" t="n">
        <v>0</v>
      </c>
      <c r="J6262" t="n">
        <v>0</v>
      </c>
      <c r="K6262" t="n">
        <v>0</v>
      </c>
      <c r="L6262" t="n">
        <v>0</v>
      </c>
      <c r="M6262" t="n">
        <v>0</v>
      </c>
      <c r="N6262" t="n">
        <v>0</v>
      </c>
      <c r="O6262" t="n">
        <v>0</v>
      </c>
      <c r="P6262" t="n">
        <v>0</v>
      </c>
      <c r="Q6262" t="n">
        <v>0</v>
      </c>
      <c r="R6262" s="2" t="inlineStr"/>
    </row>
    <row r="6263" ht="15" customHeight="1">
      <c r="A6263" t="inlineStr">
        <is>
          <t>A 35625-2025</t>
        </is>
      </c>
      <c r="B6263" s="1" t="n">
        <v>45859.4297337963</v>
      </c>
      <c r="C6263" s="1" t="n">
        <v>45911</v>
      </c>
      <c r="D6263" t="inlineStr">
        <is>
          <t>GÄVLEBORGS LÄN</t>
        </is>
      </c>
      <c r="E6263" t="inlineStr">
        <is>
          <t>OCKELBO</t>
        </is>
      </c>
      <c r="F6263" t="inlineStr">
        <is>
          <t>Bergvik skog väst AB</t>
        </is>
      </c>
      <c r="G6263" t="n">
        <v>2.9</v>
      </c>
      <c r="H6263" t="n">
        <v>0</v>
      </c>
      <c r="I6263" t="n">
        <v>0</v>
      </c>
      <c r="J6263" t="n">
        <v>0</v>
      </c>
      <c r="K6263" t="n">
        <v>0</v>
      </c>
      <c r="L6263" t="n">
        <v>0</v>
      </c>
      <c r="M6263" t="n">
        <v>0</v>
      </c>
      <c r="N6263" t="n">
        <v>0</v>
      </c>
      <c r="O6263" t="n">
        <v>0</v>
      </c>
      <c r="P6263" t="n">
        <v>0</v>
      </c>
      <c r="Q6263" t="n">
        <v>0</v>
      </c>
      <c r="R6263" s="2" t="inlineStr"/>
    </row>
    <row r="6264" ht="15" customHeight="1">
      <c r="A6264" t="inlineStr">
        <is>
          <t>A 35707-2025</t>
        </is>
      </c>
      <c r="B6264" s="1" t="n">
        <v>45860.37251157407</v>
      </c>
      <c r="C6264" s="1" t="n">
        <v>45911</v>
      </c>
      <c r="D6264" t="inlineStr">
        <is>
          <t>GÄVLEBORGS LÄN</t>
        </is>
      </c>
      <c r="E6264" t="inlineStr">
        <is>
          <t>NORDANSTIG</t>
        </is>
      </c>
      <c r="F6264" t="inlineStr">
        <is>
          <t>Holmen skog AB</t>
        </is>
      </c>
      <c r="G6264" t="n">
        <v>4.2</v>
      </c>
      <c r="H6264" t="n">
        <v>0</v>
      </c>
      <c r="I6264" t="n">
        <v>0</v>
      </c>
      <c r="J6264" t="n">
        <v>0</v>
      </c>
      <c r="K6264" t="n">
        <v>0</v>
      </c>
      <c r="L6264" t="n">
        <v>0</v>
      </c>
      <c r="M6264" t="n">
        <v>0</v>
      </c>
      <c r="N6264" t="n">
        <v>0</v>
      </c>
      <c r="O6264" t="n">
        <v>0</v>
      </c>
      <c r="P6264" t="n">
        <v>0</v>
      </c>
      <c r="Q6264" t="n">
        <v>0</v>
      </c>
      <c r="R6264" s="2" t="inlineStr"/>
    </row>
    <row r="6265" ht="15" customHeight="1">
      <c r="A6265" t="inlineStr">
        <is>
          <t>A 54897-2024</t>
        </is>
      </c>
      <c r="B6265" s="1" t="n">
        <v>45618</v>
      </c>
      <c r="C6265" s="1" t="n">
        <v>45911</v>
      </c>
      <c r="D6265" t="inlineStr">
        <is>
          <t>GÄVLEBORGS LÄN</t>
        </is>
      </c>
      <c r="E6265" t="inlineStr">
        <is>
          <t>LJUSDAL</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35649-2025</t>
        </is>
      </c>
      <c r="B6266" s="1" t="n">
        <v>45859.51931712963</v>
      </c>
      <c r="C6266" s="1" t="n">
        <v>45911</v>
      </c>
      <c r="D6266" t="inlineStr">
        <is>
          <t>GÄVLEBORGS LÄN</t>
        </is>
      </c>
      <c r="E6266" t="inlineStr">
        <is>
          <t>NORDANSTIG</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35652-2025</t>
        </is>
      </c>
      <c r="B6267" s="1" t="n">
        <v>45859.52591435185</v>
      </c>
      <c r="C6267" s="1" t="n">
        <v>45911</v>
      </c>
      <c r="D6267" t="inlineStr">
        <is>
          <t>GÄVLEBORGS LÄN</t>
        </is>
      </c>
      <c r="E6267" t="inlineStr">
        <is>
          <t>NORDANSTIG</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63414-2023</t>
        </is>
      </c>
      <c r="B6268" s="1" t="n">
        <v>45274.53872685185</v>
      </c>
      <c r="C6268" s="1" t="n">
        <v>45911</v>
      </c>
      <c r="D6268" t="inlineStr">
        <is>
          <t>GÄVLEBORGS LÄN</t>
        </is>
      </c>
      <c r="E6268" t="inlineStr">
        <is>
          <t>HUDIKSVALL</t>
        </is>
      </c>
      <c r="G6268" t="n">
        <v>9.1</v>
      </c>
      <c r="H6268" t="n">
        <v>0</v>
      </c>
      <c r="I6268" t="n">
        <v>0</v>
      </c>
      <c r="J6268" t="n">
        <v>0</v>
      </c>
      <c r="K6268" t="n">
        <v>0</v>
      </c>
      <c r="L6268" t="n">
        <v>0</v>
      </c>
      <c r="M6268" t="n">
        <v>0</v>
      </c>
      <c r="N6268" t="n">
        <v>0</v>
      </c>
      <c r="O6268" t="n">
        <v>0</v>
      </c>
      <c r="P6268" t="n">
        <v>0</v>
      </c>
      <c r="Q6268" t="n">
        <v>0</v>
      </c>
      <c r="R6268" s="2" t="inlineStr"/>
    </row>
    <row r="6269" ht="15" customHeight="1">
      <c r="A6269" t="inlineStr">
        <is>
          <t>A 18361-2024</t>
        </is>
      </c>
      <c r="B6269" s="1" t="n">
        <v>45422</v>
      </c>
      <c r="C6269" s="1" t="n">
        <v>45911</v>
      </c>
      <c r="D6269" t="inlineStr">
        <is>
          <t>GÄVLEBORGS LÄN</t>
        </is>
      </c>
      <c r="E6269" t="inlineStr">
        <is>
          <t>GÄVLE</t>
        </is>
      </c>
      <c r="F6269" t="inlineStr">
        <is>
          <t>Bergvik skog väst AB</t>
        </is>
      </c>
      <c r="G6269" t="n">
        <v>7</v>
      </c>
      <c r="H6269" t="n">
        <v>0</v>
      </c>
      <c r="I6269" t="n">
        <v>0</v>
      </c>
      <c r="J6269" t="n">
        <v>0</v>
      </c>
      <c r="K6269" t="n">
        <v>0</v>
      </c>
      <c r="L6269" t="n">
        <v>0</v>
      </c>
      <c r="M6269" t="n">
        <v>0</v>
      </c>
      <c r="N6269" t="n">
        <v>0</v>
      </c>
      <c r="O6269" t="n">
        <v>0</v>
      </c>
      <c r="P6269" t="n">
        <v>0</v>
      </c>
      <c r="Q6269" t="n">
        <v>0</v>
      </c>
      <c r="R6269" s="2" t="inlineStr"/>
    </row>
    <row r="6270" ht="15" customHeight="1">
      <c r="A6270" t="inlineStr">
        <is>
          <t>A 50236-2023</t>
        </is>
      </c>
      <c r="B6270" s="1" t="n">
        <v>45216</v>
      </c>
      <c r="C6270" s="1" t="n">
        <v>45911</v>
      </c>
      <c r="D6270" t="inlineStr">
        <is>
          <t>GÄVLEBORGS LÄN</t>
        </is>
      </c>
      <c r="E6270" t="inlineStr">
        <is>
          <t>OVANÅKER</t>
        </is>
      </c>
      <c r="G6270" t="n">
        <v>3</v>
      </c>
      <c r="H6270" t="n">
        <v>0</v>
      </c>
      <c r="I6270" t="n">
        <v>0</v>
      </c>
      <c r="J6270" t="n">
        <v>0</v>
      </c>
      <c r="K6270" t="n">
        <v>0</v>
      </c>
      <c r="L6270" t="n">
        <v>0</v>
      </c>
      <c r="M6270" t="n">
        <v>0</v>
      </c>
      <c r="N6270" t="n">
        <v>0</v>
      </c>
      <c r="O6270" t="n">
        <v>0</v>
      </c>
      <c r="P6270" t="n">
        <v>0</v>
      </c>
      <c r="Q6270" t="n">
        <v>0</v>
      </c>
      <c r="R6270" s="2" t="inlineStr"/>
    </row>
    <row r="6271" ht="15" customHeight="1">
      <c r="A6271" t="inlineStr">
        <is>
          <t>A 17208-2025</t>
        </is>
      </c>
      <c r="B6271" s="1" t="n">
        <v>45756.43231481482</v>
      </c>
      <c r="C6271" s="1" t="n">
        <v>45911</v>
      </c>
      <c r="D6271" t="inlineStr">
        <is>
          <t>GÄVLEBORGS LÄN</t>
        </is>
      </c>
      <c r="E6271" t="inlineStr">
        <is>
          <t>OCKELBO</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41773-2025</t>
        </is>
      </c>
      <c r="B6272" s="1" t="n">
        <v>45902.5585300926</v>
      </c>
      <c r="C6272" s="1" t="n">
        <v>45911</v>
      </c>
      <c r="D6272" t="inlineStr">
        <is>
          <t>GÄVLEBORGS LÄN</t>
        </is>
      </c>
      <c r="E6272" t="inlineStr">
        <is>
          <t>NORDANSTIG</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60729-2020</t>
        </is>
      </c>
      <c r="B6273" s="1" t="n">
        <v>44153</v>
      </c>
      <c r="C6273" s="1" t="n">
        <v>45911</v>
      </c>
      <c r="D6273" t="inlineStr">
        <is>
          <t>GÄVLEBORGS LÄN</t>
        </is>
      </c>
      <c r="E6273" t="inlineStr">
        <is>
          <t>BOLLNÄS</t>
        </is>
      </c>
      <c r="G6273" t="n">
        <v>2.6</v>
      </c>
      <c r="H6273" t="n">
        <v>0</v>
      </c>
      <c r="I6273" t="n">
        <v>0</v>
      </c>
      <c r="J6273" t="n">
        <v>0</v>
      </c>
      <c r="K6273" t="n">
        <v>0</v>
      </c>
      <c r="L6273" t="n">
        <v>0</v>
      </c>
      <c r="M6273" t="n">
        <v>0</v>
      </c>
      <c r="N6273" t="n">
        <v>0</v>
      </c>
      <c r="O6273" t="n">
        <v>0</v>
      </c>
      <c r="P6273" t="n">
        <v>0</v>
      </c>
      <c r="Q6273" t="n">
        <v>0</v>
      </c>
      <c r="R6273" s="2" t="inlineStr"/>
    </row>
    <row r="6274" ht="15" customHeight="1">
      <c r="A6274" t="inlineStr">
        <is>
          <t>A 71249-2021</t>
        </is>
      </c>
      <c r="B6274" s="1" t="n">
        <v>44539</v>
      </c>
      <c r="C6274" s="1" t="n">
        <v>45911</v>
      </c>
      <c r="D6274" t="inlineStr">
        <is>
          <t>GÄVLEBORGS LÄN</t>
        </is>
      </c>
      <c r="E6274" t="inlineStr">
        <is>
          <t>GÄVLE</t>
        </is>
      </c>
      <c r="G6274" t="n">
        <v>2.1</v>
      </c>
      <c r="H6274" t="n">
        <v>0</v>
      </c>
      <c r="I6274" t="n">
        <v>0</v>
      </c>
      <c r="J6274" t="n">
        <v>0</v>
      </c>
      <c r="K6274" t="n">
        <v>0</v>
      </c>
      <c r="L6274" t="n">
        <v>0</v>
      </c>
      <c r="M6274" t="n">
        <v>0</v>
      </c>
      <c r="N6274" t="n">
        <v>0</v>
      </c>
      <c r="O6274" t="n">
        <v>0</v>
      </c>
      <c r="P6274" t="n">
        <v>0</v>
      </c>
      <c r="Q6274" t="n">
        <v>0</v>
      </c>
      <c r="R6274" s="2" t="inlineStr"/>
    </row>
    <row r="6275" ht="15" customHeight="1">
      <c r="A6275" t="inlineStr">
        <is>
          <t>A 51880-2024</t>
        </is>
      </c>
      <c r="B6275" s="1" t="n">
        <v>45607.5674537037</v>
      </c>
      <c r="C6275" s="1" t="n">
        <v>45911</v>
      </c>
      <c r="D6275" t="inlineStr">
        <is>
          <t>GÄVLEBORGS LÄN</t>
        </is>
      </c>
      <c r="E6275" t="inlineStr">
        <is>
          <t>LJUSDAL</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41348-2025</t>
        </is>
      </c>
      <c r="B6276" s="1" t="n">
        <v>45899.56299768519</v>
      </c>
      <c r="C6276" s="1" t="n">
        <v>45911</v>
      </c>
      <c r="D6276" t="inlineStr">
        <is>
          <t>GÄVLEBORGS LÄN</t>
        </is>
      </c>
      <c r="E6276" t="inlineStr">
        <is>
          <t>SANDVIKEN</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66403-2021</t>
        </is>
      </c>
      <c r="B6277" s="1" t="n">
        <v>44518.65586805555</v>
      </c>
      <c r="C6277" s="1" t="n">
        <v>45911</v>
      </c>
      <c r="D6277" t="inlineStr">
        <is>
          <t>GÄVLEBORGS LÄN</t>
        </is>
      </c>
      <c r="E6277" t="inlineStr">
        <is>
          <t>OVANÅKER</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49571-2022</t>
        </is>
      </c>
      <c r="B6278" s="1" t="n">
        <v>44862.33306712963</v>
      </c>
      <c r="C6278" s="1" t="n">
        <v>45911</v>
      </c>
      <c r="D6278" t="inlineStr">
        <is>
          <t>GÄVLEBORGS LÄN</t>
        </is>
      </c>
      <c r="E6278" t="inlineStr">
        <is>
          <t>OCKELBO</t>
        </is>
      </c>
      <c r="G6278" t="n">
        <v>3.7</v>
      </c>
      <c r="H6278" t="n">
        <v>0</v>
      </c>
      <c r="I6278" t="n">
        <v>0</v>
      </c>
      <c r="J6278" t="n">
        <v>0</v>
      </c>
      <c r="K6278" t="n">
        <v>0</v>
      </c>
      <c r="L6278" t="n">
        <v>0</v>
      </c>
      <c r="M6278" t="n">
        <v>0</v>
      </c>
      <c r="N6278" t="n">
        <v>0</v>
      </c>
      <c r="O6278" t="n">
        <v>0</v>
      </c>
      <c r="P6278" t="n">
        <v>0</v>
      </c>
      <c r="Q6278" t="n">
        <v>0</v>
      </c>
      <c r="R6278" s="2" t="inlineStr"/>
    </row>
    <row r="6279" ht="15" customHeight="1">
      <c r="A6279" t="inlineStr">
        <is>
          <t>A 52915-2024</t>
        </is>
      </c>
      <c r="B6279" s="1" t="n">
        <v>45610.71055555555</v>
      </c>
      <c r="C6279" s="1" t="n">
        <v>45911</v>
      </c>
      <c r="D6279" t="inlineStr">
        <is>
          <t>GÄVLEBORGS LÄN</t>
        </is>
      </c>
      <c r="E6279" t="inlineStr">
        <is>
          <t>LJUSDAL</t>
        </is>
      </c>
      <c r="F6279" t="inlineStr">
        <is>
          <t>Allmännings- och besparingsskogar</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35650-2025</t>
        </is>
      </c>
      <c r="B6280" s="1" t="n">
        <v>45859.51940972222</v>
      </c>
      <c r="C6280" s="1" t="n">
        <v>45911</v>
      </c>
      <c r="D6280" t="inlineStr">
        <is>
          <t>GÄVLEBORGS LÄN</t>
        </is>
      </c>
      <c r="E6280" t="inlineStr">
        <is>
          <t>GÄVLE</t>
        </is>
      </c>
      <c r="F6280" t="inlineStr">
        <is>
          <t>Bergvik skog väst AB</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49993-2024</t>
        </is>
      </c>
      <c r="B6281" s="1" t="n">
        <v>45597.84851851852</v>
      </c>
      <c r="C6281" s="1" t="n">
        <v>45911</v>
      </c>
      <c r="D6281" t="inlineStr">
        <is>
          <t>GÄVLEBORGS LÄN</t>
        </is>
      </c>
      <c r="E6281" t="inlineStr">
        <is>
          <t>BOLLNÄS</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47059-2024</t>
        </is>
      </c>
      <c r="B6282" s="1" t="n">
        <v>45586.46855324074</v>
      </c>
      <c r="C6282" s="1" t="n">
        <v>45911</v>
      </c>
      <c r="D6282" t="inlineStr">
        <is>
          <t>GÄVLEBORGS LÄN</t>
        </is>
      </c>
      <c r="E6282" t="inlineStr">
        <is>
          <t>HUDIKSVALL</t>
        </is>
      </c>
      <c r="G6282" t="n">
        <v>18.2</v>
      </c>
      <c r="H6282" t="n">
        <v>0</v>
      </c>
      <c r="I6282" t="n">
        <v>0</v>
      </c>
      <c r="J6282" t="n">
        <v>0</v>
      </c>
      <c r="K6282" t="n">
        <v>0</v>
      </c>
      <c r="L6282" t="n">
        <v>0</v>
      </c>
      <c r="M6282" t="n">
        <v>0</v>
      </c>
      <c r="N6282" t="n">
        <v>0</v>
      </c>
      <c r="O6282" t="n">
        <v>0</v>
      </c>
      <c r="P6282" t="n">
        <v>0</v>
      </c>
      <c r="Q6282" t="n">
        <v>0</v>
      </c>
      <c r="R6282" s="2" t="inlineStr"/>
    </row>
    <row r="6283" ht="15" customHeight="1">
      <c r="A6283" t="inlineStr">
        <is>
          <t>A 11-2023</t>
        </is>
      </c>
      <c r="B6283" s="1" t="n">
        <v>44927</v>
      </c>
      <c r="C6283" s="1" t="n">
        <v>45911</v>
      </c>
      <c r="D6283" t="inlineStr">
        <is>
          <t>GÄVLEBORGS LÄN</t>
        </is>
      </c>
      <c r="E6283" t="inlineStr">
        <is>
          <t>GÄVLE</t>
        </is>
      </c>
      <c r="G6283" t="n">
        <v>4.4</v>
      </c>
      <c r="H6283" t="n">
        <v>0</v>
      </c>
      <c r="I6283" t="n">
        <v>0</v>
      </c>
      <c r="J6283" t="n">
        <v>0</v>
      </c>
      <c r="K6283" t="n">
        <v>0</v>
      </c>
      <c r="L6283" t="n">
        <v>0</v>
      </c>
      <c r="M6283" t="n">
        <v>0</v>
      </c>
      <c r="N6283" t="n">
        <v>0</v>
      </c>
      <c r="O6283" t="n">
        <v>0</v>
      </c>
      <c r="P6283" t="n">
        <v>0</v>
      </c>
      <c r="Q6283" t="n">
        <v>0</v>
      </c>
      <c r="R6283" s="2" t="inlineStr"/>
    </row>
    <row r="6284" ht="15" customHeight="1">
      <c r="A6284" t="inlineStr">
        <is>
          <t>A 33015-2023</t>
        </is>
      </c>
      <c r="B6284" s="1" t="n">
        <v>45125.74876157408</v>
      </c>
      <c r="C6284" s="1" t="n">
        <v>45911</v>
      </c>
      <c r="D6284" t="inlineStr">
        <is>
          <t>GÄVLEBORGS LÄN</t>
        </is>
      </c>
      <c r="E6284" t="inlineStr">
        <is>
          <t>GÄVLE</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34502-2024</t>
        </is>
      </c>
      <c r="B6285" s="1" t="n">
        <v>45525.64055555555</v>
      </c>
      <c r="C6285" s="1" t="n">
        <v>45911</v>
      </c>
      <c r="D6285" t="inlineStr">
        <is>
          <t>GÄVLEBORGS LÄN</t>
        </is>
      </c>
      <c r="E6285" t="inlineStr">
        <is>
          <t>NORDANSTIG</t>
        </is>
      </c>
      <c r="F6285" t="inlineStr">
        <is>
          <t>Holmen skog AB</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41463-2025</t>
        </is>
      </c>
      <c r="B6286" s="1" t="n">
        <v>45901.45023148148</v>
      </c>
      <c r="C6286" s="1" t="n">
        <v>45911</v>
      </c>
      <c r="D6286" t="inlineStr">
        <is>
          <t>GÄVLEBORGS LÄN</t>
        </is>
      </c>
      <c r="E6286" t="inlineStr">
        <is>
          <t>LJUSDAL</t>
        </is>
      </c>
      <c r="F6286" t="inlineStr">
        <is>
          <t>Bergvik skog väst AB</t>
        </is>
      </c>
      <c r="G6286" t="n">
        <v>5.6</v>
      </c>
      <c r="H6286" t="n">
        <v>0</v>
      </c>
      <c r="I6286" t="n">
        <v>0</v>
      </c>
      <c r="J6286" t="n">
        <v>0</v>
      </c>
      <c r="K6286" t="n">
        <v>0</v>
      </c>
      <c r="L6286" t="n">
        <v>0</v>
      </c>
      <c r="M6286" t="n">
        <v>0</v>
      </c>
      <c r="N6286" t="n">
        <v>0</v>
      </c>
      <c r="O6286" t="n">
        <v>0</v>
      </c>
      <c r="P6286" t="n">
        <v>0</v>
      </c>
      <c r="Q6286" t="n">
        <v>0</v>
      </c>
      <c r="R6286" s="2" t="inlineStr"/>
    </row>
    <row r="6287" ht="15" customHeight="1">
      <c r="A6287" t="inlineStr">
        <is>
          <t>A 41349-2025</t>
        </is>
      </c>
      <c r="B6287" s="1" t="n">
        <v>45899.61452546297</v>
      </c>
      <c r="C6287" s="1" t="n">
        <v>45911</v>
      </c>
      <c r="D6287" t="inlineStr">
        <is>
          <t>GÄVLEBORGS LÄN</t>
        </is>
      </c>
      <c r="E6287" t="inlineStr">
        <is>
          <t>SANDVIKEN</t>
        </is>
      </c>
      <c r="G6287" t="n">
        <v>3.7</v>
      </c>
      <c r="H6287" t="n">
        <v>0</v>
      </c>
      <c r="I6287" t="n">
        <v>0</v>
      </c>
      <c r="J6287" t="n">
        <v>0</v>
      </c>
      <c r="K6287" t="n">
        <v>0</v>
      </c>
      <c r="L6287" t="n">
        <v>0</v>
      </c>
      <c r="M6287" t="n">
        <v>0</v>
      </c>
      <c r="N6287" t="n">
        <v>0</v>
      </c>
      <c r="O6287" t="n">
        <v>0</v>
      </c>
      <c r="P6287" t="n">
        <v>0</v>
      </c>
      <c r="Q6287" t="n">
        <v>0</v>
      </c>
      <c r="R6287" s="2" t="inlineStr"/>
    </row>
    <row r="6288" ht="15" customHeight="1">
      <c r="A6288" t="inlineStr">
        <is>
          <t>A 22440-2023</t>
        </is>
      </c>
      <c r="B6288" s="1" t="n">
        <v>45070.69100694444</v>
      </c>
      <c r="C6288" s="1" t="n">
        <v>45911</v>
      </c>
      <c r="D6288" t="inlineStr">
        <is>
          <t>GÄVLEBORGS LÄN</t>
        </is>
      </c>
      <c r="E6288" t="inlineStr">
        <is>
          <t>LJUSDAL</t>
        </is>
      </c>
      <c r="F6288" t="inlineStr">
        <is>
          <t>Holmen skog AB</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40297-2025</t>
        </is>
      </c>
      <c r="B6289" s="1" t="n">
        <v>45895</v>
      </c>
      <c r="C6289" s="1" t="n">
        <v>45911</v>
      </c>
      <c r="D6289" t="inlineStr">
        <is>
          <t>GÄVLEBORGS LÄN</t>
        </is>
      </c>
      <c r="E6289" t="inlineStr">
        <is>
          <t>GÄVLE</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6734-2025</t>
        </is>
      </c>
      <c r="B6290" s="1" t="n">
        <v>45700</v>
      </c>
      <c r="C6290" s="1" t="n">
        <v>45911</v>
      </c>
      <c r="D6290" t="inlineStr">
        <is>
          <t>GÄVLEBORGS LÄN</t>
        </is>
      </c>
      <c r="E6290" t="inlineStr">
        <is>
          <t>LJUSDAL</t>
        </is>
      </c>
      <c r="G6290" t="n">
        <v>26.1</v>
      </c>
      <c r="H6290" t="n">
        <v>0</v>
      </c>
      <c r="I6290" t="n">
        <v>0</v>
      </c>
      <c r="J6290" t="n">
        <v>0</v>
      </c>
      <c r="K6290" t="n">
        <v>0</v>
      </c>
      <c r="L6290" t="n">
        <v>0</v>
      </c>
      <c r="M6290" t="n">
        <v>0</v>
      </c>
      <c r="N6290" t="n">
        <v>0</v>
      </c>
      <c r="O6290" t="n">
        <v>0</v>
      </c>
      <c r="P6290" t="n">
        <v>0</v>
      </c>
      <c r="Q6290" t="n">
        <v>0</v>
      </c>
      <c r="R6290" s="2" t="inlineStr"/>
    </row>
    <row r="6291" ht="15" customHeight="1">
      <c r="A6291" t="inlineStr">
        <is>
          <t>A 13089-2025</t>
        </is>
      </c>
      <c r="B6291" s="1" t="n">
        <v>45734.64541666667</v>
      </c>
      <c r="C6291" s="1" t="n">
        <v>45911</v>
      </c>
      <c r="D6291" t="inlineStr">
        <is>
          <t>GÄVLEBORGS LÄN</t>
        </is>
      </c>
      <c r="E6291" t="inlineStr">
        <is>
          <t>NORDANSTIG</t>
        </is>
      </c>
      <c r="F6291" t="inlineStr">
        <is>
          <t>Holmen skog AB</t>
        </is>
      </c>
      <c r="G6291" t="n">
        <v>5.5</v>
      </c>
      <c r="H6291" t="n">
        <v>0</v>
      </c>
      <c r="I6291" t="n">
        <v>0</v>
      </c>
      <c r="J6291" t="n">
        <v>0</v>
      </c>
      <c r="K6291" t="n">
        <v>0</v>
      </c>
      <c r="L6291" t="n">
        <v>0</v>
      </c>
      <c r="M6291" t="n">
        <v>0</v>
      </c>
      <c r="N6291" t="n">
        <v>0</v>
      </c>
      <c r="O6291" t="n">
        <v>0</v>
      </c>
      <c r="P6291" t="n">
        <v>0</v>
      </c>
      <c r="Q6291" t="n">
        <v>0</v>
      </c>
      <c r="R6291" s="2" t="inlineStr"/>
    </row>
    <row r="6292" ht="15" customHeight="1">
      <c r="A6292" t="inlineStr">
        <is>
          <t>A 57122-2023</t>
        </is>
      </c>
      <c r="B6292" s="1" t="n">
        <v>45245</v>
      </c>
      <c r="C6292" s="1" t="n">
        <v>45911</v>
      </c>
      <c r="D6292" t="inlineStr">
        <is>
          <t>GÄVLEBORGS LÄN</t>
        </is>
      </c>
      <c r="E6292" t="inlineStr">
        <is>
          <t>GÄVLE</t>
        </is>
      </c>
      <c r="F6292" t="inlineStr">
        <is>
          <t>Kyrkan</t>
        </is>
      </c>
      <c r="G6292" t="n">
        <v>2.5</v>
      </c>
      <c r="H6292" t="n">
        <v>0</v>
      </c>
      <c r="I6292" t="n">
        <v>0</v>
      </c>
      <c r="J6292" t="n">
        <v>0</v>
      </c>
      <c r="K6292" t="n">
        <v>0</v>
      </c>
      <c r="L6292" t="n">
        <v>0</v>
      </c>
      <c r="M6292" t="n">
        <v>0</v>
      </c>
      <c r="N6292" t="n">
        <v>0</v>
      </c>
      <c r="O6292" t="n">
        <v>0</v>
      </c>
      <c r="P6292" t="n">
        <v>0</v>
      </c>
      <c r="Q6292" t="n">
        <v>0</v>
      </c>
      <c r="R6292" s="2" t="inlineStr"/>
    </row>
    <row r="6293" ht="15" customHeight="1">
      <c r="A6293" t="inlineStr">
        <is>
          <t>A 47849-2021</t>
        </is>
      </c>
      <c r="B6293" s="1" t="n">
        <v>44448.65805555556</v>
      </c>
      <c r="C6293" s="1" t="n">
        <v>45911</v>
      </c>
      <c r="D6293" t="inlineStr">
        <is>
          <t>GÄVLEBORGS LÄN</t>
        </is>
      </c>
      <c r="E6293" t="inlineStr">
        <is>
          <t>OCKELBO</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35725-2025</t>
        </is>
      </c>
      <c r="B6294" s="1" t="n">
        <v>45860.45087962963</v>
      </c>
      <c r="C6294" s="1" t="n">
        <v>45911</v>
      </c>
      <c r="D6294" t="inlineStr">
        <is>
          <t>GÄVLEBORGS LÄN</t>
        </is>
      </c>
      <c r="E6294" t="inlineStr">
        <is>
          <t>NORDANSTIG</t>
        </is>
      </c>
      <c r="F6294" t="inlineStr">
        <is>
          <t>Holmen skog AB</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33495-2023</t>
        </is>
      </c>
      <c r="B6295" s="1" t="n">
        <v>45118</v>
      </c>
      <c r="C6295" s="1" t="n">
        <v>45911</v>
      </c>
      <c r="D6295" t="inlineStr">
        <is>
          <t>GÄVLEBORGS LÄN</t>
        </is>
      </c>
      <c r="E6295" t="inlineStr">
        <is>
          <t>HOFORS</t>
        </is>
      </c>
      <c r="F6295" t="inlineStr">
        <is>
          <t>Bergvik skog väst AB</t>
        </is>
      </c>
      <c r="G6295" t="n">
        <v>4.6</v>
      </c>
      <c r="H6295" t="n">
        <v>0</v>
      </c>
      <c r="I6295" t="n">
        <v>0</v>
      </c>
      <c r="J6295" t="n">
        <v>0</v>
      </c>
      <c r="K6295" t="n">
        <v>0</v>
      </c>
      <c r="L6295" t="n">
        <v>0</v>
      </c>
      <c r="M6295" t="n">
        <v>0</v>
      </c>
      <c r="N6295" t="n">
        <v>0</v>
      </c>
      <c r="O6295" t="n">
        <v>0</v>
      </c>
      <c r="P6295" t="n">
        <v>0</v>
      </c>
      <c r="Q6295" t="n">
        <v>0</v>
      </c>
      <c r="R6295" s="2" t="inlineStr"/>
    </row>
    <row r="6296" ht="15" customHeight="1">
      <c r="A6296" t="inlineStr">
        <is>
          <t>A 138-2023</t>
        </is>
      </c>
      <c r="B6296" s="1" t="n">
        <v>44928.52260416667</v>
      </c>
      <c r="C6296" s="1" t="n">
        <v>45911</v>
      </c>
      <c r="D6296" t="inlineStr">
        <is>
          <t>GÄVLEBORGS LÄN</t>
        </is>
      </c>
      <c r="E6296" t="inlineStr">
        <is>
          <t>GÄVLE</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13911-2024</t>
        </is>
      </c>
      <c r="B6297" s="1" t="n">
        <v>45391.70934027778</v>
      </c>
      <c r="C6297" s="1" t="n">
        <v>45911</v>
      </c>
      <c r="D6297" t="inlineStr">
        <is>
          <t>GÄVLEBORGS LÄN</t>
        </is>
      </c>
      <c r="E6297" t="inlineStr">
        <is>
          <t>LJUSDAL</t>
        </is>
      </c>
      <c r="G6297" t="n">
        <v>18.2</v>
      </c>
      <c r="H6297" t="n">
        <v>0</v>
      </c>
      <c r="I6297" t="n">
        <v>0</v>
      </c>
      <c r="J6297" t="n">
        <v>0</v>
      </c>
      <c r="K6297" t="n">
        <v>0</v>
      </c>
      <c r="L6297" t="n">
        <v>0</v>
      </c>
      <c r="M6297" t="n">
        <v>0</v>
      </c>
      <c r="N6297" t="n">
        <v>0</v>
      </c>
      <c r="O6297" t="n">
        <v>0</v>
      </c>
      <c r="P6297" t="n">
        <v>0</v>
      </c>
      <c r="Q6297" t="n">
        <v>0</v>
      </c>
      <c r="R6297" s="2" t="inlineStr"/>
    </row>
    <row r="6298" ht="15" customHeight="1">
      <c r="A6298" t="inlineStr">
        <is>
          <t>A 64878-2023</t>
        </is>
      </c>
      <c r="B6298" s="1" t="n">
        <v>45282</v>
      </c>
      <c r="C6298" s="1" t="n">
        <v>45911</v>
      </c>
      <c r="D6298" t="inlineStr">
        <is>
          <t>GÄVLEBORGS LÄN</t>
        </is>
      </c>
      <c r="E6298" t="inlineStr">
        <is>
          <t>GÄVLE</t>
        </is>
      </c>
      <c r="G6298" t="n">
        <v>0</v>
      </c>
      <c r="H6298" t="n">
        <v>0</v>
      </c>
      <c r="I6298" t="n">
        <v>0</v>
      </c>
      <c r="J6298" t="n">
        <v>0</v>
      </c>
      <c r="K6298" t="n">
        <v>0</v>
      </c>
      <c r="L6298" t="n">
        <v>0</v>
      </c>
      <c r="M6298" t="n">
        <v>0</v>
      </c>
      <c r="N6298" t="n">
        <v>0</v>
      </c>
      <c r="O6298" t="n">
        <v>0</v>
      </c>
      <c r="P6298" t="n">
        <v>0</v>
      </c>
      <c r="Q6298" t="n">
        <v>0</v>
      </c>
      <c r="R6298" s="2" t="inlineStr"/>
    </row>
    <row r="6299" ht="15" customHeight="1">
      <c r="A6299" t="inlineStr">
        <is>
          <t>A 35733-2025</t>
        </is>
      </c>
      <c r="B6299" s="1" t="n">
        <v>45860.47178240741</v>
      </c>
      <c r="C6299" s="1" t="n">
        <v>45911</v>
      </c>
      <c r="D6299" t="inlineStr">
        <is>
          <t>GÄVLEBORGS LÄN</t>
        </is>
      </c>
      <c r="E6299" t="inlineStr">
        <is>
          <t>NORDANSTIG</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3606-2025</t>
        </is>
      </c>
      <c r="B6300" s="1" t="n">
        <v>45681.35346064815</v>
      </c>
      <c r="C6300" s="1" t="n">
        <v>45911</v>
      </c>
      <c r="D6300" t="inlineStr">
        <is>
          <t>GÄVLEBORGS LÄN</t>
        </is>
      </c>
      <c r="E6300" t="inlineStr">
        <is>
          <t>NORDANSTIG</t>
        </is>
      </c>
      <c r="F6300" t="inlineStr">
        <is>
          <t>Holmen skog AB</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12419-2025</t>
        </is>
      </c>
      <c r="B6301" s="1" t="n">
        <v>45730.45170138889</v>
      </c>
      <c r="C6301" s="1" t="n">
        <v>45911</v>
      </c>
      <c r="D6301" t="inlineStr">
        <is>
          <t>GÄVLEBORGS LÄN</t>
        </is>
      </c>
      <c r="E6301" t="inlineStr">
        <is>
          <t>SANDVIKEN</t>
        </is>
      </c>
      <c r="F6301" t="inlineStr">
        <is>
          <t>Bergvik skog öst AB</t>
        </is>
      </c>
      <c r="G6301" t="n">
        <v>3</v>
      </c>
      <c r="H6301" t="n">
        <v>0</v>
      </c>
      <c r="I6301" t="n">
        <v>0</v>
      </c>
      <c r="J6301" t="n">
        <v>0</v>
      </c>
      <c r="K6301" t="n">
        <v>0</v>
      </c>
      <c r="L6301" t="n">
        <v>0</v>
      </c>
      <c r="M6301" t="n">
        <v>0</v>
      </c>
      <c r="N6301" t="n">
        <v>0</v>
      </c>
      <c r="O6301" t="n">
        <v>0</v>
      </c>
      <c r="P6301" t="n">
        <v>0</v>
      </c>
      <c r="Q6301" t="n">
        <v>0</v>
      </c>
      <c r="R6301" s="2" t="inlineStr"/>
    </row>
    <row r="6302" ht="15" customHeight="1">
      <c r="A6302" t="inlineStr">
        <is>
          <t>A 50235-2023</t>
        </is>
      </c>
      <c r="B6302" s="1" t="n">
        <v>45216.30402777778</v>
      </c>
      <c r="C6302" s="1" t="n">
        <v>45911</v>
      </c>
      <c r="D6302" t="inlineStr">
        <is>
          <t>GÄVLEBORGS LÄN</t>
        </is>
      </c>
      <c r="E6302" t="inlineStr">
        <is>
          <t>OCKELBO</t>
        </is>
      </c>
      <c r="F6302" t="inlineStr">
        <is>
          <t>Bergvik skog väst AB</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41569-2025</t>
        </is>
      </c>
      <c r="B6303" s="1" t="n">
        <v>45901.60810185185</v>
      </c>
      <c r="C6303" s="1" t="n">
        <v>45911</v>
      </c>
      <c r="D6303" t="inlineStr">
        <is>
          <t>GÄVLEBORGS LÄN</t>
        </is>
      </c>
      <c r="E6303" t="inlineStr">
        <is>
          <t>HOFORS</t>
        </is>
      </c>
      <c r="F6303" t="inlineStr">
        <is>
          <t>Sveaskog</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46210-2023</t>
        </is>
      </c>
      <c r="B6304" s="1" t="n">
        <v>45196.65177083333</v>
      </c>
      <c r="C6304" s="1" t="n">
        <v>45911</v>
      </c>
      <c r="D6304" t="inlineStr">
        <is>
          <t>GÄVLEBORGS LÄN</t>
        </is>
      </c>
      <c r="E6304" t="inlineStr">
        <is>
          <t>OVANÅKER</t>
        </is>
      </c>
      <c r="G6304" t="n">
        <v>5.9</v>
      </c>
      <c r="H6304" t="n">
        <v>0</v>
      </c>
      <c r="I6304" t="n">
        <v>0</v>
      </c>
      <c r="J6304" t="n">
        <v>0</v>
      </c>
      <c r="K6304" t="n">
        <v>0</v>
      </c>
      <c r="L6304" t="n">
        <v>0</v>
      </c>
      <c r="M6304" t="n">
        <v>0</v>
      </c>
      <c r="N6304" t="n">
        <v>0</v>
      </c>
      <c r="O6304" t="n">
        <v>0</v>
      </c>
      <c r="P6304" t="n">
        <v>0</v>
      </c>
      <c r="Q6304" t="n">
        <v>0</v>
      </c>
      <c r="R6304" s="2" t="inlineStr"/>
    </row>
    <row r="6305" ht="15" customHeight="1">
      <c r="A6305" t="inlineStr">
        <is>
          <t>A 54817-2022</t>
        </is>
      </c>
      <c r="B6305" s="1" t="n">
        <v>44883.78270833333</v>
      </c>
      <c r="C6305" s="1" t="n">
        <v>45911</v>
      </c>
      <c r="D6305" t="inlineStr">
        <is>
          <t>GÄVLEBORGS LÄN</t>
        </is>
      </c>
      <c r="E6305" t="inlineStr">
        <is>
          <t>OCKELBO</t>
        </is>
      </c>
      <c r="F6305" t="inlineStr">
        <is>
          <t>Bergvik skog väst AB</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35735-2025</t>
        </is>
      </c>
      <c r="B6306" s="1" t="n">
        <v>45860.48112268518</v>
      </c>
      <c r="C6306" s="1" t="n">
        <v>45911</v>
      </c>
      <c r="D6306" t="inlineStr">
        <is>
          <t>GÄVLEBORGS LÄN</t>
        </is>
      </c>
      <c r="E6306" t="inlineStr">
        <is>
          <t>HUDIKSVALL</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41762-2025</t>
        </is>
      </c>
      <c r="B6307" s="1" t="n">
        <v>45902.54042824074</v>
      </c>
      <c r="C6307" s="1" t="n">
        <v>45911</v>
      </c>
      <c r="D6307" t="inlineStr">
        <is>
          <t>GÄVLEBORGS LÄN</t>
        </is>
      </c>
      <c r="E6307" t="inlineStr">
        <is>
          <t>HUDIKSVALL</t>
        </is>
      </c>
      <c r="F6307" t="inlineStr">
        <is>
          <t>Holmen skog AB</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9454-2025</t>
        </is>
      </c>
      <c r="B6308" s="1" t="n">
        <v>45715.43168981482</v>
      </c>
      <c r="C6308" s="1" t="n">
        <v>45911</v>
      </c>
      <c r="D6308" t="inlineStr">
        <is>
          <t>GÄVLEBORGS LÄN</t>
        </is>
      </c>
      <c r="E6308" t="inlineStr">
        <is>
          <t>GÄVLE</t>
        </is>
      </c>
      <c r="G6308" t="n">
        <v>3.4</v>
      </c>
      <c r="H6308" t="n">
        <v>0</v>
      </c>
      <c r="I6308" t="n">
        <v>0</v>
      </c>
      <c r="J6308" t="n">
        <v>0</v>
      </c>
      <c r="K6308" t="n">
        <v>0</v>
      </c>
      <c r="L6308" t="n">
        <v>0</v>
      </c>
      <c r="M6308" t="n">
        <v>0</v>
      </c>
      <c r="N6308" t="n">
        <v>0</v>
      </c>
      <c r="O6308" t="n">
        <v>0</v>
      </c>
      <c r="P6308" t="n">
        <v>0</v>
      </c>
      <c r="Q6308" t="n">
        <v>0</v>
      </c>
      <c r="R6308" s="2" t="inlineStr"/>
    </row>
    <row r="6309" ht="15" customHeight="1">
      <c r="A6309" t="inlineStr">
        <is>
          <t>A 35615-2025</t>
        </is>
      </c>
      <c r="B6309" s="1" t="n">
        <v>45859.38130787037</v>
      </c>
      <c r="C6309" s="1" t="n">
        <v>45911</v>
      </c>
      <c r="D6309" t="inlineStr">
        <is>
          <t>GÄVLEBORGS LÄN</t>
        </is>
      </c>
      <c r="E6309" t="inlineStr">
        <is>
          <t>LJUSDAL</t>
        </is>
      </c>
      <c r="F6309" t="inlineStr">
        <is>
          <t>Bergvik skog väst AB</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49786-2024</t>
        </is>
      </c>
      <c r="B6310" s="1" t="n">
        <v>45597.35850694445</v>
      </c>
      <c r="C6310" s="1" t="n">
        <v>45911</v>
      </c>
      <c r="D6310" t="inlineStr">
        <is>
          <t>GÄVLEBORGS LÄN</t>
        </is>
      </c>
      <c r="E6310" t="inlineStr">
        <is>
          <t>SÖDERHAMN</t>
        </is>
      </c>
      <c r="G6310" t="n">
        <v>0.4</v>
      </c>
      <c r="H6310" t="n">
        <v>0</v>
      </c>
      <c r="I6310" t="n">
        <v>0</v>
      </c>
      <c r="J6310" t="n">
        <v>0</v>
      </c>
      <c r="K6310" t="n">
        <v>0</v>
      </c>
      <c r="L6310" t="n">
        <v>0</v>
      </c>
      <c r="M6310" t="n">
        <v>0</v>
      </c>
      <c r="N6310" t="n">
        <v>0</v>
      </c>
      <c r="O6310" t="n">
        <v>0</v>
      </c>
      <c r="P6310" t="n">
        <v>0</v>
      </c>
      <c r="Q6310" t="n">
        <v>0</v>
      </c>
      <c r="R6310" s="2" t="inlineStr"/>
    </row>
    <row r="6311" ht="15" customHeight="1">
      <c r="A6311" t="inlineStr">
        <is>
          <t>A 17832-2025</t>
        </is>
      </c>
      <c r="B6311" s="1" t="n">
        <v>45758.58337962963</v>
      </c>
      <c r="C6311" s="1" t="n">
        <v>45911</v>
      </c>
      <c r="D6311" t="inlineStr">
        <is>
          <t>GÄVLEBORGS LÄN</t>
        </is>
      </c>
      <c r="E6311" t="inlineStr">
        <is>
          <t>OCKELBO</t>
        </is>
      </c>
      <c r="G6311" t="n">
        <v>5.7</v>
      </c>
      <c r="H6311" t="n">
        <v>0</v>
      </c>
      <c r="I6311" t="n">
        <v>0</v>
      </c>
      <c r="J6311" t="n">
        <v>0</v>
      </c>
      <c r="K6311" t="n">
        <v>0</v>
      </c>
      <c r="L6311" t="n">
        <v>0</v>
      </c>
      <c r="M6311" t="n">
        <v>0</v>
      </c>
      <c r="N6311" t="n">
        <v>0</v>
      </c>
      <c r="O6311" t="n">
        <v>0</v>
      </c>
      <c r="P6311" t="n">
        <v>0</v>
      </c>
      <c r="Q6311" t="n">
        <v>0</v>
      </c>
      <c r="R6311" s="2" t="inlineStr"/>
    </row>
    <row r="6312" ht="15" customHeight="1">
      <c r="A6312" t="inlineStr">
        <is>
          <t>A 42513-2022</t>
        </is>
      </c>
      <c r="B6312" s="1" t="n">
        <v>44831.59701388889</v>
      </c>
      <c r="C6312" s="1" t="n">
        <v>45911</v>
      </c>
      <c r="D6312" t="inlineStr">
        <is>
          <t>GÄVLEBORGS LÄN</t>
        </is>
      </c>
      <c r="E6312" t="inlineStr">
        <is>
          <t>BOLLNÄS</t>
        </is>
      </c>
      <c r="G6312" t="n">
        <v>6.3</v>
      </c>
      <c r="H6312" t="n">
        <v>0</v>
      </c>
      <c r="I6312" t="n">
        <v>0</v>
      </c>
      <c r="J6312" t="n">
        <v>0</v>
      </c>
      <c r="K6312" t="n">
        <v>0</v>
      </c>
      <c r="L6312" t="n">
        <v>0</v>
      </c>
      <c r="M6312" t="n">
        <v>0</v>
      </c>
      <c r="N6312" t="n">
        <v>0</v>
      </c>
      <c r="O6312" t="n">
        <v>0</v>
      </c>
      <c r="P6312" t="n">
        <v>0</v>
      </c>
      <c r="Q6312" t="n">
        <v>0</v>
      </c>
      <c r="R6312" s="2" t="inlineStr"/>
    </row>
    <row r="6313" ht="15" customHeight="1">
      <c r="A6313" t="inlineStr">
        <is>
          <t>A 41620-2025</t>
        </is>
      </c>
      <c r="B6313" s="1" t="n">
        <v>45901.70319444445</v>
      </c>
      <c r="C6313" s="1" t="n">
        <v>45911</v>
      </c>
      <c r="D6313" t="inlineStr">
        <is>
          <t>GÄVLEBORGS LÄN</t>
        </is>
      </c>
      <c r="E6313" t="inlineStr">
        <is>
          <t>HOFORS</t>
        </is>
      </c>
      <c r="F6313" t="inlineStr">
        <is>
          <t>Sveaskog</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18657-2023</t>
        </is>
      </c>
      <c r="B6314" s="1" t="n">
        <v>45043.5578587963</v>
      </c>
      <c r="C6314" s="1" t="n">
        <v>45911</v>
      </c>
      <c r="D6314" t="inlineStr">
        <is>
          <t>GÄVLEBORGS LÄN</t>
        </is>
      </c>
      <c r="E6314" t="inlineStr">
        <is>
          <t>HUDIKSVALL</t>
        </is>
      </c>
      <c r="F6314" t="inlineStr">
        <is>
          <t>Holmen skog AB</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6765-2025</t>
        </is>
      </c>
      <c r="B6315" s="1" t="n">
        <v>45700.63459490741</v>
      </c>
      <c r="C6315" s="1" t="n">
        <v>45911</v>
      </c>
      <c r="D6315" t="inlineStr">
        <is>
          <t>GÄVLEBORGS LÄN</t>
        </is>
      </c>
      <c r="E6315" t="inlineStr">
        <is>
          <t>SANDVIKEN</t>
        </is>
      </c>
      <c r="G6315" t="n">
        <v>7.1</v>
      </c>
      <c r="H6315" t="n">
        <v>0</v>
      </c>
      <c r="I6315" t="n">
        <v>0</v>
      </c>
      <c r="J6315" t="n">
        <v>0</v>
      </c>
      <c r="K6315" t="n">
        <v>0</v>
      </c>
      <c r="L6315" t="n">
        <v>0</v>
      </c>
      <c r="M6315" t="n">
        <v>0</v>
      </c>
      <c r="N6315" t="n">
        <v>0</v>
      </c>
      <c r="O6315" t="n">
        <v>0</v>
      </c>
      <c r="P6315" t="n">
        <v>0</v>
      </c>
      <c r="Q6315" t="n">
        <v>0</v>
      </c>
      <c r="R6315" s="2" t="inlineStr"/>
    </row>
    <row r="6316" ht="15" customHeight="1">
      <c r="A6316" t="inlineStr">
        <is>
          <t>A 6767-2025</t>
        </is>
      </c>
      <c r="B6316" s="1" t="n">
        <v>45700.63662037037</v>
      </c>
      <c r="C6316" s="1" t="n">
        <v>45911</v>
      </c>
      <c r="D6316" t="inlineStr">
        <is>
          <t>GÄVLEBORGS LÄN</t>
        </is>
      </c>
      <c r="E6316" t="inlineStr">
        <is>
          <t>BOLLNÄS</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41457-2025</t>
        </is>
      </c>
      <c r="B6317" s="1" t="n">
        <v>45901.44706018519</v>
      </c>
      <c r="C6317" s="1" t="n">
        <v>45911</v>
      </c>
      <c r="D6317" t="inlineStr">
        <is>
          <t>GÄVLEBORGS LÄN</t>
        </is>
      </c>
      <c r="E6317" t="inlineStr">
        <is>
          <t>LJUSDAL</t>
        </is>
      </c>
      <c r="F6317" t="inlineStr">
        <is>
          <t>Bergvik skog väst AB</t>
        </is>
      </c>
      <c r="G6317" t="n">
        <v>3.2</v>
      </c>
      <c r="H6317" t="n">
        <v>0</v>
      </c>
      <c r="I6317" t="n">
        <v>0</v>
      </c>
      <c r="J6317" t="n">
        <v>0</v>
      </c>
      <c r="K6317" t="n">
        <v>0</v>
      </c>
      <c r="L6317" t="n">
        <v>0</v>
      </c>
      <c r="M6317" t="n">
        <v>0</v>
      </c>
      <c r="N6317" t="n">
        <v>0</v>
      </c>
      <c r="O6317" t="n">
        <v>0</v>
      </c>
      <c r="P6317" t="n">
        <v>0</v>
      </c>
      <c r="Q6317" t="n">
        <v>0</v>
      </c>
      <c r="R6317" s="2" t="inlineStr"/>
    </row>
    <row r="6318" ht="15" customHeight="1">
      <c r="A6318" t="inlineStr">
        <is>
          <t>A 16224-2025</t>
        </is>
      </c>
      <c r="B6318" s="1" t="n">
        <v>45750</v>
      </c>
      <c r="C6318" s="1" t="n">
        <v>45911</v>
      </c>
      <c r="D6318" t="inlineStr">
        <is>
          <t>GÄVLEBORGS LÄN</t>
        </is>
      </c>
      <c r="E6318" t="inlineStr">
        <is>
          <t>SÖDERHAMN</t>
        </is>
      </c>
      <c r="G6318" t="n">
        <v>2.3</v>
      </c>
      <c r="H6318" t="n">
        <v>0</v>
      </c>
      <c r="I6318" t="n">
        <v>0</v>
      </c>
      <c r="J6318" t="n">
        <v>0</v>
      </c>
      <c r="K6318" t="n">
        <v>0</v>
      </c>
      <c r="L6318" t="n">
        <v>0</v>
      </c>
      <c r="M6318" t="n">
        <v>0</v>
      </c>
      <c r="N6318" t="n">
        <v>0</v>
      </c>
      <c r="O6318" t="n">
        <v>0</v>
      </c>
      <c r="P6318" t="n">
        <v>0</v>
      </c>
      <c r="Q6318" t="n">
        <v>0</v>
      </c>
      <c r="R6318" s="2" t="inlineStr"/>
    </row>
    <row r="6319" ht="15" customHeight="1">
      <c r="A6319" t="inlineStr">
        <is>
          <t>A 16235-2025</t>
        </is>
      </c>
      <c r="B6319" s="1" t="n">
        <v>45750.65936342593</v>
      </c>
      <c r="C6319" s="1" t="n">
        <v>45911</v>
      </c>
      <c r="D6319" t="inlineStr">
        <is>
          <t>GÄVLEBORGS LÄN</t>
        </is>
      </c>
      <c r="E6319" t="inlineStr">
        <is>
          <t>SÖDERHAMN</t>
        </is>
      </c>
      <c r="F6319" t="inlineStr">
        <is>
          <t>Kommuner</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41408-2025</t>
        </is>
      </c>
      <c r="B6320" s="1" t="n">
        <v>45901.34625</v>
      </c>
      <c r="C6320" s="1" t="n">
        <v>45911</v>
      </c>
      <c r="D6320" t="inlineStr">
        <is>
          <t>GÄVLEBORGS LÄN</t>
        </is>
      </c>
      <c r="E6320" t="inlineStr">
        <is>
          <t>BOLLNÄS</t>
        </is>
      </c>
      <c r="F6320" t="inlineStr">
        <is>
          <t>Kyrkan</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16462-2025</t>
        </is>
      </c>
      <c r="B6321" s="1" t="n">
        <v>45751.53453703703</v>
      </c>
      <c r="C6321" s="1" t="n">
        <v>45911</v>
      </c>
      <c r="D6321" t="inlineStr">
        <is>
          <t>GÄVLEBORGS LÄN</t>
        </is>
      </c>
      <c r="E6321" t="inlineStr">
        <is>
          <t>OVANÅKER</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41750-2024</t>
        </is>
      </c>
      <c r="B6322" s="1" t="n">
        <v>45561</v>
      </c>
      <c r="C6322" s="1" t="n">
        <v>45911</v>
      </c>
      <c r="D6322" t="inlineStr">
        <is>
          <t>GÄVLEBORGS LÄN</t>
        </is>
      </c>
      <c r="E6322" t="inlineStr">
        <is>
          <t>HUDIKSVALL</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16911-2025</t>
        </is>
      </c>
      <c r="B6323" s="1" t="n">
        <v>45755.36253472222</v>
      </c>
      <c r="C6323" s="1" t="n">
        <v>45911</v>
      </c>
      <c r="D6323" t="inlineStr">
        <is>
          <t>GÄVLEBORGS LÄN</t>
        </is>
      </c>
      <c r="E6323" t="inlineStr">
        <is>
          <t>OVANÅKER</t>
        </is>
      </c>
      <c r="G6323" t="n">
        <v>2.8</v>
      </c>
      <c r="H6323" t="n">
        <v>0</v>
      </c>
      <c r="I6323" t="n">
        <v>0</v>
      </c>
      <c r="J6323" t="n">
        <v>0</v>
      </c>
      <c r="K6323" t="n">
        <v>0</v>
      </c>
      <c r="L6323" t="n">
        <v>0</v>
      </c>
      <c r="M6323" t="n">
        <v>0</v>
      </c>
      <c r="N6323" t="n">
        <v>0</v>
      </c>
      <c r="O6323" t="n">
        <v>0</v>
      </c>
      <c r="P6323" t="n">
        <v>0</v>
      </c>
      <c r="Q6323" t="n">
        <v>0</v>
      </c>
      <c r="R6323" s="2" t="inlineStr"/>
    </row>
    <row r="6324" ht="15" customHeight="1">
      <c r="A6324" t="inlineStr">
        <is>
          <t>A 599-2023</t>
        </is>
      </c>
      <c r="B6324" s="1" t="n">
        <v>44930.56699074074</v>
      </c>
      <c r="C6324" s="1" t="n">
        <v>45911</v>
      </c>
      <c r="D6324" t="inlineStr">
        <is>
          <t>GÄVLEBORGS LÄN</t>
        </is>
      </c>
      <c r="E6324" t="inlineStr">
        <is>
          <t>LJUSDAL</t>
        </is>
      </c>
      <c r="F6324" t="inlineStr">
        <is>
          <t>Holmen skog AB</t>
        </is>
      </c>
      <c r="G6324" t="n">
        <v>7.9</v>
      </c>
      <c r="H6324" t="n">
        <v>0</v>
      </c>
      <c r="I6324" t="n">
        <v>0</v>
      </c>
      <c r="J6324" t="n">
        <v>0</v>
      </c>
      <c r="K6324" t="n">
        <v>0</v>
      </c>
      <c r="L6324" t="n">
        <v>0</v>
      </c>
      <c r="M6324" t="n">
        <v>0</v>
      </c>
      <c r="N6324" t="n">
        <v>0</v>
      </c>
      <c r="O6324" t="n">
        <v>0</v>
      </c>
      <c r="P6324" t="n">
        <v>0</v>
      </c>
      <c r="Q6324" t="n">
        <v>0</v>
      </c>
      <c r="R6324" s="2" t="inlineStr"/>
    </row>
    <row r="6325" ht="15" customHeight="1">
      <c r="A6325" t="inlineStr">
        <is>
          <t>A 36779-2022</t>
        </is>
      </c>
      <c r="B6325" s="1" t="n">
        <v>44805</v>
      </c>
      <c r="C6325" s="1" t="n">
        <v>45911</v>
      </c>
      <c r="D6325" t="inlineStr">
        <is>
          <t>GÄVLEBORGS LÄN</t>
        </is>
      </c>
      <c r="E6325" t="inlineStr">
        <is>
          <t>OCKELBO</t>
        </is>
      </c>
      <c r="G6325" t="n">
        <v>5.2</v>
      </c>
      <c r="H6325" t="n">
        <v>0</v>
      </c>
      <c r="I6325" t="n">
        <v>0</v>
      </c>
      <c r="J6325" t="n">
        <v>0</v>
      </c>
      <c r="K6325" t="n">
        <v>0</v>
      </c>
      <c r="L6325" t="n">
        <v>0</v>
      </c>
      <c r="M6325" t="n">
        <v>0</v>
      </c>
      <c r="N6325" t="n">
        <v>0</v>
      </c>
      <c r="O6325" t="n">
        <v>0</v>
      </c>
      <c r="P6325" t="n">
        <v>0</v>
      </c>
      <c r="Q6325" t="n">
        <v>0</v>
      </c>
      <c r="R6325" s="2" t="inlineStr"/>
    </row>
    <row r="6326" ht="15" customHeight="1">
      <c r="A6326" t="inlineStr">
        <is>
          <t>A 9546-2025</t>
        </is>
      </c>
      <c r="B6326" s="1" t="n">
        <v>45715.59042824074</v>
      </c>
      <c r="C6326" s="1" t="n">
        <v>45911</v>
      </c>
      <c r="D6326" t="inlineStr">
        <is>
          <t>GÄVLEBORGS LÄN</t>
        </is>
      </c>
      <c r="E6326" t="inlineStr">
        <is>
          <t>HUDIKSVALL</t>
        </is>
      </c>
      <c r="F6326" t="inlineStr">
        <is>
          <t>Holmen skog AB</t>
        </is>
      </c>
      <c r="G6326" t="n">
        <v>29.4</v>
      </c>
      <c r="H6326" t="n">
        <v>0</v>
      </c>
      <c r="I6326" t="n">
        <v>0</v>
      </c>
      <c r="J6326" t="n">
        <v>0</v>
      </c>
      <c r="K6326" t="n">
        <v>0</v>
      </c>
      <c r="L6326" t="n">
        <v>0</v>
      </c>
      <c r="M6326" t="n">
        <v>0</v>
      </c>
      <c r="N6326" t="n">
        <v>0</v>
      </c>
      <c r="O6326" t="n">
        <v>0</v>
      </c>
      <c r="P6326" t="n">
        <v>0</v>
      </c>
      <c r="Q6326" t="n">
        <v>0</v>
      </c>
      <c r="R6326" s="2" t="inlineStr"/>
    </row>
    <row r="6327" ht="15" customHeight="1">
      <c r="A6327" t="inlineStr">
        <is>
          <t>A 61130-2022</t>
        </is>
      </c>
      <c r="B6327" s="1" t="n">
        <v>44915</v>
      </c>
      <c r="C6327" s="1" t="n">
        <v>45911</v>
      </c>
      <c r="D6327" t="inlineStr">
        <is>
          <t>GÄVLEBORGS LÄN</t>
        </is>
      </c>
      <c r="E6327" t="inlineStr">
        <is>
          <t>OCKELBO</t>
        </is>
      </c>
      <c r="G6327" t="n">
        <v>5.5</v>
      </c>
      <c r="H6327" t="n">
        <v>0</v>
      </c>
      <c r="I6327" t="n">
        <v>0</v>
      </c>
      <c r="J6327" t="n">
        <v>0</v>
      </c>
      <c r="K6327" t="n">
        <v>0</v>
      </c>
      <c r="L6327" t="n">
        <v>0</v>
      </c>
      <c r="M6327" t="n">
        <v>0</v>
      </c>
      <c r="N6327" t="n">
        <v>0</v>
      </c>
      <c r="O6327" t="n">
        <v>0</v>
      </c>
      <c r="P6327" t="n">
        <v>0</v>
      </c>
      <c r="Q6327" t="n">
        <v>0</v>
      </c>
      <c r="R6327" s="2" t="inlineStr"/>
    </row>
    <row r="6328" ht="15" customHeight="1">
      <c r="A6328" t="inlineStr">
        <is>
          <t>A 41682-2025</t>
        </is>
      </c>
      <c r="B6328" s="1" t="n">
        <v>45902.38340277778</v>
      </c>
      <c r="C6328" s="1" t="n">
        <v>45911</v>
      </c>
      <c r="D6328" t="inlineStr">
        <is>
          <t>GÄVLEBORGS LÄN</t>
        </is>
      </c>
      <c r="E6328" t="inlineStr">
        <is>
          <t>OVANÅKER</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41683-2025</t>
        </is>
      </c>
      <c r="B6329" s="1" t="n">
        <v>45902.38427083333</v>
      </c>
      <c r="C6329" s="1" t="n">
        <v>45911</v>
      </c>
      <c r="D6329" t="inlineStr">
        <is>
          <t>GÄVLEBORGS LÄN</t>
        </is>
      </c>
      <c r="E6329" t="inlineStr">
        <is>
          <t>GÄVLE</t>
        </is>
      </c>
      <c r="F6329" t="inlineStr">
        <is>
          <t>Bergvik skog väst AB</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29241-2022</t>
        </is>
      </c>
      <c r="B6330" s="1" t="n">
        <v>44750.61899305556</v>
      </c>
      <c r="C6330" s="1" t="n">
        <v>45911</v>
      </c>
      <c r="D6330" t="inlineStr">
        <is>
          <t>GÄVLEBORGS LÄN</t>
        </is>
      </c>
      <c r="E6330" t="inlineStr">
        <is>
          <t>BOLLNÄS</t>
        </is>
      </c>
      <c r="F6330" t="inlineStr">
        <is>
          <t>Sveaskog</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41057-2025</t>
        </is>
      </c>
      <c r="B6331" s="1" t="n">
        <v>45898</v>
      </c>
      <c r="C6331" s="1" t="n">
        <v>45911</v>
      </c>
      <c r="D6331" t="inlineStr">
        <is>
          <t>GÄVLEBORGS LÄN</t>
        </is>
      </c>
      <c r="E6331" t="inlineStr">
        <is>
          <t>BOLLNÄS</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41957-2023</t>
        </is>
      </c>
      <c r="B6332" s="1" t="n">
        <v>45177.35335648148</v>
      </c>
      <c r="C6332" s="1" t="n">
        <v>45911</v>
      </c>
      <c r="D6332" t="inlineStr">
        <is>
          <t>GÄVLEBORGS LÄN</t>
        </is>
      </c>
      <c r="E6332" t="inlineStr">
        <is>
          <t>NORDANSTIG</t>
        </is>
      </c>
      <c r="F6332" t="inlineStr">
        <is>
          <t>Holmen skog AB</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41994-2024</t>
        </is>
      </c>
      <c r="B6333" s="1" t="n">
        <v>45561.64641203704</v>
      </c>
      <c r="C6333" s="1" t="n">
        <v>45911</v>
      </c>
      <c r="D6333" t="inlineStr">
        <is>
          <t>GÄVLEBORGS LÄN</t>
        </is>
      </c>
      <c r="E6333" t="inlineStr">
        <is>
          <t>LJUSDAL</t>
        </is>
      </c>
      <c r="G6333" t="n">
        <v>0.4</v>
      </c>
      <c r="H6333" t="n">
        <v>0</v>
      </c>
      <c r="I6333" t="n">
        <v>0</v>
      </c>
      <c r="J6333" t="n">
        <v>0</v>
      </c>
      <c r="K6333" t="n">
        <v>0</v>
      </c>
      <c r="L6333" t="n">
        <v>0</v>
      </c>
      <c r="M6333" t="n">
        <v>0</v>
      </c>
      <c r="N6333" t="n">
        <v>0</v>
      </c>
      <c r="O6333" t="n">
        <v>0</v>
      </c>
      <c r="P6333" t="n">
        <v>0</v>
      </c>
      <c r="Q6333" t="n">
        <v>0</v>
      </c>
      <c r="R6333" s="2" t="inlineStr"/>
    </row>
    <row r="6334" ht="15" customHeight="1">
      <c r="A6334" t="inlineStr">
        <is>
          <t>A 56277-2024</t>
        </is>
      </c>
      <c r="B6334" s="1" t="n">
        <v>45624.66956018518</v>
      </c>
      <c r="C6334" s="1" t="n">
        <v>45911</v>
      </c>
      <c r="D6334" t="inlineStr">
        <is>
          <t>GÄVLEBORGS LÄN</t>
        </is>
      </c>
      <c r="E6334" t="inlineStr">
        <is>
          <t>HUDIKSVALL</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56280-2024</t>
        </is>
      </c>
      <c r="B6335" s="1" t="n">
        <v>45624.67489583333</v>
      </c>
      <c r="C6335" s="1" t="n">
        <v>45911</v>
      </c>
      <c r="D6335" t="inlineStr">
        <is>
          <t>GÄVLEBORGS LÄN</t>
        </is>
      </c>
      <c r="E6335" t="inlineStr">
        <is>
          <t>NORDANSTIG</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56281-2024</t>
        </is>
      </c>
      <c r="B6336" s="1" t="n">
        <v>45624.6768287037</v>
      </c>
      <c r="C6336" s="1" t="n">
        <v>45911</v>
      </c>
      <c r="D6336" t="inlineStr">
        <is>
          <t>GÄVLEBORGS LÄN</t>
        </is>
      </c>
      <c r="E6336" t="inlineStr">
        <is>
          <t>NORDANSTIG</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39107-2022</t>
        </is>
      </c>
      <c r="B6337" s="1" t="n">
        <v>44817.43700231481</v>
      </c>
      <c r="C6337" s="1" t="n">
        <v>45911</v>
      </c>
      <c r="D6337" t="inlineStr">
        <is>
          <t>GÄVLEBORGS LÄN</t>
        </is>
      </c>
      <c r="E6337" t="inlineStr">
        <is>
          <t>GÄVLE</t>
        </is>
      </c>
      <c r="F6337" t="inlineStr">
        <is>
          <t>Bergvik skog väst AB</t>
        </is>
      </c>
      <c r="G6337" t="n">
        <v>4.2</v>
      </c>
      <c r="H6337" t="n">
        <v>0</v>
      </c>
      <c r="I6337" t="n">
        <v>0</v>
      </c>
      <c r="J6337" t="n">
        <v>0</v>
      </c>
      <c r="K6337" t="n">
        <v>0</v>
      </c>
      <c r="L6337" t="n">
        <v>0</v>
      </c>
      <c r="M6337" t="n">
        <v>0</v>
      </c>
      <c r="N6337" t="n">
        <v>0</v>
      </c>
      <c r="O6337" t="n">
        <v>0</v>
      </c>
      <c r="P6337" t="n">
        <v>0</v>
      </c>
      <c r="Q6337" t="n">
        <v>0</v>
      </c>
      <c r="R6337" s="2" t="inlineStr"/>
    </row>
    <row r="6338" ht="15" customHeight="1">
      <c r="A6338" t="inlineStr">
        <is>
          <t>A 58431-2021</t>
        </is>
      </c>
      <c r="B6338" s="1" t="n">
        <v>44488</v>
      </c>
      <c r="C6338" s="1" t="n">
        <v>45911</v>
      </c>
      <c r="D6338" t="inlineStr">
        <is>
          <t>GÄVLEBORGS LÄN</t>
        </is>
      </c>
      <c r="E6338" t="inlineStr">
        <is>
          <t>BOLLNÄS</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37792-2022</t>
        </is>
      </c>
      <c r="B6339" s="1" t="n">
        <v>44810.68939814815</v>
      </c>
      <c r="C6339" s="1" t="n">
        <v>45911</v>
      </c>
      <c r="D6339" t="inlineStr">
        <is>
          <t>GÄVLEBORGS LÄN</t>
        </is>
      </c>
      <c r="E6339" t="inlineStr">
        <is>
          <t>LJUSDAL</t>
        </is>
      </c>
      <c r="G6339" t="n">
        <v>3.4</v>
      </c>
      <c r="H6339" t="n">
        <v>0</v>
      </c>
      <c r="I6339" t="n">
        <v>0</v>
      </c>
      <c r="J6339" t="n">
        <v>0</v>
      </c>
      <c r="K6339" t="n">
        <v>0</v>
      </c>
      <c r="L6339" t="n">
        <v>0</v>
      </c>
      <c r="M6339" t="n">
        <v>0</v>
      </c>
      <c r="N6339" t="n">
        <v>0</v>
      </c>
      <c r="O6339" t="n">
        <v>0</v>
      </c>
      <c r="P6339" t="n">
        <v>0</v>
      </c>
      <c r="Q6339" t="n">
        <v>0</v>
      </c>
      <c r="R6339" s="2" t="inlineStr"/>
    </row>
    <row r="6340" ht="15" customHeight="1">
      <c r="A6340" t="inlineStr">
        <is>
          <t>A 41684-2025</t>
        </is>
      </c>
      <c r="B6340" s="1" t="n">
        <v>45902.38506944444</v>
      </c>
      <c r="C6340" s="1" t="n">
        <v>45911</v>
      </c>
      <c r="D6340" t="inlineStr">
        <is>
          <t>GÄVLEBORGS LÄN</t>
        </is>
      </c>
      <c r="E6340" t="inlineStr">
        <is>
          <t>OVANÅKER</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2688-2025</t>
        </is>
      </c>
      <c r="B6341" s="1" t="n">
        <v>45677.37628472222</v>
      </c>
      <c r="C6341" s="1" t="n">
        <v>45911</v>
      </c>
      <c r="D6341" t="inlineStr">
        <is>
          <t>GÄVLEBORGS LÄN</t>
        </is>
      </c>
      <c r="E6341" t="inlineStr">
        <is>
          <t>HUDIKSVALL</t>
        </is>
      </c>
      <c r="F6341" t="inlineStr">
        <is>
          <t>Holmen skog AB</t>
        </is>
      </c>
      <c r="G6341" t="n">
        <v>7.4</v>
      </c>
      <c r="H6341" t="n">
        <v>0</v>
      </c>
      <c r="I6341" t="n">
        <v>0</v>
      </c>
      <c r="J6341" t="n">
        <v>0</v>
      </c>
      <c r="K6341" t="n">
        <v>0</v>
      </c>
      <c r="L6341" t="n">
        <v>0</v>
      </c>
      <c r="M6341" t="n">
        <v>0</v>
      </c>
      <c r="N6341" t="n">
        <v>0</v>
      </c>
      <c r="O6341" t="n">
        <v>0</v>
      </c>
      <c r="P6341" t="n">
        <v>0</v>
      </c>
      <c r="Q6341" t="n">
        <v>0</v>
      </c>
      <c r="R6341" s="2" t="inlineStr"/>
    </row>
    <row r="6342" ht="15" customHeight="1">
      <c r="A6342" t="inlineStr">
        <is>
          <t>A 49656-2024</t>
        </is>
      </c>
      <c r="B6342" s="1" t="n">
        <v>45596.6178125</v>
      </c>
      <c r="C6342" s="1" t="n">
        <v>45911</v>
      </c>
      <c r="D6342" t="inlineStr">
        <is>
          <t>GÄVLEBORGS LÄN</t>
        </is>
      </c>
      <c r="E6342" t="inlineStr">
        <is>
          <t>SANDVIKEN</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28892-2023</t>
        </is>
      </c>
      <c r="B6343" s="1" t="n">
        <v>45104.49465277778</v>
      </c>
      <c r="C6343" s="1" t="n">
        <v>45911</v>
      </c>
      <c r="D6343" t="inlineStr">
        <is>
          <t>GÄVLEBORGS LÄN</t>
        </is>
      </c>
      <c r="E6343" t="inlineStr">
        <is>
          <t>LJUSDAL</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31317-2023</t>
        </is>
      </c>
      <c r="B6344" s="1" t="n">
        <v>45103</v>
      </c>
      <c r="C6344" s="1" t="n">
        <v>45911</v>
      </c>
      <c r="D6344" t="inlineStr">
        <is>
          <t>GÄVLEBORGS LÄN</t>
        </is>
      </c>
      <c r="E6344" t="inlineStr">
        <is>
          <t>SANDVIKEN</t>
        </is>
      </c>
      <c r="G6344" t="n">
        <v>0.4</v>
      </c>
      <c r="H6344" t="n">
        <v>0</v>
      </c>
      <c r="I6344" t="n">
        <v>0</v>
      </c>
      <c r="J6344" t="n">
        <v>0</v>
      </c>
      <c r="K6344" t="n">
        <v>0</v>
      </c>
      <c r="L6344" t="n">
        <v>0</v>
      </c>
      <c r="M6344" t="n">
        <v>0</v>
      </c>
      <c r="N6344" t="n">
        <v>0</v>
      </c>
      <c r="O6344" t="n">
        <v>0</v>
      </c>
      <c r="P6344" t="n">
        <v>0</v>
      </c>
      <c r="Q6344" t="n">
        <v>0</v>
      </c>
      <c r="R6344" s="2" t="inlineStr"/>
    </row>
    <row r="6345" ht="15" customHeight="1">
      <c r="A6345" t="inlineStr">
        <is>
          <t>A 42247-2025</t>
        </is>
      </c>
      <c r="B6345" s="1" t="n">
        <v>45904.57777777778</v>
      </c>
      <c r="C6345" s="1" t="n">
        <v>45911</v>
      </c>
      <c r="D6345" t="inlineStr">
        <is>
          <t>GÄVLEBORGS LÄN</t>
        </is>
      </c>
      <c r="E6345" t="inlineStr">
        <is>
          <t>GÄVLE</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11947-2025</t>
        </is>
      </c>
      <c r="B6346" s="1" t="n">
        <v>45728.55201388889</v>
      </c>
      <c r="C6346" s="1" t="n">
        <v>45911</v>
      </c>
      <c r="D6346" t="inlineStr">
        <is>
          <t>GÄVLEBORGS LÄN</t>
        </is>
      </c>
      <c r="E6346" t="inlineStr">
        <is>
          <t>OVANÅKER</t>
        </is>
      </c>
      <c r="G6346" t="n">
        <v>5.5</v>
      </c>
      <c r="H6346" t="n">
        <v>0</v>
      </c>
      <c r="I6346" t="n">
        <v>0</v>
      </c>
      <c r="J6346" t="n">
        <v>0</v>
      </c>
      <c r="K6346" t="n">
        <v>0</v>
      </c>
      <c r="L6346" t="n">
        <v>0</v>
      </c>
      <c r="M6346" t="n">
        <v>0</v>
      </c>
      <c r="N6346" t="n">
        <v>0</v>
      </c>
      <c r="O6346" t="n">
        <v>0</v>
      </c>
      <c r="P6346" t="n">
        <v>0</v>
      </c>
      <c r="Q6346" t="n">
        <v>0</v>
      </c>
      <c r="R6346" s="2" t="inlineStr"/>
    </row>
    <row r="6347" ht="15" customHeight="1">
      <c r="A6347" t="inlineStr">
        <is>
          <t>A 35805-2024</t>
        </is>
      </c>
      <c r="B6347" s="1" t="n">
        <v>45532</v>
      </c>
      <c r="C6347" s="1" t="n">
        <v>45911</v>
      </c>
      <c r="D6347" t="inlineStr">
        <is>
          <t>GÄVLEBORGS LÄN</t>
        </is>
      </c>
      <c r="E6347" t="inlineStr">
        <is>
          <t>HUDIKSVALL</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18731-2024</t>
        </is>
      </c>
      <c r="B6348" s="1" t="n">
        <v>45426</v>
      </c>
      <c r="C6348" s="1" t="n">
        <v>45911</v>
      </c>
      <c r="D6348" t="inlineStr">
        <is>
          <t>GÄVLEBORGS LÄN</t>
        </is>
      </c>
      <c r="E6348" t="inlineStr">
        <is>
          <t>LJUSDAL</t>
        </is>
      </c>
      <c r="F6348" t="inlineStr">
        <is>
          <t>Sveaskog</t>
        </is>
      </c>
      <c r="G6348" t="n">
        <v>6.8</v>
      </c>
      <c r="H6348" t="n">
        <v>0</v>
      </c>
      <c r="I6348" t="n">
        <v>0</v>
      </c>
      <c r="J6348" t="n">
        <v>0</v>
      </c>
      <c r="K6348" t="n">
        <v>0</v>
      </c>
      <c r="L6348" t="n">
        <v>0</v>
      </c>
      <c r="M6348" t="n">
        <v>0</v>
      </c>
      <c r="N6348" t="n">
        <v>0</v>
      </c>
      <c r="O6348" t="n">
        <v>0</v>
      </c>
      <c r="P6348" t="n">
        <v>0</v>
      </c>
      <c r="Q6348" t="n">
        <v>0</v>
      </c>
      <c r="R6348" s="2" t="inlineStr"/>
    </row>
    <row r="6349" ht="15" customHeight="1">
      <c r="A6349" t="inlineStr">
        <is>
          <t>A 18734-2024</t>
        </is>
      </c>
      <c r="B6349" s="1" t="n">
        <v>45426.48722222223</v>
      </c>
      <c r="C6349" s="1" t="n">
        <v>45911</v>
      </c>
      <c r="D6349" t="inlineStr">
        <is>
          <t>GÄVLEBORGS LÄN</t>
        </is>
      </c>
      <c r="E6349" t="inlineStr">
        <is>
          <t>LJUSDAL</t>
        </is>
      </c>
      <c r="F6349" t="inlineStr">
        <is>
          <t>Sveaskog</t>
        </is>
      </c>
      <c r="G6349" t="n">
        <v>3.6</v>
      </c>
      <c r="H6349" t="n">
        <v>0</v>
      </c>
      <c r="I6349" t="n">
        <v>0</v>
      </c>
      <c r="J6349" t="n">
        <v>0</v>
      </c>
      <c r="K6349" t="n">
        <v>0</v>
      </c>
      <c r="L6349" t="n">
        <v>0</v>
      </c>
      <c r="M6349" t="n">
        <v>0</v>
      </c>
      <c r="N6349" t="n">
        <v>0</v>
      </c>
      <c r="O6349" t="n">
        <v>0</v>
      </c>
      <c r="P6349" t="n">
        <v>0</v>
      </c>
      <c r="Q6349" t="n">
        <v>0</v>
      </c>
      <c r="R6349" s="2" t="inlineStr"/>
    </row>
    <row r="6350" ht="15" customHeight="1">
      <c r="A6350" t="inlineStr">
        <is>
          <t>A 42263-2025</t>
        </is>
      </c>
      <c r="B6350" s="1" t="n">
        <v>45904.59862268518</v>
      </c>
      <c r="C6350" s="1" t="n">
        <v>45911</v>
      </c>
      <c r="D6350" t="inlineStr">
        <is>
          <t>GÄVLEBORGS LÄN</t>
        </is>
      </c>
      <c r="E6350" t="inlineStr">
        <is>
          <t>OVANÅKER</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42272-2025</t>
        </is>
      </c>
      <c r="B6351" s="1" t="n">
        <v>45904.60482638889</v>
      </c>
      <c r="C6351" s="1" t="n">
        <v>45911</v>
      </c>
      <c r="D6351" t="inlineStr">
        <is>
          <t>GÄVLEBORGS LÄN</t>
        </is>
      </c>
      <c r="E6351" t="inlineStr">
        <is>
          <t>OVANÅKER</t>
        </is>
      </c>
      <c r="G6351" t="n">
        <v>0.3</v>
      </c>
      <c r="H6351" t="n">
        <v>0</v>
      </c>
      <c r="I6351" t="n">
        <v>0</v>
      </c>
      <c r="J6351" t="n">
        <v>0</v>
      </c>
      <c r="K6351" t="n">
        <v>0</v>
      </c>
      <c r="L6351" t="n">
        <v>0</v>
      </c>
      <c r="M6351" t="n">
        <v>0</v>
      </c>
      <c r="N6351" t="n">
        <v>0</v>
      </c>
      <c r="O6351" t="n">
        <v>0</v>
      </c>
      <c r="P6351" t="n">
        <v>0</v>
      </c>
      <c r="Q6351" t="n">
        <v>0</v>
      </c>
      <c r="R6351" s="2" t="inlineStr"/>
    </row>
    <row r="6352" ht="15" customHeight="1">
      <c r="A6352" t="inlineStr">
        <is>
          <t>A 13853-2025</t>
        </is>
      </c>
      <c r="B6352" s="1" t="n">
        <v>45737.56875</v>
      </c>
      <c r="C6352" s="1" t="n">
        <v>45911</v>
      </c>
      <c r="D6352" t="inlineStr">
        <is>
          <t>GÄVLEBORGS LÄN</t>
        </is>
      </c>
      <c r="E6352" t="inlineStr">
        <is>
          <t>HUDIKSVALL</t>
        </is>
      </c>
      <c r="G6352" t="n">
        <v>7</v>
      </c>
      <c r="H6352" t="n">
        <v>0</v>
      </c>
      <c r="I6352" t="n">
        <v>0</v>
      </c>
      <c r="J6352" t="n">
        <v>0</v>
      </c>
      <c r="K6352" t="n">
        <v>0</v>
      </c>
      <c r="L6352" t="n">
        <v>0</v>
      </c>
      <c r="M6352" t="n">
        <v>0</v>
      </c>
      <c r="N6352" t="n">
        <v>0</v>
      </c>
      <c r="O6352" t="n">
        <v>0</v>
      </c>
      <c r="P6352" t="n">
        <v>0</v>
      </c>
      <c r="Q6352" t="n">
        <v>0</v>
      </c>
      <c r="R6352" s="2" t="inlineStr"/>
    </row>
    <row r="6353" ht="15" customHeight="1">
      <c r="A6353" t="inlineStr">
        <is>
          <t>A 56502-2023</t>
        </is>
      </c>
      <c r="B6353" s="1" t="n">
        <v>45243</v>
      </c>
      <c r="C6353" s="1" t="n">
        <v>45911</v>
      </c>
      <c r="D6353" t="inlineStr">
        <is>
          <t>GÄVLEBORGS LÄN</t>
        </is>
      </c>
      <c r="E6353" t="inlineStr">
        <is>
          <t>SÖDERHAMN</t>
        </is>
      </c>
      <c r="G6353" t="n">
        <v>3.7</v>
      </c>
      <c r="H6353" t="n">
        <v>0</v>
      </c>
      <c r="I6353" t="n">
        <v>0</v>
      </c>
      <c r="J6353" t="n">
        <v>0</v>
      </c>
      <c r="K6353" t="n">
        <v>0</v>
      </c>
      <c r="L6353" t="n">
        <v>0</v>
      </c>
      <c r="M6353" t="n">
        <v>0</v>
      </c>
      <c r="N6353" t="n">
        <v>0</v>
      </c>
      <c r="O6353" t="n">
        <v>0</v>
      </c>
      <c r="P6353" t="n">
        <v>0</v>
      </c>
      <c r="Q6353" t="n">
        <v>0</v>
      </c>
      <c r="R6353" s="2" t="inlineStr"/>
    </row>
    <row r="6354" ht="15" customHeight="1">
      <c r="A6354" t="inlineStr">
        <is>
          <t>A 42210-2025</t>
        </is>
      </c>
      <c r="B6354" s="1" t="n">
        <v>45904.49702546297</v>
      </c>
      <c r="C6354" s="1" t="n">
        <v>45911</v>
      </c>
      <c r="D6354" t="inlineStr">
        <is>
          <t>GÄVLEBORGS LÄN</t>
        </is>
      </c>
      <c r="E6354" t="inlineStr">
        <is>
          <t>NORDANSTIG</t>
        </is>
      </c>
      <c r="G6354" t="n">
        <v>7</v>
      </c>
      <c r="H6354" t="n">
        <v>0</v>
      </c>
      <c r="I6354" t="n">
        <v>0</v>
      </c>
      <c r="J6354" t="n">
        <v>0</v>
      </c>
      <c r="K6354" t="n">
        <v>0</v>
      </c>
      <c r="L6354" t="n">
        <v>0</v>
      </c>
      <c r="M6354" t="n">
        <v>0</v>
      </c>
      <c r="N6354" t="n">
        <v>0</v>
      </c>
      <c r="O6354" t="n">
        <v>0</v>
      </c>
      <c r="P6354" t="n">
        <v>0</v>
      </c>
      <c r="Q6354" t="n">
        <v>0</v>
      </c>
      <c r="R6354" s="2" t="inlineStr"/>
    </row>
    <row r="6355" ht="15" customHeight="1">
      <c r="A6355" t="inlineStr">
        <is>
          <t>A 16023-2023</t>
        </is>
      </c>
      <c r="B6355" s="1" t="n">
        <v>45026</v>
      </c>
      <c r="C6355" s="1" t="n">
        <v>45911</v>
      </c>
      <c r="D6355" t="inlineStr">
        <is>
          <t>GÄVLEBORGS LÄN</t>
        </is>
      </c>
      <c r="E6355" t="inlineStr">
        <is>
          <t>GÄVLE</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12417-2025</t>
        </is>
      </c>
      <c r="B6356" s="1" t="n">
        <v>45730.44833333333</v>
      </c>
      <c r="C6356" s="1" t="n">
        <v>45911</v>
      </c>
      <c r="D6356" t="inlineStr">
        <is>
          <t>GÄVLEBORGS LÄN</t>
        </is>
      </c>
      <c r="E6356" t="inlineStr">
        <is>
          <t>SANDVIKEN</t>
        </is>
      </c>
      <c r="F6356" t="inlineStr">
        <is>
          <t>Bergvik skog öst AB</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58142-2024</t>
        </is>
      </c>
      <c r="B6357" s="1" t="n">
        <v>45632.43130787037</v>
      </c>
      <c r="C6357" s="1" t="n">
        <v>45911</v>
      </c>
      <c r="D6357" t="inlineStr">
        <is>
          <t>GÄVLEBORGS LÄN</t>
        </is>
      </c>
      <c r="E6357" t="inlineStr">
        <is>
          <t>SÖDERHAMN</t>
        </is>
      </c>
      <c r="F6357" t="inlineStr">
        <is>
          <t>Bergvik skog väst AB</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58156-2024</t>
        </is>
      </c>
      <c r="B6358" s="1" t="n">
        <v>45632.44497685185</v>
      </c>
      <c r="C6358" s="1" t="n">
        <v>45911</v>
      </c>
      <c r="D6358" t="inlineStr">
        <is>
          <t>GÄVLEBORGS LÄN</t>
        </is>
      </c>
      <c r="E6358" t="inlineStr">
        <is>
          <t>SÖDERHAMN</t>
        </is>
      </c>
      <c r="F6358" t="inlineStr">
        <is>
          <t>Bergvik skog väst AB</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4774-2025</t>
        </is>
      </c>
      <c r="B6359" s="1" t="n">
        <v>45688.50829861111</v>
      </c>
      <c r="C6359" s="1" t="n">
        <v>45911</v>
      </c>
      <c r="D6359" t="inlineStr">
        <is>
          <t>GÄVLEBORGS LÄN</t>
        </is>
      </c>
      <c r="E6359" t="inlineStr">
        <is>
          <t>HUDIKSVALL</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12418-2025</t>
        </is>
      </c>
      <c r="B6360" s="1" t="n">
        <v>45730.4502662037</v>
      </c>
      <c r="C6360" s="1" t="n">
        <v>45911</v>
      </c>
      <c r="D6360" t="inlineStr">
        <is>
          <t>GÄVLEBORGS LÄN</t>
        </is>
      </c>
      <c r="E6360" t="inlineStr">
        <is>
          <t>SANDVIKEN</t>
        </is>
      </c>
      <c r="F6360" t="inlineStr">
        <is>
          <t>Bergvik skog öst AB</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22179-2023</t>
        </is>
      </c>
      <c r="B6361" s="1" t="n">
        <v>45069</v>
      </c>
      <c r="C6361" s="1" t="n">
        <v>45911</v>
      </c>
      <c r="D6361" t="inlineStr">
        <is>
          <t>GÄVLEBORGS LÄN</t>
        </is>
      </c>
      <c r="E6361" t="inlineStr">
        <is>
          <t>OCKELBO</t>
        </is>
      </c>
      <c r="G6361" t="n">
        <v>6.7</v>
      </c>
      <c r="H6361" t="n">
        <v>0</v>
      </c>
      <c r="I6361" t="n">
        <v>0</v>
      </c>
      <c r="J6361" t="n">
        <v>0</v>
      </c>
      <c r="K6361" t="n">
        <v>0</v>
      </c>
      <c r="L6361" t="n">
        <v>0</v>
      </c>
      <c r="M6361" t="n">
        <v>0</v>
      </c>
      <c r="N6361" t="n">
        <v>0</v>
      </c>
      <c r="O6361" t="n">
        <v>0</v>
      </c>
      <c r="P6361" t="n">
        <v>0</v>
      </c>
      <c r="Q6361" t="n">
        <v>0</v>
      </c>
      <c r="R6361" s="2" t="inlineStr"/>
    </row>
    <row r="6362" ht="15" customHeight="1">
      <c r="A6362" t="inlineStr">
        <is>
          <t>A 41897-2025</t>
        </is>
      </c>
      <c r="B6362" s="1" t="n">
        <v>45903.39152777778</v>
      </c>
      <c r="C6362" s="1" t="n">
        <v>45911</v>
      </c>
      <c r="D6362" t="inlineStr">
        <is>
          <t>GÄVLEBORGS LÄN</t>
        </is>
      </c>
      <c r="E6362" t="inlineStr">
        <is>
          <t>OCKELBO</t>
        </is>
      </c>
      <c r="G6362" t="n">
        <v>4.7</v>
      </c>
      <c r="H6362" t="n">
        <v>0</v>
      </c>
      <c r="I6362" t="n">
        <v>0</v>
      </c>
      <c r="J6362" t="n">
        <v>0</v>
      </c>
      <c r="K6362" t="n">
        <v>0</v>
      </c>
      <c r="L6362" t="n">
        <v>0</v>
      </c>
      <c r="M6362" t="n">
        <v>0</v>
      </c>
      <c r="N6362" t="n">
        <v>0</v>
      </c>
      <c r="O6362" t="n">
        <v>0</v>
      </c>
      <c r="P6362" t="n">
        <v>0</v>
      </c>
      <c r="Q6362" t="n">
        <v>0</v>
      </c>
      <c r="R6362" s="2" t="inlineStr"/>
    </row>
    <row r="6363" ht="15" customHeight="1">
      <c r="A6363" t="inlineStr">
        <is>
          <t>A 42183-2025</t>
        </is>
      </c>
      <c r="B6363" s="1" t="n">
        <v>45904.45236111111</v>
      </c>
      <c r="C6363" s="1" t="n">
        <v>45911</v>
      </c>
      <c r="D6363" t="inlineStr">
        <is>
          <t>GÄVLEBORGS LÄN</t>
        </is>
      </c>
      <c r="E6363" t="inlineStr">
        <is>
          <t>LJUSDAL</t>
        </is>
      </c>
      <c r="F6363" t="inlineStr">
        <is>
          <t>Allmännings- och besparingsskogar</t>
        </is>
      </c>
      <c r="G6363" t="n">
        <v>7.6</v>
      </c>
      <c r="H6363" t="n">
        <v>0</v>
      </c>
      <c r="I6363" t="n">
        <v>0</v>
      </c>
      <c r="J6363" t="n">
        <v>0</v>
      </c>
      <c r="K6363" t="n">
        <v>0</v>
      </c>
      <c r="L6363" t="n">
        <v>0</v>
      </c>
      <c r="M6363" t="n">
        <v>0</v>
      </c>
      <c r="N6363" t="n">
        <v>0</v>
      </c>
      <c r="O6363" t="n">
        <v>0</v>
      </c>
      <c r="P6363" t="n">
        <v>0</v>
      </c>
      <c r="Q6363" t="n">
        <v>0</v>
      </c>
      <c r="R6363" s="2" t="inlineStr"/>
    </row>
    <row r="6364" ht="15" customHeight="1">
      <c r="A6364" t="inlineStr">
        <is>
          <t>A 36447-2024</t>
        </is>
      </c>
      <c r="B6364" s="1" t="n">
        <v>45537</v>
      </c>
      <c r="C6364" s="1" t="n">
        <v>45911</v>
      </c>
      <c r="D6364" t="inlineStr">
        <is>
          <t>GÄVLEBORGS LÄN</t>
        </is>
      </c>
      <c r="E6364" t="inlineStr">
        <is>
          <t>LJUSDAL</t>
        </is>
      </c>
      <c r="F6364" t="inlineStr">
        <is>
          <t>Sveaskog</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59237-2024</t>
        </is>
      </c>
      <c r="B6365" s="1" t="n">
        <v>45637.58819444444</v>
      </c>
      <c r="C6365" s="1" t="n">
        <v>45911</v>
      </c>
      <c r="D6365" t="inlineStr">
        <is>
          <t>GÄVLEBORGS LÄN</t>
        </is>
      </c>
      <c r="E6365" t="inlineStr">
        <is>
          <t>BOLLNÄS</t>
        </is>
      </c>
      <c r="G6365" t="n">
        <v>3.1</v>
      </c>
      <c r="H6365" t="n">
        <v>0</v>
      </c>
      <c r="I6365" t="n">
        <v>0</v>
      </c>
      <c r="J6365" t="n">
        <v>0</v>
      </c>
      <c r="K6365" t="n">
        <v>0</v>
      </c>
      <c r="L6365" t="n">
        <v>0</v>
      </c>
      <c r="M6365" t="n">
        <v>0</v>
      </c>
      <c r="N6365" t="n">
        <v>0</v>
      </c>
      <c r="O6365" t="n">
        <v>0</v>
      </c>
      <c r="P6365" t="n">
        <v>0</v>
      </c>
      <c r="Q6365" t="n">
        <v>0</v>
      </c>
      <c r="R6365" s="2" t="inlineStr"/>
    </row>
    <row r="6366" ht="15" customHeight="1">
      <c r="A6366" t="inlineStr">
        <is>
          <t>A 6468-2021</t>
        </is>
      </c>
      <c r="B6366" s="1" t="n">
        <v>44235</v>
      </c>
      <c r="C6366" s="1" t="n">
        <v>45911</v>
      </c>
      <c r="D6366" t="inlineStr">
        <is>
          <t>GÄVLEBORGS LÄN</t>
        </is>
      </c>
      <c r="E6366" t="inlineStr">
        <is>
          <t>GÄVLE</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53544-2023</t>
        </is>
      </c>
      <c r="B6367" s="1" t="n">
        <v>45230.46125</v>
      </c>
      <c r="C6367" s="1" t="n">
        <v>45911</v>
      </c>
      <c r="D6367" t="inlineStr">
        <is>
          <t>GÄVLEBORGS LÄN</t>
        </is>
      </c>
      <c r="E6367" t="inlineStr">
        <is>
          <t>LJUSDAL</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53553-2023</t>
        </is>
      </c>
      <c r="B6368" s="1" t="n">
        <v>45230</v>
      </c>
      <c r="C6368" s="1" t="n">
        <v>45911</v>
      </c>
      <c r="D6368" t="inlineStr">
        <is>
          <t>GÄVLEBORGS LÄN</t>
        </is>
      </c>
      <c r="E6368" t="inlineStr">
        <is>
          <t>HUDIKSVALL</t>
        </is>
      </c>
      <c r="F6368" t="inlineStr">
        <is>
          <t>Holmen skog AB</t>
        </is>
      </c>
      <c r="G6368" t="n">
        <v>5</v>
      </c>
      <c r="H6368" t="n">
        <v>0</v>
      </c>
      <c r="I6368" t="n">
        <v>0</v>
      </c>
      <c r="J6368" t="n">
        <v>0</v>
      </c>
      <c r="K6368" t="n">
        <v>0</v>
      </c>
      <c r="L6368" t="n">
        <v>0</v>
      </c>
      <c r="M6368" t="n">
        <v>0</v>
      </c>
      <c r="N6368" t="n">
        <v>0</v>
      </c>
      <c r="O6368" t="n">
        <v>0</v>
      </c>
      <c r="P6368" t="n">
        <v>0</v>
      </c>
      <c r="Q6368" t="n">
        <v>0</v>
      </c>
      <c r="R6368" s="2" t="inlineStr"/>
    </row>
    <row r="6369" ht="15" customHeight="1">
      <c r="A6369" t="inlineStr">
        <is>
          <t>A 26839-2024</t>
        </is>
      </c>
      <c r="B6369" s="1" t="n">
        <v>45470.57621527778</v>
      </c>
      <c r="C6369" s="1" t="n">
        <v>45911</v>
      </c>
      <c r="D6369" t="inlineStr">
        <is>
          <t>GÄVLEBORGS LÄN</t>
        </is>
      </c>
      <c r="E6369" t="inlineStr">
        <is>
          <t>SÖDERHAMN</t>
        </is>
      </c>
      <c r="F6369" t="inlineStr">
        <is>
          <t>Bergvik skog väst AB</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59252-2024</t>
        </is>
      </c>
      <c r="B6370" s="1" t="n">
        <v>45637.59668981482</v>
      </c>
      <c r="C6370" s="1" t="n">
        <v>45911</v>
      </c>
      <c r="D6370" t="inlineStr">
        <is>
          <t>GÄVLEBORGS LÄN</t>
        </is>
      </c>
      <c r="E6370" t="inlineStr">
        <is>
          <t>LJUSDAL</t>
        </is>
      </c>
      <c r="G6370" t="n">
        <v>0.2</v>
      </c>
      <c r="H6370" t="n">
        <v>0</v>
      </c>
      <c r="I6370" t="n">
        <v>0</v>
      </c>
      <c r="J6370" t="n">
        <v>0</v>
      </c>
      <c r="K6370" t="n">
        <v>0</v>
      </c>
      <c r="L6370" t="n">
        <v>0</v>
      </c>
      <c r="M6370" t="n">
        <v>0</v>
      </c>
      <c r="N6370" t="n">
        <v>0</v>
      </c>
      <c r="O6370" t="n">
        <v>0</v>
      </c>
      <c r="P6370" t="n">
        <v>0</v>
      </c>
      <c r="Q6370" t="n">
        <v>0</v>
      </c>
      <c r="R6370" s="2" t="inlineStr"/>
    </row>
    <row r="6371" ht="15" customHeight="1">
      <c r="A6371" t="inlineStr">
        <is>
          <t>A 42200-2025</t>
        </is>
      </c>
      <c r="B6371" s="1" t="n">
        <v>45904.48844907407</v>
      </c>
      <c r="C6371" s="1" t="n">
        <v>45911</v>
      </c>
      <c r="D6371" t="inlineStr">
        <is>
          <t>GÄVLEBORGS LÄN</t>
        </is>
      </c>
      <c r="E6371" t="inlineStr">
        <is>
          <t>NORDANSTIG</t>
        </is>
      </c>
      <c r="G6371" t="n">
        <v>6.6</v>
      </c>
      <c r="H6371" t="n">
        <v>0</v>
      </c>
      <c r="I6371" t="n">
        <v>0</v>
      </c>
      <c r="J6371" t="n">
        <v>0</v>
      </c>
      <c r="K6371" t="n">
        <v>0</v>
      </c>
      <c r="L6371" t="n">
        <v>0</v>
      </c>
      <c r="M6371" t="n">
        <v>0</v>
      </c>
      <c r="N6371" t="n">
        <v>0</v>
      </c>
      <c r="O6371" t="n">
        <v>0</v>
      </c>
      <c r="P6371" t="n">
        <v>0</v>
      </c>
      <c r="Q6371" t="n">
        <v>0</v>
      </c>
      <c r="R6371" s="2" t="inlineStr"/>
    </row>
    <row r="6372" ht="15" customHeight="1">
      <c r="A6372" t="inlineStr">
        <is>
          <t>A 47639-2021</t>
        </is>
      </c>
      <c r="B6372" s="1" t="n">
        <v>44448.3966087963</v>
      </c>
      <c r="C6372" s="1" t="n">
        <v>45911</v>
      </c>
      <c r="D6372" t="inlineStr">
        <is>
          <t>GÄVLEBORGS LÄN</t>
        </is>
      </c>
      <c r="E6372" t="inlineStr">
        <is>
          <t>HOFORS</t>
        </is>
      </c>
      <c r="G6372" t="n">
        <v>2.7</v>
      </c>
      <c r="H6372" t="n">
        <v>0</v>
      </c>
      <c r="I6372" t="n">
        <v>0</v>
      </c>
      <c r="J6372" t="n">
        <v>0</v>
      </c>
      <c r="K6372" t="n">
        <v>0</v>
      </c>
      <c r="L6372" t="n">
        <v>0</v>
      </c>
      <c r="M6372" t="n">
        <v>0</v>
      </c>
      <c r="N6372" t="n">
        <v>0</v>
      </c>
      <c r="O6372" t="n">
        <v>0</v>
      </c>
      <c r="P6372" t="n">
        <v>0</v>
      </c>
      <c r="Q6372" t="n">
        <v>0</v>
      </c>
      <c r="R6372" s="2" t="inlineStr"/>
    </row>
    <row r="6373" ht="15" customHeight="1">
      <c r="A6373" t="inlineStr">
        <is>
          <t>A 35825-2025</t>
        </is>
      </c>
      <c r="B6373" s="1" t="n">
        <v>45861.48847222222</v>
      </c>
      <c r="C6373" s="1" t="n">
        <v>45911</v>
      </c>
      <c r="D6373" t="inlineStr">
        <is>
          <t>GÄVLEBORGS LÄN</t>
        </is>
      </c>
      <c r="E6373" t="inlineStr">
        <is>
          <t>HUDIKSVALL</t>
        </is>
      </c>
      <c r="G6373" t="n">
        <v>5.9</v>
      </c>
      <c r="H6373" t="n">
        <v>0</v>
      </c>
      <c r="I6373" t="n">
        <v>0</v>
      </c>
      <c r="J6373" t="n">
        <v>0</v>
      </c>
      <c r="K6373" t="n">
        <v>0</v>
      </c>
      <c r="L6373" t="n">
        <v>0</v>
      </c>
      <c r="M6373" t="n">
        <v>0</v>
      </c>
      <c r="N6373" t="n">
        <v>0</v>
      </c>
      <c r="O6373" t="n">
        <v>0</v>
      </c>
      <c r="P6373" t="n">
        <v>0</v>
      </c>
      <c r="Q6373" t="n">
        <v>0</v>
      </c>
      <c r="R6373" s="2" t="inlineStr"/>
    </row>
    <row r="6374" ht="15" customHeight="1">
      <c r="A6374" t="inlineStr">
        <is>
          <t>A 11286-2022</t>
        </is>
      </c>
      <c r="B6374" s="1" t="n">
        <v>44629.92833333334</v>
      </c>
      <c r="C6374" s="1" t="n">
        <v>45911</v>
      </c>
      <c r="D6374" t="inlineStr">
        <is>
          <t>GÄVLEBORGS LÄN</t>
        </is>
      </c>
      <c r="E6374" t="inlineStr">
        <is>
          <t>LJUSDAL</t>
        </is>
      </c>
      <c r="G6374" t="n">
        <v>11.5</v>
      </c>
      <c r="H6374" t="n">
        <v>0</v>
      </c>
      <c r="I6374" t="n">
        <v>0</v>
      </c>
      <c r="J6374" t="n">
        <v>0</v>
      </c>
      <c r="K6374" t="n">
        <v>0</v>
      </c>
      <c r="L6374" t="n">
        <v>0</v>
      </c>
      <c r="M6374" t="n">
        <v>0</v>
      </c>
      <c r="N6374" t="n">
        <v>0</v>
      </c>
      <c r="O6374" t="n">
        <v>0</v>
      </c>
      <c r="P6374" t="n">
        <v>0</v>
      </c>
      <c r="Q6374" t="n">
        <v>0</v>
      </c>
      <c r="R6374" s="2" t="inlineStr"/>
    </row>
    <row r="6375" ht="15" customHeight="1">
      <c r="A6375" t="inlineStr">
        <is>
          <t>A 44281-2022</t>
        </is>
      </c>
      <c r="B6375" s="1" t="n">
        <v>44839</v>
      </c>
      <c r="C6375" s="1" t="n">
        <v>45911</v>
      </c>
      <c r="D6375" t="inlineStr">
        <is>
          <t>GÄVLEBORGS LÄN</t>
        </is>
      </c>
      <c r="E6375" t="inlineStr">
        <is>
          <t>OCKELBO</t>
        </is>
      </c>
      <c r="F6375" t="inlineStr">
        <is>
          <t>Bergvik skog väst AB</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19960-2025</t>
        </is>
      </c>
      <c r="B6376" s="1" t="n">
        <v>45771.66837962963</v>
      </c>
      <c r="C6376" s="1" t="n">
        <v>45911</v>
      </c>
      <c r="D6376" t="inlineStr">
        <is>
          <t>GÄVLEBORGS LÄN</t>
        </is>
      </c>
      <c r="E6376" t="inlineStr">
        <is>
          <t>OVANÅKER</t>
        </is>
      </c>
      <c r="G6376" t="n">
        <v>3.9</v>
      </c>
      <c r="H6376" t="n">
        <v>0</v>
      </c>
      <c r="I6376" t="n">
        <v>0</v>
      </c>
      <c r="J6376" t="n">
        <v>0</v>
      </c>
      <c r="K6376" t="n">
        <v>0</v>
      </c>
      <c r="L6376" t="n">
        <v>0</v>
      </c>
      <c r="M6376" t="n">
        <v>0</v>
      </c>
      <c r="N6376" t="n">
        <v>0</v>
      </c>
      <c r="O6376" t="n">
        <v>0</v>
      </c>
      <c r="P6376" t="n">
        <v>0</v>
      </c>
      <c r="Q6376" t="n">
        <v>0</v>
      </c>
      <c r="R6376" s="2" t="inlineStr"/>
    </row>
    <row r="6377" ht="15" customHeight="1">
      <c r="A6377" t="inlineStr">
        <is>
          <t>A 35840-2025</t>
        </is>
      </c>
      <c r="B6377" s="1" t="n">
        <v>45861.5499537037</v>
      </c>
      <c r="C6377" s="1" t="n">
        <v>45911</v>
      </c>
      <c r="D6377" t="inlineStr">
        <is>
          <t>GÄVLEBORGS LÄN</t>
        </is>
      </c>
      <c r="E6377" t="inlineStr">
        <is>
          <t>OVANÅKER</t>
        </is>
      </c>
      <c r="F6377" t="inlineStr">
        <is>
          <t>Bergvik skog väst AB</t>
        </is>
      </c>
      <c r="G6377" t="n">
        <v>3.4</v>
      </c>
      <c r="H6377" t="n">
        <v>0</v>
      </c>
      <c r="I6377" t="n">
        <v>0</v>
      </c>
      <c r="J6377" t="n">
        <v>0</v>
      </c>
      <c r="K6377" t="n">
        <v>0</v>
      </c>
      <c r="L6377" t="n">
        <v>0</v>
      </c>
      <c r="M6377" t="n">
        <v>0</v>
      </c>
      <c r="N6377" t="n">
        <v>0</v>
      </c>
      <c r="O6377" t="n">
        <v>0</v>
      </c>
      <c r="P6377" t="n">
        <v>0</v>
      </c>
      <c r="Q6377" t="n">
        <v>0</v>
      </c>
      <c r="R6377" s="2" t="inlineStr"/>
    </row>
    <row r="6378" ht="15" customHeight="1">
      <c r="A6378" t="inlineStr">
        <is>
          <t>A 5195-2025</t>
        </is>
      </c>
      <c r="B6378" s="1" t="n">
        <v>45691.65653935185</v>
      </c>
      <c r="C6378" s="1" t="n">
        <v>45911</v>
      </c>
      <c r="D6378" t="inlineStr">
        <is>
          <t>GÄVLEBORGS LÄN</t>
        </is>
      </c>
      <c r="E6378" t="inlineStr">
        <is>
          <t>HUDIKSVALL</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35868-2025</t>
        </is>
      </c>
      <c r="B6379" s="1" t="n">
        <v>45862.01456018518</v>
      </c>
      <c r="C6379" s="1" t="n">
        <v>45911</v>
      </c>
      <c r="D6379" t="inlineStr">
        <is>
          <t>GÄVLEBORGS LÄN</t>
        </is>
      </c>
      <c r="E6379" t="inlineStr">
        <is>
          <t>NORDANSTIG</t>
        </is>
      </c>
      <c r="G6379" t="n">
        <v>3</v>
      </c>
      <c r="H6379" t="n">
        <v>0</v>
      </c>
      <c r="I6379" t="n">
        <v>0</v>
      </c>
      <c r="J6379" t="n">
        <v>0</v>
      </c>
      <c r="K6379" t="n">
        <v>0</v>
      </c>
      <c r="L6379" t="n">
        <v>0</v>
      </c>
      <c r="M6379" t="n">
        <v>0</v>
      </c>
      <c r="N6379" t="n">
        <v>0</v>
      </c>
      <c r="O6379" t="n">
        <v>0</v>
      </c>
      <c r="P6379" t="n">
        <v>0</v>
      </c>
      <c r="Q6379" t="n">
        <v>0</v>
      </c>
      <c r="R6379" s="2" t="inlineStr"/>
    </row>
    <row r="6380" ht="15" customHeight="1">
      <c r="A6380" t="inlineStr">
        <is>
          <t>A 22136-2022</t>
        </is>
      </c>
      <c r="B6380" s="1" t="n">
        <v>44712</v>
      </c>
      <c r="C6380" s="1" t="n">
        <v>45911</v>
      </c>
      <c r="D6380" t="inlineStr">
        <is>
          <t>GÄVLEBORGS LÄN</t>
        </is>
      </c>
      <c r="E6380" t="inlineStr">
        <is>
          <t>HUDIKSVALL</t>
        </is>
      </c>
      <c r="F6380" t="inlineStr">
        <is>
          <t>Holmen skog AB</t>
        </is>
      </c>
      <c r="G6380" t="n">
        <v>3.4</v>
      </c>
      <c r="H6380" t="n">
        <v>0</v>
      </c>
      <c r="I6380" t="n">
        <v>0</v>
      </c>
      <c r="J6380" t="n">
        <v>0</v>
      </c>
      <c r="K6380" t="n">
        <v>0</v>
      </c>
      <c r="L6380" t="n">
        <v>0</v>
      </c>
      <c r="M6380" t="n">
        <v>0</v>
      </c>
      <c r="N6380" t="n">
        <v>0</v>
      </c>
      <c r="O6380" t="n">
        <v>0</v>
      </c>
      <c r="P6380" t="n">
        <v>0</v>
      </c>
      <c r="Q6380" t="n">
        <v>0</v>
      </c>
      <c r="R6380" s="2" t="inlineStr"/>
    </row>
    <row r="6381" ht="15" customHeight="1">
      <c r="A6381" t="inlineStr">
        <is>
          <t>A 22151-2022</t>
        </is>
      </c>
      <c r="B6381" s="1" t="n">
        <v>44712.42891203704</v>
      </c>
      <c r="C6381" s="1" t="n">
        <v>45911</v>
      </c>
      <c r="D6381" t="inlineStr">
        <is>
          <t>GÄVLEBORGS LÄN</t>
        </is>
      </c>
      <c r="E6381" t="inlineStr">
        <is>
          <t>OCKELBO</t>
        </is>
      </c>
      <c r="G6381" t="n">
        <v>4.4</v>
      </c>
      <c r="H6381" t="n">
        <v>0</v>
      </c>
      <c r="I6381" t="n">
        <v>0</v>
      </c>
      <c r="J6381" t="n">
        <v>0</v>
      </c>
      <c r="K6381" t="n">
        <v>0</v>
      </c>
      <c r="L6381" t="n">
        <v>0</v>
      </c>
      <c r="M6381" t="n">
        <v>0</v>
      </c>
      <c r="N6381" t="n">
        <v>0</v>
      </c>
      <c r="O6381" t="n">
        <v>0</v>
      </c>
      <c r="P6381" t="n">
        <v>0</v>
      </c>
      <c r="Q6381" t="n">
        <v>0</v>
      </c>
      <c r="R6381" s="2" t="inlineStr"/>
    </row>
    <row r="6382" ht="15" customHeight="1">
      <c r="A6382" t="inlineStr">
        <is>
          <t>A 55741-2023</t>
        </is>
      </c>
      <c r="B6382" s="1" t="n">
        <v>45239.4411574074</v>
      </c>
      <c r="C6382" s="1" t="n">
        <v>45911</v>
      </c>
      <c r="D6382" t="inlineStr">
        <is>
          <t>GÄVLEBORGS LÄN</t>
        </is>
      </c>
      <c r="E6382" t="inlineStr">
        <is>
          <t>HUDIKSVALL</t>
        </is>
      </c>
      <c r="F6382" t="inlineStr">
        <is>
          <t>Holmen skog AB</t>
        </is>
      </c>
      <c r="G6382" t="n">
        <v>7.1</v>
      </c>
      <c r="H6382" t="n">
        <v>0</v>
      </c>
      <c r="I6382" t="n">
        <v>0</v>
      </c>
      <c r="J6382" t="n">
        <v>0</v>
      </c>
      <c r="K6382" t="n">
        <v>0</v>
      </c>
      <c r="L6382" t="n">
        <v>0</v>
      </c>
      <c r="M6382" t="n">
        <v>0</v>
      </c>
      <c r="N6382" t="n">
        <v>0</v>
      </c>
      <c r="O6382" t="n">
        <v>0</v>
      </c>
      <c r="P6382" t="n">
        <v>0</v>
      </c>
      <c r="Q6382" t="n">
        <v>0</v>
      </c>
      <c r="R6382" s="2" t="inlineStr"/>
    </row>
    <row r="6383" ht="15" customHeight="1">
      <c r="A6383" t="inlineStr">
        <is>
          <t>A 42128-2023</t>
        </is>
      </c>
      <c r="B6383" s="1" t="n">
        <v>45177</v>
      </c>
      <c r="C6383" s="1" t="n">
        <v>45911</v>
      </c>
      <c r="D6383" t="inlineStr">
        <is>
          <t>GÄVLEBORGS LÄN</t>
        </is>
      </c>
      <c r="E6383" t="inlineStr">
        <is>
          <t>HUDIKSVALL</t>
        </is>
      </c>
      <c r="F6383" t="inlineStr">
        <is>
          <t>Holmen skog AB</t>
        </is>
      </c>
      <c r="G6383" t="n">
        <v>9.1</v>
      </c>
      <c r="H6383" t="n">
        <v>0</v>
      </c>
      <c r="I6383" t="n">
        <v>0</v>
      </c>
      <c r="J6383" t="n">
        <v>0</v>
      </c>
      <c r="K6383" t="n">
        <v>0</v>
      </c>
      <c r="L6383" t="n">
        <v>0</v>
      </c>
      <c r="M6383" t="n">
        <v>0</v>
      </c>
      <c r="N6383" t="n">
        <v>0</v>
      </c>
      <c r="O6383" t="n">
        <v>0</v>
      </c>
      <c r="P6383" t="n">
        <v>0</v>
      </c>
      <c r="Q6383" t="n">
        <v>0</v>
      </c>
      <c r="R6383" s="2" t="inlineStr"/>
    </row>
    <row r="6384" ht="15" customHeight="1">
      <c r="A6384" t="inlineStr">
        <is>
          <t>A 3456-2024</t>
        </is>
      </c>
      <c r="B6384" s="1" t="n">
        <v>45320.39416666667</v>
      </c>
      <c r="C6384" s="1" t="n">
        <v>45911</v>
      </c>
      <c r="D6384" t="inlineStr">
        <is>
          <t>GÄVLEBORGS LÄN</t>
        </is>
      </c>
      <c r="E6384" t="inlineStr">
        <is>
          <t>SANDVIKEN</t>
        </is>
      </c>
      <c r="G6384" t="n">
        <v>3.2</v>
      </c>
      <c r="H6384" t="n">
        <v>0</v>
      </c>
      <c r="I6384" t="n">
        <v>0</v>
      </c>
      <c r="J6384" t="n">
        <v>0</v>
      </c>
      <c r="K6384" t="n">
        <v>0</v>
      </c>
      <c r="L6384" t="n">
        <v>0</v>
      </c>
      <c r="M6384" t="n">
        <v>0</v>
      </c>
      <c r="N6384" t="n">
        <v>0</v>
      </c>
      <c r="O6384" t="n">
        <v>0</v>
      </c>
      <c r="P6384" t="n">
        <v>0</v>
      </c>
      <c r="Q6384" t="n">
        <v>0</v>
      </c>
      <c r="R6384" s="2" t="inlineStr"/>
    </row>
    <row r="6385" ht="15" customHeight="1">
      <c r="A6385" t="inlineStr">
        <is>
          <t>A 22261-2024</t>
        </is>
      </c>
      <c r="B6385" s="1" t="n">
        <v>45446.49317129629</v>
      </c>
      <c r="C6385" s="1" t="n">
        <v>45911</v>
      </c>
      <c r="D6385" t="inlineStr">
        <is>
          <t>GÄVLEBORGS LÄN</t>
        </is>
      </c>
      <c r="E6385" t="inlineStr">
        <is>
          <t>HUDIKSVALL</t>
        </is>
      </c>
      <c r="G6385" t="n">
        <v>7.6</v>
      </c>
      <c r="H6385" t="n">
        <v>0</v>
      </c>
      <c r="I6385" t="n">
        <v>0</v>
      </c>
      <c r="J6385" t="n">
        <v>0</v>
      </c>
      <c r="K6385" t="n">
        <v>0</v>
      </c>
      <c r="L6385" t="n">
        <v>0</v>
      </c>
      <c r="M6385" t="n">
        <v>0</v>
      </c>
      <c r="N6385" t="n">
        <v>0</v>
      </c>
      <c r="O6385" t="n">
        <v>0</v>
      </c>
      <c r="P6385" t="n">
        <v>0</v>
      </c>
      <c r="Q6385" t="n">
        <v>0</v>
      </c>
      <c r="R6385" s="2" t="inlineStr"/>
    </row>
    <row r="6386" ht="15" customHeight="1">
      <c r="A6386" t="inlineStr">
        <is>
          <t>A 7662-2023</t>
        </is>
      </c>
      <c r="B6386" s="1" t="n">
        <v>44972.65109953703</v>
      </c>
      <c r="C6386" s="1" t="n">
        <v>45911</v>
      </c>
      <c r="D6386" t="inlineStr">
        <is>
          <t>GÄVLEBORGS LÄN</t>
        </is>
      </c>
      <c r="E6386" t="inlineStr">
        <is>
          <t>HUDIKSVALL</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19641-2023</t>
        </is>
      </c>
      <c r="B6387" s="1" t="n">
        <v>45051.31606481481</v>
      </c>
      <c r="C6387" s="1" t="n">
        <v>45911</v>
      </c>
      <c r="D6387" t="inlineStr">
        <is>
          <t>GÄVLEBORGS LÄN</t>
        </is>
      </c>
      <c r="E6387" t="inlineStr">
        <is>
          <t>HUDIKSVALL</t>
        </is>
      </c>
      <c r="F6387" t="inlineStr">
        <is>
          <t>Holmen skog AB</t>
        </is>
      </c>
      <c r="G6387" t="n">
        <v>6.2</v>
      </c>
      <c r="H6387" t="n">
        <v>0</v>
      </c>
      <c r="I6387" t="n">
        <v>0</v>
      </c>
      <c r="J6387" t="n">
        <v>0</v>
      </c>
      <c r="K6387" t="n">
        <v>0</v>
      </c>
      <c r="L6387" t="n">
        <v>0</v>
      </c>
      <c r="M6387" t="n">
        <v>0</v>
      </c>
      <c r="N6387" t="n">
        <v>0</v>
      </c>
      <c r="O6387" t="n">
        <v>0</v>
      </c>
      <c r="P6387" t="n">
        <v>0</v>
      </c>
      <c r="Q6387" t="n">
        <v>0</v>
      </c>
      <c r="R6387" s="2" t="inlineStr"/>
    </row>
    <row r="6388" ht="15" customHeight="1">
      <c r="A6388" t="inlineStr">
        <is>
          <t>A 2418-2024</t>
        </is>
      </c>
      <c r="B6388" s="1" t="n">
        <v>45310.92701388889</v>
      </c>
      <c r="C6388" s="1" t="n">
        <v>45911</v>
      </c>
      <c r="D6388" t="inlineStr">
        <is>
          <t>GÄVLEBORGS LÄN</t>
        </is>
      </c>
      <c r="E6388" t="inlineStr">
        <is>
          <t>HUDIKSVALL</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14036-2023</t>
        </is>
      </c>
      <c r="B6389" s="1" t="n">
        <v>45008.6358912037</v>
      </c>
      <c r="C6389" s="1" t="n">
        <v>45911</v>
      </c>
      <c r="D6389" t="inlineStr">
        <is>
          <t>GÄVLEBORGS LÄN</t>
        </is>
      </c>
      <c r="E6389" t="inlineStr">
        <is>
          <t>LJUSDAL</t>
        </is>
      </c>
      <c r="F6389" t="inlineStr">
        <is>
          <t>Holmen skog AB</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19331-2025</t>
        </is>
      </c>
      <c r="B6390" s="1" t="n">
        <v>45769.58547453704</v>
      </c>
      <c r="C6390" s="1" t="n">
        <v>45911</v>
      </c>
      <c r="D6390" t="inlineStr">
        <is>
          <t>GÄVLEBORGS LÄN</t>
        </is>
      </c>
      <c r="E6390" t="inlineStr">
        <is>
          <t>GÄVLE</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19333-2025</t>
        </is>
      </c>
      <c r="B6391" s="1" t="n">
        <v>45769.58668981482</v>
      </c>
      <c r="C6391" s="1" t="n">
        <v>45911</v>
      </c>
      <c r="D6391" t="inlineStr">
        <is>
          <t>GÄVLEBORGS LÄN</t>
        </is>
      </c>
      <c r="E6391" t="inlineStr">
        <is>
          <t>GÄVLE</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21965-2022</t>
        </is>
      </c>
      <c r="B6392" s="1" t="n">
        <v>44711</v>
      </c>
      <c r="C6392" s="1" t="n">
        <v>45911</v>
      </c>
      <c r="D6392" t="inlineStr">
        <is>
          <t>GÄVLEBORGS LÄN</t>
        </is>
      </c>
      <c r="E6392" t="inlineStr">
        <is>
          <t>LJUSDAL</t>
        </is>
      </c>
      <c r="F6392" t="inlineStr">
        <is>
          <t>Bergvik skog väst AB</t>
        </is>
      </c>
      <c r="G6392" t="n">
        <v>3.7</v>
      </c>
      <c r="H6392" t="n">
        <v>0</v>
      </c>
      <c r="I6392" t="n">
        <v>0</v>
      </c>
      <c r="J6392" t="n">
        <v>0</v>
      </c>
      <c r="K6392" t="n">
        <v>0</v>
      </c>
      <c r="L6392" t="n">
        <v>0</v>
      </c>
      <c r="M6392" t="n">
        <v>0</v>
      </c>
      <c r="N6392" t="n">
        <v>0</v>
      </c>
      <c r="O6392" t="n">
        <v>0</v>
      </c>
      <c r="P6392" t="n">
        <v>0</v>
      </c>
      <c r="Q6392" t="n">
        <v>0</v>
      </c>
      <c r="R6392" s="2" t="inlineStr"/>
    </row>
    <row r="6393" ht="15" customHeight="1">
      <c r="A6393" t="inlineStr">
        <is>
          <t>A 71645-2021</t>
        </is>
      </c>
      <c r="B6393" s="1" t="n">
        <v>44543.34858796297</v>
      </c>
      <c r="C6393" s="1" t="n">
        <v>45911</v>
      </c>
      <c r="D6393" t="inlineStr">
        <is>
          <t>GÄVLEBORGS LÄN</t>
        </is>
      </c>
      <c r="E6393" t="inlineStr">
        <is>
          <t>SÖDERHAMN</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42266-2025</t>
        </is>
      </c>
      <c r="B6394" s="1" t="n">
        <v>45904.60201388889</v>
      </c>
      <c r="C6394" s="1" t="n">
        <v>45911</v>
      </c>
      <c r="D6394" t="inlineStr">
        <is>
          <t>GÄVLEBORGS LÄN</t>
        </is>
      </c>
      <c r="E6394" t="inlineStr">
        <is>
          <t>OVANÅKER</t>
        </is>
      </c>
      <c r="G6394" t="n">
        <v>3.1</v>
      </c>
      <c r="H6394" t="n">
        <v>0</v>
      </c>
      <c r="I6394" t="n">
        <v>0</v>
      </c>
      <c r="J6394" t="n">
        <v>0</v>
      </c>
      <c r="K6394" t="n">
        <v>0</v>
      </c>
      <c r="L6394" t="n">
        <v>0</v>
      </c>
      <c r="M6394" t="n">
        <v>0</v>
      </c>
      <c r="N6394" t="n">
        <v>0</v>
      </c>
      <c r="O6394" t="n">
        <v>0</v>
      </c>
      <c r="P6394" t="n">
        <v>0</v>
      </c>
      <c r="Q6394" t="n">
        <v>0</v>
      </c>
      <c r="R6394" s="2" t="inlineStr"/>
    </row>
    <row r="6395" ht="15" customHeight="1">
      <c r="A6395" t="inlineStr">
        <is>
          <t>A 42277-2025</t>
        </is>
      </c>
      <c r="B6395" s="1" t="n">
        <v>45904.61524305555</v>
      </c>
      <c r="C6395" s="1" t="n">
        <v>45911</v>
      </c>
      <c r="D6395" t="inlineStr">
        <is>
          <t>GÄVLEBORGS LÄN</t>
        </is>
      </c>
      <c r="E6395" t="inlineStr">
        <is>
          <t>GÄVLE</t>
        </is>
      </c>
      <c r="F6395" t="inlineStr">
        <is>
          <t>Bergvik skog väst AB</t>
        </is>
      </c>
      <c r="G6395" t="n">
        <v>5.2</v>
      </c>
      <c r="H6395" t="n">
        <v>0</v>
      </c>
      <c r="I6395" t="n">
        <v>0</v>
      </c>
      <c r="J6395" t="n">
        <v>0</v>
      </c>
      <c r="K6395" t="n">
        <v>0</v>
      </c>
      <c r="L6395" t="n">
        <v>0</v>
      </c>
      <c r="M6395" t="n">
        <v>0</v>
      </c>
      <c r="N6395" t="n">
        <v>0</v>
      </c>
      <c r="O6395" t="n">
        <v>0</v>
      </c>
      <c r="P6395" t="n">
        <v>0</v>
      </c>
      <c r="Q6395" t="n">
        <v>0</v>
      </c>
      <c r="R6395" s="2" t="inlineStr"/>
    </row>
    <row r="6396" ht="15" customHeight="1">
      <c r="A6396" t="inlineStr">
        <is>
          <t>A 42417-2024</t>
        </is>
      </c>
      <c r="B6396" s="1" t="n">
        <v>45565.38208333333</v>
      </c>
      <c r="C6396" s="1" t="n">
        <v>45911</v>
      </c>
      <c r="D6396" t="inlineStr">
        <is>
          <t>GÄVLEBORGS LÄN</t>
        </is>
      </c>
      <c r="E6396" t="inlineStr">
        <is>
          <t>LJUSDAL</t>
        </is>
      </c>
      <c r="G6396" t="n">
        <v>5.3</v>
      </c>
      <c r="H6396" t="n">
        <v>0</v>
      </c>
      <c r="I6396" t="n">
        <v>0</v>
      </c>
      <c r="J6396" t="n">
        <v>0</v>
      </c>
      <c r="K6396" t="n">
        <v>0</v>
      </c>
      <c r="L6396" t="n">
        <v>0</v>
      </c>
      <c r="M6396" t="n">
        <v>0</v>
      </c>
      <c r="N6396" t="n">
        <v>0</v>
      </c>
      <c r="O6396" t="n">
        <v>0</v>
      </c>
      <c r="P6396" t="n">
        <v>0</v>
      </c>
      <c r="Q6396" t="n">
        <v>0</v>
      </c>
      <c r="R6396" s="2" t="inlineStr"/>
    </row>
    <row r="6397" ht="15" customHeight="1">
      <c r="A6397" t="inlineStr">
        <is>
          <t>A 42037-2025</t>
        </is>
      </c>
      <c r="B6397" s="1" t="n">
        <v>45903.61300925926</v>
      </c>
      <c r="C6397" s="1" t="n">
        <v>45911</v>
      </c>
      <c r="D6397" t="inlineStr">
        <is>
          <t>GÄVLEBORGS LÄN</t>
        </is>
      </c>
      <c r="E6397" t="inlineStr">
        <is>
          <t>GÄVLE</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35938-2025</t>
        </is>
      </c>
      <c r="B6398" s="1" t="n">
        <v>45862.64209490741</v>
      </c>
      <c r="C6398" s="1" t="n">
        <v>45911</v>
      </c>
      <c r="D6398" t="inlineStr">
        <is>
          <t>GÄVLEBORGS LÄN</t>
        </is>
      </c>
      <c r="E6398" t="inlineStr">
        <is>
          <t>GÄVLE</t>
        </is>
      </c>
      <c r="F6398" t="inlineStr">
        <is>
          <t>Bergvik skog väst AB</t>
        </is>
      </c>
      <c r="G6398" t="n">
        <v>3.9</v>
      </c>
      <c r="H6398" t="n">
        <v>0</v>
      </c>
      <c r="I6398" t="n">
        <v>0</v>
      </c>
      <c r="J6398" t="n">
        <v>0</v>
      </c>
      <c r="K6398" t="n">
        <v>0</v>
      </c>
      <c r="L6398" t="n">
        <v>0</v>
      </c>
      <c r="M6398" t="n">
        <v>0</v>
      </c>
      <c r="N6398" t="n">
        <v>0</v>
      </c>
      <c r="O6398" t="n">
        <v>0</v>
      </c>
      <c r="P6398" t="n">
        <v>0</v>
      </c>
      <c r="Q6398" t="n">
        <v>0</v>
      </c>
      <c r="R6398" s="2" t="inlineStr"/>
    </row>
    <row r="6399" ht="15" customHeight="1">
      <c r="A6399" t="inlineStr">
        <is>
          <t>A 33881-2023</t>
        </is>
      </c>
      <c r="B6399" s="1" t="n">
        <v>45134</v>
      </c>
      <c r="C6399" s="1" t="n">
        <v>45911</v>
      </c>
      <c r="D6399" t="inlineStr">
        <is>
          <t>GÄVLEBORGS LÄN</t>
        </is>
      </c>
      <c r="E6399" t="inlineStr">
        <is>
          <t>OCKELBO</t>
        </is>
      </c>
      <c r="F6399" t="inlineStr">
        <is>
          <t>Bergvik skog väst AB</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44625-2023</t>
        </is>
      </c>
      <c r="B6400" s="1" t="n">
        <v>45189</v>
      </c>
      <c r="C6400" s="1" t="n">
        <v>45911</v>
      </c>
      <c r="D6400" t="inlineStr">
        <is>
          <t>GÄVLEBORGS LÄN</t>
        </is>
      </c>
      <c r="E6400" t="inlineStr">
        <is>
          <t>BOLLNÄS</t>
        </is>
      </c>
      <c r="G6400" t="n">
        <v>5.1</v>
      </c>
      <c r="H6400" t="n">
        <v>0</v>
      </c>
      <c r="I6400" t="n">
        <v>0</v>
      </c>
      <c r="J6400" t="n">
        <v>0</v>
      </c>
      <c r="K6400" t="n">
        <v>0</v>
      </c>
      <c r="L6400" t="n">
        <v>0</v>
      </c>
      <c r="M6400" t="n">
        <v>0</v>
      </c>
      <c r="N6400" t="n">
        <v>0</v>
      </c>
      <c r="O6400" t="n">
        <v>0</v>
      </c>
      <c r="P6400" t="n">
        <v>0</v>
      </c>
      <c r="Q6400" t="n">
        <v>0</v>
      </c>
      <c r="R6400" s="2" t="inlineStr"/>
    </row>
    <row r="6401" ht="15" customHeight="1">
      <c r="A6401" t="inlineStr">
        <is>
          <t>A 53450-2024</t>
        </is>
      </c>
      <c r="B6401" s="1" t="n">
        <v>45614.5456712963</v>
      </c>
      <c r="C6401" s="1" t="n">
        <v>45911</v>
      </c>
      <c r="D6401" t="inlineStr">
        <is>
          <t>GÄVLEBORGS LÄN</t>
        </is>
      </c>
      <c r="E6401" t="inlineStr">
        <is>
          <t>LJUSDAL</t>
        </is>
      </c>
      <c r="F6401" t="inlineStr">
        <is>
          <t>Sveaskog</t>
        </is>
      </c>
      <c r="G6401" t="n">
        <v>0.1</v>
      </c>
      <c r="H6401" t="n">
        <v>0</v>
      </c>
      <c r="I6401" t="n">
        <v>0</v>
      </c>
      <c r="J6401" t="n">
        <v>0</v>
      </c>
      <c r="K6401" t="n">
        <v>0</v>
      </c>
      <c r="L6401" t="n">
        <v>0</v>
      </c>
      <c r="M6401" t="n">
        <v>0</v>
      </c>
      <c r="N6401" t="n">
        <v>0</v>
      </c>
      <c r="O6401" t="n">
        <v>0</v>
      </c>
      <c r="P6401" t="n">
        <v>0</v>
      </c>
      <c r="Q6401" t="n">
        <v>0</v>
      </c>
      <c r="R6401" s="2" t="inlineStr"/>
    </row>
    <row r="6402" ht="15" customHeight="1">
      <c r="A6402" t="inlineStr">
        <is>
          <t>A 42251-2025</t>
        </is>
      </c>
      <c r="B6402" s="1" t="n">
        <v>45904.58163194444</v>
      </c>
      <c r="C6402" s="1" t="n">
        <v>45911</v>
      </c>
      <c r="D6402" t="inlineStr">
        <is>
          <t>GÄVLEBORGS LÄN</t>
        </is>
      </c>
      <c r="E6402" t="inlineStr">
        <is>
          <t>GÄVLE</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9235-2022</t>
        </is>
      </c>
      <c r="B6403" s="1" t="n">
        <v>44616.3750462963</v>
      </c>
      <c r="C6403" s="1" t="n">
        <v>45911</v>
      </c>
      <c r="D6403" t="inlineStr">
        <is>
          <t>GÄVLEBORGS LÄN</t>
        </is>
      </c>
      <c r="E6403" t="inlineStr">
        <is>
          <t>GÄVLE</t>
        </is>
      </c>
      <c r="G6403" t="n">
        <v>4.2</v>
      </c>
      <c r="H6403" t="n">
        <v>0</v>
      </c>
      <c r="I6403" t="n">
        <v>0</v>
      </c>
      <c r="J6403" t="n">
        <v>0</v>
      </c>
      <c r="K6403" t="n">
        <v>0</v>
      </c>
      <c r="L6403" t="n">
        <v>0</v>
      </c>
      <c r="M6403" t="n">
        <v>0</v>
      </c>
      <c r="N6403" t="n">
        <v>0</v>
      </c>
      <c r="O6403" t="n">
        <v>0</v>
      </c>
      <c r="P6403" t="n">
        <v>0</v>
      </c>
      <c r="Q6403" t="n">
        <v>0</v>
      </c>
      <c r="R6403" s="2" t="inlineStr"/>
    </row>
    <row r="6404" ht="15" customHeight="1">
      <c r="A6404" t="inlineStr">
        <is>
          <t>A 42258-2025</t>
        </is>
      </c>
      <c r="B6404" s="1" t="n">
        <v>45904.59408564815</v>
      </c>
      <c r="C6404" s="1" t="n">
        <v>45911</v>
      </c>
      <c r="D6404" t="inlineStr">
        <is>
          <t>GÄVLEBORGS LÄN</t>
        </is>
      </c>
      <c r="E6404" t="inlineStr">
        <is>
          <t>SÖDERHAMN</t>
        </is>
      </c>
      <c r="G6404" t="n">
        <v>4.2</v>
      </c>
      <c r="H6404" t="n">
        <v>0</v>
      </c>
      <c r="I6404" t="n">
        <v>0</v>
      </c>
      <c r="J6404" t="n">
        <v>0</v>
      </c>
      <c r="K6404" t="n">
        <v>0</v>
      </c>
      <c r="L6404" t="n">
        <v>0</v>
      </c>
      <c r="M6404" t="n">
        <v>0</v>
      </c>
      <c r="N6404" t="n">
        <v>0</v>
      </c>
      <c r="O6404" t="n">
        <v>0</v>
      </c>
      <c r="P6404" t="n">
        <v>0</v>
      </c>
      <c r="Q6404" t="n">
        <v>0</v>
      </c>
      <c r="R6404" s="2" t="inlineStr"/>
    </row>
    <row r="6405" ht="15" customHeight="1">
      <c r="A6405" t="inlineStr">
        <is>
          <t>A 42297-2025</t>
        </is>
      </c>
      <c r="B6405" s="1" t="n">
        <v>45904.63537037037</v>
      </c>
      <c r="C6405" s="1" t="n">
        <v>45911</v>
      </c>
      <c r="D6405" t="inlineStr">
        <is>
          <t>GÄVLEBORGS LÄN</t>
        </is>
      </c>
      <c r="E6405" t="inlineStr">
        <is>
          <t>LJUSDAL</t>
        </is>
      </c>
      <c r="F6405" t="inlineStr">
        <is>
          <t>Allmännings- och besparingsskogar</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22164-2023</t>
        </is>
      </c>
      <c r="B6406" s="1" t="n">
        <v>45069</v>
      </c>
      <c r="C6406" s="1" t="n">
        <v>45911</v>
      </c>
      <c r="D6406" t="inlineStr">
        <is>
          <t>GÄVLEBORGS LÄN</t>
        </is>
      </c>
      <c r="E6406" t="inlineStr">
        <is>
          <t>SÖDERHAMN</t>
        </is>
      </c>
      <c r="G6406" t="n">
        <v>9.1</v>
      </c>
      <c r="H6406" t="n">
        <v>0</v>
      </c>
      <c r="I6406" t="n">
        <v>0</v>
      </c>
      <c r="J6406" t="n">
        <v>0</v>
      </c>
      <c r="K6406" t="n">
        <v>0</v>
      </c>
      <c r="L6406" t="n">
        <v>0</v>
      </c>
      <c r="M6406" t="n">
        <v>0</v>
      </c>
      <c r="N6406" t="n">
        <v>0</v>
      </c>
      <c r="O6406" t="n">
        <v>0</v>
      </c>
      <c r="P6406" t="n">
        <v>0</v>
      </c>
      <c r="Q6406" t="n">
        <v>0</v>
      </c>
      <c r="R6406" s="2" t="inlineStr"/>
    </row>
    <row r="6407" ht="15" customHeight="1">
      <c r="A6407" t="inlineStr">
        <is>
          <t>A 58103-2023</t>
        </is>
      </c>
      <c r="B6407" s="1" t="n">
        <v>45249.55481481482</v>
      </c>
      <c r="C6407" s="1" t="n">
        <v>45911</v>
      </c>
      <c r="D6407" t="inlineStr">
        <is>
          <t>GÄVLEBORGS LÄN</t>
        </is>
      </c>
      <c r="E6407" t="inlineStr">
        <is>
          <t>LJUSDAL</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56453-2023</t>
        </is>
      </c>
      <c r="B6408" s="1" t="n">
        <v>45243</v>
      </c>
      <c r="C6408" s="1" t="n">
        <v>45911</v>
      </c>
      <c r="D6408" t="inlineStr">
        <is>
          <t>GÄVLEBORGS LÄN</t>
        </is>
      </c>
      <c r="E6408" t="inlineStr">
        <is>
          <t>BOLLNÄS</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59841-2023</t>
        </is>
      </c>
      <c r="B6409" s="1" t="n">
        <v>45257.56163194445</v>
      </c>
      <c r="C6409" s="1" t="n">
        <v>45911</v>
      </c>
      <c r="D6409" t="inlineStr">
        <is>
          <t>GÄVLEBORGS LÄN</t>
        </is>
      </c>
      <c r="E6409" t="inlineStr">
        <is>
          <t>SANDVIKEN</t>
        </is>
      </c>
      <c r="F6409" t="inlineStr">
        <is>
          <t>Bergvik skog öst AB</t>
        </is>
      </c>
      <c r="G6409" t="n">
        <v>3.9</v>
      </c>
      <c r="H6409" t="n">
        <v>0</v>
      </c>
      <c r="I6409" t="n">
        <v>0</v>
      </c>
      <c r="J6409" t="n">
        <v>0</v>
      </c>
      <c r="K6409" t="n">
        <v>0</v>
      </c>
      <c r="L6409" t="n">
        <v>0</v>
      </c>
      <c r="M6409" t="n">
        <v>0</v>
      </c>
      <c r="N6409" t="n">
        <v>0</v>
      </c>
      <c r="O6409" t="n">
        <v>0</v>
      </c>
      <c r="P6409" t="n">
        <v>0</v>
      </c>
      <c r="Q6409" t="n">
        <v>0</v>
      </c>
      <c r="R6409" s="2" t="inlineStr"/>
    </row>
    <row r="6410" ht="15" customHeight="1">
      <c r="A6410" t="inlineStr">
        <is>
          <t>A 31518-2025</t>
        </is>
      </c>
      <c r="B6410" s="1" t="n">
        <v>45833.60696759259</v>
      </c>
      <c r="C6410" s="1" t="n">
        <v>45911</v>
      </c>
      <c r="D6410" t="inlineStr">
        <is>
          <t>GÄVLEBORGS LÄN</t>
        </is>
      </c>
      <c r="E6410" t="inlineStr">
        <is>
          <t>HUDIKSVALL</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22868-2023</t>
        </is>
      </c>
      <c r="B6411" s="1" t="n">
        <v>45072.48825231481</v>
      </c>
      <c r="C6411" s="1" t="n">
        <v>45911</v>
      </c>
      <c r="D6411" t="inlineStr">
        <is>
          <t>GÄVLEBORGS LÄN</t>
        </is>
      </c>
      <c r="E6411" t="inlineStr">
        <is>
          <t>NORDANSTIG</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6261-2025</t>
        </is>
      </c>
      <c r="B6412" s="1" t="n">
        <v>45698.59611111111</v>
      </c>
      <c r="C6412" s="1" t="n">
        <v>45911</v>
      </c>
      <c r="D6412" t="inlineStr">
        <is>
          <t>GÄVLEBORGS LÄN</t>
        </is>
      </c>
      <c r="E6412" t="inlineStr">
        <is>
          <t>SANDVIKEN</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6331-2025</t>
        </is>
      </c>
      <c r="B6413" s="1" t="n">
        <v>45698.88701388889</v>
      </c>
      <c r="C6413" s="1" t="n">
        <v>45911</v>
      </c>
      <c r="D6413" t="inlineStr">
        <is>
          <t>GÄVLEBORGS LÄN</t>
        </is>
      </c>
      <c r="E6413" t="inlineStr">
        <is>
          <t>HUDIKSVALL</t>
        </is>
      </c>
      <c r="F6413" t="inlineStr">
        <is>
          <t>Holmen skog AB</t>
        </is>
      </c>
      <c r="G6413" t="n">
        <v>21.6</v>
      </c>
      <c r="H6413" t="n">
        <v>0</v>
      </c>
      <c r="I6413" t="n">
        <v>0</v>
      </c>
      <c r="J6413" t="n">
        <v>0</v>
      </c>
      <c r="K6413" t="n">
        <v>0</v>
      </c>
      <c r="L6413" t="n">
        <v>0</v>
      </c>
      <c r="M6413" t="n">
        <v>0</v>
      </c>
      <c r="N6413" t="n">
        <v>0</v>
      </c>
      <c r="O6413" t="n">
        <v>0</v>
      </c>
      <c r="P6413" t="n">
        <v>0</v>
      </c>
      <c r="Q6413" t="n">
        <v>0</v>
      </c>
      <c r="R6413" s="2" t="inlineStr"/>
    </row>
    <row r="6414" ht="15" customHeight="1">
      <c r="A6414" t="inlineStr">
        <is>
          <t>A 35822-2025</t>
        </is>
      </c>
      <c r="B6414" s="1" t="n">
        <v>45861.47325231481</v>
      </c>
      <c r="C6414" s="1" t="n">
        <v>45911</v>
      </c>
      <c r="D6414" t="inlineStr">
        <is>
          <t>GÄVLEBORGS LÄN</t>
        </is>
      </c>
      <c r="E6414" t="inlineStr">
        <is>
          <t>NORDANSTIG</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35831-2025</t>
        </is>
      </c>
      <c r="B6415" s="1" t="n">
        <v>45861.50184027778</v>
      </c>
      <c r="C6415" s="1" t="n">
        <v>45911</v>
      </c>
      <c r="D6415" t="inlineStr">
        <is>
          <t>GÄVLEBORGS LÄN</t>
        </is>
      </c>
      <c r="E6415" t="inlineStr">
        <is>
          <t>HUDIKSVALL</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57341-2023</t>
        </is>
      </c>
      <c r="B6416" s="1" t="n">
        <v>45245</v>
      </c>
      <c r="C6416" s="1" t="n">
        <v>45911</v>
      </c>
      <c r="D6416" t="inlineStr">
        <is>
          <t>GÄVLEBORGS LÄN</t>
        </is>
      </c>
      <c r="E6416" t="inlineStr">
        <is>
          <t>GÄVLE</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35835-2025</t>
        </is>
      </c>
      <c r="B6417" s="1" t="n">
        <v>45861.53181712963</v>
      </c>
      <c r="C6417" s="1" t="n">
        <v>45911</v>
      </c>
      <c r="D6417" t="inlineStr">
        <is>
          <t>GÄVLEBORGS LÄN</t>
        </is>
      </c>
      <c r="E6417" t="inlineStr">
        <is>
          <t>LJUSDAL</t>
        </is>
      </c>
      <c r="F6417" t="inlineStr">
        <is>
          <t>SCA</t>
        </is>
      </c>
      <c r="G6417" t="n">
        <v>5.2</v>
      </c>
      <c r="H6417" t="n">
        <v>0</v>
      </c>
      <c r="I6417" t="n">
        <v>0</v>
      </c>
      <c r="J6417" t="n">
        <v>0</v>
      </c>
      <c r="K6417" t="n">
        <v>0</v>
      </c>
      <c r="L6417" t="n">
        <v>0</v>
      </c>
      <c r="M6417" t="n">
        <v>0</v>
      </c>
      <c r="N6417" t="n">
        <v>0</v>
      </c>
      <c r="O6417" t="n">
        <v>0</v>
      </c>
      <c r="P6417" t="n">
        <v>0</v>
      </c>
      <c r="Q6417" t="n">
        <v>0</v>
      </c>
      <c r="R6417" s="2" t="inlineStr"/>
    </row>
    <row r="6418" ht="15" customHeight="1">
      <c r="A6418" t="inlineStr">
        <is>
          <t>A 1418-2025</t>
        </is>
      </c>
      <c r="B6418" s="1" t="n">
        <v>45668.41842592593</v>
      </c>
      <c r="C6418" s="1" t="n">
        <v>45911</v>
      </c>
      <c r="D6418" t="inlineStr">
        <is>
          <t>GÄVLEBORGS LÄN</t>
        </is>
      </c>
      <c r="E6418" t="inlineStr">
        <is>
          <t>SANDVIKEN</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34856-2024</t>
        </is>
      </c>
      <c r="B6419" s="1" t="n">
        <v>45527.32589120371</v>
      </c>
      <c r="C6419" s="1" t="n">
        <v>45911</v>
      </c>
      <c r="D6419" t="inlineStr">
        <is>
          <t>GÄVLEBORGS LÄN</t>
        </is>
      </c>
      <c r="E6419" t="inlineStr">
        <is>
          <t>BOLLNÄS</t>
        </is>
      </c>
      <c r="F6419" t="inlineStr">
        <is>
          <t>Bergvik skog väst AB</t>
        </is>
      </c>
      <c r="G6419" t="n">
        <v>2.8</v>
      </c>
      <c r="H6419" t="n">
        <v>0</v>
      </c>
      <c r="I6419" t="n">
        <v>0</v>
      </c>
      <c r="J6419" t="n">
        <v>0</v>
      </c>
      <c r="K6419" t="n">
        <v>0</v>
      </c>
      <c r="L6419" t="n">
        <v>0</v>
      </c>
      <c r="M6419" t="n">
        <v>0</v>
      </c>
      <c r="N6419" t="n">
        <v>0</v>
      </c>
      <c r="O6419" t="n">
        <v>0</v>
      </c>
      <c r="P6419" t="n">
        <v>0</v>
      </c>
      <c r="Q6419" t="n">
        <v>0</v>
      </c>
      <c r="R6419" s="2" t="inlineStr"/>
    </row>
    <row r="6420" ht="15" customHeight="1">
      <c r="A6420" t="inlineStr">
        <is>
          <t>A 12757-2025</t>
        </is>
      </c>
      <c r="B6420" s="1" t="n">
        <v>45733.56583333333</v>
      </c>
      <c r="C6420" s="1" t="n">
        <v>45911</v>
      </c>
      <c r="D6420" t="inlineStr">
        <is>
          <t>GÄVLEBORGS LÄN</t>
        </is>
      </c>
      <c r="E6420" t="inlineStr">
        <is>
          <t>SANDVIKEN</t>
        </is>
      </c>
      <c r="F6420" t="inlineStr">
        <is>
          <t>Bergvik skog öst AB</t>
        </is>
      </c>
      <c r="G6420" t="n">
        <v>7.1</v>
      </c>
      <c r="H6420" t="n">
        <v>0</v>
      </c>
      <c r="I6420" t="n">
        <v>0</v>
      </c>
      <c r="J6420" t="n">
        <v>0</v>
      </c>
      <c r="K6420" t="n">
        <v>0</v>
      </c>
      <c r="L6420" t="n">
        <v>0</v>
      </c>
      <c r="M6420" t="n">
        <v>0</v>
      </c>
      <c r="N6420" t="n">
        <v>0</v>
      </c>
      <c r="O6420" t="n">
        <v>0</v>
      </c>
      <c r="P6420" t="n">
        <v>0</v>
      </c>
      <c r="Q6420" t="n">
        <v>0</v>
      </c>
      <c r="R6420" s="2" t="inlineStr"/>
    </row>
    <row r="6421" ht="15" customHeight="1">
      <c r="A6421" t="inlineStr">
        <is>
          <t>A 21999-2023</t>
        </is>
      </c>
      <c r="B6421" s="1" t="n">
        <v>45068.92696759259</v>
      </c>
      <c r="C6421" s="1" t="n">
        <v>45911</v>
      </c>
      <c r="D6421" t="inlineStr">
        <is>
          <t>GÄVLEBORGS LÄN</t>
        </is>
      </c>
      <c r="E6421" t="inlineStr">
        <is>
          <t>NORDANSTIG</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12767-2025</t>
        </is>
      </c>
      <c r="B6422" s="1" t="n">
        <v>45733.57708333333</v>
      </c>
      <c r="C6422" s="1" t="n">
        <v>45911</v>
      </c>
      <c r="D6422" t="inlineStr">
        <is>
          <t>GÄVLEBORGS LÄN</t>
        </is>
      </c>
      <c r="E6422" t="inlineStr">
        <is>
          <t>OCKELBO</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63798-2023</t>
        </is>
      </c>
      <c r="B6423" s="1" t="n">
        <v>45278.41434027778</v>
      </c>
      <c r="C6423" s="1" t="n">
        <v>45911</v>
      </c>
      <c r="D6423" t="inlineStr">
        <is>
          <t>GÄVLEBORGS LÄN</t>
        </is>
      </c>
      <c r="E6423" t="inlineStr">
        <is>
          <t>SÖDERHAMN</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42060-2025</t>
        </is>
      </c>
      <c r="B6424" s="1" t="n">
        <v>45903.64918981482</v>
      </c>
      <c r="C6424" s="1" t="n">
        <v>45911</v>
      </c>
      <c r="D6424" t="inlineStr">
        <is>
          <t>GÄVLEBORGS LÄN</t>
        </is>
      </c>
      <c r="E6424" t="inlineStr">
        <is>
          <t>OCKELBO</t>
        </is>
      </c>
      <c r="G6424" t="n">
        <v>3.1</v>
      </c>
      <c r="H6424" t="n">
        <v>0</v>
      </c>
      <c r="I6424" t="n">
        <v>0</v>
      </c>
      <c r="J6424" t="n">
        <v>0</v>
      </c>
      <c r="K6424" t="n">
        <v>0</v>
      </c>
      <c r="L6424" t="n">
        <v>0</v>
      </c>
      <c r="M6424" t="n">
        <v>0</v>
      </c>
      <c r="N6424" t="n">
        <v>0</v>
      </c>
      <c r="O6424" t="n">
        <v>0</v>
      </c>
      <c r="P6424" t="n">
        <v>0</v>
      </c>
      <c r="Q6424" t="n">
        <v>0</v>
      </c>
      <c r="R6424" s="2" t="inlineStr"/>
    </row>
    <row r="6425" ht="15" customHeight="1">
      <c r="A6425" t="inlineStr">
        <is>
          <t>A 35821-2025</t>
        </is>
      </c>
      <c r="B6425" s="1" t="n">
        <v>45861.46443287037</v>
      </c>
      <c r="C6425" s="1" t="n">
        <v>45911</v>
      </c>
      <c r="D6425" t="inlineStr">
        <is>
          <t>GÄVLEBORGS LÄN</t>
        </is>
      </c>
      <c r="E6425" t="inlineStr">
        <is>
          <t>NORDANSTIG</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35823-2025</t>
        </is>
      </c>
      <c r="B6426" s="1" t="n">
        <v>45861.47555555555</v>
      </c>
      <c r="C6426" s="1" t="n">
        <v>45911</v>
      </c>
      <c r="D6426" t="inlineStr">
        <is>
          <t>GÄVLEBORGS LÄN</t>
        </is>
      </c>
      <c r="E6426" t="inlineStr">
        <is>
          <t>OVANÅKER</t>
        </is>
      </c>
      <c r="F6426" t="inlineStr">
        <is>
          <t>Bergvik skog väst AB</t>
        </is>
      </c>
      <c r="G6426" t="n">
        <v>6.9</v>
      </c>
      <c r="H6426" t="n">
        <v>0</v>
      </c>
      <c r="I6426" t="n">
        <v>0</v>
      </c>
      <c r="J6426" t="n">
        <v>0</v>
      </c>
      <c r="K6426" t="n">
        <v>0</v>
      </c>
      <c r="L6426" t="n">
        <v>0</v>
      </c>
      <c r="M6426" t="n">
        <v>0</v>
      </c>
      <c r="N6426" t="n">
        <v>0</v>
      </c>
      <c r="O6426" t="n">
        <v>0</v>
      </c>
      <c r="P6426" t="n">
        <v>0</v>
      </c>
      <c r="Q6426" t="n">
        <v>0</v>
      </c>
      <c r="R6426" s="2" t="inlineStr"/>
    </row>
    <row r="6427" ht="15" customHeight="1">
      <c r="A6427" t="inlineStr">
        <is>
          <t>A 15325-2025</t>
        </is>
      </c>
      <c r="B6427" s="1" t="n">
        <v>45747.33708333333</v>
      </c>
      <c r="C6427" s="1" t="n">
        <v>45911</v>
      </c>
      <c r="D6427" t="inlineStr">
        <is>
          <t>GÄVLEBORGS LÄN</t>
        </is>
      </c>
      <c r="E6427" t="inlineStr">
        <is>
          <t>OCKELBO</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35849-2025</t>
        </is>
      </c>
      <c r="B6428" s="1" t="n">
        <v>45861.590625</v>
      </c>
      <c r="C6428" s="1" t="n">
        <v>45911</v>
      </c>
      <c r="D6428" t="inlineStr">
        <is>
          <t>GÄVLEBORGS LÄN</t>
        </is>
      </c>
      <c r="E6428" t="inlineStr">
        <is>
          <t>OVANÅKER</t>
        </is>
      </c>
      <c r="F6428" t="inlineStr">
        <is>
          <t>Bergvik skog väst AB</t>
        </is>
      </c>
      <c r="G6428" t="n">
        <v>9.9</v>
      </c>
      <c r="H6428" t="n">
        <v>0</v>
      </c>
      <c r="I6428" t="n">
        <v>0</v>
      </c>
      <c r="J6428" t="n">
        <v>0</v>
      </c>
      <c r="K6428" t="n">
        <v>0</v>
      </c>
      <c r="L6428" t="n">
        <v>0</v>
      </c>
      <c r="M6428" t="n">
        <v>0</v>
      </c>
      <c r="N6428" t="n">
        <v>0</v>
      </c>
      <c r="O6428" t="n">
        <v>0</v>
      </c>
      <c r="P6428" t="n">
        <v>0</v>
      </c>
      <c r="Q6428" t="n">
        <v>0</v>
      </c>
      <c r="R6428" s="2" t="inlineStr"/>
    </row>
    <row r="6429" ht="15" customHeight="1">
      <c r="A6429" t="inlineStr">
        <is>
          <t>A 35878-2025</t>
        </is>
      </c>
      <c r="B6429" s="1" t="n">
        <v>45862.37017361111</v>
      </c>
      <c r="C6429" s="1" t="n">
        <v>45911</v>
      </c>
      <c r="D6429" t="inlineStr">
        <is>
          <t>GÄVLEBORGS LÄN</t>
        </is>
      </c>
      <c r="E6429" t="inlineStr">
        <is>
          <t>GÄVLE</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35812-2025</t>
        </is>
      </c>
      <c r="B6430" s="1" t="n">
        <v>45861.43253472223</v>
      </c>
      <c r="C6430" s="1" t="n">
        <v>45911</v>
      </c>
      <c r="D6430" t="inlineStr">
        <is>
          <t>GÄVLEBORGS LÄN</t>
        </is>
      </c>
      <c r="E6430" t="inlineStr">
        <is>
          <t>OVANÅKER</t>
        </is>
      </c>
      <c r="F6430" t="inlineStr">
        <is>
          <t>Bergvik skog väst AB</t>
        </is>
      </c>
      <c r="G6430" t="n">
        <v>7</v>
      </c>
      <c r="H6430" t="n">
        <v>0</v>
      </c>
      <c r="I6430" t="n">
        <v>0</v>
      </c>
      <c r="J6430" t="n">
        <v>0</v>
      </c>
      <c r="K6430" t="n">
        <v>0</v>
      </c>
      <c r="L6430" t="n">
        <v>0</v>
      </c>
      <c r="M6430" t="n">
        <v>0</v>
      </c>
      <c r="N6430" t="n">
        <v>0</v>
      </c>
      <c r="O6430" t="n">
        <v>0</v>
      </c>
      <c r="P6430" t="n">
        <v>0</v>
      </c>
      <c r="Q6430" t="n">
        <v>0</v>
      </c>
      <c r="R6430" s="2" t="inlineStr"/>
    </row>
    <row r="6431" ht="15" customHeight="1">
      <c r="A6431" t="inlineStr">
        <is>
          <t>A 15198-2025</t>
        </is>
      </c>
      <c r="B6431" s="1" t="n">
        <v>45744.566875</v>
      </c>
      <c r="C6431" s="1" t="n">
        <v>45911</v>
      </c>
      <c r="D6431" t="inlineStr">
        <is>
          <t>GÄVLEBORGS LÄN</t>
        </is>
      </c>
      <c r="E6431" t="inlineStr">
        <is>
          <t>OCKELBO</t>
        </is>
      </c>
      <c r="F6431" t="inlineStr">
        <is>
          <t>Bergvik skog väst AB</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49178-2023</t>
        </is>
      </c>
      <c r="B6432" s="1" t="n">
        <v>45210</v>
      </c>
      <c r="C6432" s="1" t="n">
        <v>45911</v>
      </c>
      <c r="D6432" t="inlineStr">
        <is>
          <t>GÄVLEBORGS LÄN</t>
        </is>
      </c>
      <c r="E6432" t="inlineStr">
        <is>
          <t>OVANÅKER</t>
        </is>
      </c>
      <c r="F6432" t="inlineStr">
        <is>
          <t>Bergvik skog öst AB</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7485-2025</t>
        </is>
      </c>
      <c r="B6433" s="1" t="n">
        <v>45705.4721412037</v>
      </c>
      <c r="C6433" s="1" t="n">
        <v>45911</v>
      </c>
      <c r="D6433" t="inlineStr">
        <is>
          <t>GÄVLEBORGS LÄN</t>
        </is>
      </c>
      <c r="E6433" t="inlineStr">
        <is>
          <t>HUDIKSVALL</t>
        </is>
      </c>
      <c r="F6433" t="inlineStr">
        <is>
          <t>Holmen skog AB</t>
        </is>
      </c>
      <c r="G6433" t="n">
        <v>9.199999999999999</v>
      </c>
      <c r="H6433" t="n">
        <v>0</v>
      </c>
      <c r="I6433" t="n">
        <v>0</v>
      </c>
      <c r="J6433" t="n">
        <v>0</v>
      </c>
      <c r="K6433" t="n">
        <v>0</v>
      </c>
      <c r="L6433" t="n">
        <v>0</v>
      </c>
      <c r="M6433" t="n">
        <v>0</v>
      </c>
      <c r="N6433" t="n">
        <v>0</v>
      </c>
      <c r="O6433" t="n">
        <v>0</v>
      </c>
      <c r="P6433" t="n">
        <v>0</v>
      </c>
      <c r="Q6433" t="n">
        <v>0</v>
      </c>
      <c r="R6433" s="2" t="inlineStr"/>
    </row>
    <row r="6434" ht="15" customHeight="1">
      <c r="A6434" t="inlineStr">
        <is>
          <t>A 10519-2025</t>
        </is>
      </c>
      <c r="B6434" s="1" t="n">
        <v>45721.42768518518</v>
      </c>
      <c r="C6434" s="1" t="n">
        <v>45911</v>
      </c>
      <c r="D6434" t="inlineStr">
        <is>
          <t>GÄVLEBORGS LÄN</t>
        </is>
      </c>
      <c r="E6434" t="inlineStr">
        <is>
          <t>BOLLNÄS</t>
        </is>
      </c>
      <c r="G6434" t="n">
        <v>3.4</v>
      </c>
      <c r="H6434" t="n">
        <v>0</v>
      </c>
      <c r="I6434" t="n">
        <v>0</v>
      </c>
      <c r="J6434" t="n">
        <v>0</v>
      </c>
      <c r="K6434" t="n">
        <v>0</v>
      </c>
      <c r="L6434" t="n">
        <v>0</v>
      </c>
      <c r="M6434" t="n">
        <v>0</v>
      </c>
      <c r="N6434" t="n">
        <v>0</v>
      </c>
      <c r="O6434" t="n">
        <v>0</v>
      </c>
      <c r="P6434" t="n">
        <v>0</v>
      </c>
      <c r="Q6434" t="n">
        <v>0</v>
      </c>
      <c r="R6434" s="2" t="inlineStr"/>
    </row>
    <row r="6435" ht="15" customHeight="1">
      <c r="A6435" t="inlineStr">
        <is>
          <t>A 10521-2025</t>
        </is>
      </c>
      <c r="B6435" s="1" t="n">
        <v>45721.42797453704</v>
      </c>
      <c r="C6435" s="1" t="n">
        <v>45911</v>
      </c>
      <c r="D6435" t="inlineStr">
        <is>
          <t>GÄVLEBORGS LÄN</t>
        </is>
      </c>
      <c r="E6435" t="inlineStr">
        <is>
          <t>LJUSDAL</t>
        </is>
      </c>
      <c r="F6435" t="inlineStr">
        <is>
          <t>SCA</t>
        </is>
      </c>
      <c r="G6435" t="n">
        <v>14.5</v>
      </c>
      <c r="H6435" t="n">
        <v>0</v>
      </c>
      <c r="I6435" t="n">
        <v>0</v>
      </c>
      <c r="J6435" t="n">
        <v>0</v>
      </c>
      <c r="K6435" t="n">
        <v>0</v>
      </c>
      <c r="L6435" t="n">
        <v>0</v>
      </c>
      <c r="M6435" t="n">
        <v>0</v>
      </c>
      <c r="N6435" t="n">
        <v>0</v>
      </c>
      <c r="O6435" t="n">
        <v>0</v>
      </c>
      <c r="P6435" t="n">
        <v>0</v>
      </c>
      <c r="Q6435" t="n">
        <v>0</v>
      </c>
      <c r="R6435" s="2" t="inlineStr"/>
    </row>
    <row r="6436" ht="15" customHeight="1">
      <c r="A6436" t="inlineStr">
        <is>
          <t>A 42151-2025</t>
        </is>
      </c>
      <c r="B6436" s="1" t="n">
        <v>45904.38569444444</v>
      </c>
      <c r="C6436" s="1" t="n">
        <v>45911</v>
      </c>
      <c r="D6436" t="inlineStr">
        <is>
          <t>GÄVLEBORGS LÄN</t>
        </is>
      </c>
      <c r="E6436" t="inlineStr">
        <is>
          <t>HUDIKSVALL</t>
        </is>
      </c>
      <c r="G6436" t="n">
        <v>3.9</v>
      </c>
      <c r="H6436" t="n">
        <v>0</v>
      </c>
      <c r="I6436" t="n">
        <v>0</v>
      </c>
      <c r="J6436" t="n">
        <v>0</v>
      </c>
      <c r="K6436" t="n">
        <v>0</v>
      </c>
      <c r="L6436" t="n">
        <v>0</v>
      </c>
      <c r="M6436" t="n">
        <v>0</v>
      </c>
      <c r="N6436" t="n">
        <v>0</v>
      </c>
      <c r="O6436" t="n">
        <v>0</v>
      </c>
      <c r="P6436" t="n">
        <v>0</v>
      </c>
      <c r="Q6436" t="n">
        <v>0</v>
      </c>
      <c r="R6436" s="2" t="inlineStr"/>
    </row>
    <row r="6437" ht="15" customHeight="1">
      <c r="A6437" t="inlineStr">
        <is>
          <t>A 41825-2025</t>
        </is>
      </c>
      <c r="B6437" s="1" t="n">
        <v>45902.66770833333</v>
      </c>
      <c r="C6437" s="1" t="n">
        <v>45911</v>
      </c>
      <c r="D6437" t="inlineStr">
        <is>
          <t>GÄVLEBORGS LÄN</t>
        </is>
      </c>
      <c r="E6437" t="inlineStr">
        <is>
          <t>NORDANSTIG</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41878-2025</t>
        </is>
      </c>
      <c r="B6438" s="1" t="n">
        <v>45903.34972222222</v>
      </c>
      <c r="C6438" s="1" t="n">
        <v>45911</v>
      </c>
      <c r="D6438" t="inlineStr">
        <is>
          <t>GÄVLEBORGS LÄN</t>
        </is>
      </c>
      <c r="E6438" t="inlineStr">
        <is>
          <t>LJUSDAL</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42317-2025</t>
        </is>
      </c>
      <c r="B6439" s="1" t="n">
        <v>45904.66563657407</v>
      </c>
      <c r="C6439" s="1" t="n">
        <v>45911</v>
      </c>
      <c r="D6439" t="inlineStr">
        <is>
          <t>GÄVLEBORGS LÄN</t>
        </is>
      </c>
      <c r="E6439" t="inlineStr">
        <is>
          <t>LJUSDAL</t>
        </is>
      </c>
      <c r="G6439" t="n">
        <v>4.3</v>
      </c>
      <c r="H6439" t="n">
        <v>0</v>
      </c>
      <c r="I6439" t="n">
        <v>0</v>
      </c>
      <c r="J6439" t="n">
        <v>0</v>
      </c>
      <c r="K6439" t="n">
        <v>0</v>
      </c>
      <c r="L6439" t="n">
        <v>0</v>
      </c>
      <c r="M6439" t="n">
        <v>0</v>
      </c>
      <c r="N6439" t="n">
        <v>0</v>
      </c>
      <c r="O6439" t="n">
        <v>0</v>
      </c>
      <c r="P6439" t="n">
        <v>0</v>
      </c>
      <c r="Q6439" t="n">
        <v>0</v>
      </c>
      <c r="R6439" s="2" t="inlineStr"/>
    </row>
    <row r="6440" ht="15" customHeight="1">
      <c r="A6440" t="inlineStr">
        <is>
          <t>A 42340-2025</t>
        </is>
      </c>
      <c r="B6440" s="1" t="n">
        <v>45904</v>
      </c>
      <c r="C6440" s="1" t="n">
        <v>45911</v>
      </c>
      <c r="D6440" t="inlineStr">
        <is>
          <t>GÄVLEBORGS LÄN</t>
        </is>
      </c>
      <c r="E6440" t="inlineStr">
        <is>
          <t>BOLLNÄS</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62459-2023</t>
        </is>
      </c>
      <c r="B6441" s="1" t="n">
        <v>45268.51590277778</v>
      </c>
      <c r="C6441" s="1" t="n">
        <v>45911</v>
      </c>
      <c r="D6441" t="inlineStr">
        <is>
          <t>GÄVLEBORGS LÄN</t>
        </is>
      </c>
      <c r="E6441" t="inlineStr">
        <is>
          <t>SANDVIKEN</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60917-2023</t>
        </is>
      </c>
      <c r="B6442" s="1" t="n">
        <v>45261.40464120371</v>
      </c>
      <c r="C6442" s="1" t="n">
        <v>45911</v>
      </c>
      <c r="D6442" t="inlineStr">
        <is>
          <t>GÄVLEBORGS LÄN</t>
        </is>
      </c>
      <c r="E6442" t="inlineStr">
        <is>
          <t>HUDIKSVALL</t>
        </is>
      </c>
      <c r="F6442" t="inlineStr">
        <is>
          <t>Holmen skog AB</t>
        </is>
      </c>
      <c r="G6442" t="n">
        <v>3.4</v>
      </c>
      <c r="H6442" t="n">
        <v>0</v>
      </c>
      <c r="I6442" t="n">
        <v>0</v>
      </c>
      <c r="J6442" t="n">
        <v>0</v>
      </c>
      <c r="K6442" t="n">
        <v>0</v>
      </c>
      <c r="L6442" t="n">
        <v>0</v>
      </c>
      <c r="M6442" t="n">
        <v>0</v>
      </c>
      <c r="N6442" t="n">
        <v>0</v>
      </c>
      <c r="O6442" t="n">
        <v>0</v>
      </c>
      <c r="P6442" t="n">
        <v>0</v>
      </c>
      <c r="Q6442" t="n">
        <v>0</v>
      </c>
      <c r="R6442" s="2" t="inlineStr"/>
    </row>
    <row r="6443" ht="15" customHeight="1">
      <c r="A6443" t="inlineStr">
        <is>
          <t>A 10571-2025</t>
        </is>
      </c>
      <c r="B6443" s="1" t="n">
        <v>45721</v>
      </c>
      <c r="C6443" s="1" t="n">
        <v>45911</v>
      </c>
      <c r="D6443" t="inlineStr">
        <is>
          <t>GÄVLEBORGS LÄN</t>
        </is>
      </c>
      <c r="E6443" t="inlineStr">
        <is>
          <t>HUDIKSVALL</t>
        </is>
      </c>
      <c r="F6443" t="inlineStr">
        <is>
          <t>Holmen skog AB</t>
        </is>
      </c>
      <c r="G6443" t="n">
        <v>8.4</v>
      </c>
      <c r="H6443" t="n">
        <v>0</v>
      </c>
      <c r="I6443" t="n">
        <v>0</v>
      </c>
      <c r="J6443" t="n">
        <v>0</v>
      </c>
      <c r="K6443" t="n">
        <v>0</v>
      </c>
      <c r="L6443" t="n">
        <v>0</v>
      </c>
      <c r="M6443" t="n">
        <v>0</v>
      </c>
      <c r="N6443" t="n">
        <v>0</v>
      </c>
      <c r="O6443" t="n">
        <v>0</v>
      </c>
      <c r="P6443" t="n">
        <v>0</v>
      </c>
      <c r="Q6443" t="n">
        <v>0</v>
      </c>
      <c r="R6443" s="2" t="inlineStr"/>
    </row>
    <row r="6444" ht="15" customHeight="1">
      <c r="A6444" t="inlineStr">
        <is>
          <t>A 31613-2023</t>
        </is>
      </c>
      <c r="B6444" s="1" t="n">
        <v>45117</v>
      </c>
      <c r="C6444" s="1" t="n">
        <v>45911</v>
      </c>
      <c r="D6444" t="inlineStr">
        <is>
          <t>GÄVLEBORGS LÄN</t>
        </is>
      </c>
      <c r="E6444" t="inlineStr">
        <is>
          <t>HOFORS</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35174-2023</t>
        </is>
      </c>
      <c r="B6445" s="1" t="n">
        <v>45145.58690972222</v>
      </c>
      <c r="C6445" s="1" t="n">
        <v>45911</v>
      </c>
      <c r="D6445" t="inlineStr">
        <is>
          <t>GÄVLEBORGS LÄN</t>
        </is>
      </c>
      <c r="E6445" t="inlineStr">
        <is>
          <t>BOLLNÄS</t>
        </is>
      </c>
      <c r="F6445" t="inlineStr">
        <is>
          <t>Holmen skog AB</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42179-2025</t>
        </is>
      </c>
      <c r="B6446" s="1" t="n">
        <v>45904.45008101852</v>
      </c>
      <c r="C6446" s="1" t="n">
        <v>45911</v>
      </c>
      <c r="D6446" t="inlineStr">
        <is>
          <t>GÄVLEBORGS LÄN</t>
        </is>
      </c>
      <c r="E6446" t="inlineStr">
        <is>
          <t>LJUSDAL</t>
        </is>
      </c>
      <c r="F6446" t="inlineStr">
        <is>
          <t>Allmännings- och besparingsskogar</t>
        </is>
      </c>
      <c r="G6446" t="n">
        <v>3.9</v>
      </c>
      <c r="H6446" t="n">
        <v>0</v>
      </c>
      <c r="I6446" t="n">
        <v>0</v>
      </c>
      <c r="J6446" t="n">
        <v>0</v>
      </c>
      <c r="K6446" t="n">
        <v>0</v>
      </c>
      <c r="L6446" t="n">
        <v>0</v>
      </c>
      <c r="M6446" t="n">
        <v>0</v>
      </c>
      <c r="N6446" t="n">
        <v>0</v>
      </c>
      <c r="O6446" t="n">
        <v>0</v>
      </c>
      <c r="P6446" t="n">
        <v>0</v>
      </c>
      <c r="Q6446" t="n">
        <v>0</v>
      </c>
      <c r="R6446" s="2" t="inlineStr"/>
    </row>
    <row r="6447" ht="15" customHeight="1">
      <c r="A6447" t="inlineStr">
        <is>
          <t>A 15654-2025</t>
        </is>
      </c>
      <c r="B6447" s="1" t="n">
        <v>45748.40988425926</v>
      </c>
      <c r="C6447" s="1" t="n">
        <v>45911</v>
      </c>
      <c r="D6447" t="inlineStr">
        <is>
          <t>GÄVLEBORGS LÄN</t>
        </is>
      </c>
      <c r="E6447" t="inlineStr">
        <is>
          <t>BOLLNÄS</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21456-2023</t>
        </is>
      </c>
      <c r="B6448" s="1" t="n">
        <v>45063.45789351852</v>
      </c>
      <c r="C6448" s="1" t="n">
        <v>45911</v>
      </c>
      <c r="D6448" t="inlineStr">
        <is>
          <t>GÄVLEBORGS LÄN</t>
        </is>
      </c>
      <c r="E6448" t="inlineStr">
        <is>
          <t>SANDVIKEN</t>
        </is>
      </c>
      <c r="F6448" t="inlineStr">
        <is>
          <t>Kommuner</t>
        </is>
      </c>
      <c r="G6448" t="n">
        <v>4</v>
      </c>
      <c r="H6448" t="n">
        <v>0</v>
      </c>
      <c r="I6448" t="n">
        <v>0</v>
      </c>
      <c r="J6448" t="n">
        <v>0</v>
      </c>
      <c r="K6448" t="n">
        <v>0</v>
      </c>
      <c r="L6448" t="n">
        <v>0</v>
      </c>
      <c r="M6448" t="n">
        <v>0</v>
      </c>
      <c r="N6448" t="n">
        <v>0</v>
      </c>
      <c r="O6448" t="n">
        <v>0</v>
      </c>
      <c r="P6448" t="n">
        <v>0</v>
      </c>
      <c r="Q6448" t="n">
        <v>0</v>
      </c>
      <c r="R6448" s="2" t="inlineStr"/>
    </row>
    <row r="6449" ht="15" customHeight="1">
      <c r="A6449" t="inlineStr">
        <is>
          <t>A 35445-2023</t>
        </is>
      </c>
      <c r="B6449" s="1" t="n">
        <v>45146.6455787037</v>
      </c>
      <c r="C6449" s="1" t="n">
        <v>45911</v>
      </c>
      <c r="D6449" t="inlineStr">
        <is>
          <t>GÄVLEBORGS LÄN</t>
        </is>
      </c>
      <c r="E6449" t="inlineStr">
        <is>
          <t>GÄVLE</t>
        </is>
      </c>
      <c r="G6449" t="n">
        <v>6.2</v>
      </c>
      <c r="H6449" t="n">
        <v>0</v>
      </c>
      <c r="I6449" t="n">
        <v>0</v>
      </c>
      <c r="J6449" t="n">
        <v>0</v>
      </c>
      <c r="K6449" t="n">
        <v>0</v>
      </c>
      <c r="L6449" t="n">
        <v>0</v>
      </c>
      <c r="M6449" t="n">
        <v>0</v>
      </c>
      <c r="N6449" t="n">
        <v>0</v>
      </c>
      <c r="O6449" t="n">
        <v>0</v>
      </c>
      <c r="P6449" t="n">
        <v>0</v>
      </c>
      <c r="Q6449" t="n">
        <v>0</v>
      </c>
      <c r="R6449" s="2" t="inlineStr"/>
    </row>
    <row r="6450" ht="15" customHeight="1">
      <c r="A6450" t="inlineStr">
        <is>
          <t>A 3615-2024</t>
        </is>
      </c>
      <c r="B6450" s="1" t="n">
        <v>45320</v>
      </c>
      <c r="C6450" s="1" t="n">
        <v>45911</v>
      </c>
      <c r="D6450" t="inlineStr">
        <is>
          <t>GÄVLEBORGS LÄN</t>
        </is>
      </c>
      <c r="E6450" t="inlineStr">
        <is>
          <t>GÄVLE</t>
        </is>
      </c>
      <c r="G6450" t="n">
        <v>2.4</v>
      </c>
      <c r="H6450" t="n">
        <v>0</v>
      </c>
      <c r="I6450" t="n">
        <v>0</v>
      </c>
      <c r="J6450" t="n">
        <v>0</v>
      </c>
      <c r="K6450" t="n">
        <v>0</v>
      </c>
      <c r="L6450" t="n">
        <v>0</v>
      </c>
      <c r="M6450" t="n">
        <v>0</v>
      </c>
      <c r="N6450" t="n">
        <v>0</v>
      </c>
      <c r="O6450" t="n">
        <v>0</v>
      </c>
      <c r="P6450" t="n">
        <v>0</v>
      </c>
      <c r="Q6450" t="n">
        <v>0</v>
      </c>
      <c r="R6450" s="2" t="inlineStr"/>
    </row>
    <row r="6451" ht="15" customHeight="1">
      <c r="A6451" t="inlineStr">
        <is>
          <t>A 1072-2025</t>
        </is>
      </c>
      <c r="B6451" s="1" t="n">
        <v>45666.59835648148</v>
      </c>
      <c r="C6451" s="1" t="n">
        <v>45911</v>
      </c>
      <c r="D6451" t="inlineStr">
        <is>
          <t>GÄVLEBORGS LÄN</t>
        </is>
      </c>
      <c r="E6451" t="inlineStr">
        <is>
          <t>OVANÅKER</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59729-2023</t>
        </is>
      </c>
      <c r="B6452" s="1" t="n">
        <v>45257.36038194445</v>
      </c>
      <c r="C6452" s="1" t="n">
        <v>45911</v>
      </c>
      <c r="D6452" t="inlineStr">
        <is>
          <t>GÄVLEBORGS LÄN</t>
        </is>
      </c>
      <c r="E6452" t="inlineStr">
        <is>
          <t>OVANÅKER</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15355-2025</t>
        </is>
      </c>
      <c r="B6453" s="1" t="n">
        <v>45747.3884375</v>
      </c>
      <c r="C6453" s="1" t="n">
        <v>45911</v>
      </c>
      <c r="D6453" t="inlineStr">
        <is>
          <t>GÄVLEBORGS LÄN</t>
        </is>
      </c>
      <c r="E6453" t="inlineStr">
        <is>
          <t>BOLLNÄS</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50769-2023</t>
        </is>
      </c>
      <c r="B6454" s="1" t="n">
        <v>45217.62091435185</v>
      </c>
      <c r="C6454" s="1" t="n">
        <v>45911</v>
      </c>
      <c r="D6454" t="inlineStr">
        <is>
          <t>GÄVLEBORGS LÄN</t>
        </is>
      </c>
      <c r="E6454" t="inlineStr">
        <is>
          <t>OVANÅKER</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29687-2023</t>
        </is>
      </c>
      <c r="B6455" s="1" t="n">
        <v>45107.38415509259</v>
      </c>
      <c r="C6455" s="1" t="n">
        <v>45911</v>
      </c>
      <c r="D6455" t="inlineStr">
        <is>
          <t>GÄVLEBORGS LÄN</t>
        </is>
      </c>
      <c r="E6455" t="inlineStr">
        <is>
          <t>OCKELBO</t>
        </is>
      </c>
      <c r="F6455" t="inlineStr">
        <is>
          <t>Bergvik skog väst AB</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41899-2025</t>
        </is>
      </c>
      <c r="B6456" s="1" t="n">
        <v>45903.39596064815</v>
      </c>
      <c r="C6456" s="1" t="n">
        <v>45911</v>
      </c>
      <c r="D6456" t="inlineStr">
        <is>
          <t>GÄVLEBORGS LÄN</t>
        </is>
      </c>
      <c r="E6456" t="inlineStr">
        <is>
          <t>OCKELBO</t>
        </is>
      </c>
      <c r="F6456" t="inlineStr">
        <is>
          <t>Bergvik skog väst AB</t>
        </is>
      </c>
      <c r="G6456" t="n">
        <v>5.9</v>
      </c>
      <c r="H6456" t="n">
        <v>0</v>
      </c>
      <c r="I6456" t="n">
        <v>0</v>
      </c>
      <c r="J6456" t="n">
        <v>0</v>
      </c>
      <c r="K6456" t="n">
        <v>0</v>
      </c>
      <c r="L6456" t="n">
        <v>0</v>
      </c>
      <c r="M6456" t="n">
        <v>0</v>
      </c>
      <c r="N6456" t="n">
        <v>0</v>
      </c>
      <c r="O6456" t="n">
        <v>0</v>
      </c>
      <c r="P6456" t="n">
        <v>0</v>
      </c>
      <c r="Q6456" t="n">
        <v>0</v>
      </c>
      <c r="R6456" s="2" t="inlineStr"/>
    </row>
    <row r="6457" ht="15" customHeight="1">
      <c r="A6457" t="inlineStr">
        <is>
          <t>A 41923-2025</t>
        </is>
      </c>
      <c r="B6457" s="1" t="n">
        <v>45903.42614583333</v>
      </c>
      <c r="C6457" s="1" t="n">
        <v>45911</v>
      </c>
      <c r="D6457" t="inlineStr">
        <is>
          <t>GÄVLEBORGS LÄN</t>
        </is>
      </c>
      <c r="E6457" t="inlineStr">
        <is>
          <t>LJUSDAL</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41935-2025</t>
        </is>
      </c>
      <c r="B6458" s="1" t="n">
        <v>45903.43677083333</v>
      </c>
      <c r="C6458" s="1" t="n">
        <v>45911</v>
      </c>
      <c r="D6458" t="inlineStr">
        <is>
          <t>GÄVLEBORGS LÄN</t>
        </is>
      </c>
      <c r="E6458" t="inlineStr">
        <is>
          <t>LJUSDAL</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41936-2025</t>
        </is>
      </c>
      <c r="B6459" s="1" t="n">
        <v>45903.44037037037</v>
      </c>
      <c r="C6459" s="1" t="n">
        <v>45911</v>
      </c>
      <c r="D6459" t="inlineStr">
        <is>
          <t>GÄVLEBORGS LÄN</t>
        </is>
      </c>
      <c r="E6459" t="inlineStr">
        <is>
          <t>LJUSDAL</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41938-2025</t>
        </is>
      </c>
      <c r="B6460" s="1" t="n">
        <v>45903.44322916667</v>
      </c>
      <c r="C6460" s="1" t="n">
        <v>45911</v>
      </c>
      <c r="D6460" t="inlineStr">
        <is>
          <t>GÄVLEBORGS LÄN</t>
        </is>
      </c>
      <c r="E6460" t="inlineStr">
        <is>
          <t>LJUSDAL</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41940-2025</t>
        </is>
      </c>
      <c r="B6461" s="1" t="n">
        <v>45903.44436342592</v>
      </c>
      <c r="C6461" s="1" t="n">
        <v>45911</v>
      </c>
      <c r="D6461" t="inlineStr">
        <is>
          <t>GÄVLEBORGS LÄN</t>
        </is>
      </c>
      <c r="E6461" t="inlineStr">
        <is>
          <t>OCKELBO</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25208-2024</t>
        </is>
      </c>
      <c r="B6462" s="1" t="n">
        <v>45462.57657407408</v>
      </c>
      <c r="C6462" s="1" t="n">
        <v>45911</v>
      </c>
      <c r="D6462" t="inlineStr">
        <is>
          <t>GÄVLEBORGS LÄN</t>
        </is>
      </c>
      <c r="E6462" t="inlineStr">
        <is>
          <t>LJUSDAL</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35804-2025</t>
        </is>
      </c>
      <c r="B6463" s="1" t="n">
        <v>45861.39952546296</v>
      </c>
      <c r="C6463" s="1" t="n">
        <v>45911</v>
      </c>
      <c r="D6463" t="inlineStr">
        <is>
          <t>GÄVLEBORGS LÄN</t>
        </is>
      </c>
      <c r="E6463" t="inlineStr">
        <is>
          <t>LJUSDAL</t>
        </is>
      </c>
      <c r="G6463" t="n">
        <v>15.3</v>
      </c>
      <c r="H6463" t="n">
        <v>0</v>
      </c>
      <c r="I6463" t="n">
        <v>0</v>
      </c>
      <c r="J6463" t="n">
        <v>0</v>
      </c>
      <c r="K6463" t="n">
        <v>0</v>
      </c>
      <c r="L6463" t="n">
        <v>0</v>
      </c>
      <c r="M6463" t="n">
        <v>0</v>
      </c>
      <c r="N6463" t="n">
        <v>0</v>
      </c>
      <c r="O6463" t="n">
        <v>0</v>
      </c>
      <c r="P6463" t="n">
        <v>0</v>
      </c>
      <c r="Q6463" t="n">
        <v>0</v>
      </c>
      <c r="R6463" s="2" t="inlineStr"/>
    </row>
    <row r="6464" ht="15" customHeight="1">
      <c r="A6464" t="inlineStr">
        <is>
          <t>A 14792-2023</t>
        </is>
      </c>
      <c r="B6464" s="1" t="n">
        <v>45014</v>
      </c>
      <c r="C6464" s="1" t="n">
        <v>45911</v>
      </c>
      <c r="D6464" t="inlineStr">
        <is>
          <t>GÄVLEBORGS LÄN</t>
        </is>
      </c>
      <c r="E6464" t="inlineStr">
        <is>
          <t>GÄVLE</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28133-2024</t>
        </is>
      </c>
      <c r="B6465" s="1" t="n">
        <v>45476.69053240741</v>
      </c>
      <c r="C6465" s="1" t="n">
        <v>45911</v>
      </c>
      <c r="D6465" t="inlineStr">
        <is>
          <t>GÄVLEBORGS LÄN</t>
        </is>
      </c>
      <c r="E6465" t="inlineStr">
        <is>
          <t>HOFORS</t>
        </is>
      </c>
      <c r="G6465" t="n">
        <v>3.8</v>
      </c>
      <c r="H6465" t="n">
        <v>0</v>
      </c>
      <c r="I6465" t="n">
        <v>0</v>
      </c>
      <c r="J6465" t="n">
        <v>0</v>
      </c>
      <c r="K6465" t="n">
        <v>0</v>
      </c>
      <c r="L6465" t="n">
        <v>0</v>
      </c>
      <c r="M6465" t="n">
        <v>0</v>
      </c>
      <c r="N6465" t="n">
        <v>0</v>
      </c>
      <c r="O6465" t="n">
        <v>0</v>
      </c>
      <c r="P6465" t="n">
        <v>0</v>
      </c>
      <c r="Q6465" t="n">
        <v>0</v>
      </c>
      <c r="R6465" s="2" t="inlineStr"/>
    </row>
    <row r="6466" ht="15" customHeight="1">
      <c r="A6466" t="inlineStr">
        <is>
          <t>A 42286-2025</t>
        </is>
      </c>
      <c r="B6466" s="1" t="n">
        <v>45904.62043981482</v>
      </c>
      <c r="C6466" s="1" t="n">
        <v>45911</v>
      </c>
      <c r="D6466" t="inlineStr">
        <is>
          <t>GÄVLEBORGS LÄN</t>
        </is>
      </c>
      <c r="E6466" t="inlineStr">
        <is>
          <t>OVANÅKER</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24205-2022</t>
        </is>
      </c>
      <c r="B6467" s="1" t="n">
        <v>44725.58780092592</v>
      </c>
      <c r="C6467" s="1" t="n">
        <v>45911</v>
      </c>
      <c r="D6467" t="inlineStr">
        <is>
          <t>GÄVLEBORGS LÄN</t>
        </is>
      </c>
      <c r="E6467" t="inlineStr">
        <is>
          <t>LJUSDAL</t>
        </is>
      </c>
      <c r="G6467" t="n">
        <v>2.7</v>
      </c>
      <c r="H6467" t="n">
        <v>0</v>
      </c>
      <c r="I6467" t="n">
        <v>0</v>
      </c>
      <c r="J6467" t="n">
        <v>0</v>
      </c>
      <c r="K6467" t="n">
        <v>0</v>
      </c>
      <c r="L6467" t="n">
        <v>0</v>
      </c>
      <c r="M6467" t="n">
        <v>0</v>
      </c>
      <c r="N6467" t="n">
        <v>0</v>
      </c>
      <c r="O6467" t="n">
        <v>0</v>
      </c>
      <c r="P6467" t="n">
        <v>0</v>
      </c>
      <c r="Q6467" t="n">
        <v>0</v>
      </c>
      <c r="R6467" s="2" t="inlineStr"/>
    </row>
    <row r="6468" ht="15" customHeight="1">
      <c r="A6468" t="inlineStr">
        <is>
          <t>A 51247-2024</t>
        </is>
      </c>
      <c r="B6468" s="1" t="n">
        <v>45603.68180555556</v>
      </c>
      <c r="C6468" s="1" t="n">
        <v>45911</v>
      </c>
      <c r="D6468" t="inlineStr">
        <is>
          <t>GÄVLEBORGS LÄN</t>
        </is>
      </c>
      <c r="E6468" t="inlineStr">
        <is>
          <t>LJUSDAL</t>
        </is>
      </c>
      <c r="F6468" t="inlineStr">
        <is>
          <t>Kommuner</t>
        </is>
      </c>
      <c r="G6468" t="n">
        <v>6.1</v>
      </c>
      <c r="H6468" t="n">
        <v>0</v>
      </c>
      <c r="I6468" t="n">
        <v>0</v>
      </c>
      <c r="J6468" t="n">
        <v>0</v>
      </c>
      <c r="K6468" t="n">
        <v>0</v>
      </c>
      <c r="L6468" t="n">
        <v>0</v>
      </c>
      <c r="M6468" t="n">
        <v>0</v>
      </c>
      <c r="N6468" t="n">
        <v>0</v>
      </c>
      <c r="O6468" t="n">
        <v>0</v>
      </c>
      <c r="P6468" t="n">
        <v>0</v>
      </c>
      <c r="Q6468" t="n">
        <v>0</v>
      </c>
      <c r="R6468" s="2" t="inlineStr"/>
    </row>
    <row r="6469" ht="15" customHeight="1">
      <c r="A6469" t="inlineStr">
        <is>
          <t>A 42259-2025</t>
        </is>
      </c>
      <c r="B6469" s="1" t="n">
        <v>45904.5949537037</v>
      </c>
      <c r="C6469" s="1" t="n">
        <v>45911</v>
      </c>
      <c r="D6469" t="inlineStr">
        <is>
          <t>GÄVLEBORGS LÄN</t>
        </is>
      </c>
      <c r="E6469" t="inlineStr">
        <is>
          <t>OVANÅKER</t>
        </is>
      </c>
      <c r="G6469" t="n">
        <v>0.3</v>
      </c>
      <c r="H6469" t="n">
        <v>0</v>
      </c>
      <c r="I6469" t="n">
        <v>0</v>
      </c>
      <c r="J6469" t="n">
        <v>0</v>
      </c>
      <c r="K6469" t="n">
        <v>0</v>
      </c>
      <c r="L6469" t="n">
        <v>0</v>
      </c>
      <c r="M6469" t="n">
        <v>0</v>
      </c>
      <c r="N6469" t="n">
        <v>0</v>
      </c>
      <c r="O6469" t="n">
        <v>0</v>
      </c>
      <c r="P6469" t="n">
        <v>0</v>
      </c>
      <c r="Q6469" t="n">
        <v>0</v>
      </c>
      <c r="R6469" s="2" t="inlineStr"/>
    </row>
    <row r="6470" ht="15" customHeight="1">
      <c r="A6470" t="inlineStr">
        <is>
          <t>A 43562-2024</t>
        </is>
      </c>
      <c r="B6470" s="1" t="n">
        <v>45569.40412037037</v>
      </c>
      <c r="C6470" s="1" t="n">
        <v>45911</v>
      </c>
      <c r="D6470" t="inlineStr">
        <is>
          <t>GÄVLEBORGS LÄN</t>
        </is>
      </c>
      <c r="E6470" t="inlineStr">
        <is>
          <t>LJUSDAL</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43644-2024</t>
        </is>
      </c>
      <c r="B6471" s="1" t="n">
        <v>45569.51555555555</v>
      </c>
      <c r="C6471" s="1" t="n">
        <v>45911</v>
      </c>
      <c r="D6471" t="inlineStr">
        <is>
          <t>GÄVLEBORGS LÄN</t>
        </is>
      </c>
      <c r="E6471" t="inlineStr">
        <is>
          <t>HUDIKSVALL</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41886-2025</t>
        </is>
      </c>
      <c r="B6472" s="1" t="n">
        <v>45903.36819444445</v>
      </c>
      <c r="C6472" s="1" t="n">
        <v>45911</v>
      </c>
      <c r="D6472" t="inlineStr">
        <is>
          <t>GÄVLEBORGS LÄN</t>
        </is>
      </c>
      <c r="E6472" t="inlineStr">
        <is>
          <t>LJUSDAL</t>
        </is>
      </c>
      <c r="F6472" t="inlineStr">
        <is>
          <t>Allmännings- och besparingsskogar</t>
        </is>
      </c>
      <c r="G6472" t="n">
        <v>37</v>
      </c>
      <c r="H6472" t="n">
        <v>0</v>
      </c>
      <c r="I6472" t="n">
        <v>0</v>
      </c>
      <c r="J6472" t="n">
        <v>0</v>
      </c>
      <c r="K6472" t="n">
        <v>0</v>
      </c>
      <c r="L6472" t="n">
        <v>0</v>
      </c>
      <c r="M6472" t="n">
        <v>0</v>
      </c>
      <c r="N6472" t="n">
        <v>0</v>
      </c>
      <c r="O6472" t="n">
        <v>0</v>
      </c>
      <c r="P6472" t="n">
        <v>0</v>
      </c>
      <c r="Q6472" t="n">
        <v>0</v>
      </c>
      <c r="R6472" s="2" t="inlineStr"/>
    </row>
    <row r="6473" ht="15" customHeight="1">
      <c r="A6473" t="inlineStr">
        <is>
          <t>A 35846-2025</t>
        </is>
      </c>
      <c r="B6473" s="1" t="n">
        <v>45861.57856481482</v>
      </c>
      <c r="C6473" s="1" t="n">
        <v>45911</v>
      </c>
      <c r="D6473" t="inlineStr">
        <is>
          <t>GÄVLEBORGS LÄN</t>
        </is>
      </c>
      <c r="E6473" t="inlineStr">
        <is>
          <t>OVANÅKER</t>
        </is>
      </c>
      <c r="F6473" t="inlineStr">
        <is>
          <t>Bergvik skog väst AB</t>
        </is>
      </c>
      <c r="G6473" t="n">
        <v>3.2</v>
      </c>
      <c r="H6473" t="n">
        <v>0</v>
      </c>
      <c r="I6473" t="n">
        <v>0</v>
      </c>
      <c r="J6473" t="n">
        <v>0</v>
      </c>
      <c r="K6473" t="n">
        <v>0</v>
      </c>
      <c r="L6473" t="n">
        <v>0</v>
      </c>
      <c r="M6473" t="n">
        <v>0</v>
      </c>
      <c r="N6473" t="n">
        <v>0</v>
      </c>
      <c r="O6473" t="n">
        <v>0</v>
      </c>
      <c r="P6473" t="n">
        <v>0</v>
      </c>
      <c r="Q6473" t="n">
        <v>0</v>
      </c>
      <c r="R6473" s="2" t="inlineStr"/>
    </row>
    <row r="6474" ht="15" customHeight="1">
      <c r="A6474" t="inlineStr">
        <is>
          <t>A 60283-2022</t>
        </is>
      </c>
      <c r="B6474" s="1" t="n">
        <v>44910</v>
      </c>
      <c r="C6474" s="1" t="n">
        <v>45911</v>
      </c>
      <c r="D6474" t="inlineStr">
        <is>
          <t>GÄVLEBORGS LÄN</t>
        </is>
      </c>
      <c r="E6474" t="inlineStr">
        <is>
          <t>HUDIKSVALL</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51364-2024</t>
        </is>
      </c>
      <c r="B6475" s="1" t="n">
        <v>45604.36947916666</v>
      </c>
      <c r="C6475" s="1" t="n">
        <v>45911</v>
      </c>
      <c r="D6475" t="inlineStr">
        <is>
          <t>GÄVLEBORGS LÄN</t>
        </is>
      </c>
      <c r="E6475" t="inlineStr">
        <is>
          <t>LJUSDAL</t>
        </is>
      </c>
      <c r="G6475" t="n">
        <v>10.7</v>
      </c>
      <c r="H6475" t="n">
        <v>0</v>
      </c>
      <c r="I6475" t="n">
        <v>0</v>
      </c>
      <c r="J6475" t="n">
        <v>0</v>
      </c>
      <c r="K6475" t="n">
        <v>0</v>
      </c>
      <c r="L6475" t="n">
        <v>0</v>
      </c>
      <c r="M6475" t="n">
        <v>0</v>
      </c>
      <c r="N6475" t="n">
        <v>0</v>
      </c>
      <c r="O6475" t="n">
        <v>0</v>
      </c>
      <c r="P6475" t="n">
        <v>0</v>
      </c>
      <c r="Q6475" t="n">
        <v>0</v>
      </c>
      <c r="R6475" s="2" t="inlineStr"/>
    </row>
    <row r="6476" ht="15" customHeight="1">
      <c r="A6476" t="inlineStr">
        <is>
          <t>A 37442-2023</t>
        </is>
      </c>
      <c r="B6476" s="1" t="n">
        <v>45156</v>
      </c>
      <c r="C6476" s="1" t="n">
        <v>45911</v>
      </c>
      <c r="D6476" t="inlineStr">
        <is>
          <t>GÄVLEBORGS LÄN</t>
        </is>
      </c>
      <c r="E6476" t="inlineStr">
        <is>
          <t>OCKELBO</t>
        </is>
      </c>
      <c r="F6476" t="inlineStr">
        <is>
          <t>Bergvik skog väst AB</t>
        </is>
      </c>
      <c r="G6476" t="n">
        <v>4.2</v>
      </c>
      <c r="H6476" t="n">
        <v>0</v>
      </c>
      <c r="I6476" t="n">
        <v>0</v>
      </c>
      <c r="J6476" t="n">
        <v>0</v>
      </c>
      <c r="K6476" t="n">
        <v>0</v>
      </c>
      <c r="L6476" t="n">
        <v>0</v>
      </c>
      <c r="M6476" t="n">
        <v>0</v>
      </c>
      <c r="N6476" t="n">
        <v>0</v>
      </c>
      <c r="O6476" t="n">
        <v>0</v>
      </c>
      <c r="P6476" t="n">
        <v>0</v>
      </c>
      <c r="Q6476" t="n">
        <v>0</v>
      </c>
      <c r="R6476" s="2" t="inlineStr"/>
    </row>
    <row r="6477" ht="15" customHeight="1">
      <c r="A6477" t="inlineStr">
        <is>
          <t>A 8379-2025</t>
        </is>
      </c>
      <c r="B6477" s="1" t="n">
        <v>45709.33609953704</v>
      </c>
      <c r="C6477" s="1" t="n">
        <v>45911</v>
      </c>
      <c r="D6477" t="inlineStr">
        <is>
          <t>GÄVLEBORGS LÄN</t>
        </is>
      </c>
      <c r="E6477" t="inlineStr">
        <is>
          <t>SANDVIKEN</t>
        </is>
      </c>
      <c r="G6477" t="n">
        <v>4.3</v>
      </c>
      <c r="H6477" t="n">
        <v>0</v>
      </c>
      <c r="I6477" t="n">
        <v>0</v>
      </c>
      <c r="J6477" t="n">
        <v>0</v>
      </c>
      <c r="K6477" t="n">
        <v>0</v>
      </c>
      <c r="L6477" t="n">
        <v>0</v>
      </c>
      <c r="M6477" t="n">
        <v>0</v>
      </c>
      <c r="N6477" t="n">
        <v>0</v>
      </c>
      <c r="O6477" t="n">
        <v>0</v>
      </c>
      <c r="P6477" t="n">
        <v>0</v>
      </c>
      <c r="Q6477" t="n">
        <v>0</v>
      </c>
      <c r="R6477" s="2" t="inlineStr"/>
    </row>
    <row r="6478" ht="15" customHeight="1">
      <c r="A6478" t="inlineStr">
        <is>
          <t>A 68662-2021</t>
        </is>
      </c>
      <c r="B6478" s="1" t="n">
        <v>44529</v>
      </c>
      <c r="C6478" s="1" t="n">
        <v>45911</v>
      </c>
      <c r="D6478" t="inlineStr">
        <is>
          <t>GÄVLEBORGS LÄN</t>
        </is>
      </c>
      <c r="E6478" t="inlineStr">
        <is>
          <t>HUDIKSVALL</t>
        </is>
      </c>
      <c r="F6478" t="inlineStr">
        <is>
          <t>Holmen skog AB</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36362-2024</t>
        </is>
      </c>
      <c r="B6479" s="1" t="n">
        <v>45534.64778935185</v>
      </c>
      <c r="C6479" s="1" t="n">
        <v>45911</v>
      </c>
      <c r="D6479" t="inlineStr">
        <is>
          <t>GÄVLEBORGS LÄN</t>
        </is>
      </c>
      <c r="E6479" t="inlineStr">
        <is>
          <t>OCKELBO</t>
        </is>
      </c>
      <c r="G6479" t="n">
        <v>2.9</v>
      </c>
      <c r="H6479" t="n">
        <v>0</v>
      </c>
      <c r="I6479" t="n">
        <v>0</v>
      </c>
      <c r="J6479" t="n">
        <v>0</v>
      </c>
      <c r="K6479" t="n">
        <v>0</v>
      </c>
      <c r="L6479" t="n">
        <v>0</v>
      </c>
      <c r="M6479" t="n">
        <v>0</v>
      </c>
      <c r="N6479" t="n">
        <v>0</v>
      </c>
      <c r="O6479" t="n">
        <v>0</v>
      </c>
      <c r="P6479" t="n">
        <v>0</v>
      </c>
      <c r="Q6479" t="n">
        <v>0</v>
      </c>
      <c r="R6479" s="2" t="inlineStr"/>
    </row>
    <row r="6480" ht="15" customHeight="1">
      <c r="A6480" t="inlineStr">
        <is>
          <t>A 52495-2021</t>
        </is>
      </c>
      <c r="B6480" s="1" t="n">
        <v>44466.43295138889</v>
      </c>
      <c r="C6480" s="1" t="n">
        <v>45911</v>
      </c>
      <c r="D6480" t="inlineStr">
        <is>
          <t>GÄVLEBORGS LÄN</t>
        </is>
      </c>
      <c r="E6480" t="inlineStr">
        <is>
          <t>GÄVLE</t>
        </is>
      </c>
      <c r="F6480" t="inlineStr">
        <is>
          <t>Bergvik skog väst AB</t>
        </is>
      </c>
      <c r="G6480" t="n">
        <v>5.9</v>
      </c>
      <c r="H6480" t="n">
        <v>0</v>
      </c>
      <c r="I6480" t="n">
        <v>0</v>
      </c>
      <c r="J6480" t="n">
        <v>0</v>
      </c>
      <c r="K6480" t="n">
        <v>0</v>
      </c>
      <c r="L6480" t="n">
        <v>0</v>
      </c>
      <c r="M6480" t="n">
        <v>0</v>
      </c>
      <c r="N6480" t="n">
        <v>0</v>
      </c>
      <c r="O6480" t="n">
        <v>0</v>
      </c>
      <c r="P6480" t="n">
        <v>0</v>
      </c>
      <c r="Q6480" t="n">
        <v>0</v>
      </c>
      <c r="R6480" s="2" t="inlineStr"/>
    </row>
    <row r="6481" ht="15" customHeight="1">
      <c r="A6481" t="inlineStr">
        <is>
          <t>A 52608-2021</t>
        </is>
      </c>
      <c r="B6481" s="1" t="n">
        <v>44466.599375</v>
      </c>
      <c r="C6481" s="1" t="n">
        <v>45911</v>
      </c>
      <c r="D6481" t="inlineStr">
        <is>
          <t>GÄVLEBORGS LÄN</t>
        </is>
      </c>
      <c r="E6481" t="inlineStr">
        <is>
          <t>OVANÅKER</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69007-2021</t>
        </is>
      </c>
      <c r="B6482" s="1" t="n">
        <v>44530.59005787037</v>
      </c>
      <c r="C6482" s="1" t="n">
        <v>45911</v>
      </c>
      <c r="D6482" t="inlineStr">
        <is>
          <t>GÄVLEBORGS LÄN</t>
        </is>
      </c>
      <c r="E6482" t="inlineStr">
        <is>
          <t>OVANÅKER</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24238-2025</t>
        </is>
      </c>
      <c r="B6483" s="1" t="n">
        <v>45797</v>
      </c>
      <c r="C6483" s="1" t="n">
        <v>45911</v>
      </c>
      <c r="D6483" t="inlineStr">
        <is>
          <t>GÄVLEBORGS LÄN</t>
        </is>
      </c>
      <c r="E6483" t="inlineStr">
        <is>
          <t>HUDIKSVALL</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19235-2025</t>
        </is>
      </c>
      <c r="B6484" s="1" t="n">
        <v>45769.46902777778</v>
      </c>
      <c r="C6484" s="1" t="n">
        <v>45911</v>
      </c>
      <c r="D6484" t="inlineStr">
        <is>
          <t>GÄVLEBORGS LÄN</t>
        </is>
      </c>
      <c r="E6484" t="inlineStr">
        <is>
          <t>OVANÅKER</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5806-2022</t>
        </is>
      </c>
      <c r="B6485" s="1" t="n">
        <v>44596.5728125</v>
      </c>
      <c r="C6485" s="1" t="n">
        <v>45911</v>
      </c>
      <c r="D6485" t="inlineStr">
        <is>
          <t>GÄVLEBORGS LÄN</t>
        </is>
      </c>
      <c r="E6485" t="inlineStr">
        <is>
          <t>BOLLNÄS</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15147-2023</t>
        </is>
      </c>
      <c r="B6486" s="1" t="n">
        <v>45016</v>
      </c>
      <c r="C6486" s="1" t="n">
        <v>45911</v>
      </c>
      <c r="D6486" t="inlineStr">
        <is>
          <t>GÄVLEBORGS LÄN</t>
        </is>
      </c>
      <c r="E6486" t="inlineStr">
        <is>
          <t>BOLLNÄS</t>
        </is>
      </c>
      <c r="G6486" t="n">
        <v>3.1</v>
      </c>
      <c r="H6486" t="n">
        <v>0</v>
      </c>
      <c r="I6486" t="n">
        <v>0</v>
      </c>
      <c r="J6486" t="n">
        <v>0</v>
      </c>
      <c r="K6486" t="n">
        <v>0</v>
      </c>
      <c r="L6486" t="n">
        <v>0</v>
      </c>
      <c r="M6486" t="n">
        <v>0</v>
      </c>
      <c r="N6486" t="n">
        <v>0</v>
      </c>
      <c r="O6486" t="n">
        <v>0</v>
      </c>
      <c r="P6486" t="n">
        <v>0</v>
      </c>
      <c r="Q6486" t="n">
        <v>0</v>
      </c>
      <c r="R6486" s="2" t="inlineStr"/>
    </row>
    <row r="6487" ht="15" customHeight="1">
      <c r="A6487" t="inlineStr">
        <is>
          <t>A 15150-2023</t>
        </is>
      </c>
      <c r="B6487" s="1" t="n">
        <v>45016</v>
      </c>
      <c r="C6487" s="1" t="n">
        <v>45911</v>
      </c>
      <c r="D6487" t="inlineStr">
        <is>
          <t>GÄVLEBORGS LÄN</t>
        </is>
      </c>
      <c r="E6487" t="inlineStr">
        <is>
          <t>BOLLNÄS</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41901-2025</t>
        </is>
      </c>
      <c r="B6488" s="1" t="n">
        <v>45903.39806712963</v>
      </c>
      <c r="C6488" s="1" t="n">
        <v>45911</v>
      </c>
      <c r="D6488" t="inlineStr">
        <is>
          <t>GÄVLEBORGS LÄN</t>
        </is>
      </c>
      <c r="E6488" t="inlineStr">
        <is>
          <t>OCKELBO</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58870-2023</t>
        </is>
      </c>
      <c r="B6489" s="1" t="n">
        <v>45252</v>
      </c>
      <c r="C6489" s="1" t="n">
        <v>45911</v>
      </c>
      <c r="D6489" t="inlineStr">
        <is>
          <t>GÄVLEBORGS LÄN</t>
        </is>
      </c>
      <c r="E6489" t="inlineStr">
        <is>
          <t>NORDANSTIG</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6455-2025</t>
        </is>
      </c>
      <c r="B6490" s="1" t="n">
        <v>45699.55270833334</v>
      </c>
      <c r="C6490" s="1" t="n">
        <v>45911</v>
      </c>
      <c r="D6490" t="inlineStr">
        <is>
          <t>GÄVLEBORGS LÄN</t>
        </is>
      </c>
      <c r="E6490" t="inlineStr">
        <is>
          <t>SÖDERHAMN</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41942-2025</t>
        </is>
      </c>
      <c r="B6491" s="1" t="n">
        <v>45903.44543981482</v>
      </c>
      <c r="C6491" s="1" t="n">
        <v>45911</v>
      </c>
      <c r="D6491" t="inlineStr">
        <is>
          <t>GÄVLEBORGS LÄN</t>
        </is>
      </c>
      <c r="E6491" t="inlineStr">
        <is>
          <t>LJUSDAL</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41960-2025</t>
        </is>
      </c>
      <c r="B6492" s="1" t="n">
        <v>45903.46912037037</v>
      </c>
      <c r="C6492" s="1" t="n">
        <v>45911</v>
      </c>
      <c r="D6492" t="inlineStr">
        <is>
          <t>GÄVLEBORGS LÄN</t>
        </is>
      </c>
      <c r="E6492" t="inlineStr">
        <is>
          <t>NORDANSTIG</t>
        </is>
      </c>
      <c r="F6492" t="inlineStr">
        <is>
          <t>SCA</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3620-2023</t>
        </is>
      </c>
      <c r="B6493" s="1" t="n">
        <v>44950</v>
      </c>
      <c r="C6493" s="1" t="n">
        <v>45911</v>
      </c>
      <c r="D6493" t="inlineStr">
        <is>
          <t>GÄVLEBORGS LÄN</t>
        </is>
      </c>
      <c r="E6493" t="inlineStr">
        <is>
          <t>OCKELBO</t>
        </is>
      </c>
      <c r="G6493" t="n">
        <v>3.8</v>
      </c>
      <c r="H6493" t="n">
        <v>0</v>
      </c>
      <c r="I6493" t="n">
        <v>0</v>
      </c>
      <c r="J6493" t="n">
        <v>0</v>
      </c>
      <c r="K6493" t="n">
        <v>0</v>
      </c>
      <c r="L6493" t="n">
        <v>0</v>
      </c>
      <c r="M6493" t="n">
        <v>0</v>
      </c>
      <c r="N6493" t="n">
        <v>0</v>
      </c>
      <c r="O6493" t="n">
        <v>0</v>
      </c>
      <c r="P6493" t="n">
        <v>0</v>
      </c>
      <c r="Q6493" t="n">
        <v>0</v>
      </c>
      <c r="R6493" s="2" t="inlineStr"/>
    </row>
    <row r="6494" ht="15" customHeight="1">
      <c r="A6494" t="inlineStr">
        <is>
          <t>A 46739-2024</t>
        </is>
      </c>
      <c r="B6494" s="1" t="n">
        <v>45583.4724074074</v>
      </c>
      <c r="C6494" s="1" t="n">
        <v>45911</v>
      </c>
      <c r="D6494" t="inlineStr">
        <is>
          <t>GÄVLEBORGS LÄN</t>
        </is>
      </c>
      <c r="E6494" t="inlineStr">
        <is>
          <t>BOLLNÄS</t>
        </is>
      </c>
      <c r="G6494" t="n">
        <v>5.1</v>
      </c>
      <c r="H6494" t="n">
        <v>0</v>
      </c>
      <c r="I6494" t="n">
        <v>0</v>
      </c>
      <c r="J6494" t="n">
        <v>0</v>
      </c>
      <c r="K6494" t="n">
        <v>0</v>
      </c>
      <c r="L6494" t="n">
        <v>0</v>
      </c>
      <c r="M6494" t="n">
        <v>0</v>
      </c>
      <c r="N6494" t="n">
        <v>0</v>
      </c>
      <c r="O6494" t="n">
        <v>0</v>
      </c>
      <c r="P6494" t="n">
        <v>0</v>
      </c>
      <c r="Q6494" t="n">
        <v>0</v>
      </c>
      <c r="R6494" s="2" t="inlineStr"/>
    </row>
    <row r="6495" ht="15" customHeight="1">
      <c r="A6495" t="inlineStr">
        <is>
          <t>A 12476-2021</t>
        </is>
      </c>
      <c r="B6495" s="1" t="n">
        <v>44267</v>
      </c>
      <c r="C6495" s="1" t="n">
        <v>45911</v>
      </c>
      <c r="D6495" t="inlineStr">
        <is>
          <t>GÄVLEBORGS LÄN</t>
        </is>
      </c>
      <c r="E6495" t="inlineStr">
        <is>
          <t>BOLLNÄS</t>
        </is>
      </c>
      <c r="G6495" t="n">
        <v>0.2</v>
      </c>
      <c r="H6495" t="n">
        <v>0</v>
      </c>
      <c r="I6495" t="n">
        <v>0</v>
      </c>
      <c r="J6495" t="n">
        <v>0</v>
      </c>
      <c r="K6495" t="n">
        <v>0</v>
      </c>
      <c r="L6495" t="n">
        <v>0</v>
      </c>
      <c r="M6495" t="n">
        <v>0</v>
      </c>
      <c r="N6495" t="n">
        <v>0</v>
      </c>
      <c r="O6495" t="n">
        <v>0</v>
      </c>
      <c r="P6495" t="n">
        <v>0</v>
      </c>
      <c r="Q6495" t="n">
        <v>0</v>
      </c>
      <c r="R6495" s="2" t="inlineStr"/>
    </row>
    <row r="6496" ht="15" customHeight="1">
      <c r="A6496" t="inlineStr">
        <is>
          <t>A 40486-2024</t>
        </is>
      </c>
      <c r="B6496" s="1" t="n">
        <v>45555.5541087963</v>
      </c>
      <c r="C6496" s="1" t="n">
        <v>45911</v>
      </c>
      <c r="D6496" t="inlineStr">
        <is>
          <t>GÄVLEBORGS LÄN</t>
        </is>
      </c>
      <c r="E6496" t="inlineStr">
        <is>
          <t>BOLLNÄS</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42039-2025</t>
        </is>
      </c>
      <c r="B6497" s="1" t="n">
        <v>45903.61480324074</v>
      </c>
      <c r="C6497" s="1" t="n">
        <v>45911</v>
      </c>
      <c r="D6497" t="inlineStr">
        <is>
          <t>GÄVLEBORGS LÄN</t>
        </is>
      </c>
      <c r="E6497" t="inlineStr">
        <is>
          <t>GÄVLE</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40487-2024</t>
        </is>
      </c>
      <c r="B6498" s="1" t="n">
        <v>45555.55648148148</v>
      </c>
      <c r="C6498" s="1" t="n">
        <v>45911</v>
      </c>
      <c r="D6498" t="inlineStr">
        <is>
          <t>GÄVLEBORGS LÄN</t>
        </is>
      </c>
      <c r="E6498" t="inlineStr">
        <is>
          <t>BOLLNÄS</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42182-2025</t>
        </is>
      </c>
      <c r="B6499" s="1" t="n">
        <v>45904.4516087963</v>
      </c>
      <c r="C6499" s="1" t="n">
        <v>45911</v>
      </c>
      <c r="D6499" t="inlineStr">
        <is>
          <t>GÄVLEBORGS LÄN</t>
        </is>
      </c>
      <c r="E6499" t="inlineStr">
        <is>
          <t>LJUSDAL</t>
        </is>
      </c>
      <c r="F6499" t="inlineStr">
        <is>
          <t>Allmännings- och besparingsskogar</t>
        </is>
      </c>
      <c r="G6499" t="n">
        <v>5.7</v>
      </c>
      <c r="H6499" t="n">
        <v>0</v>
      </c>
      <c r="I6499" t="n">
        <v>0</v>
      </c>
      <c r="J6499" t="n">
        <v>0</v>
      </c>
      <c r="K6499" t="n">
        <v>0</v>
      </c>
      <c r="L6499" t="n">
        <v>0</v>
      </c>
      <c r="M6499" t="n">
        <v>0</v>
      </c>
      <c r="N6499" t="n">
        <v>0</v>
      </c>
      <c r="O6499" t="n">
        <v>0</v>
      </c>
      <c r="P6499" t="n">
        <v>0</v>
      </c>
      <c r="Q6499" t="n">
        <v>0</v>
      </c>
      <c r="R6499" s="2" t="inlineStr"/>
    </row>
    <row r="6500" ht="15" customHeight="1">
      <c r="A6500" t="inlineStr">
        <is>
          <t>A 49954-2024</t>
        </is>
      </c>
      <c r="B6500" s="1" t="n">
        <v>45597.61638888889</v>
      </c>
      <c r="C6500" s="1" t="n">
        <v>45911</v>
      </c>
      <c r="D6500" t="inlineStr">
        <is>
          <t>GÄVLEBORGS LÄN</t>
        </is>
      </c>
      <c r="E6500" t="inlineStr">
        <is>
          <t>SÖDERHAMN</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49961-2024</t>
        </is>
      </c>
      <c r="B6501" s="1" t="n">
        <v>45597.62934027778</v>
      </c>
      <c r="C6501" s="1" t="n">
        <v>45911</v>
      </c>
      <c r="D6501" t="inlineStr">
        <is>
          <t>GÄVLEBORGS LÄN</t>
        </is>
      </c>
      <c r="E6501" t="inlineStr">
        <is>
          <t>SÖDERHAMN</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42002-2025</t>
        </is>
      </c>
      <c r="B6502" s="1" t="n">
        <v>45903.55368055555</v>
      </c>
      <c r="C6502" s="1" t="n">
        <v>45911</v>
      </c>
      <c r="D6502" t="inlineStr">
        <is>
          <t>GÄVLEBORGS LÄN</t>
        </is>
      </c>
      <c r="E6502" t="inlineStr">
        <is>
          <t>LJUSDAL</t>
        </is>
      </c>
      <c r="F6502" t="inlineStr">
        <is>
          <t>Bergvik skog väst AB</t>
        </is>
      </c>
      <c r="G6502" t="n">
        <v>4.6</v>
      </c>
      <c r="H6502" t="n">
        <v>0</v>
      </c>
      <c r="I6502" t="n">
        <v>0</v>
      </c>
      <c r="J6502" t="n">
        <v>0</v>
      </c>
      <c r="K6502" t="n">
        <v>0</v>
      </c>
      <c r="L6502" t="n">
        <v>0</v>
      </c>
      <c r="M6502" t="n">
        <v>0</v>
      </c>
      <c r="N6502" t="n">
        <v>0</v>
      </c>
      <c r="O6502" t="n">
        <v>0</v>
      </c>
      <c r="P6502" t="n">
        <v>0</v>
      </c>
      <c r="Q6502" t="n">
        <v>0</v>
      </c>
      <c r="R6502" s="2" t="inlineStr"/>
    </row>
    <row r="6503" ht="15" customHeight="1">
      <c r="A6503" t="inlineStr">
        <is>
          <t>A 33978-2024</t>
        </is>
      </c>
      <c r="B6503" s="1" t="n">
        <v>45523.51716435186</v>
      </c>
      <c r="C6503" s="1" t="n">
        <v>45911</v>
      </c>
      <c r="D6503" t="inlineStr">
        <is>
          <t>GÄVLEBORGS LÄN</t>
        </is>
      </c>
      <c r="E6503" t="inlineStr">
        <is>
          <t>HOFORS</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33984-2024</t>
        </is>
      </c>
      <c r="B6504" s="1" t="n">
        <v>45523.52378472222</v>
      </c>
      <c r="C6504" s="1" t="n">
        <v>45911</v>
      </c>
      <c r="D6504" t="inlineStr">
        <is>
          <t>GÄVLEBORGS LÄN</t>
        </is>
      </c>
      <c r="E6504" t="inlineStr">
        <is>
          <t>HOFORS</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34013-2024</t>
        </is>
      </c>
      <c r="B6505" s="1" t="n">
        <v>45523.56701388889</v>
      </c>
      <c r="C6505" s="1" t="n">
        <v>45911</v>
      </c>
      <c r="D6505" t="inlineStr">
        <is>
          <t>GÄVLEBORGS LÄN</t>
        </is>
      </c>
      <c r="E6505" t="inlineStr">
        <is>
          <t>SANDVIKEN</t>
        </is>
      </c>
      <c r="F6505" t="inlineStr">
        <is>
          <t>Bergvik skog öst AB</t>
        </is>
      </c>
      <c r="G6505" t="n">
        <v>5.2</v>
      </c>
      <c r="H6505" t="n">
        <v>0</v>
      </c>
      <c r="I6505" t="n">
        <v>0</v>
      </c>
      <c r="J6505" t="n">
        <v>0</v>
      </c>
      <c r="K6505" t="n">
        <v>0</v>
      </c>
      <c r="L6505" t="n">
        <v>0</v>
      </c>
      <c r="M6505" t="n">
        <v>0</v>
      </c>
      <c r="N6505" t="n">
        <v>0</v>
      </c>
      <c r="O6505" t="n">
        <v>0</v>
      </c>
      <c r="P6505" t="n">
        <v>0</v>
      </c>
      <c r="Q6505" t="n">
        <v>0</v>
      </c>
      <c r="R6505" s="2" t="inlineStr"/>
    </row>
    <row r="6506" ht="15" customHeight="1">
      <c r="A6506" t="inlineStr">
        <is>
          <t>A 42341-2025</t>
        </is>
      </c>
      <c r="B6506" s="1" t="n">
        <v>45904</v>
      </c>
      <c r="C6506" s="1" t="n">
        <v>45911</v>
      </c>
      <c r="D6506" t="inlineStr">
        <is>
          <t>GÄVLEBORGS LÄN</t>
        </is>
      </c>
      <c r="E6506" t="inlineStr">
        <is>
          <t>BOLLNÄS</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42353-2025</t>
        </is>
      </c>
      <c r="B6507" s="1" t="n">
        <v>45904.84546296296</v>
      </c>
      <c r="C6507" s="1" t="n">
        <v>45911</v>
      </c>
      <c r="D6507" t="inlineStr">
        <is>
          <t>GÄVLEBORGS LÄN</t>
        </is>
      </c>
      <c r="E6507" t="inlineStr">
        <is>
          <t>LJUSDAL</t>
        </is>
      </c>
      <c r="F6507" t="inlineStr">
        <is>
          <t>Holmen skog AB</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41918-2025</t>
        </is>
      </c>
      <c r="B6508" s="1" t="n">
        <v>45903.42224537037</v>
      </c>
      <c r="C6508" s="1" t="n">
        <v>45911</v>
      </c>
      <c r="D6508" t="inlineStr">
        <is>
          <t>GÄVLEBORGS LÄN</t>
        </is>
      </c>
      <c r="E6508" t="inlineStr">
        <is>
          <t>LJUSDAL</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41928-2025</t>
        </is>
      </c>
      <c r="B6509" s="1" t="n">
        <v>45903.42954861111</v>
      </c>
      <c r="C6509" s="1" t="n">
        <v>45911</v>
      </c>
      <c r="D6509" t="inlineStr">
        <is>
          <t>GÄVLEBORGS LÄN</t>
        </is>
      </c>
      <c r="E6509" t="inlineStr">
        <is>
          <t>LJUSDAL</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41929-2025</t>
        </is>
      </c>
      <c r="B6510" s="1" t="n">
        <v>45903.43053240741</v>
      </c>
      <c r="C6510" s="1" t="n">
        <v>45911</v>
      </c>
      <c r="D6510" t="inlineStr">
        <is>
          <t>GÄVLEBORGS LÄN</t>
        </is>
      </c>
      <c r="E6510" t="inlineStr">
        <is>
          <t>OCKELBO</t>
        </is>
      </c>
      <c r="F6510" t="inlineStr">
        <is>
          <t>Bergvik skog väst AB</t>
        </is>
      </c>
      <c r="G6510" t="n">
        <v>10.8</v>
      </c>
      <c r="H6510" t="n">
        <v>0</v>
      </c>
      <c r="I6510" t="n">
        <v>0</v>
      </c>
      <c r="J6510" t="n">
        <v>0</v>
      </c>
      <c r="K6510" t="n">
        <v>0</v>
      </c>
      <c r="L6510" t="n">
        <v>0</v>
      </c>
      <c r="M6510" t="n">
        <v>0</v>
      </c>
      <c r="N6510" t="n">
        <v>0</v>
      </c>
      <c r="O6510" t="n">
        <v>0</v>
      </c>
      <c r="P6510" t="n">
        <v>0</v>
      </c>
      <c r="Q6510" t="n">
        <v>0</v>
      </c>
      <c r="R6510" s="2" t="inlineStr"/>
    </row>
    <row r="6511" ht="15" customHeight="1">
      <c r="A6511" t="inlineStr">
        <is>
          <t>A 15142-2023</t>
        </is>
      </c>
      <c r="B6511" s="1" t="n">
        <v>45016</v>
      </c>
      <c r="C6511" s="1" t="n">
        <v>45911</v>
      </c>
      <c r="D6511" t="inlineStr">
        <is>
          <t>GÄVLEBORGS LÄN</t>
        </is>
      </c>
      <c r="E6511" t="inlineStr">
        <is>
          <t>BOLLNÄS</t>
        </is>
      </c>
      <c r="G6511" t="n">
        <v>4.7</v>
      </c>
      <c r="H6511" t="n">
        <v>0</v>
      </c>
      <c r="I6511" t="n">
        <v>0</v>
      </c>
      <c r="J6511" t="n">
        <v>0</v>
      </c>
      <c r="K6511" t="n">
        <v>0</v>
      </c>
      <c r="L6511" t="n">
        <v>0</v>
      </c>
      <c r="M6511" t="n">
        <v>0</v>
      </c>
      <c r="N6511" t="n">
        <v>0</v>
      </c>
      <c r="O6511" t="n">
        <v>0</v>
      </c>
      <c r="P6511" t="n">
        <v>0</v>
      </c>
      <c r="Q6511" t="n">
        <v>0</v>
      </c>
      <c r="R6511" s="2" t="inlineStr"/>
    </row>
    <row r="6512" ht="15" customHeight="1">
      <c r="A6512" t="inlineStr">
        <is>
          <t>A 15171-2023</t>
        </is>
      </c>
      <c r="B6512" s="1" t="n">
        <v>45016</v>
      </c>
      <c r="C6512" s="1" t="n">
        <v>45911</v>
      </c>
      <c r="D6512" t="inlineStr">
        <is>
          <t>GÄVLEBORGS LÄN</t>
        </is>
      </c>
      <c r="E6512" t="inlineStr">
        <is>
          <t>LJUSDAL</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55539-2023</t>
        </is>
      </c>
      <c r="B6513" s="1" t="n">
        <v>45238.60041666667</v>
      </c>
      <c r="C6513" s="1" t="n">
        <v>45911</v>
      </c>
      <c r="D6513" t="inlineStr">
        <is>
          <t>GÄVLEBORGS LÄN</t>
        </is>
      </c>
      <c r="E6513" t="inlineStr">
        <is>
          <t>SANDVIKEN</t>
        </is>
      </c>
      <c r="G6513" t="n">
        <v>3.6</v>
      </c>
      <c r="H6513" t="n">
        <v>0</v>
      </c>
      <c r="I6513" t="n">
        <v>0</v>
      </c>
      <c r="J6513" t="n">
        <v>0</v>
      </c>
      <c r="K6513" t="n">
        <v>0</v>
      </c>
      <c r="L6513" t="n">
        <v>0</v>
      </c>
      <c r="M6513" t="n">
        <v>0</v>
      </c>
      <c r="N6513" t="n">
        <v>0</v>
      </c>
      <c r="O6513" t="n">
        <v>0</v>
      </c>
      <c r="P6513" t="n">
        <v>0</v>
      </c>
      <c r="Q6513" t="n">
        <v>0</v>
      </c>
      <c r="R6513" s="2" t="inlineStr"/>
    </row>
    <row r="6514" ht="15" customHeight="1">
      <c r="A6514" t="inlineStr">
        <is>
          <t>A 42097-2025</t>
        </is>
      </c>
      <c r="B6514" s="1" t="n">
        <v>45903.75074074074</v>
      </c>
      <c r="C6514" s="1" t="n">
        <v>45911</v>
      </c>
      <c r="D6514" t="inlineStr">
        <is>
          <t>GÄVLEBORGS LÄN</t>
        </is>
      </c>
      <c r="E6514" t="inlineStr">
        <is>
          <t>LJUSDAL</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20892-2025</t>
        </is>
      </c>
      <c r="B6515" s="1" t="n">
        <v>45777.38662037037</v>
      </c>
      <c r="C6515" s="1" t="n">
        <v>45911</v>
      </c>
      <c r="D6515" t="inlineStr">
        <is>
          <t>GÄVLEBORGS LÄN</t>
        </is>
      </c>
      <c r="E6515" t="inlineStr">
        <is>
          <t>OCKELBO</t>
        </is>
      </c>
      <c r="F6515" t="inlineStr">
        <is>
          <t>Bergvik skog väst AB</t>
        </is>
      </c>
      <c r="G6515" t="n">
        <v>8</v>
      </c>
      <c r="H6515" t="n">
        <v>0</v>
      </c>
      <c r="I6515" t="n">
        <v>0</v>
      </c>
      <c r="J6515" t="n">
        <v>0</v>
      </c>
      <c r="K6515" t="n">
        <v>0</v>
      </c>
      <c r="L6515" t="n">
        <v>0</v>
      </c>
      <c r="M6515" t="n">
        <v>0</v>
      </c>
      <c r="N6515" t="n">
        <v>0</v>
      </c>
      <c r="O6515" t="n">
        <v>0</v>
      </c>
      <c r="P6515" t="n">
        <v>0</v>
      </c>
      <c r="Q6515" t="n">
        <v>0</v>
      </c>
      <c r="R6515" s="2" t="inlineStr"/>
    </row>
    <row r="6516" ht="15" customHeight="1">
      <c r="A6516" t="inlineStr">
        <is>
          <t>A 35071-2023</t>
        </is>
      </c>
      <c r="B6516" s="1" t="n">
        <v>45145.42189814815</v>
      </c>
      <c r="C6516" s="1" t="n">
        <v>45911</v>
      </c>
      <c r="D6516" t="inlineStr">
        <is>
          <t>GÄVLEBORGS LÄN</t>
        </is>
      </c>
      <c r="E6516" t="inlineStr">
        <is>
          <t>BOLLNÄS</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41865-2025</t>
        </is>
      </c>
      <c r="B6517" s="1" t="n">
        <v>45903.33694444445</v>
      </c>
      <c r="C6517" s="1" t="n">
        <v>45911</v>
      </c>
      <c r="D6517" t="inlineStr">
        <is>
          <t>GÄVLEBORGS LÄN</t>
        </is>
      </c>
      <c r="E6517" t="inlineStr">
        <is>
          <t>LJUSDAL</t>
        </is>
      </c>
      <c r="F6517" t="inlineStr">
        <is>
          <t>Bergvik skog väst AB</t>
        </is>
      </c>
      <c r="G6517" t="n">
        <v>16.6</v>
      </c>
      <c r="H6517" t="n">
        <v>0</v>
      </c>
      <c r="I6517" t="n">
        <v>0</v>
      </c>
      <c r="J6517" t="n">
        <v>0</v>
      </c>
      <c r="K6517" t="n">
        <v>0</v>
      </c>
      <c r="L6517" t="n">
        <v>0</v>
      </c>
      <c r="M6517" t="n">
        <v>0</v>
      </c>
      <c r="N6517" t="n">
        <v>0</v>
      </c>
      <c r="O6517" t="n">
        <v>0</v>
      </c>
      <c r="P6517" t="n">
        <v>0</v>
      </c>
      <c r="Q6517" t="n">
        <v>0</v>
      </c>
      <c r="R6517" s="2" t="inlineStr"/>
    </row>
    <row r="6518" ht="15" customHeight="1">
      <c r="A6518" t="inlineStr">
        <is>
          <t>A 35919-2025</t>
        </is>
      </c>
      <c r="B6518" s="1" t="n">
        <v>45862.56378472222</v>
      </c>
      <c r="C6518" s="1" t="n">
        <v>45911</v>
      </c>
      <c r="D6518" t="inlineStr">
        <is>
          <t>GÄVLEBORGS LÄN</t>
        </is>
      </c>
      <c r="E6518" t="inlineStr">
        <is>
          <t>GÄVLE</t>
        </is>
      </c>
      <c r="G6518" t="n">
        <v>0.4</v>
      </c>
      <c r="H6518" t="n">
        <v>0</v>
      </c>
      <c r="I6518" t="n">
        <v>0</v>
      </c>
      <c r="J6518" t="n">
        <v>0</v>
      </c>
      <c r="K6518" t="n">
        <v>0</v>
      </c>
      <c r="L6518" t="n">
        <v>0</v>
      </c>
      <c r="M6518" t="n">
        <v>0</v>
      </c>
      <c r="N6518" t="n">
        <v>0</v>
      </c>
      <c r="O6518" t="n">
        <v>0</v>
      </c>
      <c r="P6518" t="n">
        <v>0</v>
      </c>
      <c r="Q6518" t="n">
        <v>0</v>
      </c>
      <c r="R6518" s="2" t="inlineStr"/>
    </row>
    <row r="6519" ht="15" customHeight="1">
      <c r="A6519" t="inlineStr">
        <is>
          <t>A 3404-2025</t>
        </is>
      </c>
      <c r="B6519" s="1" t="n">
        <v>45680.37916666667</v>
      </c>
      <c r="C6519" s="1" t="n">
        <v>45911</v>
      </c>
      <c r="D6519" t="inlineStr">
        <is>
          <t>GÄVLEBORGS LÄN</t>
        </is>
      </c>
      <c r="E6519" t="inlineStr">
        <is>
          <t>NORDANSTIG</t>
        </is>
      </c>
      <c r="G6519" t="n">
        <v>2.8</v>
      </c>
      <c r="H6519" t="n">
        <v>0</v>
      </c>
      <c r="I6519" t="n">
        <v>0</v>
      </c>
      <c r="J6519" t="n">
        <v>0</v>
      </c>
      <c r="K6519" t="n">
        <v>0</v>
      </c>
      <c r="L6519" t="n">
        <v>0</v>
      </c>
      <c r="M6519" t="n">
        <v>0</v>
      </c>
      <c r="N6519" t="n">
        <v>0</v>
      </c>
      <c r="O6519" t="n">
        <v>0</v>
      </c>
      <c r="P6519" t="n">
        <v>0</v>
      </c>
      <c r="Q6519" t="n">
        <v>0</v>
      </c>
      <c r="R6519" s="2" t="inlineStr"/>
    </row>
    <row r="6520" ht="15" customHeight="1">
      <c r="A6520" t="inlineStr">
        <is>
          <t>A 17088-2023</t>
        </is>
      </c>
      <c r="B6520" s="1" t="n">
        <v>45034.52115740741</v>
      </c>
      <c r="C6520" s="1" t="n">
        <v>45911</v>
      </c>
      <c r="D6520" t="inlineStr">
        <is>
          <t>GÄVLEBORGS LÄN</t>
        </is>
      </c>
      <c r="E6520" t="inlineStr">
        <is>
          <t>GÄVLE</t>
        </is>
      </c>
      <c r="F6520" t="inlineStr">
        <is>
          <t>Bergvik skog öst AB</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4980-2025</t>
        </is>
      </c>
      <c r="B6521" s="1" t="n">
        <v>45691.24708333334</v>
      </c>
      <c r="C6521" s="1" t="n">
        <v>45911</v>
      </c>
      <c r="D6521" t="inlineStr">
        <is>
          <t>GÄVLEBORGS LÄN</t>
        </is>
      </c>
      <c r="E6521" t="inlineStr">
        <is>
          <t>OVANÅKER</t>
        </is>
      </c>
      <c r="G6521" t="n">
        <v>2.3</v>
      </c>
      <c r="H6521" t="n">
        <v>0</v>
      </c>
      <c r="I6521" t="n">
        <v>0</v>
      </c>
      <c r="J6521" t="n">
        <v>0</v>
      </c>
      <c r="K6521" t="n">
        <v>0</v>
      </c>
      <c r="L6521" t="n">
        <v>0</v>
      </c>
      <c r="M6521" t="n">
        <v>0</v>
      </c>
      <c r="N6521" t="n">
        <v>0</v>
      </c>
      <c r="O6521" t="n">
        <v>0</v>
      </c>
      <c r="P6521" t="n">
        <v>0</v>
      </c>
      <c r="Q6521" t="n">
        <v>0</v>
      </c>
      <c r="R6521" s="2" t="inlineStr"/>
    </row>
    <row r="6522" ht="15" customHeight="1">
      <c r="A6522" t="inlineStr">
        <is>
          <t>A 41947-2025</t>
        </is>
      </c>
      <c r="B6522" s="1" t="n">
        <v>45903.44925925926</v>
      </c>
      <c r="C6522" s="1" t="n">
        <v>45911</v>
      </c>
      <c r="D6522" t="inlineStr">
        <is>
          <t>GÄVLEBORGS LÄN</t>
        </is>
      </c>
      <c r="E6522" t="inlineStr">
        <is>
          <t>LJUSDAL</t>
        </is>
      </c>
      <c r="F6522" t="inlineStr">
        <is>
          <t>Allmännings- och besparingsskogar</t>
        </is>
      </c>
      <c r="G6522" t="n">
        <v>21.2</v>
      </c>
      <c r="H6522" t="n">
        <v>0</v>
      </c>
      <c r="I6522" t="n">
        <v>0</v>
      </c>
      <c r="J6522" t="n">
        <v>0</v>
      </c>
      <c r="K6522" t="n">
        <v>0</v>
      </c>
      <c r="L6522" t="n">
        <v>0</v>
      </c>
      <c r="M6522" t="n">
        <v>0</v>
      </c>
      <c r="N6522" t="n">
        <v>0</v>
      </c>
      <c r="O6522" t="n">
        <v>0</v>
      </c>
      <c r="P6522" t="n">
        <v>0</v>
      </c>
      <c r="Q6522" t="n">
        <v>0</v>
      </c>
      <c r="R6522" s="2" t="inlineStr"/>
    </row>
    <row r="6523" ht="15" customHeight="1">
      <c r="A6523" t="inlineStr">
        <is>
          <t>A 18874-2025</t>
        </is>
      </c>
      <c r="B6523" s="1" t="n">
        <v>45764.43357638889</v>
      </c>
      <c r="C6523" s="1" t="n">
        <v>45911</v>
      </c>
      <c r="D6523" t="inlineStr">
        <is>
          <t>GÄVLEBORGS LÄN</t>
        </is>
      </c>
      <c r="E6523" t="inlineStr">
        <is>
          <t>GÄVLE</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18876-2025</t>
        </is>
      </c>
      <c r="B6524" s="1" t="n">
        <v>45764.43528935185</v>
      </c>
      <c r="C6524" s="1" t="n">
        <v>45911</v>
      </c>
      <c r="D6524" t="inlineStr">
        <is>
          <t>GÄVLEBORGS LÄN</t>
        </is>
      </c>
      <c r="E6524" t="inlineStr">
        <is>
          <t>GÄVLE</t>
        </is>
      </c>
      <c r="G6524" t="n">
        <v>3.5</v>
      </c>
      <c r="H6524" t="n">
        <v>0</v>
      </c>
      <c r="I6524" t="n">
        <v>0</v>
      </c>
      <c r="J6524" t="n">
        <v>0</v>
      </c>
      <c r="K6524" t="n">
        <v>0</v>
      </c>
      <c r="L6524" t="n">
        <v>0</v>
      </c>
      <c r="M6524" t="n">
        <v>0</v>
      </c>
      <c r="N6524" t="n">
        <v>0</v>
      </c>
      <c r="O6524" t="n">
        <v>0</v>
      </c>
      <c r="P6524" t="n">
        <v>0</v>
      </c>
      <c r="Q6524" t="n">
        <v>0</v>
      </c>
      <c r="R6524" s="2" t="inlineStr"/>
    </row>
    <row r="6525" ht="15" customHeight="1">
      <c r="A6525" t="inlineStr">
        <is>
          <t>A 13806-2024</t>
        </is>
      </c>
      <c r="B6525" s="1" t="n">
        <v>45391.39333333333</v>
      </c>
      <c r="C6525" s="1" t="n">
        <v>45911</v>
      </c>
      <c r="D6525" t="inlineStr">
        <is>
          <t>GÄVLEBORGS LÄN</t>
        </is>
      </c>
      <c r="E6525" t="inlineStr">
        <is>
          <t>HUDIKSVALL</t>
        </is>
      </c>
      <c r="G6525" t="n">
        <v>0.5</v>
      </c>
      <c r="H6525" t="n">
        <v>0</v>
      </c>
      <c r="I6525" t="n">
        <v>0</v>
      </c>
      <c r="J6525" t="n">
        <v>0</v>
      </c>
      <c r="K6525" t="n">
        <v>0</v>
      </c>
      <c r="L6525" t="n">
        <v>0</v>
      </c>
      <c r="M6525" t="n">
        <v>0</v>
      </c>
      <c r="N6525" t="n">
        <v>0</v>
      </c>
      <c r="O6525" t="n">
        <v>0</v>
      </c>
      <c r="P6525" t="n">
        <v>0</v>
      </c>
      <c r="Q6525" t="n">
        <v>0</v>
      </c>
      <c r="R6525" s="2" t="inlineStr"/>
    </row>
    <row r="6526" ht="15" customHeight="1">
      <c r="A6526" t="inlineStr">
        <is>
          <t>A 35870-2025</t>
        </is>
      </c>
      <c r="B6526" s="1" t="n">
        <v>45862.30469907408</v>
      </c>
      <c r="C6526" s="1" t="n">
        <v>45911</v>
      </c>
      <c r="D6526" t="inlineStr">
        <is>
          <t>GÄVLEBORGS LÄN</t>
        </is>
      </c>
      <c r="E6526" t="inlineStr">
        <is>
          <t>OCKELBO</t>
        </is>
      </c>
      <c r="G6526" t="n">
        <v>4.4</v>
      </c>
      <c r="H6526" t="n">
        <v>0</v>
      </c>
      <c r="I6526" t="n">
        <v>0</v>
      </c>
      <c r="J6526" t="n">
        <v>0</v>
      </c>
      <c r="K6526" t="n">
        <v>0</v>
      </c>
      <c r="L6526" t="n">
        <v>0</v>
      </c>
      <c r="M6526" t="n">
        <v>0</v>
      </c>
      <c r="N6526" t="n">
        <v>0</v>
      </c>
      <c r="O6526" t="n">
        <v>0</v>
      </c>
      <c r="P6526" t="n">
        <v>0</v>
      </c>
      <c r="Q6526" t="n">
        <v>0</v>
      </c>
      <c r="R6526" s="2" t="inlineStr"/>
    </row>
    <row r="6527" ht="15" customHeight="1">
      <c r="A6527" t="inlineStr">
        <is>
          <t>A 4287-2021</t>
        </is>
      </c>
      <c r="B6527" s="1" t="n">
        <v>44223</v>
      </c>
      <c r="C6527" s="1" t="n">
        <v>45911</v>
      </c>
      <c r="D6527" t="inlineStr">
        <is>
          <t>GÄVLEBORGS LÄN</t>
        </is>
      </c>
      <c r="E6527" t="inlineStr">
        <is>
          <t>OVANÅKER</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35916-2025</t>
        </is>
      </c>
      <c r="B6528" s="1" t="n">
        <v>45862.5516087963</v>
      </c>
      <c r="C6528" s="1" t="n">
        <v>45911</v>
      </c>
      <c r="D6528" t="inlineStr">
        <is>
          <t>GÄVLEBORGS LÄN</t>
        </is>
      </c>
      <c r="E6528" t="inlineStr">
        <is>
          <t>GÄVLE</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41860-2025</t>
        </is>
      </c>
      <c r="B6529" s="1" t="n">
        <v>45903.25199074074</v>
      </c>
      <c r="C6529" s="1" t="n">
        <v>45911</v>
      </c>
      <c r="D6529" t="inlineStr">
        <is>
          <t>GÄVLEBORGS LÄN</t>
        </is>
      </c>
      <c r="E6529" t="inlineStr">
        <is>
          <t>LJUSDAL</t>
        </is>
      </c>
      <c r="G6529" t="n">
        <v>3.8</v>
      </c>
      <c r="H6529" t="n">
        <v>0</v>
      </c>
      <c r="I6529" t="n">
        <v>0</v>
      </c>
      <c r="J6529" t="n">
        <v>0</v>
      </c>
      <c r="K6529" t="n">
        <v>0</v>
      </c>
      <c r="L6529" t="n">
        <v>0</v>
      </c>
      <c r="M6529" t="n">
        <v>0</v>
      </c>
      <c r="N6529" t="n">
        <v>0</v>
      </c>
      <c r="O6529" t="n">
        <v>0</v>
      </c>
      <c r="P6529" t="n">
        <v>0</v>
      </c>
      <c r="Q6529" t="n">
        <v>0</v>
      </c>
      <c r="R6529" s="2" t="inlineStr"/>
    </row>
    <row r="6530" ht="15" customHeight="1">
      <c r="A6530" t="inlineStr">
        <is>
          <t>A 41861-2025</t>
        </is>
      </c>
      <c r="B6530" s="1" t="n">
        <v>45903.25648148148</v>
      </c>
      <c r="C6530" s="1" t="n">
        <v>45911</v>
      </c>
      <c r="D6530" t="inlineStr">
        <is>
          <t>GÄVLEBORGS LÄN</t>
        </is>
      </c>
      <c r="E6530" t="inlineStr">
        <is>
          <t>LJUSDAL</t>
        </is>
      </c>
      <c r="G6530" t="n">
        <v>9</v>
      </c>
      <c r="H6530" t="n">
        <v>0</v>
      </c>
      <c r="I6530" t="n">
        <v>0</v>
      </c>
      <c r="J6530" t="n">
        <v>0</v>
      </c>
      <c r="K6530" t="n">
        <v>0</v>
      </c>
      <c r="L6530" t="n">
        <v>0</v>
      </c>
      <c r="M6530" t="n">
        <v>0</v>
      </c>
      <c r="N6530" t="n">
        <v>0</v>
      </c>
      <c r="O6530" t="n">
        <v>0</v>
      </c>
      <c r="P6530" t="n">
        <v>0</v>
      </c>
      <c r="Q6530" t="n">
        <v>0</v>
      </c>
      <c r="R6530" s="2" t="inlineStr"/>
    </row>
    <row r="6531" ht="15" customHeight="1">
      <c r="A6531" t="inlineStr">
        <is>
          <t>A 58165-2023</t>
        </is>
      </c>
      <c r="B6531" s="1" t="n">
        <v>45250.39545138889</v>
      </c>
      <c r="C6531" s="1" t="n">
        <v>45911</v>
      </c>
      <c r="D6531" t="inlineStr">
        <is>
          <t>GÄVLEBORGS LÄN</t>
        </is>
      </c>
      <c r="E6531" t="inlineStr">
        <is>
          <t>NORDANSTIG</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41867-2025</t>
        </is>
      </c>
      <c r="B6532" s="1" t="n">
        <v>45903.34340277778</v>
      </c>
      <c r="C6532" s="1" t="n">
        <v>45911</v>
      </c>
      <c r="D6532" t="inlineStr">
        <is>
          <t>GÄVLEBORGS LÄN</t>
        </is>
      </c>
      <c r="E6532" t="inlineStr">
        <is>
          <t>LJUSDAL</t>
        </is>
      </c>
      <c r="G6532" t="n">
        <v>3.7</v>
      </c>
      <c r="H6532" t="n">
        <v>0</v>
      </c>
      <c r="I6532" t="n">
        <v>0</v>
      </c>
      <c r="J6532" t="n">
        <v>0</v>
      </c>
      <c r="K6532" t="n">
        <v>0</v>
      </c>
      <c r="L6532" t="n">
        <v>0</v>
      </c>
      <c r="M6532" t="n">
        <v>0</v>
      </c>
      <c r="N6532" t="n">
        <v>0</v>
      </c>
      <c r="O6532" t="n">
        <v>0</v>
      </c>
      <c r="P6532" t="n">
        <v>0</v>
      </c>
      <c r="Q6532" t="n">
        <v>0</v>
      </c>
      <c r="R6532" s="2" t="inlineStr"/>
    </row>
    <row r="6533" ht="15" customHeight="1">
      <c r="A6533" t="inlineStr">
        <is>
          <t>A 16713-2021</t>
        </is>
      </c>
      <c r="B6533" s="1" t="n">
        <v>44294.64568287037</v>
      </c>
      <c r="C6533" s="1" t="n">
        <v>45911</v>
      </c>
      <c r="D6533" t="inlineStr">
        <is>
          <t>GÄVLEBORGS LÄN</t>
        </is>
      </c>
      <c r="E6533" t="inlineStr">
        <is>
          <t>GÄVLE</t>
        </is>
      </c>
      <c r="F6533" t="inlineStr">
        <is>
          <t>Bergvik skog öst AB</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31876-2023</t>
        </is>
      </c>
      <c r="B6534" s="1" t="n">
        <v>45118.6359375</v>
      </c>
      <c r="C6534" s="1" t="n">
        <v>45911</v>
      </c>
      <c r="D6534" t="inlineStr">
        <is>
          <t>GÄVLEBORGS LÄN</t>
        </is>
      </c>
      <c r="E6534" t="inlineStr">
        <is>
          <t>HUDIKSVALL</t>
        </is>
      </c>
      <c r="G6534" t="n">
        <v>2.4</v>
      </c>
      <c r="H6534" t="n">
        <v>0</v>
      </c>
      <c r="I6534" t="n">
        <v>0</v>
      </c>
      <c r="J6534" t="n">
        <v>0</v>
      </c>
      <c r="K6534" t="n">
        <v>0</v>
      </c>
      <c r="L6534" t="n">
        <v>0</v>
      </c>
      <c r="M6534" t="n">
        <v>0</v>
      </c>
      <c r="N6534" t="n">
        <v>0</v>
      </c>
      <c r="O6534" t="n">
        <v>0</v>
      </c>
      <c r="P6534" t="n">
        <v>0</v>
      </c>
      <c r="Q6534" t="n">
        <v>0</v>
      </c>
      <c r="R6534" s="2" t="inlineStr"/>
    </row>
    <row r="6535" ht="15" customHeight="1">
      <c r="A6535" t="inlineStr">
        <is>
          <t>A 9135-2023</t>
        </is>
      </c>
      <c r="B6535" s="1" t="n">
        <v>44980.34918981481</v>
      </c>
      <c r="C6535" s="1" t="n">
        <v>45911</v>
      </c>
      <c r="D6535" t="inlineStr">
        <is>
          <t>GÄVLEBORGS LÄN</t>
        </is>
      </c>
      <c r="E6535" t="inlineStr">
        <is>
          <t>HUDIKSVALL</t>
        </is>
      </c>
      <c r="F6535" t="inlineStr">
        <is>
          <t>Holmen skog AB</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9172-2023</t>
        </is>
      </c>
      <c r="B6536" s="1" t="n">
        <v>44980.42094907408</v>
      </c>
      <c r="C6536" s="1" t="n">
        <v>45911</v>
      </c>
      <c r="D6536" t="inlineStr">
        <is>
          <t>GÄVLEBORGS LÄN</t>
        </is>
      </c>
      <c r="E6536" t="inlineStr">
        <is>
          <t>HUDIKSVALL</t>
        </is>
      </c>
      <c r="F6536" t="inlineStr">
        <is>
          <t>Holmen skog AB</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42180-2025</t>
        </is>
      </c>
      <c r="B6537" s="1" t="n">
        <v>45904.45078703704</v>
      </c>
      <c r="C6537" s="1" t="n">
        <v>45911</v>
      </c>
      <c r="D6537" t="inlineStr">
        <is>
          <t>GÄVLEBORGS LÄN</t>
        </is>
      </c>
      <c r="E6537" t="inlineStr">
        <is>
          <t>LJUSDAL</t>
        </is>
      </c>
      <c r="F6537" t="inlineStr">
        <is>
          <t>Allmännings- och besparingsskogar</t>
        </is>
      </c>
      <c r="G6537" t="n">
        <v>5.8</v>
      </c>
      <c r="H6537" t="n">
        <v>0</v>
      </c>
      <c r="I6537" t="n">
        <v>0</v>
      </c>
      <c r="J6537" t="n">
        <v>0</v>
      </c>
      <c r="K6537" t="n">
        <v>0</v>
      </c>
      <c r="L6537" t="n">
        <v>0</v>
      </c>
      <c r="M6537" t="n">
        <v>0</v>
      </c>
      <c r="N6537" t="n">
        <v>0</v>
      </c>
      <c r="O6537" t="n">
        <v>0</v>
      </c>
      <c r="P6537" t="n">
        <v>0</v>
      </c>
      <c r="Q6537" t="n">
        <v>0</v>
      </c>
      <c r="R6537" s="2" t="inlineStr"/>
    </row>
    <row r="6538" ht="15" customHeight="1">
      <c r="A6538" t="inlineStr">
        <is>
          <t>A 6853-2024</t>
        </is>
      </c>
      <c r="B6538" s="1" t="n">
        <v>45342</v>
      </c>
      <c r="C6538" s="1" t="n">
        <v>45911</v>
      </c>
      <c r="D6538" t="inlineStr">
        <is>
          <t>GÄVLEBORGS LÄN</t>
        </is>
      </c>
      <c r="E6538" t="inlineStr">
        <is>
          <t>SÖDERHAMN</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20557-2023</t>
        </is>
      </c>
      <c r="B6539" s="1" t="n">
        <v>45057.62391203704</v>
      </c>
      <c r="C6539" s="1" t="n">
        <v>45911</v>
      </c>
      <c r="D6539" t="inlineStr">
        <is>
          <t>GÄVLEBORGS LÄN</t>
        </is>
      </c>
      <c r="E6539" t="inlineStr">
        <is>
          <t>BOLLNÄS</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6958-2024</t>
        </is>
      </c>
      <c r="B6540" s="1" t="n">
        <v>45343</v>
      </c>
      <c r="C6540" s="1" t="n">
        <v>45911</v>
      </c>
      <c r="D6540" t="inlineStr">
        <is>
          <t>GÄVLEBORGS LÄN</t>
        </is>
      </c>
      <c r="E6540" t="inlineStr">
        <is>
          <t>HOFORS</t>
        </is>
      </c>
      <c r="G6540" t="n">
        <v>3.4</v>
      </c>
      <c r="H6540" t="n">
        <v>0</v>
      </c>
      <c r="I6540" t="n">
        <v>0</v>
      </c>
      <c r="J6540" t="n">
        <v>0</v>
      </c>
      <c r="K6540" t="n">
        <v>0</v>
      </c>
      <c r="L6540" t="n">
        <v>0</v>
      </c>
      <c r="M6540" t="n">
        <v>0</v>
      </c>
      <c r="N6540" t="n">
        <v>0</v>
      </c>
      <c r="O6540" t="n">
        <v>0</v>
      </c>
      <c r="P6540" t="n">
        <v>0</v>
      </c>
      <c r="Q6540" t="n">
        <v>0</v>
      </c>
      <c r="R6540" s="2" t="inlineStr"/>
    </row>
    <row r="6541" ht="15" customHeight="1">
      <c r="A6541" t="inlineStr">
        <is>
          <t>A 16968-2023</t>
        </is>
      </c>
      <c r="B6541" s="1" t="n">
        <v>45033</v>
      </c>
      <c r="C6541" s="1" t="n">
        <v>45911</v>
      </c>
      <c r="D6541" t="inlineStr">
        <is>
          <t>GÄVLEBORGS LÄN</t>
        </is>
      </c>
      <c r="E6541" t="inlineStr">
        <is>
          <t>OVANÅKER</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42878-2025</t>
        </is>
      </c>
      <c r="B6542" s="1" t="n">
        <v>45908.6357175926</v>
      </c>
      <c r="C6542" s="1" t="n">
        <v>45911</v>
      </c>
      <c r="D6542" t="inlineStr">
        <is>
          <t>GÄVLEBORGS LÄN</t>
        </is>
      </c>
      <c r="E6542" t="inlineStr">
        <is>
          <t>LJUSDAL</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42884-2025</t>
        </is>
      </c>
      <c r="B6543" s="1" t="n">
        <v>45908.65034722222</v>
      </c>
      <c r="C6543" s="1" t="n">
        <v>45911</v>
      </c>
      <c r="D6543" t="inlineStr">
        <is>
          <t>GÄVLEBORGS LÄN</t>
        </is>
      </c>
      <c r="E6543" t="inlineStr">
        <is>
          <t>NORDANSTIG</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68730-2021</t>
        </is>
      </c>
      <c r="B6544" s="1" t="n">
        <v>44529.78263888889</v>
      </c>
      <c r="C6544" s="1" t="n">
        <v>45911</v>
      </c>
      <c r="D6544" t="inlineStr">
        <is>
          <t>GÄVLEBORGS LÄN</t>
        </is>
      </c>
      <c r="E6544" t="inlineStr">
        <is>
          <t>HUDIKSVALL</t>
        </is>
      </c>
      <c r="G6544" t="n">
        <v>4.4</v>
      </c>
      <c r="H6544" t="n">
        <v>0</v>
      </c>
      <c r="I6544" t="n">
        <v>0</v>
      </c>
      <c r="J6544" t="n">
        <v>0</v>
      </c>
      <c r="K6544" t="n">
        <v>0</v>
      </c>
      <c r="L6544" t="n">
        <v>0</v>
      </c>
      <c r="M6544" t="n">
        <v>0</v>
      </c>
      <c r="N6544" t="n">
        <v>0</v>
      </c>
      <c r="O6544" t="n">
        <v>0</v>
      </c>
      <c r="P6544" t="n">
        <v>0</v>
      </c>
      <c r="Q6544" t="n">
        <v>0</v>
      </c>
      <c r="R6544" s="2" t="inlineStr"/>
    </row>
    <row r="6545" ht="15" customHeight="1">
      <c r="A6545" t="inlineStr">
        <is>
          <t>A 16962-2025</t>
        </is>
      </c>
      <c r="B6545" s="1" t="n">
        <v>45755</v>
      </c>
      <c r="C6545" s="1" t="n">
        <v>45911</v>
      </c>
      <c r="D6545" t="inlineStr">
        <is>
          <t>GÄVLEBORGS LÄN</t>
        </is>
      </c>
      <c r="E6545" t="inlineStr">
        <is>
          <t>LJUSDAL</t>
        </is>
      </c>
      <c r="F6545" t="inlineStr">
        <is>
          <t>Bergvik skog väst AB</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42477-2025</t>
        </is>
      </c>
      <c r="B6546" s="1" t="n">
        <v>45905.46831018518</v>
      </c>
      <c r="C6546" s="1" t="n">
        <v>45911</v>
      </c>
      <c r="D6546" t="inlineStr">
        <is>
          <t>GÄVLEBORGS LÄN</t>
        </is>
      </c>
      <c r="E6546" t="inlineStr">
        <is>
          <t>BOLLNÄS</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16989-2025</t>
        </is>
      </c>
      <c r="B6547" s="1" t="n">
        <v>45755.4960300926</v>
      </c>
      <c r="C6547" s="1" t="n">
        <v>45911</v>
      </c>
      <c r="D6547" t="inlineStr">
        <is>
          <t>GÄVLEBORGS LÄN</t>
        </is>
      </c>
      <c r="E6547" t="inlineStr">
        <is>
          <t>OCKELBO</t>
        </is>
      </c>
      <c r="G6547" t="n">
        <v>4.1</v>
      </c>
      <c r="H6547" t="n">
        <v>0</v>
      </c>
      <c r="I6547" t="n">
        <v>0</v>
      </c>
      <c r="J6547" t="n">
        <v>0</v>
      </c>
      <c r="K6547" t="n">
        <v>0</v>
      </c>
      <c r="L6547" t="n">
        <v>0</v>
      </c>
      <c r="M6547" t="n">
        <v>0</v>
      </c>
      <c r="N6547" t="n">
        <v>0</v>
      </c>
      <c r="O6547" t="n">
        <v>0</v>
      </c>
      <c r="P6547" t="n">
        <v>0</v>
      </c>
      <c r="Q6547" t="n">
        <v>0</v>
      </c>
      <c r="R6547" s="2" t="inlineStr"/>
    </row>
    <row r="6548" ht="15" customHeight="1">
      <c r="A6548" t="inlineStr">
        <is>
          <t>A 49445-2021</t>
        </is>
      </c>
      <c r="B6548" s="1" t="n">
        <v>44454</v>
      </c>
      <c r="C6548" s="1" t="n">
        <v>45911</v>
      </c>
      <c r="D6548" t="inlineStr">
        <is>
          <t>GÄVLEBORGS LÄN</t>
        </is>
      </c>
      <c r="E6548" t="inlineStr">
        <is>
          <t>BOLLNÄS</t>
        </is>
      </c>
      <c r="G6548" t="n">
        <v>3</v>
      </c>
      <c r="H6548" t="n">
        <v>0</v>
      </c>
      <c r="I6548" t="n">
        <v>0</v>
      </c>
      <c r="J6548" t="n">
        <v>0</v>
      </c>
      <c r="K6548" t="n">
        <v>0</v>
      </c>
      <c r="L6548" t="n">
        <v>0</v>
      </c>
      <c r="M6548" t="n">
        <v>0</v>
      </c>
      <c r="N6548" t="n">
        <v>0</v>
      </c>
      <c r="O6548" t="n">
        <v>0</v>
      </c>
      <c r="P6548" t="n">
        <v>0</v>
      </c>
      <c r="Q6548" t="n">
        <v>0</v>
      </c>
      <c r="R6548" s="2" t="inlineStr"/>
    </row>
    <row r="6549" ht="15" customHeight="1">
      <c r="A6549" t="inlineStr">
        <is>
          <t>A 18011-2025</t>
        </is>
      </c>
      <c r="B6549" s="1" t="n">
        <v>45761.43108796296</v>
      </c>
      <c r="C6549" s="1" t="n">
        <v>45911</v>
      </c>
      <c r="D6549" t="inlineStr">
        <is>
          <t>GÄVLEBORGS LÄN</t>
        </is>
      </c>
      <c r="E6549" t="inlineStr">
        <is>
          <t>LJUSDAL</t>
        </is>
      </c>
      <c r="F6549" t="inlineStr">
        <is>
          <t>Bergvik skog väst AB</t>
        </is>
      </c>
      <c r="G6549" t="n">
        <v>5.6</v>
      </c>
      <c r="H6549" t="n">
        <v>0</v>
      </c>
      <c r="I6549" t="n">
        <v>0</v>
      </c>
      <c r="J6549" t="n">
        <v>0</v>
      </c>
      <c r="K6549" t="n">
        <v>0</v>
      </c>
      <c r="L6549" t="n">
        <v>0</v>
      </c>
      <c r="M6549" t="n">
        <v>0</v>
      </c>
      <c r="N6549" t="n">
        <v>0</v>
      </c>
      <c r="O6549" t="n">
        <v>0</v>
      </c>
      <c r="P6549" t="n">
        <v>0</v>
      </c>
      <c r="Q6549" t="n">
        <v>0</v>
      </c>
      <c r="R6549" s="2" t="inlineStr"/>
    </row>
    <row r="6550" ht="15" customHeight="1">
      <c r="A6550" t="inlineStr">
        <is>
          <t>A 52568-2022</t>
        </is>
      </c>
      <c r="B6550" s="1" t="n">
        <v>44874</v>
      </c>
      <c r="C6550" s="1" t="n">
        <v>45911</v>
      </c>
      <c r="D6550" t="inlineStr">
        <is>
          <t>GÄVLEBORGS LÄN</t>
        </is>
      </c>
      <c r="E6550" t="inlineStr">
        <is>
          <t>LJUSDAL</t>
        </is>
      </c>
      <c r="F6550" t="inlineStr">
        <is>
          <t>Kyrkan</t>
        </is>
      </c>
      <c r="G6550" t="n">
        <v>3</v>
      </c>
      <c r="H6550" t="n">
        <v>0</v>
      </c>
      <c r="I6550" t="n">
        <v>0</v>
      </c>
      <c r="J6550" t="n">
        <v>0</v>
      </c>
      <c r="K6550" t="n">
        <v>0</v>
      </c>
      <c r="L6550" t="n">
        <v>0</v>
      </c>
      <c r="M6550" t="n">
        <v>0</v>
      </c>
      <c r="N6550" t="n">
        <v>0</v>
      </c>
      <c r="O6550" t="n">
        <v>0</v>
      </c>
      <c r="P6550" t="n">
        <v>0</v>
      </c>
      <c r="Q6550" t="n">
        <v>0</v>
      </c>
      <c r="R6550" s="2" t="inlineStr"/>
    </row>
    <row r="6551" ht="15" customHeight="1">
      <c r="A6551" t="inlineStr">
        <is>
          <t>A 55962-2022</t>
        </is>
      </c>
      <c r="B6551" s="1" t="n">
        <v>44889</v>
      </c>
      <c r="C6551" s="1" t="n">
        <v>45911</v>
      </c>
      <c r="D6551" t="inlineStr">
        <is>
          <t>GÄVLEBORGS LÄN</t>
        </is>
      </c>
      <c r="E6551" t="inlineStr">
        <is>
          <t>LJUSDAL</t>
        </is>
      </c>
      <c r="G6551" t="n">
        <v>0.1</v>
      </c>
      <c r="H6551" t="n">
        <v>0</v>
      </c>
      <c r="I6551" t="n">
        <v>0</v>
      </c>
      <c r="J6551" t="n">
        <v>0</v>
      </c>
      <c r="K6551" t="n">
        <v>0</v>
      </c>
      <c r="L6551" t="n">
        <v>0</v>
      </c>
      <c r="M6551" t="n">
        <v>0</v>
      </c>
      <c r="N6551" t="n">
        <v>0</v>
      </c>
      <c r="O6551" t="n">
        <v>0</v>
      </c>
      <c r="P6551" t="n">
        <v>0</v>
      </c>
      <c r="Q6551" t="n">
        <v>0</v>
      </c>
      <c r="R6551" s="2" t="inlineStr"/>
    </row>
    <row r="6552" ht="15" customHeight="1">
      <c r="A6552" t="inlineStr">
        <is>
          <t>A 42865-2025</t>
        </is>
      </c>
      <c r="B6552" s="1" t="n">
        <v>45908</v>
      </c>
      <c r="C6552" s="1" t="n">
        <v>45911</v>
      </c>
      <c r="D6552" t="inlineStr">
        <is>
          <t>GÄVLEBORGS LÄN</t>
        </is>
      </c>
      <c r="E6552" t="inlineStr">
        <is>
          <t>BOLLNÄS</t>
        </is>
      </c>
      <c r="G6552" t="n">
        <v>2.9</v>
      </c>
      <c r="H6552" t="n">
        <v>0</v>
      </c>
      <c r="I6552" t="n">
        <v>0</v>
      </c>
      <c r="J6552" t="n">
        <v>0</v>
      </c>
      <c r="K6552" t="n">
        <v>0</v>
      </c>
      <c r="L6552" t="n">
        <v>0</v>
      </c>
      <c r="M6552" t="n">
        <v>0</v>
      </c>
      <c r="N6552" t="n">
        <v>0</v>
      </c>
      <c r="O6552" t="n">
        <v>0</v>
      </c>
      <c r="P6552" t="n">
        <v>0</v>
      </c>
      <c r="Q6552" t="n">
        <v>0</v>
      </c>
      <c r="R6552" s="2" t="inlineStr"/>
    </row>
    <row r="6553" ht="15" customHeight="1">
      <c r="A6553" t="inlineStr">
        <is>
          <t>A 42866-2025</t>
        </is>
      </c>
      <c r="B6553" s="1" t="n">
        <v>45908.61733796296</v>
      </c>
      <c r="C6553" s="1" t="n">
        <v>45911</v>
      </c>
      <c r="D6553" t="inlineStr">
        <is>
          <t>GÄVLEBORGS LÄN</t>
        </is>
      </c>
      <c r="E6553" t="inlineStr">
        <is>
          <t>LJUSDAL</t>
        </is>
      </c>
      <c r="F6553" t="inlineStr">
        <is>
          <t>Allmännings- och besparingsskogar</t>
        </is>
      </c>
      <c r="G6553" t="n">
        <v>6.2</v>
      </c>
      <c r="H6553" t="n">
        <v>0</v>
      </c>
      <c r="I6553" t="n">
        <v>0</v>
      </c>
      <c r="J6553" t="n">
        <v>0</v>
      </c>
      <c r="K6553" t="n">
        <v>0</v>
      </c>
      <c r="L6553" t="n">
        <v>0</v>
      </c>
      <c r="M6553" t="n">
        <v>0</v>
      </c>
      <c r="N6553" t="n">
        <v>0</v>
      </c>
      <c r="O6553" t="n">
        <v>0</v>
      </c>
      <c r="P6553" t="n">
        <v>0</v>
      </c>
      <c r="Q6553" t="n">
        <v>0</v>
      </c>
      <c r="R6553" s="2" t="inlineStr"/>
    </row>
    <row r="6554" ht="15" customHeight="1">
      <c r="A6554" t="inlineStr">
        <is>
          <t>A 30418-2023</t>
        </is>
      </c>
      <c r="B6554" s="1" t="n">
        <v>45111.52043981481</v>
      </c>
      <c r="C6554" s="1" t="n">
        <v>45911</v>
      </c>
      <c r="D6554" t="inlineStr">
        <is>
          <t>GÄVLEBORGS LÄN</t>
        </is>
      </c>
      <c r="E6554" t="inlineStr">
        <is>
          <t>OCKELBO</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816-2022</t>
        </is>
      </c>
      <c r="B6555" s="1" t="n">
        <v>44571</v>
      </c>
      <c r="C6555" s="1" t="n">
        <v>45911</v>
      </c>
      <c r="D6555" t="inlineStr">
        <is>
          <t>GÄVLEBORGS LÄN</t>
        </is>
      </c>
      <c r="E6555" t="inlineStr">
        <is>
          <t>HUDIKSVALL</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24838-2024</t>
        </is>
      </c>
      <c r="B6556" s="1" t="n">
        <v>45461.40820601852</v>
      </c>
      <c r="C6556" s="1" t="n">
        <v>45911</v>
      </c>
      <c r="D6556" t="inlineStr">
        <is>
          <t>GÄVLEBORGS LÄN</t>
        </is>
      </c>
      <c r="E6556" t="inlineStr">
        <is>
          <t>LJUSDAL</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53988-2023</t>
        </is>
      </c>
      <c r="B6557" s="1" t="n">
        <v>45231.66075231481</v>
      </c>
      <c r="C6557" s="1" t="n">
        <v>45911</v>
      </c>
      <c r="D6557" t="inlineStr">
        <is>
          <t>GÄVLEBORGS LÄN</t>
        </is>
      </c>
      <c r="E6557" t="inlineStr">
        <is>
          <t>NORDANSTIG</t>
        </is>
      </c>
      <c r="G6557" t="n">
        <v>6.2</v>
      </c>
      <c r="H6557" t="n">
        <v>0</v>
      </c>
      <c r="I6557" t="n">
        <v>0</v>
      </c>
      <c r="J6557" t="n">
        <v>0</v>
      </c>
      <c r="K6557" t="n">
        <v>0</v>
      </c>
      <c r="L6557" t="n">
        <v>0</v>
      </c>
      <c r="M6557" t="n">
        <v>0</v>
      </c>
      <c r="N6557" t="n">
        <v>0</v>
      </c>
      <c r="O6557" t="n">
        <v>0</v>
      </c>
      <c r="P6557" t="n">
        <v>0</v>
      </c>
      <c r="Q6557" t="n">
        <v>0</v>
      </c>
      <c r="R6557" s="2" t="inlineStr"/>
    </row>
    <row r="6558" ht="15" customHeight="1">
      <c r="A6558" t="inlineStr">
        <is>
          <t>A 53702-2024</t>
        </is>
      </c>
      <c r="B6558" s="1" t="n">
        <v>45615.39707175926</v>
      </c>
      <c r="C6558" s="1" t="n">
        <v>45911</v>
      </c>
      <c r="D6558" t="inlineStr">
        <is>
          <t>GÄVLEBORGS LÄN</t>
        </is>
      </c>
      <c r="E6558" t="inlineStr">
        <is>
          <t>OCKELBO</t>
        </is>
      </c>
      <c r="G6558" t="n">
        <v>5.8</v>
      </c>
      <c r="H6558" t="n">
        <v>0</v>
      </c>
      <c r="I6558" t="n">
        <v>0</v>
      </c>
      <c r="J6558" t="n">
        <v>0</v>
      </c>
      <c r="K6558" t="n">
        <v>0</v>
      </c>
      <c r="L6558" t="n">
        <v>0</v>
      </c>
      <c r="M6558" t="n">
        <v>0</v>
      </c>
      <c r="N6558" t="n">
        <v>0</v>
      </c>
      <c r="O6558" t="n">
        <v>0</v>
      </c>
      <c r="P6558" t="n">
        <v>0</v>
      </c>
      <c r="Q6558" t="n">
        <v>0</v>
      </c>
      <c r="R6558" s="2" t="inlineStr"/>
    </row>
    <row r="6559" ht="15" customHeight="1">
      <c r="A6559" t="inlineStr">
        <is>
          <t>A 17843-2023</t>
        </is>
      </c>
      <c r="B6559" s="1" t="n">
        <v>45037</v>
      </c>
      <c r="C6559" s="1" t="n">
        <v>45911</v>
      </c>
      <c r="D6559" t="inlineStr">
        <is>
          <t>GÄVLEBORGS LÄN</t>
        </is>
      </c>
      <c r="E6559" t="inlineStr">
        <is>
          <t>NORDANSTIG</t>
        </is>
      </c>
      <c r="G6559" t="n">
        <v>3.7</v>
      </c>
      <c r="H6559" t="n">
        <v>0</v>
      </c>
      <c r="I6559" t="n">
        <v>0</v>
      </c>
      <c r="J6559" t="n">
        <v>0</v>
      </c>
      <c r="K6559" t="n">
        <v>0</v>
      </c>
      <c r="L6559" t="n">
        <v>0</v>
      </c>
      <c r="M6559" t="n">
        <v>0</v>
      </c>
      <c r="N6559" t="n">
        <v>0</v>
      </c>
      <c r="O6559" t="n">
        <v>0</v>
      </c>
      <c r="P6559" t="n">
        <v>0</v>
      </c>
      <c r="Q6559" t="n">
        <v>0</v>
      </c>
      <c r="R6559" s="2" t="inlineStr"/>
    </row>
    <row r="6560" ht="15" customHeight="1">
      <c r="A6560" t="inlineStr">
        <is>
          <t>A 18013-2023</t>
        </is>
      </c>
      <c r="B6560" s="1" t="n">
        <v>45040.57412037037</v>
      </c>
      <c r="C6560" s="1" t="n">
        <v>45911</v>
      </c>
      <c r="D6560" t="inlineStr">
        <is>
          <t>GÄVLEBORGS LÄN</t>
        </is>
      </c>
      <c r="E6560" t="inlineStr">
        <is>
          <t>BOLLNÄS</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47472-2023</t>
        </is>
      </c>
      <c r="B6561" s="1" t="n">
        <v>45202.92271990741</v>
      </c>
      <c r="C6561" s="1" t="n">
        <v>45911</v>
      </c>
      <c r="D6561" t="inlineStr">
        <is>
          <t>GÄVLEBORGS LÄN</t>
        </is>
      </c>
      <c r="E6561" t="inlineStr">
        <is>
          <t>HUDIKSVALL</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32255-2023</t>
        </is>
      </c>
      <c r="B6562" s="1" t="n">
        <v>45120.29087962963</v>
      </c>
      <c r="C6562" s="1" t="n">
        <v>45911</v>
      </c>
      <c r="D6562" t="inlineStr">
        <is>
          <t>GÄVLEBORGS LÄN</t>
        </is>
      </c>
      <c r="E6562" t="inlineStr">
        <is>
          <t>GÄVLE</t>
        </is>
      </c>
      <c r="G6562" t="n">
        <v>3.5</v>
      </c>
      <c r="H6562" t="n">
        <v>0</v>
      </c>
      <c r="I6562" t="n">
        <v>0</v>
      </c>
      <c r="J6562" t="n">
        <v>0</v>
      </c>
      <c r="K6562" t="n">
        <v>0</v>
      </c>
      <c r="L6562" t="n">
        <v>0</v>
      </c>
      <c r="M6562" t="n">
        <v>0</v>
      </c>
      <c r="N6562" t="n">
        <v>0</v>
      </c>
      <c r="O6562" t="n">
        <v>0</v>
      </c>
      <c r="P6562" t="n">
        <v>0</v>
      </c>
      <c r="Q6562" t="n">
        <v>0</v>
      </c>
      <c r="R6562" s="2" t="inlineStr"/>
    </row>
    <row r="6563" ht="15" customHeight="1">
      <c r="A6563" t="inlineStr">
        <is>
          <t>A 58141-2024</t>
        </is>
      </c>
      <c r="B6563" s="1" t="n">
        <v>45632.42275462963</v>
      </c>
      <c r="C6563" s="1" t="n">
        <v>45911</v>
      </c>
      <c r="D6563" t="inlineStr">
        <is>
          <t>GÄVLEBORGS LÄN</t>
        </is>
      </c>
      <c r="E6563" t="inlineStr">
        <is>
          <t>SÖDERHAMN</t>
        </is>
      </c>
      <c r="F6563" t="inlineStr">
        <is>
          <t>Bergvik skog väst AB</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15124-2022</t>
        </is>
      </c>
      <c r="B6564" s="1" t="n">
        <v>44658</v>
      </c>
      <c r="C6564" s="1" t="n">
        <v>45911</v>
      </c>
      <c r="D6564" t="inlineStr">
        <is>
          <t>GÄVLEBORGS LÄN</t>
        </is>
      </c>
      <c r="E6564" t="inlineStr">
        <is>
          <t>SANDVIKEN</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31724-2024</t>
        </is>
      </c>
      <c r="B6565" s="1" t="n">
        <v>45509.33159722222</v>
      </c>
      <c r="C6565" s="1" t="n">
        <v>45911</v>
      </c>
      <c r="D6565" t="inlineStr">
        <is>
          <t>GÄVLEBORGS LÄN</t>
        </is>
      </c>
      <c r="E6565" t="inlineStr">
        <is>
          <t>NORDANSTIG</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12815-2023</t>
        </is>
      </c>
      <c r="B6566" s="1" t="n">
        <v>45001</v>
      </c>
      <c r="C6566" s="1" t="n">
        <v>45911</v>
      </c>
      <c r="D6566" t="inlineStr">
        <is>
          <t>GÄVLEBORGS LÄN</t>
        </is>
      </c>
      <c r="E6566" t="inlineStr">
        <is>
          <t>NORDANSTIG</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16980-2025</t>
        </is>
      </c>
      <c r="B6567" s="1" t="n">
        <v>45755.47873842593</v>
      </c>
      <c r="C6567" s="1" t="n">
        <v>45911</v>
      </c>
      <c r="D6567" t="inlineStr">
        <is>
          <t>GÄVLEBORGS LÄN</t>
        </is>
      </c>
      <c r="E6567" t="inlineStr">
        <is>
          <t>SANDVIKEN</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36203-2025</t>
        </is>
      </c>
      <c r="B6568" s="1" t="n">
        <v>45867</v>
      </c>
      <c r="C6568" s="1" t="n">
        <v>45911</v>
      </c>
      <c r="D6568" t="inlineStr">
        <is>
          <t>GÄVLEBORGS LÄN</t>
        </is>
      </c>
      <c r="E6568" t="inlineStr">
        <is>
          <t>SANDVIKEN</t>
        </is>
      </c>
      <c r="G6568" t="n">
        <v>4.5</v>
      </c>
      <c r="H6568" t="n">
        <v>0</v>
      </c>
      <c r="I6568" t="n">
        <v>0</v>
      </c>
      <c r="J6568" t="n">
        <v>0</v>
      </c>
      <c r="K6568" t="n">
        <v>0</v>
      </c>
      <c r="L6568" t="n">
        <v>0</v>
      </c>
      <c r="M6568" t="n">
        <v>0</v>
      </c>
      <c r="N6568" t="n">
        <v>0</v>
      </c>
      <c r="O6568" t="n">
        <v>0</v>
      </c>
      <c r="P6568" t="n">
        <v>0</v>
      </c>
      <c r="Q6568" t="n">
        <v>0</v>
      </c>
      <c r="R6568" s="2" t="inlineStr"/>
    </row>
    <row r="6569" ht="15" customHeight="1">
      <c r="A6569" t="inlineStr">
        <is>
          <t>A 42887-2025</t>
        </is>
      </c>
      <c r="B6569" s="1" t="n">
        <v>45908.65311342593</v>
      </c>
      <c r="C6569" s="1" t="n">
        <v>45911</v>
      </c>
      <c r="D6569" t="inlineStr">
        <is>
          <t>GÄVLEBORGS LÄN</t>
        </is>
      </c>
      <c r="E6569" t="inlineStr">
        <is>
          <t>NORDANSTIG</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18985-2025</t>
        </is>
      </c>
      <c r="B6570" s="1" t="n">
        <v>45764.56071759259</v>
      </c>
      <c r="C6570" s="1" t="n">
        <v>45911</v>
      </c>
      <c r="D6570" t="inlineStr">
        <is>
          <t>GÄVLEBORGS LÄN</t>
        </is>
      </c>
      <c r="E6570" t="inlineStr">
        <is>
          <t>HUDIKSVALL</t>
        </is>
      </c>
      <c r="F6570" t="inlineStr">
        <is>
          <t>Holmen skog AB</t>
        </is>
      </c>
      <c r="G6570" t="n">
        <v>8.1</v>
      </c>
      <c r="H6570" t="n">
        <v>0</v>
      </c>
      <c r="I6570" t="n">
        <v>0</v>
      </c>
      <c r="J6570" t="n">
        <v>0</v>
      </c>
      <c r="K6570" t="n">
        <v>0</v>
      </c>
      <c r="L6570" t="n">
        <v>0</v>
      </c>
      <c r="M6570" t="n">
        <v>0</v>
      </c>
      <c r="N6570" t="n">
        <v>0</v>
      </c>
      <c r="O6570" t="n">
        <v>0</v>
      </c>
      <c r="P6570" t="n">
        <v>0</v>
      </c>
      <c r="Q6570" t="n">
        <v>0</v>
      </c>
      <c r="R6570" s="2" t="inlineStr"/>
    </row>
    <row r="6571" ht="15" customHeight="1">
      <c r="A6571" t="inlineStr">
        <is>
          <t>A 19008-2025</t>
        </is>
      </c>
      <c r="B6571" s="1" t="n">
        <v>45764.59033564815</v>
      </c>
      <c r="C6571" s="1" t="n">
        <v>45911</v>
      </c>
      <c r="D6571" t="inlineStr">
        <is>
          <t>GÄVLEBORGS LÄN</t>
        </is>
      </c>
      <c r="E6571" t="inlineStr">
        <is>
          <t>OVANÅKER</t>
        </is>
      </c>
      <c r="F6571" t="inlineStr">
        <is>
          <t>Bergvik skog öst AB</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42891-2025</t>
        </is>
      </c>
      <c r="B6572" s="1" t="n">
        <v>45908.6599074074</v>
      </c>
      <c r="C6572" s="1" t="n">
        <v>45911</v>
      </c>
      <c r="D6572" t="inlineStr">
        <is>
          <t>GÄVLEBORGS LÄN</t>
        </is>
      </c>
      <c r="E6572" t="inlineStr">
        <is>
          <t>NORDANSTIG</t>
        </is>
      </c>
      <c r="G6572" t="n">
        <v>5.5</v>
      </c>
      <c r="H6572" t="n">
        <v>0</v>
      </c>
      <c r="I6572" t="n">
        <v>0</v>
      </c>
      <c r="J6572" t="n">
        <v>0</v>
      </c>
      <c r="K6572" t="n">
        <v>0</v>
      </c>
      <c r="L6572" t="n">
        <v>0</v>
      </c>
      <c r="M6572" t="n">
        <v>0</v>
      </c>
      <c r="N6572" t="n">
        <v>0</v>
      </c>
      <c r="O6572" t="n">
        <v>0</v>
      </c>
      <c r="P6572" t="n">
        <v>0</v>
      </c>
      <c r="Q6572" t="n">
        <v>0</v>
      </c>
      <c r="R6572" s="2" t="inlineStr"/>
    </row>
    <row r="6573" ht="15" customHeight="1">
      <c r="A6573" t="inlineStr">
        <is>
          <t>A 33420-2025</t>
        </is>
      </c>
      <c r="B6573" s="1" t="n">
        <v>45841.44123842593</v>
      </c>
      <c r="C6573" s="1" t="n">
        <v>45911</v>
      </c>
      <c r="D6573" t="inlineStr">
        <is>
          <t>GÄVLEBORGS LÄN</t>
        </is>
      </c>
      <c r="E6573" t="inlineStr">
        <is>
          <t>LJUSDAL</t>
        </is>
      </c>
      <c r="G6573" t="n">
        <v>13.5</v>
      </c>
      <c r="H6573" t="n">
        <v>0</v>
      </c>
      <c r="I6573" t="n">
        <v>0</v>
      </c>
      <c r="J6573" t="n">
        <v>0</v>
      </c>
      <c r="K6573" t="n">
        <v>0</v>
      </c>
      <c r="L6573" t="n">
        <v>0</v>
      </c>
      <c r="M6573" t="n">
        <v>0</v>
      </c>
      <c r="N6573" t="n">
        <v>0</v>
      </c>
      <c r="O6573" t="n">
        <v>0</v>
      </c>
      <c r="P6573" t="n">
        <v>0</v>
      </c>
      <c r="Q6573" t="n">
        <v>0</v>
      </c>
      <c r="R6573" s="2" t="inlineStr"/>
    </row>
    <row r="6574" ht="15" customHeight="1">
      <c r="A6574" t="inlineStr">
        <is>
          <t>A 33427-2025</t>
        </is>
      </c>
      <c r="B6574" s="1" t="n">
        <v>45841.44578703704</v>
      </c>
      <c r="C6574" s="1" t="n">
        <v>45911</v>
      </c>
      <c r="D6574" t="inlineStr">
        <is>
          <t>GÄVLEBORGS LÄN</t>
        </is>
      </c>
      <c r="E6574" t="inlineStr">
        <is>
          <t>LJUSDAL</t>
        </is>
      </c>
      <c r="G6574" t="n">
        <v>8.199999999999999</v>
      </c>
      <c r="H6574" t="n">
        <v>0</v>
      </c>
      <c r="I6574" t="n">
        <v>0</v>
      </c>
      <c r="J6574" t="n">
        <v>0</v>
      </c>
      <c r="K6574" t="n">
        <v>0</v>
      </c>
      <c r="L6574" t="n">
        <v>0</v>
      </c>
      <c r="M6574" t="n">
        <v>0</v>
      </c>
      <c r="N6574" t="n">
        <v>0</v>
      </c>
      <c r="O6574" t="n">
        <v>0</v>
      </c>
      <c r="P6574" t="n">
        <v>0</v>
      </c>
      <c r="Q6574" t="n">
        <v>0</v>
      </c>
      <c r="R6574" s="2" t="inlineStr"/>
    </row>
    <row r="6575" ht="15" customHeight="1">
      <c r="A6575" t="inlineStr">
        <is>
          <t>A 43216-2024</t>
        </is>
      </c>
      <c r="B6575" s="1" t="n">
        <v>45567.79040509259</v>
      </c>
      <c r="C6575" s="1" t="n">
        <v>45911</v>
      </c>
      <c r="D6575" t="inlineStr">
        <is>
          <t>GÄVLEBORGS LÄN</t>
        </is>
      </c>
      <c r="E6575" t="inlineStr">
        <is>
          <t>HUDIKSVALL</t>
        </is>
      </c>
      <c r="F6575" t="inlineStr">
        <is>
          <t>Holmen skog AB</t>
        </is>
      </c>
      <c r="G6575" t="n">
        <v>22.4</v>
      </c>
      <c r="H6575" t="n">
        <v>0</v>
      </c>
      <c r="I6575" t="n">
        <v>0</v>
      </c>
      <c r="J6575" t="n">
        <v>0</v>
      </c>
      <c r="K6575" t="n">
        <v>0</v>
      </c>
      <c r="L6575" t="n">
        <v>0</v>
      </c>
      <c r="M6575" t="n">
        <v>0</v>
      </c>
      <c r="N6575" t="n">
        <v>0</v>
      </c>
      <c r="O6575" t="n">
        <v>0</v>
      </c>
      <c r="P6575" t="n">
        <v>0</v>
      </c>
      <c r="Q6575" t="n">
        <v>0</v>
      </c>
      <c r="R6575" s="2" t="inlineStr"/>
    </row>
    <row r="6576" ht="15" customHeight="1">
      <c r="A6576" t="inlineStr">
        <is>
          <t>A 36058-2025</t>
        </is>
      </c>
      <c r="B6576" s="1" t="n">
        <v>45866.39219907407</v>
      </c>
      <c r="C6576" s="1" t="n">
        <v>45911</v>
      </c>
      <c r="D6576" t="inlineStr">
        <is>
          <t>GÄVLEBORGS LÄN</t>
        </is>
      </c>
      <c r="E6576" t="inlineStr">
        <is>
          <t>LJUSDAL</t>
        </is>
      </c>
      <c r="F6576" t="inlineStr">
        <is>
          <t>Bergvik skog väst AB</t>
        </is>
      </c>
      <c r="G6576" t="n">
        <v>6.2</v>
      </c>
      <c r="H6576" t="n">
        <v>0</v>
      </c>
      <c r="I6576" t="n">
        <v>0</v>
      </c>
      <c r="J6576" t="n">
        <v>0</v>
      </c>
      <c r="K6576" t="n">
        <v>0</v>
      </c>
      <c r="L6576" t="n">
        <v>0</v>
      </c>
      <c r="M6576" t="n">
        <v>0</v>
      </c>
      <c r="N6576" t="n">
        <v>0</v>
      </c>
      <c r="O6576" t="n">
        <v>0</v>
      </c>
      <c r="P6576" t="n">
        <v>0</v>
      </c>
      <c r="Q6576" t="n">
        <v>0</v>
      </c>
      <c r="R6576" s="2" t="inlineStr"/>
    </row>
    <row r="6577" ht="15" customHeight="1">
      <c r="A6577" t="inlineStr">
        <is>
          <t>A 36069-2025</t>
        </is>
      </c>
      <c r="B6577" s="1" t="n">
        <v>45866.42765046296</v>
      </c>
      <c r="C6577" s="1" t="n">
        <v>45911</v>
      </c>
      <c r="D6577" t="inlineStr">
        <is>
          <t>GÄVLEBORGS LÄN</t>
        </is>
      </c>
      <c r="E6577" t="inlineStr">
        <is>
          <t>LJUSDAL</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36076-2025</t>
        </is>
      </c>
      <c r="B6578" s="1" t="n">
        <v>45866.44275462963</v>
      </c>
      <c r="C6578" s="1" t="n">
        <v>45911</v>
      </c>
      <c r="D6578" t="inlineStr">
        <is>
          <t>GÄVLEBORGS LÄN</t>
        </is>
      </c>
      <c r="E6578" t="inlineStr">
        <is>
          <t>OVANÅKER</t>
        </is>
      </c>
      <c r="F6578" t="inlineStr">
        <is>
          <t>Bergvik skog väst AB</t>
        </is>
      </c>
      <c r="G6578" t="n">
        <v>23.7</v>
      </c>
      <c r="H6578" t="n">
        <v>0</v>
      </c>
      <c r="I6578" t="n">
        <v>0</v>
      </c>
      <c r="J6578" t="n">
        <v>0</v>
      </c>
      <c r="K6578" t="n">
        <v>0</v>
      </c>
      <c r="L6578" t="n">
        <v>0</v>
      </c>
      <c r="M6578" t="n">
        <v>0</v>
      </c>
      <c r="N6578" t="n">
        <v>0</v>
      </c>
      <c r="O6578" t="n">
        <v>0</v>
      </c>
      <c r="P6578" t="n">
        <v>0</v>
      </c>
      <c r="Q6578" t="n">
        <v>0</v>
      </c>
      <c r="R6578" s="2" t="inlineStr"/>
    </row>
    <row r="6579" ht="15" customHeight="1">
      <c r="A6579" t="inlineStr">
        <is>
          <t>A 36102-2025</t>
        </is>
      </c>
      <c r="B6579" s="1" t="n">
        <v>45866.54546296296</v>
      </c>
      <c r="C6579" s="1" t="n">
        <v>45911</v>
      </c>
      <c r="D6579" t="inlineStr">
        <is>
          <t>GÄVLEBORGS LÄN</t>
        </is>
      </c>
      <c r="E6579" t="inlineStr">
        <is>
          <t>HUDIKSVALL</t>
        </is>
      </c>
      <c r="G6579" t="n">
        <v>3.2</v>
      </c>
      <c r="H6579" t="n">
        <v>0</v>
      </c>
      <c r="I6579" t="n">
        <v>0</v>
      </c>
      <c r="J6579" t="n">
        <v>0</v>
      </c>
      <c r="K6579" t="n">
        <v>0</v>
      </c>
      <c r="L6579" t="n">
        <v>0</v>
      </c>
      <c r="M6579" t="n">
        <v>0</v>
      </c>
      <c r="N6579" t="n">
        <v>0</v>
      </c>
      <c r="O6579" t="n">
        <v>0</v>
      </c>
      <c r="P6579" t="n">
        <v>0</v>
      </c>
      <c r="Q6579" t="n">
        <v>0</v>
      </c>
      <c r="R6579" s="2" t="inlineStr"/>
    </row>
    <row r="6580" ht="15" customHeight="1">
      <c r="A6580" t="inlineStr">
        <is>
          <t>A 36116-2025</t>
        </is>
      </c>
      <c r="B6580" s="1" t="n">
        <v>45866.58483796296</v>
      </c>
      <c r="C6580" s="1" t="n">
        <v>45911</v>
      </c>
      <c r="D6580" t="inlineStr">
        <is>
          <t>GÄVLEBORGS LÄN</t>
        </is>
      </c>
      <c r="E6580" t="inlineStr">
        <is>
          <t>GÄVLE</t>
        </is>
      </c>
      <c r="F6580" t="inlineStr">
        <is>
          <t>Bergvik skog väst AB</t>
        </is>
      </c>
      <c r="G6580" t="n">
        <v>0.4</v>
      </c>
      <c r="H6580" t="n">
        <v>0</v>
      </c>
      <c r="I6580" t="n">
        <v>0</v>
      </c>
      <c r="J6580" t="n">
        <v>0</v>
      </c>
      <c r="K6580" t="n">
        <v>0</v>
      </c>
      <c r="L6580" t="n">
        <v>0</v>
      </c>
      <c r="M6580" t="n">
        <v>0</v>
      </c>
      <c r="N6580" t="n">
        <v>0</v>
      </c>
      <c r="O6580" t="n">
        <v>0</v>
      </c>
      <c r="P6580" t="n">
        <v>0</v>
      </c>
      <c r="Q6580" t="n">
        <v>0</v>
      </c>
      <c r="R6580" s="2" t="inlineStr"/>
    </row>
    <row r="6581" ht="15" customHeight="1">
      <c r="A6581" t="inlineStr">
        <is>
          <t>A 19886-2023</t>
        </is>
      </c>
      <c r="B6581" s="1" t="n">
        <v>45054.36821759259</v>
      </c>
      <c r="C6581" s="1" t="n">
        <v>45911</v>
      </c>
      <c r="D6581" t="inlineStr">
        <is>
          <t>GÄVLEBORGS LÄN</t>
        </is>
      </c>
      <c r="E6581" t="inlineStr">
        <is>
          <t>OCKELBO</t>
        </is>
      </c>
      <c r="F6581" t="inlineStr">
        <is>
          <t>Bergvik skog väst AB</t>
        </is>
      </c>
      <c r="G6581" t="n">
        <v>3</v>
      </c>
      <c r="H6581" t="n">
        <v>0</v>
      </c>
      <c r="I6581" t="n">
        <v>0</v>
      </c>
      <c r="J6581" t="n">
        <v>0</v>
      </c>
      <c r="K6581" t="n">
        <v>0</v>
      </c>
      <c r="L6581" t="n">
        <v>0</v>
      </c>
      <c r="M6581" t="n">
        <v>0</v>
      </c>
      <c r="N6581" t="n">
        <v>0</v>
      </c>
      <c r="O6581" t="n">
        <v>0</v>
      </c>
      <c r="P6581" t="n">
        <v>0</v>
      </c>
      <c r="Q6581" t="n">
        <v>0</v>
      </c>
      <c r="R6581" s="2" t="inlineStr"/>
    </row>
    <row r="6582" ht="15" customHeight="1">
      <c r="A6582" t="inlineStr">
        <is>
          <t>A 36136-2025</t>
        </is>
      </c>
      <c r="B6582" s="1" t="n">
        <v>45866.63949074074</v>
      </c>
      <c r="C6582" s="1" t="n">
        <v>45911</v>
      </c>
      <c r="D6582" t="inlineStr">
        <is>
          <t>GÄVLEBORGS LÄN</t>
        </is>
      </c>
      <c r="E6582" t="inlineStr">
        <is>
          <t>OVANÅKER</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36083-2025</t>
        </is>
      </c>
      <c r="B6583" s="1" t="n">
        <v>45866.45572916666</v>
      </c>
      <c r="C6583" s="1" t="n">
        <v>45911</v>
      </c>
      <c r="D6583" t="inlineStr">
        <is>
          <t>GÄVLEBORGS LÄN</t>
        </is>
      </c>
      <c r="E6583" t="inlineStr">
        <is>
          <t>HUDIKSVALL</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36503-2025</t>
        </is>
      </c>
      <c r="B6584" s="1" t="n">
        <v>45869.56767361111</v>
      </c>
      <c r="C6584" s="1" t="n">
        <v>45911</v>
      </c>
      <c r="D6584" t="inlineStr">
        <is>
          <t>GÄVLEBORGS LÄN</t>
        </is>
      </c>
      <c r="E6584" t="inlineStr">
        <is>
          <t>HUDIKSVALL</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35882-2025</t>
        </is>
      </c>
      <c r="B6585" s="1" t="n">
        <v>45862.39773148148</v>
      </c>
      <c r="C6585" s="1" t="n">
        <v>45911</v>
      </c>
      <c r="D6585" t="inlineStr">
        <is>
          <t>GÄVLEBORGS LÄN</t>
        </is>
      </c>
      <c r="E6585" t="inlineStr">
        <is>
          <t>HUDIKSVALL</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42463-2025</t>
        </is>
      </c>
      <c r="B6586" s="1" t="n">
        <v>45905.4575</v>
      </c>
      <c r="C6586" s="1" t="n">
        <v>45911</v>
      </c>
      <c r="D6586" t="inlineStr">
        <is>
          <t>GÄVLEBORGS LÄN</t>
        </is>
      </c>
      <c r="E6586" t="inlineStr">
        <is>
          <t>LJUSDAL</t>
        </is>
      </c>
      <c r="F6586" t="inlineStr">
        <is>
          <t>Holmen skog AB</t>
        </is>
      </c>
      <c r="G6586" t="n">
        <v>2.4</v>
      </c>
      <c r="H6586" t="n">
        <v>0</v>
      </c>
      <c r="I6586" t="n">
        <v>0</v>
      </c>
      <c r="J6586" t="n">
        <v>0</v>
      </c>
      <c r="K6586" t="n">
        <v>0</v>
      </c>
      <c r="L6586" t="n">
        <v>0</v>
      </c>
      <c r="M6586" t="n">
        <v>0</v>
      </c>
      <c r="N6586" t="n">
        <v>0</v>
      </c>
      <c r="O6586" t="n">
        <v>0</v>
      </c>
      <c r="P6586" t="n">
        <v>0</v>
      </c>
      <c r="Q6586" t="n">
        <v>0</v>
      </c>
      <c r="R6586" s="2" t="inlineStr"/>
    </row>
    <row r="6587" ht="15" customHeight="1">
      <c r="A6587" t="inlineStr">
        <is>
          <t>A 42469-2025</t>
        </is>
      </c>
      <c r="B6587" s="1" t="n">
        <v>45905.46118055555</v>
      </c>
      <c r="C6587" s="1" t="n">
        <v>45911</v>
      </c>
      <c r="D6587" t="inlineStr">
        <is>
          <t>GÄVLEBORGS LÄN</t>
        </is>
      </c>
      <c r="E6587" t="inlineStr">
        <is>
          <t>SÖDERHAMN</t>
        </is>
      </c>
      <c r="G6587" t="n">
        <v>3.8</v>
      </c>
      <c r="H6587" t="n">
        <v>0</v>
      </c>
      <c r="I6587" t="n">
        <v>0</v>
      </c>
      <c r="J6587" t="n">
        <v>0</v>
      </c>
      <c r="K6587" t="n">
        <v>0</v>
      </c>
      <c r="L6587" t="n">
        <v>0</v>
      </c>
      <c r="M6587" t="n">
        <v>0</v>
      </c>
      <c r="N6587" t="n">
        <v>0</v>
      </c>
      <c r="O6587" t="n">
        <v>0</v>
      </c>
      <c r="P6587" t="n">
        <v>0</v>
      </c>
      <c r="Q6587" t="n">
        <v>0</v>
      </c>
      <c r="R6587" s="2" t="inlineStr"/>
    </row>
    <row r="6588" ht="15" customHeight="1">
      <c r="A6588" t="inlineStr">
        <is>
          <t>A 42792-2025</t>
        </is>
      </c>
      <c r="B6588" s="1" t="n">
        <v>45908.52451388889</v>
      </c>
      <c r="C6588" s="1" t="n">
        <v>45911</v>
      </c>
      <c r="D6588" t="inlineStr">
        <is>
          <t>GÄVLEBORGS LÄN</t>
        </is>
      </c>
      <c r="E6588" t="inlineStr">
        <is>
          <t>HUDIKSVALL</t>
        </is>
      </c>
      <c r="G6588" t="n">
        <v>2.6</v>
      </c>
      <c r="H6588" t="n">
        <v>0</v>
      </c>
      <c r="I6588" t="n">
        <v>0</v>
      </c>
      <c r="J6588" t="n">
        <v>0</v>
      </c>
      <c r="K6588" t="n">
        <v>0</v>
      </c>
      <c r="L6588" t="n">
        <v>0</v>
      </c>
      <c r="M6588" t="n">
        <v>0</v>
      </c>
      <c r="N6588" t="n">
        <v>0</v>
      </c>
      <c r="O6588" t="n">
        <v>0</v>
      </c>
      <c r="P6588" t="n">
        <v>0</v>
      </c>
      <c r="Q6588" t="n">
        <v>0</v>
      </c>
      <c r="R6588" s="2" t="inlineStr"/>
    </row>
    <row r="6589" ht="15" customHeight="1">
      <c r="A6589" t="inlineStr">
        <is>
          <t>A 16115-2025</t>
        </is>
      </c>
      <c r="B6589" s="1" t="n">
        <v>45750.3860300926</v>
      </c>
      <c r="C6589" s="1" t="n">
        <v>45911</v>
      </c>
      <c r="D6589" t="inlineStr">
        <is>
          <t>GÄVLEBORGS LÄN</t>
        </is>
      </c>
      <c r="E6589" t="inlineStr">
        <is>
          <t>SANDVIKEN</t>
        </is>
      </c>
      <c r="F6589" t="inlineStr">
        <is>
          <t>Bergvik skog öst AB</t>
        </is>
      </c>
      <c r="G6589" t="n">
        <v>14.9</v>
      </c>
      <c r="H6589" t="n">
        <v>0</v>
      </c>
      <c r="I6589" t="n">
        <v>0</v>
      </c>
      <c r="J6589" t="n">
        <v>0</v>
      </c>
      <c r="K6589" t="n">
        <v>0</v>
      </c>
      <c r="L6589" t="n">
        <v>0</v>
      </c>
      <c r="M6589" t="n">
        <v>0</v>
      </c>
      <c r="N6589" t="n">
        <v>0</v>
      </c>
      <c r="O6589" t="n">
        <v>0</v>
      </c>
      <c r="P6589" t="n">
        <v>0</v>
      </c>
      <c r="Q6589" t="n">
        <v>0</v>
      </c>
      <c r="R6589" s="2" t="inlineStr"/>
    </row>
    <row r="6590" ht="15" customHeight="1">
      <c r="A6590" t="inlineStr">
        <is>
          <t>A 18825-2024</t>
        </is>
      </c>
      <c r="B6590" s="1" t="n">
        <v>45426</v>
      </c>
      <c r="C6590" s="1" t="n">
        <v>45911</v>
      </c>
      <c r="D6590" t="inlineStr">
        <is>
          <t>GÄVLEBORGS LÄN</t>
        </is>
      </c>
      <c r="E6590" t="inlineStr">
        <is>
          <t>HUDIKSVALL</t>
        </is>
      </c>
      <c r="G6590" t="n">
        <v>0.3</v>
      </c>
      <c r="H6590" t="n">
        <v>0</v>
      </c>
      <c r="I6590" t="n">
        <v>0</v>
      </c>
      <c r="J6590" t="n">
        <v>0</v>
      </c>
      <c r="K6590" t="n">
        <v>0</v>
      </c>
      <c r="L6590" t="n">
        <v>0</v>
      </c>
      <c r="M6590" t="n">
        <v>0</v>
      </c>
      <c r="N6590" t="n">
        <v>0</v>
      </c>
      <c r="O6590" t="n">
        <v>0</v>
      </c>
      <c r="P6590" t="n">
        <v>0</v>
      </c>
      <c r="Q6590" t="n">
        <v>0</v>
      </c>
      <c r="R6590" s="2" t="inlineStr"/>
    </row>
    <row r="6591" ht="15" customHeight="1">
      <c r="A6591" t="inlineStr">
        <is>
          <t>A 18832-2024</t>
        </is>
      </c>
      <c r="B6591" s="1" t="n">
        <v>45426</v>
      </c>
      <c r="C6591" s="1" t="n">
        <v>45911</v>
      </c>
      <c r="D6591" t="inlineStr">
        <is>
          <t>GÄVLEBORGS LÄN</t>
        </is>
      </c>
      <c r="E6591" t="inlineStr">
        <is>
          <t>HUDIKSVALL</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5660-2023</t>
        </is>
      </c>
      <c r="B6592" s="1" t="n">
        <v>44960.62733796296</v>
      </c>
      <c r="C6592" s="1" t="n">
        <v>45911</v>
      </c>
      <c r="D6592" t="inlineStr">
        <is>
          <t>GÄVLEBORGS LÄN</t>
        </is>
      </c>
      <c r="E6592" t="inlineStr">
        <is>
          <t>NORDANSTIG</t>
        </is>
      </c>
      <c r="F6592" t="inlineStr">
        <is>
          <t>Holmen skog AB</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42386-2025</t>
        </is>
      </c>
      <c r="B6593" s="1" t="n">
        <v>45905.35064814815</v>
      </c>
      <c r="C6593" s="1" t="n">
        <v>45911</v>
      </c>
      <c r="D6593" t="inlineStr">
        <is>
          <t>GÄVLEBORGS LÄN</t>
        </is>
      </c>
      <c r="E6593" t="inlineStr">
        <is>
          <t>OCKELBO</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42398-2025</t>
        </is>
      </c>
      <c r="B6594" s="1" t="n">
        <v>45905.36827546296</v>
      </c>
      <c r="C6594" s="1" t="n">
        <v>45911</v>
      </c>
      <c r="D6594" t="inlineStr">
        <is>
          <t>GÄVLEBORGS LÄN</t>
        </is>
      </c>
      <c r="E6594" t="inlineStr">
        <is>
          <t>LJUSDAL</t>
        </is>
      </c>
      <c r="F6594" t="inlineStr">
        <is>
          <t>Holmen skog AB</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56766-2022</t>
        </is>
      </c>
      <c r="B6595" s="1" t="n">
        <v>44894</v>
      </c>
      <c r="C6595" s="1" t="n">
        <v>45911</v>
      </c>
      <c r="D6595" t="inlineStr">
        <is>
          <t>GÄVLEBORGS LÄN</t>
        </is>
      </c>
      <c r="E6595" t="inlineStr">
        <is>
          <t>LJUSDAL</t>
        </is>
      </c>
      <c r="F6595" t="inlineStr">
        <is>
          <t>Holmen skog AB</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49125-2023</t>
        </is>
      </c>
      <c r="B6596" s="1" t="n">
        <v>45210.46990740741</v>
      </c>
      <c r="C6596" s="1" t="n">
        <v>45911</v>
      </c>
      <c r="D6596" t="inlineStr">
        <is>
          <t>GÄVLEBORGS LÄN</t>
        </is>
      </c>
      <c r="E6596" t="inlineStr">
        <is>
          <t>OVANÅKER</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42408-2025</t>
        </is>
      </c>
      <c r="B6597" s="1" t="n">
        <v>45905.38579861111</v>
      </c>
      <c r="C6597" s="1" t="n">
        <v>45911</v>
      </c>
      <c r="D6597" t="inlineStr">
        <is>
          <t>GÄVLEBORGS LÄN</t>
        </is>
      </c>
      <c r="E6597" t="inlineStr">
        <is>
          <t>SÖDERHAMN</t>
        </is>
      </c>
      <c r="G6597" t="n">
        <v>2.5</v>
      </c>
      <c r="H6597" t="n">
        <v>0</v>
      </c>
      <c r="I6597" t="n">
        <v>0</v>
      </c>
      <c r="J6597" t="n">
        <v>0</v>
      </c>
      <c r="K6597" t="n">
        <v>0</v>
      </c>
      <c r="L6597" t="n">
        <v>0</v>
      </c>
      <c r="M6597" t="n">
        <v>0</v>
      </c>
      <c r="N6597" t="n">
        <v>0</v>
      </c>
      <c r="O6597" t="n">
        <v>0</v>
      </c>
      <c r="P6597" t="n">
        <v>0</v>
      </c>
      <c r="Q6597" t="n">
        <v>0</v>
      </c>
      <c r="R6597" s="2" t="inlineStr"/>
    </row>
    <row r="6598" ht="15" customHeight="1">
      <c r="A6598" t="inlineStr">
        <is>
          <t>A 42701-2025</t>
        </is>
      </c>
      <c r="B6598" s="1" t="n">
        <v>45908.36534722222</v>
      </c>
      <c r="C6598" s="1" t="n">
        <v>45911</v>
      </c>
      <c r="D6598" t="inlineStr">
        <is>
          <t>GÄVLEBORGS LÄN</t>
        </is>
      </c>
      <c r="E6598" t="inlineStr">
        <is>
          <t>LJUSDAL</t>
        </is>
      </c>
      <c r="G6598" t="n">
        <v>2.9</v>
      </c>
      <c r="H6598" t="n">
        <v>0</v>
      </c>
      <c r="I6598" t="n">
        <v>0</v>
      </c>
      <c r="J6598" t="n">
        <v>0</v>
      </c>
      <c r="K6598" t="n">
        <v>0</v>
      </c>
      <c r="L6598" t="n">
        <v>0</v>
      </c>
      <c r="M6598" t="n">
        <v>0</v>
      </c>
      <c r="N6598" t="n">
        <v>0</v>
      </c>
      <c r="O6598" t="n">
        <v>0</v>
      </c>
      <c r="P6598" t="n">
        <v>0</v>
      </c>
      <c r="Q6598" t="n">
        <v>0</v>
      </c>
      <c r="R6598" s="2" t="inlineStr"/>
    </row>
    <row r="6599" ht="15" customHeight="1">
      <c r="A6599" t="inlineStr">
        <is>
          <t>A 56813-2022</t>
        </is>
      </c>
      <c r="B6599" s="1" t="n">
        <v>44894.44023148148</v>
      </c>
      <c r="C6599" s="1" t="n">
        <v>45911</v>
      </c>
      <c r="D6599" t="inlineStr">
        <is>
          <t>GÄVLEBORGS LÄN</t>
        </is>
      </c>
      <c r="E6599" t="inlineStr">
        <is>
          <t>HUDIKSVALL</t>
        </is>
      </c>
      <c r="F6599" t="inlineStr">
        <is>
          <t>Kommuner</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49211-2023</t>
        </is>
      </c>
      <c r="B6600" s="1" t="n">
        <v>45210.60303240741</v>
      </c>
      <c r="C6600" s="1" t="n">
        <v>45911</v>
      </c>
      <c r="D6600" t="inlineStr">
        <is>
          <t>GÄVLEBORGS LÄN</t>
        </is>
      </c>
      <c r="E6600" t="inlineStr">
        <is>
          <t>SANDVIKEN</t>
        </is>
      </c>
      <c r="G6600" t="n">
        <v>3.6</v>
      </c>
      <c r="H6600" t="n">
        <v>0</v>
      </c>
      <c r="I6600" t="n">
        <v>0</v>
      </c>
      <c r="J6600" t="n">
        <v>0</v>
      </c>
      <c r="K6600" t="n">
        <v>0</v>
      </c>
      <c r="L6600" t="n">
        <v>0</v>
      </c>
      <c r="M6600" t="n">
        <v>0</v>
      </c>
      <c r="N6600" t="n">
        <v>0</v>
      </c>
      <c r="O6600" t="n">
        <v>0</v>
      </c>
      <c r="P6600" t="n">
        <v>0</v>
      </c>
      <c r="Q6600" t="n">
        <v>0</v>
      </c>
      <c r="R6600" s="2" t="inlineStr"/>
    </row>
    <row r="6601" ht="15" customHeight="1">
      <c r="A6601" t="inlineStr">
        <is>
          <t>A 30336-2022</t>
        </is>
      </c>
      <c r="B6601" s="1" t="n">
        <v>44760.47226851852</v>
      </c>
      <c r="C6601" s="1" t="n">
        <v>45911</v>
      </c>
      <c r="D6601" t="inlineStr">
        <is>
          <t>GÄVLEBORGS LÄN</t>
        </is>
      </c>
      <c r="E6601" t="inlineStr">
        <is>
          <t>SÖDERHAMN</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11643-2025</t>
        </is>
      </c>
      <c r="B6602" s="1" t="n">
        <v>45727.47241898148</v>
      </c>
      <c r="C6602" s="1" t="n">
        <v>45911</v>
      </c>
      <c r="D6602" t="inlineStr">
        <is>
          <t>GÄVLEBORGS LÄN</t>
        </is>
      </c>
      <c r="E6602" t="inlineStr">
        <is>
          <t>GÄVLE</t>
        </is>
      </c>
      <c r="G6602" t="n">
        <v>2.6</v>
      </c>
      <c r="H6602" t="n">
        <v>0</v>
      </c>
      <c r="I6602" t="n">
        <v>0</v>
      </c>
      <c r="J6602" t="n">
        <v>0</v>
      </c>
      <c r="K6602" t="n">
        <v>0</v>
      </c>
      <c r="L6602" t="n">
        <v>0</v>
      </c>
      <c r="M6602" t="n">
        <v>0</v>
      </c>
      <c r="N6602" t="n">
        <v>0</v>
      </c>
      <c r="O6602" t="n">
        <v>0</v>
      </c>
      <c r="P6602" t="n">
        <v>0</v>
      </c>
      <c r="Q6602" t="n">
        <v>0</v>
      </c>
      <c r="R6602" s="2" t="inlineStr"/>
    </row>
    <row r="6603" ht="15" customHeight="1">
      <c r="A6603" t="inlineStr">
        <is>
          <t>A 45822-2022</t>
        </is>
      </c>
      <c r="B6603" s="1" t="n">
        <v>44846</v>
      </c>
      <c r="C6603" s="1" t="n">
        <v>45911</v>
      </c>
      <c r="D6603" t="inlineStr">
        <is>
          <t>GÄVLEBORGS LÄN</t>
        </is>
      </c>
      <c r="E6603" t="inlineStr">
        <is>
          <t>SÖDERHAMN</t>
        </is>
      </c>
      <c r="G6603" t="n">
        <v>2.7</v>
      </c>
      <c r="H6603" t="n">
        <v>0</v>
      </c>
      <c r="I6603" t="n">
        <v>0</v>
      </c>
      <c r="J6603" t="n">
        <v>0</v>
      </c>
      <c r="K6603" t="n">
        <v>0</v>
      </c>
      <c r="L6603" t="n">
        <v>0</v>
      </c>
      <c r="M6603" t="n">
        <v>0</v>
      </c>
      <c r="N6603" t="n">
        <v>0</v>
      </c>
      <c r="O6603" t="n">
        <v>0</v>
      </c>
      <c r="P6603" t="n">
        <v>0</v>
      </c>
      <c r="Q6603" t="n">
        <v>0</v>
      </c>
      <c r="R6603" s="2" t="inlineStr"/>
    </row>
    <row r="6604" ht="15" customHeight="1">
      <c r="A6604" t="inlineStr">
        <is>
          <t>A 10081-2025</t>
        </is>
      </c>
      <c r="B6604" s="1" t="n">
        <v>45719</v>
      </c>
      <c r="C6604" s="1" t="n">
        <v>45911</v>
      </c>
      <c r="D6604" t="inlineStr">
        <is>
          <t>GÄVLEBORGS LÄN</t>
        </is>
      </c>
      <c r="E6604" t="inlineStr">
        <is>
          <t>NORDANSTIG</t>
        </is>
      </c>
      <c r="G6604" t="n">
        <v>6.4</v>
      </c>
      <c r="H6604" t="n">
        <v>0</v>
      </c>
      <c r="I6604" t="n">
        <v>0</v>
      </c>
      <c r="J6604" t="n">
        <v>0</v>
      </c>
      <c r="K6604" t="n">
        <v>0</v>
      </c>
      <c r="L6604" t="n">
        <v>0</v>
      </c>
      <c r="M6604" t="n">
        <v>0</v>
      </c>
      <c r="N6604" t="n">
        <v>0</v>
      </c>
      <c r="O6604" t="n">
        <v>0</v>
      </c>
      <c r="P6604" t="n">
        <v>0</v>
      </c>
      <c r="Q6604" t="n">
        <v>0</v>
      </c>
      <c r="R6604" s="2" t="inlineStr"/>
    </row>
    <row r="6605" ht="15" customHeight="1">
      <c r="A6605" t="inlineStr">
        <is>
          <t>A 38350-2025</t>
        </is>
      </c>
      <c r="B6605" s="1" t="n">
        <v>45883</v>
      </c>
      <c r="C6605" s="1" t="n">
        <v>45911</v>
      </c>
      <c r="D6605" t="inlineStr">
        <is>
          <t>GÄVLEBORGS LÄN</t>
        </is>
      </c>
      <c r="E6605" t="inlineStr">
        <is>
          <t>SANDVIKEN</t>
        </is>
      </c>
      <c r="F6605" t="inlineStr">
        <is>
          <t>Bergvik skog väst AB</t>
        </is>
      </c>
      <c r="G6605" t="n">
        <v>25</v>
      </c>
      <c r="H6605" t="n">
        <v>0</v>
      </c>
      <c r="I6605" t="n">
        <v>0</v>
      </c>
      <c r="J6605" t="n">
        <v>0</v>
      </c>
      <c r="K6605" t="n">
        <v>0</v>
      </c>
      <c r="L6605" t="n">
        <v>0</v>
      </c>
      <c r="M6605" t="n">
        <v>0</v>
      </c>
      <c r="N6605" t="n">
        <v>0</v>
      </c>
      <c r="O6605" t="n">
        <v>0</v>
      </c>
      <c r="P6605" t="n">
        <v>0</v>
      </c>
      <c r="Q6605" t="n">
        <v>0</v>
      </c>
      <c r="R6605" s="2" t="inlineStr"/>
    </row>
    <row r="6606" ht="15" customHeight="1">
      <c r="A6606" t="inlineStr">
        <is>
          <t>A 42355-2025</t>
        </is>
      </c>
      <c r="B6606" s="1" t="n">
        <v>45904.92023148148</v>
      </c>
      <c r="C6606" s="1" t="n">
        <v>45911</v>
      </c>
      <c r="D6606" t="inlineStr">
        <is>
          <t>GÄVLEBORGS LÄN</t>
        </is>
      </c>
      <c r="E6606" t="inlineStr">
        <is>
          <t>HUDIKSVALL</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35960-2025</t>
        </is>
      </c>
      <c r="B6607" s="1" t="n">
        <v>45863.35443287037</v>
      </c>
      <c r="C6607" s="1" t="n">
        <v>45911</v>
      </c>
      <c r="D6607" t="inlineStr">
        <is>
          <t>GÄVLEBORGS LÄN</t>
        </is>
      </c>
      <c r="E6607" t="inlineStr">
        <is>
          <t>SÖDERHAMN</t>
        </is>
      </c>
      <c r="F6607" t="inlineStr">
        <is>
          <t>Bergvik skog väst AB</t>
        </is>
      </c>
      <c r="G6607" t="n">
        <v>4.8</v>
      </c>
      <c r="H6607" t="n">
        <v>0</v>
      </c>
      <c r="I6607" t="n">
        <v>0</v>
      </c>
      <c r="J6607" t="n">
        <v>0</v>
      </c>
      <c r="K6607" t="n">
        <v>0</v>
      </c>
      <c r="L6607" t="n">
        <v>0</v>
      </c>
      <c r="M6607" t="n">
        <v>0</v>
      </c>
      <c r="N6607" t="n">
        <v>0</v>
      </c>
      <c r="O6607" t="n">
        <v>0</v>
      </c>
      <c r="P6607" t="n">
        <v>0</v>
      </c>
      <c r="Q6607" t="n">
        <v>0</v>
      </c>
      <c r="R6607" s="2" t="inlineStr"/>
    </row>
    <row r="6608" ht="15" customHeight="1">
      <c r="A6608" t="inlineStr">
        <is>
          <t>A 35993-2024</t>
        </is>
      </c>
      <c r="B6608" s="1" t="n">
        <v>45533.53946759259</v>
      </c>
      <c r="C6608" s="1" t="n">
        <v>45911</v>
      </c>
      <c r="D6608" t="inlineStr">
        <is>
          <t>GÄVLEBORGS LÄN</t>
        </is>
      </c>
      <c r="E6608" t="inlineStr">
        <is>
          <t>OVANÅKER</t>
        </is>
      </c>
      <c r="G6608" t="n">
        <v>1.8</v>
      </c>
      <c r="H6608" t="n">
        <v>0</v>
      </c>
      <c r="I6608" t="n">
        <v>0</v>
      </c>
      <c r="J6608" t="n">
        <v>0</v>
      </c>
      <c r="K6608" t="n">
        <v>0</v>
      </c>
      <c r="L6608" t="n">
        <v>0</v>
      </c>
      <c r="M6608" t="n">
        <v>0</v>
      </c>
      <c r="N6608" t="n">
        <v>0</v>
      </c>
      <c r="O6608" t="n">
        <v>0</v>
      </c>
      <c r="P6608" t="n">
        <v>0</v>
      </c>
      <c r="Q6608" t="n">
        <v>0</v>
      </c>
      <c r="R6608" s="2" t="inlineStr"/>
    </row>
    <row r="6609" ht="15" customHeight="1">
      <c r="A6609" t="inlineStr">
        <is>
          <t>A 42513-2025</t>
        </is>
      </c>
      <c r="B6609" s="1" t="n">
        <v>45905.54412037037</v>
      </c>
      <c r="C6609" s="1" t="n">
        <v>45911</v>
      </c>
      <c r="D6609" t="inlineStr">
        <is>
          <t>GÄVLEBORGS LÄN</t>
        </is>
      </c>
      <c r="E6609" t="inlineStr">
        <is>
          <t>BOLLNÄS</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41415-2025</t>
        </is>
      </c>
      <c r="B6610" s="1" t="n">
        <v>45901</v>
      </c>
      <c r="C6610" s="1" t="n">
        <v>45911</v>
      </c>
      <c r="D6610" t="inlineStr">
        <is>
          <t>GÄVLEBORGS LÄN</t>
        </is>
      </c>
      <c r="E6610" t="inlineStr">
        <is>
          <t>OVANÅKER</t>
        </is>
      </c>
      <c r="G6610" t="n">
        <v>4.5</v>
      </c>
      <c r="H6610" t="n">
        <v>0</v>
      </c>
      <c r="I6610" t="n">
        <v>0</v>
      </c>
      <c r="J6610" t="n">
        <v>0</v>
      </c>
      <c r="K6610" t="n">
        <v>0</v>
      </c>
      <c r="L6610" t="n">
        <v>0</v>
      </c>
      <c r="M6610" t="n">
        <v>0</v>
      </c>
      <c r="N6610" t="n">
        <v>0</v>
      </c>
      <c r="O6610" t="n">
        <v>0</v>
      </c>
      <c r="P6610" t="n">
        <v>0</v>
      </c>
      <c r="Q6610" t="n">
        <v>0</v>
      </c>
      <c r="R6610" s="2" t="inlineStr"/>
    </row>
    <row r="6611" ht="15" customHeight="1">
      <c r="A6611" t="inlineStr">
        <is>
          <t>A 42788-2025</t>
        </is>
      </c>
      <c r="B6611" s="1" t="n">
        <v>45908.51519675926</v>
      </c>
      <c r="C6611" s="1" t="n">
        <v>45911</v>
      </c>
      <c r="D6611" t="inlineStr">
        <is>
          <t>GÄVLEBORGS LÄN</t>
        </is>
      </c>
      <c r="E6611" t="inlineStr">
        <is>
          <t>GÄVLE</t>
        </is>
      </c>
      <c r="G6611" t="n">
        <v>4.2</v>
      </c>
      <c r="H6611" t="n">
        <v>0</v>
      </c>
      <c r="I6611" t="n">
        <v>0</v>
      </c>
      <c r="J6611" t="n">
        <v>0</v>
      </c>
      <c r="K6611" t="n">
        <v>0</v>
      </c>
      <c r="L6611" t="n">
        <v>0</v>
      </c>
      <c r="M6611" t="n">
        <v>0</v>
      </c>
      <c r="N6611" t="n">
        <v>0</v>
      </c>
      <c r="O6611" t="n">
        <v>0</v>
      </c>
      <c r="P6611" t="n">
        <v>0</v>
      </c>
      <c r="Q6611" t="n">
        <v>0</v>
      </c>
      <c r="R6611" s="2" t="inlineStr"/>
    </row>
    <row r="6612" ht="15" customHeight="1">
      <c r="A6612" t="inlineStr">
        <is>
          <t>A 42790-2025</t>
        </is>
      </c>
      <c r="B6612" s="1" t="n">
        <v>45908.52196759259</v>
      </c>
      <c r="C6612" s="1" t="n">
        <v>45911</v>
      </c>
      <c r="D6612" t="inlineStr">
        <is>
          <t>GÄVLEBORGS LÄN</t>
        </is>
      </c>
      <c r="E6612" t="inlineStr">
        <is>
          <t>HUDIKSVALL</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42690-2025</t>
        </is>
      </c>
      <c r="B6613" s="1" t="n">
        <v>45908.35690972222</v>
      </c>
      <c r="C6613" s="1" t="n">
        <v>45911</v>
      </c>
      <c r="D6613" t="inlineStr">
        <is>
          <t>GÄVLEBORGS LÄN</t>
        </is>
      </c>
      <c r="E6613" t="inlineStr">
        <is>
          <t>BOLLNÄS</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42670-2025</t>
        </is>
      </c>
      <c r="B6614" s="1" t="n">
        <v>45908.28011574074</v>
      </c>
      <c r="C6614" s="1" t="n">
        <v>45911</v>
      </c>
      <c r="D6614" t="inlineStr">
        <is>
          <t>GÄVLEBORGS LÄN</t>
        </is>
      </c>
      <c r="E6614" t="inlineStr">
        <is>
          <t>LJUSDAL</t>
        </is>
      </c>
      <c r="G6614" t="n">
        <v>7</v>
      </c>
      <c r="H6614" t="n">
        <v>0</v>
      </c>
      <c r="I6614" t="n">
        <v>0</v>
      </c>
      <c r="J6614" t="n">
        <v>0</v>
      </c>
      <c r="K6614" t="n">
        <v>0</v>
      </c>
      <c r="L6614" t="n">
        <v>0</v>
      </c>
      <c r="M6614" t="n">
        <v>0</v>
      </c>
      <c r="N6614" t="n">
        <v>0</v>
      </c>
      <c r="O6614" t="n">
        <v>0</v>
      </c>
      <c r="P6614" t="n">
        <v>0</v>
      </c>
      <c r="Q6614" t="n">
        <v>0</v>
      </c>
      <c r="R6614" s="2" t="inlineStr"/>
    </row>
    <row r="6615" ht="15" customHeight="1">
      <c r="A6615" t="inlineStr">
        <is>
          <t>A 42760-2025</t>
        </is>
      </c>
      <c r="B6615" s="1" t="n">
        <v>45908.46175925926</v>
      </c>
      <c r="C6615" s="1" t="n">
        <v>45911</v>
      </c>
      <c r="D6615" t="inlineStr">
        <is>
          <t>GÄVLEBORGS LÄN</t>
        </is>
      </c>
      <c r="E6615" t="inlineStr">
        <is>
          <t>HUDIKSVALL</t>
        </is>
      </c>
      <c r="G6615" t="n">
        <v>2.7</v>
      </c>
      <c r="H6615" t="n">
        <v>0</v>
      </c>
      <c r="I6615" t="n">
        <v>0</v>
      </c>
      <c r="J6615" t="n">
        <v>0</v>
      </c>
      <c r="K6615" t="n">
        <v>0</v>
      </c>
      <c r="L6615" t="n">
        <v>0</v>
      </c>
      <c r="M6615" t="n">
        <v>0</v>
      </c>
      <c r="N6615" t="n">
        <v>0</v>
      </c>
      <c r="O6615" t="n">
        <v>0</v>
      </c>
      <c r="P6615" t="n">
        <v>0</v>
      </c>
      <c r="Q6615" t="n">
        <v>0</v>
      </c>
      <c r="R6615" s="2" t="inlineStr"/>
    </row>
    <row r="6616" ht="15" customHeight="1">
      <c r="A6616" t="inlineStr">
        <is>
          <t>A 42356-2025</t>
        </is>
      </c>
      <c r="B6616" s="1" t="n">
        <v>45905.29364583334</v>
      </c>
      <c r="C6616" s="1" t="n">
        <v>45911</v>
      </c>
      <c r="D6616" t="inlineStr">
        <is>
          <t>GÄVLEBORGS LÄN</t>
        </is>
      </c>
      <c r="E6616" t="inlineStr">
        <is>
          <t>OVANÅKER</t>
        </is>
      </c>
      <c r="G6616" t="n">
        <v>3.4</v>
      </c>
      <c r="H6616" t="n">
        <v>0</v>
      </c>
      <c r="I6616" t="n">
        <v>0</v>
      </c>
      <c r="J6616" t="n">
        <v>0</v>
      </c>
      <c r="K6616" t="n">
        <v>0</v>
      </c>
      <c r="L6616" t="n">
        <v>0</v>
      </c>
      <c r="M6616" t="n">
        <v>0</v>
      </c>
      <c r="N6616" t="n">
        <v>0</v>
      </c>
      <c r="O6616" t="n">
        <v>0</v>
      </c>
      <c r="P6616" t="n">
        <v>0</v>
      </c>
      <c r="Q6616" t="n">
        <v>0</v>
      </c>
      <c r="R6616" s="2" t="inlineStr"/>
    </row>
    <row r="6617" ht="15" customHeight="1">
      <c r="A6617" t="inlineStr">
        <is>
          <t>A 7743-2025</t>
        </is>
      </c>
      <c r="B6617" s="1" t="n">
        <v>45706.47894675926</v>
      </c>
      <c r="C6617" s="1" t="n">
        <v>45911</v>
      </c>
      <c r="D6617" t="inlineStr">
        <is>
          <t>GÄVLEBORGS LÄN</t>
        </is>
      </c>
      <c r="E6617" t="inlineStr">
        <is>
          <t>GÄVLE</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7755-2025</t>
        </is>
      </c>
      <c r="B6618" s="1" t="n">
        <v>45706</v>
      </c>
      <c r="C6618" s="1" t="n">
        <v>45911</v>
      </c>
      <c r="D6618" t="inlineStr">
        <is>
          <t>GÄVLEBORGS LÄN</t>
        </is>
      </c>
      <c r="E6618" t="inlineStr">
        <is>
          <t>GÄVLE</t>
        </is>
      </c>
      <c r="F6618" t="inlineStr">
        <is>
          <t>Bergvik skog öst AB</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7768-2025</t>
        </is>
      </c>
      <c r="B6619" s="1" t="n">
        <v>45706.56024305556</v>
      </c>
      <c r="C6619" s="1" t="n">
        <v>45911</v>
      </c>
      <c r="D6619" t="inlineStr">
        <is>
          <t>GÄVLEBORGS LÄN</t>
        </is>
      </c>
      <c r="E6619" t="inlineStr">
        <is>
          <t>NORDANSTIG</t>
        </is>
      </c>
      <c r="G6619" t="n">
        <v>12.3</v>
      </c>
      <c r="H6619" t="n">
        <v>0</v>
      </c>
      <c r="I6619" t="n">
        <v>0</v>
      </c>
      <c r="J6619" t="n">
        <v>0</v>
      </c>
      <c r="K6619" t="n">
        <v>0</v>
      </c>
      <c r="L6619" t="n">
        <v>0</v>
      </c>
      <c r="M6619" t="n">
        <v>0</v>
      </c>
      <c r="N6619" t="n">
        <v>0</v>
      </c>
      <c r="O6619" t="n">
        <v>0</v>
      </c>
      <c r="P6619" t="n">
        <v>0</v>
      </c>
      <c r="Q6619" t="n">
        <v>0</v>
      </c>
      <c r="R6619" s="2" t="inlineStr"/>
    </row>
    <row r="6620" ht="15" customHeight="1">
      <c r="A6620" t="inlineStr">
        <is>
          <t>A 36107-2025</t>
        </is>
      </c>
      <c r="B6620" s="1" t="n">
        <v>45866.56145833333</v>
      </c>
      <c r="C6620" s="1" t="n">
        <v>45911</v>
      </c>
      <c r="D6620" t="inlineStr">
        <is>
          <t>GÄVLEBORGS LÄN</t>
        </is>
      </c>
      <c r="E6620" t="inlineStr">
        <is>
          <t>SANDVIKEN</t>
        </is>
      </c>
      <c r="F6620" t="inlineStr">
        <is>
          <t>Sveaskog</t>
        </is>
      </c>
      <c r="G6620" t="n">
        <v>2.9</v>
      </c>
      <c r="H6620" t="n">
        <v>0</v>
      </c>
      <c r="I6620" t="n">
        <v>0</v>
      </c>
      <c r="J6620" t="n">
        <v>0</v>
      </c>
      <c r="K6620" t="n">
        <v>0</v>
      </c>
      <c r="L6620" t="n">
        <v>0</v>
      </c>
      <c r="M6620" t="n">
        <v>0</v>
      </c>
      <c r="N6620" t="n">
        <v>0</v>
      </c>
      <c r="O6620" t="n">
        <v>0</v>
      </c>
      <c r="P6620" t="n">
        <v>0</v>
      </c>
      <c r="Q6620" t="n">
        <v>0</v>
      </c>
      <c r="R6620" s="2" t="inlineStr"/>
    </row>
    <row r="6621" ht="15" customHeight="1">
      <c r="A6621" t="inlineStr">
        <is>
          <t>A 42528-2025</t>
        </is>
      </c>
      <c r="B6621" s="1" t="n">
        <v>45905.55652777778</v>
      </c>
      <c r="C6621" s="1" t="n">
        <v>45911</v>
      </c>
      <c r="D6621" t="inlineStr">
        <is>
          <t>GÄVLEBORGS LÄN</t>
        </is>
      </c>
      <c r="E6621" t="inlineStr">
        <is>
          <t>HUDIKSVALL</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42440-2025</t>
        </is>
      </c>
      <c r="B6622" s="1" t="n">
        <v>45905.4327662037</v>
      </c>
      <c r="C6622" s="1" t="n">
        <v>45911</v>
      </c>
      <c r="D6622" t="inlineStr">
        <is>
          <t>GÄVLEBORGS LÄN</t>
        </is>
      </c>
      <c r="E6622" t="inlineStr">
        <is>
          <t>OCKELBO</t>
        </is>
      </c>
      <c r="F6622" t="inlineStr">
        <is>
          <t>Bergvik skog väst AB</t>
        </is>
      </c>
      <c r="G6622" t="n">
        <v>9.6</v>
      </c>
      <c r="H6622" t="n">
        <v>0</v>
      </c>
      <c r="I6622" t="n">
        <v>0</v>
      </c>
      <c r="J6622" t="n">
        <v>0</v>
      </c>
      <c r="K6622" t="n">
        <v>0</v>
      </c>
      <c r="L6622" t="n">
        <v>0</v>
      </c>
      <c r="M6622" t="n">
        <v>0</v>
      </c>
      <c r="N6622" t="n">
        <v>0</v>
      </c>
      <c r="O6622" t="n">
        <v>0</v>
      </c>
      <c r="P6622" t="n">
        <v>0</v>
      </c>
      <c r="Q6622" t="n">
        <v>0</v>
      </c>
      <c r="R6622" s="2" t="inlineStr"/>
    </row>
    <row r="6623" ht="15" customHeight="1">
      <c r="A6623" t="inlineStr">
        <is>
          <t>A 42712-2024</t>
        </is>
      </c>
      <c r="B6623" s="1" t="n">
        <v>45566.44934027778</v>
      </c>
      <c r="C6623" s="1" t="n">
        <v>45911</v>
      </c>
      <c r="D6623" t="inlineStr">
        <is>
          <t>GÄVLEBORGS LÄN</t>
        </is>
      </c>
      <c r="E6623" t="inlineStr">
        <is>
          <t>LJUSDAL</t>
        </is>
      </c>
      <c r="F6623" t="inlineStr">
        <is>
          <t>Kommuner</t>
        </is>
      </c>
      <c r="G6623" t="n">
        <v>6.9</v>
      </c>
      <c r="H6623" t="n">
        <v>0</v>
      </c>
      <c r="I6623" t="n">
        <v>0</v>
      </c>
      <c r="J6623" t="n">
        <v>0</v>
      </c>
      <c r="K6623" t="n">
        <v>0</v>
      </c>
      <c r="L6623" t="n">
        <v>0</v>
      </c>
      <c r="M6623" t="n">
        <v>0</v>
      </c>
      <c r="N6623" t="n">
        <v>0</v>
      </c>
      <c r="O6623" t="n">
        <v>0</v>
      </c>
      <c r="P6623" t="n">
        <v>0</v>
      </c>
      <c r="Q6623" t="n">
        <v>0</v>
      </c>
      <c r="R6623" s="2" t="inlineStr"/>
    </row>
    <row r="6624" ht="15" customHeight="1">
      <c r="A6624" t="inlineStr">
        <is>
          <t>A 59738-2022</t>
        </is>
      </c>
      <c r="B6624" s="1" t="n">
        <v>44908</v>
      </c>
      <c r="C6624" s="1" t="n">
        <v>45911</v>
      </c>
      <c r="D6624" t="inlineStr">
        <is>
          <t>GÄVLEBORGS LÄN</t>
        </is>
      </c>
      <c r="E6624" t="inlineStr">
        <is>
          <t>SANDVIKEN</t>
        </is>
      </c>
      <c r="G6624" t="n">
        <v>3.9</v>
      </c>
      <c r="H6624" t="n">
        <v>0</v>
      </c>
      <c r="I6624" t="n">
        <v>0</v>
      </c>
      <c r="J6624" t="n">
        <v>0</v>
      </c>
      <c r="K6624" t="n">
        <v>0</v>
      </c>
      <c r="L6624" t="n">
        <v>0</v>
      </c>
      <c r="M6624" t="n">
        <v>0</v>
      </c>
      <c r="N6624" t="n">
        <v>0</v>
      </c>
      <c r="O6624" t="n">
        <v>0</v>
      </c>
      <c r="P6624" t="n">
        <v>0</v>
      </c>
      <c r="Q6624" t="n">
        <v>0</v>
      </c>
      <c r="R6624" s="2" t="inlineStr"/>
    </row>
    <row r="6625" ht="15" customHeight="1">
      <c r="A6625" t="inlineStr">
        <is>
          <t>A 59741-2022</t>
        </is>
      </c>
      <c r="B6625" s="1" t="n">
        <v>44908</v>
      </c>
      <c r="C6625" s="1" t="n">
        <v>45911</v>
      </c>
      <c r="D6625" t="inlineStr">
        <is>
          <t>GÄVLEBORGS LÄN</t>
        </is>
      </c>
      <c r="E6625" t="inlineStr">
        <is>
          <t>HUDIKSVALL</t>
        </is>
      </c>
      <c r="G6625" t="n">
        <v>7.3</v>
      </c>
      <c r="H6625" t="n">
        <v>0</v>
      </c>
      <c r="I6625" t="n">
        <v>0</v>
      </c>
      <c r="J6625" t="n">
        <v>0</v>
      </c>
      <c r="K6625" t="n">
        <v>0</v>
      </c>
      <c r="L6625" t="n">
        <v>0</v>
      </c>
      <c r="M6625" t="n">
        <v>0</v>
      </c>
      <c r="N6625" t="n">
        <v>0</v>
      </c>
      <c r="O6625" t="n">
        <v>0</v>
      </c>
      <c r="P6625" t="n">
        <v>0</v>
      </c>
      <c r="Q6625" t="n">
        <v>0</v>
      </c>
      <c r="R6625" s="2" t="inlineStr"/>
    </row>
    <row r="6626" ht="15" customHeight="1">
      <c r="A6626" t="inlineStr">
        <is>
          <t>A 39424-2024</t>
        </is>
      </c>
      <c r="B6626" s="1" t="n">
        <v>45551.58315972222</v>
      </c>
      <c r="C6626" s="1" t="n">
        <v>45911</v>
      </c>
      <c r="D6626" t="inlineStr">
        <is>
          <t>GÄVLEBORGS LÄN</t>
        </is>
      </c>
      <c r="E6626" t="inlineStr">
        <is>
          <t>OCKELBO</t>
        </is>
      </c>
      <c r="G6626" t="n">
        <v>3.6</v>
      </c>
      <c r="H6626" t="n">
        <v>0</v>
      </c>
      <c r="I6626" t="n">
        <v>0</v>
      </c>
      <c r="J6626" t="n">
        <v>0</v>
      </c>
      <c r="K6626" t="n">
        <v>0</v>
      </c>
      <c r="L6626" t="n">
        <v>0</v>
      </c>
      <c r="M6626" t="n">
        <v>0</v>
      </c>
      <c r="N6626" t="n">
        <v>0</v>
      </c>
      <c r="O6626" t="n">
        <v>0</v>
      </c>
      <c r="P6626" t="n">
        <v>0</v>
      </c>
      <c r="Q6626" t="n">
        <v>0</v>
      </c>
      <c r="R6626" s="2" t="inlineStr"/>
    </row>
    <row r="6627" ht="15" customHeight="1">
      <c r="A6627" t="inlineStr">
        <is>
          <t>A 39440-2024</t>
        </is>
      </c>
      <c r="B6627" s="1" t="n">
        <v>45551.6096875</v>
      </c>
      <c r="C6627" s="1" t="n">
        <v>45911</v>
      </c>
      <c r="D6627" t="inlineStr">
        <is>
          <t>GÄVLEBORGS LÄN</t>
        </is>
      </c>
      <c r="E6627" t="inlineStr">
        <is>
          <t>HUDIKSVALL</t>
        </is>
      </c>
      <c r="F6627" t="inlineStr">
        <is>
          <t>Holmen skog AB</t>
        </is>
      </c>
      <c r="G6627" t="n">
        <v>3.5</v>
      </c>
      <c r="H6627" t="n">
        <v>0</v>
      </c>
      <c r="I6627" t="n">
        <v>0</v>
      </c>
      <c r="J6627" t="n">
        <v>0</v>
      </c>
      <c r="K6627" t="n">
        <v>0</v>
      </c>
      <c r="L6627" t="n">
        <v>0</v>
      </c>
      <c r="M6627" t="n">
        <v>0</v>
      </c>
      <c r="N6627" t="n">
        <v>0</v>
      </c>
      <c r="O6627" t="n">
        <v>0</v>
      </c>
      <c r="P6627" t="n">
        <v>0</v>
      </c>
      <c r="Q6627" t="n">
        <v>0</v>
      </c>
      <c r="R6627" s="2" t="inlineStr"/>
    </row>
    <row r="6628" ht="15" customHeight="1">
      <c r="A6628" t="inlineStr">
        <is>
          <t>A 42409-2025</t>
        </is>
      </c>
      <c r="B6628" s="1" t="n">
        <v>45905</v>
      </c>
      <c r="C6628" s="1" t="n">
        <v>45911</v>
      </c>
      <c r="D6628" t="inlineStr">
        <is>
          <t>GÄVLEBORGS LÄN</t>
        </is>
      </c>
      <c r="E6628" t="inlineStr">
        <is>
          <t>SÖDERHAMN</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42516-2025</t>
        </is>
      </c>
      <c r="B6629" s="1" t="n">
        <v>45905.54534722222</v>
      </c>
      <c r="C6629" s="1" t="n">
        <v>45911</v>
      </c>
      <c r="D6629" t="inlineStr">
        <is>
          <t>GÄVLEBORGS LÄN</t>
        </is>
      </c>
      <c r="E6629" t="inlineStr">
        <is>
          <t>BOLLNÄS</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45701-2021</t>
        </is>
      </c>
      <c r="B6630" s="1" t="n">
        <v>44441.38833333334</v>
      </c>
      <c r="C6630" s="1" t="n">
        <v>45911</v>
      </c>
      <c r="D6630" t="inlineStr">
        <is>
          <t>GÄVLEBORGS LÄN</t>
        </is>
      </c>
      <c r="E6630" t="inlineStr">
        <is>
          <t>LJUSDAL</t>
        </is>
      </c>
      <c r="F6630" t="inlineStr">
        <is>
          <t>Allmännings- och besparingsskogar</t>
        </is>
      </c>
      <c r="G6630" t="n">
        <v>0.4</v>
      </c>
      <c r="H6630" t="n">
        <v>0</v>
      </c>
      <c r="I6630" t="n">
        <v>0</v>
      </c>
      <c r="J6630" t="n">
        <v>0</v>
      </c>
      <c r="K6630" t="n">
        <v>0</v>
      </c>
      <c r="L6630" t="n">
        <v>0</v>
      </c>
      <c r="M6630" t="n">
        <v>0</v>
      </c>
      <c r="N6630" t="n">
        <v>0</v>
      </c>
      <c r="O6630" t="n">
        <v>0</v>
      </c>
      <c r="P6630" t="n">
        <v>0</v>
      </c>
      <c r="Q6630" t="n">
        <v>0</v>
      </c>
      <c r="R6630" s="2" t="inlineStr"/>
    </row>
    <row r="6631" ht="15" customHeight="1">
      <c r="A6631" t="inlineStr">
        <is>
          <t>A 49966-2024</t>
        </is>
      </c>
      <c r="B6631" s="1" t="n">
        <v>45597.63407407407</v>
      </c>
      <c r="C6631" s="1" t="n">
        <v>45911</v>
      </c>
      <c r="D6631" t="inlineStr">
        <is>
          <t>GÄVLEBORGS LÄN</t>
        </is>
      </c>
      <c r="E6631" t="inlineStr">
        <is>
          <t>SÖDERHAMN</t>
        </is>
      </c>
      <c r="G6631" t="n">
        <v>2.1</v>
      </c>
      <c r="H6631" t="n">
        <v>0</v>
      </c>
      <c r="I6631" t="n">
        <v>0</v>
      </c>
      <c r="J6631" t="n">
        <v>0</v>
      </c>
      <c r="K6631" t="n">
        <v>0</v>
      </c>
      <c r="L6631" t="n">
        <v>0</v>
      </c>
      <c r="M6631" t="n">
        <v>0</v>
      </c>
      <c r="N6631" t="n">
        <v>0</v>
      </c>
      <c r="O6631" t="n">
        <v>0</v>
      </c>
      <c r="P6631" t="n">
        <v>0</v>
      </c>
      <c r="Q6631" t="n">
        <v>0</v>
      </c>
      <c r="R6631" s="2" t="inlineStr"/>
    </row>
    <row r="6632" ht="15" customHeight="1">
      <c r="A6632" t="inlineStr">
        <is>
          <t>A 1474-2022</t>
        </is>
      </c>
      <c r="B6632" s="1" t="n">
        <v>44573.50443287037</v>
      </c>
      <c r="C6632" s="1" t="n">
        <v>45911</v>
      </c>
      <c r="D6632" t="inlineStr">
        <is>
          <t>GÄVLEBORGS LÄN</t>
        </is>
      </c>
      <c r="E6632" t="inlineStr">
        <is>
          <t>BOLLNÄS</t>
        </is>
      </c>
      <c r="G6632" t="n">
        <v>1.8</v>
      </c>
      <c r="H6632" t="n">
        <v>0</v>
      </c>
      <c r="I6632" t="n">
        <v>0</v>
      </c>
      <c r="J6632" t="n">
        <v>0</v>
      </c>
      <c r="K6632" t="n">
        <v>0</v>
      </c>
      <c r="L6632" t="n">
        <v>0</v>
      </c>
      <c r="M6632" t="n">
        <v>0</v>
      </c>
      <c r="N6632" t="n">
        <v>0</v>
      </c>
      <c r="O6632" t="n">
        <v>0</v>
      </c>
      <c r="P6632" t="n">
        <v>0</v>
      </c>
      <c r="Q6632" t="n">
        <v>0</v>
      </c>
      <c r="R6632" s="2" t="inlineStr"/>
    </row>
    <row r="6633" ht="15" customHeight="1">
      <c r="A6633" t="inlineStr">
        <is>
          <t>A 1483-2022</t>
        </is>
      </c>
      <c r="B6633" s="1" t="n">
        <v>44573.52768518519</v>
      </c>
      <c r="C6633" s="1" t="n">
        <v>45911</v>
      </c>
      <c r="D6633" t="inlineStr">
        <is>
          <t>GÄVLEBORGS LÄN</t>
        </is>
      </c>
      <c r="E6633" t="inlineStr">
        <is>
          <t>NORDANSTIG</t>
        </is>
      </c>
      <c r="G6633" t="n">
        <v>7.8</v>
      </c>
      <c r="H6633" t="n">
        <v>0</v>
      </c>
      <c r="I6633" t="n">
        <v>0</v>
      </c>
      <c r="J6633" t="n">
        <v>0</v>
      </c>
      <c r="K6633" t="n">
        <v>0</v>
      </c>
      <c r="L6633" t="n">
        <v>0</v>
      </c>
      <c r="M6633" t="n">
        <v>0</v>
      </c>
      <c r="N6633" t="n">
        <v>0</v>
      </c>
      <c r="O6633" t="n">
        <v>0</v>
      </c>
      <c r="P6633" t="n">
        <v>0</v>
      </c>
      <c r="Q6633" t="n">
        <v>0</v>
      </c>
      <c r="R6633" s="2" t="inlineStr"/>
    </row>
    <row r="6634" ht="15" customHeight="1">
      <c r="A6634" t="inlineStr">
        <is>
          <t>A 58796-2024</t>
        </is>
      </c>
      <c r="B6634" s="1" t="n">
        <v>45636.29079861111</v>
      </c>
      <c r="C6634" s="1" t="n">
        <v>45911</v>
      </c>
      <c r="D6634" t="inlineStr">
        <is>
          <t>GÄVLEBORGS LÄN</t>
        </is>
      </c>
      <c r="E6634" t="inlineStr">
        <is>
          <t>SANDVIKEN</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47746-2023</t>
        </is>
      </c>
      <c r="B6635" s="1" t="n">
        <v>45203</v>
      </c>
      <c r="C6635" s="1" t="n">
        <v>45911</v>
      </c>
      <c r="D6635" t="inlineStr">
        <is>
          <t>GÄVLEBORGS LÄN</t>
        </is>
      </c>
      <c r="E6635" t="inlineStr">
        <is>
          <t>GÄVLE</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42557-2025</t>
        </is>
      </c>
      <c r="B6636" s="1" t="n">
        <v>45905.59543981482</v>
      </c>
      <c r="C6636" s="1" t="n">
        <v>45911</v>
      </c>
      <c r="D6636" t="inlineStr">
        <is>
          <t>GÄVLEBORGS LÄN</t>
        </is>
      </c>
      <c r="E6636" t="inlineStr">
        <is>
          <t>GÄVLE</t>
        </is>
      </c>
      <c r="F6636" t="inlineStr">
        <is>
          <t>Bergvik skog väst AB</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42603-2025</t>
        </is>
      </c>
      <c r="B6637" s="1" t="n">
        <v>45905.67424768519</v>
      </c>
      <c r="C6637" s="1" t="n">
        <v>45911</v>
      </c>
      <c r="D6637" t="inlineStr">
        <is>
          <t>GÄVLEBORGS LÄN</t>
        </is>
      </c>
      <c r="E6637" t="inlineStr">
        <is>
          <t>LJUSDAL</t>
        </is>
      </c>
      <c r="F6637" t="inlineStr">
        <is>
          <t>Sveaskog</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5561-2022</t>
        </is>
      </c>
      <c r="B6638" s="1" t="n">
        <v>44595</v>
      </c>
      <c r="C6638" s="1" t="n">
        <v>45911</v>
      </c>
      <c r="D6638" t="inlineStr">
        <is>
          <t>GÄVLEBORGS LÄN</t>
        </is>
      </c>
      <c r="E6638" t="inlineStr">
        <is>
          <t>BOLLNÄS</t>
        </is>
      </c>
      <c r="G6638" t="n">
        <v>2.8</v>
      </c>
      <c r="H6638" t="n">
        <v>0</v>
      </c>
      <c r="I6638" t="n">
        <v>0</v>
      </c>
      <c r="J6638" t="n">
        <v>0</v>
      </c>
      <c r="K6638" t="n">
        <v>0</v>
      </c>
      <c r="L6638" t="n">
        <v>0</v>
      </c>
      <c r="M6638" t="n">
        <v>0</v>
      </c>
      <c r="N6638" t="n">
        <v>0</v>
      </c>
      <c r="O6638" t="n">
        <v>0</v>
      </c>
      <c r="P6638" t="n">
        <v>0</v>
      </c>
      <c r="Q6638" t="n">
        <v>0</v>
      </c>
      <c r="R6638" s="2" t="inlineStr"/>
    </row>
    <row r="6639" ht="15" customHeight="1">
      <c r="A6639" t="inlineStr">
        <is>
          <t>A 42443-2025</t>
        </is>
      </c>
      <c r="B6639" s="1" t="n">
        <v>45905.43700231481</v>
      </c>
      <c r="C6639" s="1" t="n">
        <v>45911</v>
      </c>
      <c r="D6639" t="inlineStr">
        <is>
          <t>GÄVLEBORGS LÄN</t>
        </is>
      </c>
      <c r="E6639" t="inlineStr">
        <is>
          <t>BOLLNÄS</t>
        </is>
      </c>
      <c r="G6639" t="n">
        <v>2.8</v>
      </c>
      <c r="H6639" t="n">
        <v>0</v>
      </c>
      <c r="I6639" t="n">
        <v>0</v>
      </c>
      <c r="J6639" t="n">
        <v>0</v>
      </c>
      <c r="K6639" t="n">
        <v>0</v>
      </c>
      <c r="L6639" t="n">
        <v>0</v>
      </c>
      <c r="M6639" t="n">
        <v>0</v>
      </c>
      <c r="N6639" t="n">
        <v>0</v>
      </c>
      <c r="O6639" t="n">
        <v>0</v>
      </c>
      <c r="P6639" t="n">
        <v>0</v>
      </c>
      <c r="Q6639" t="n">
        <v>0</v>
      </c>
      <c r="R6639" s="2" t="inlineStr"/>
    </row>
    <row r="6640" ht="15" customHeight="1">
      <c r="A6640" t="inlineStr">
        <is>
          <t>A 9010-2023</t>
        </is>
      </c>
      <c r="B6640" s="1" t="n">
        <v>44979</v>
      </c>
      <c r="C6640" s="1" t="n">
        <v>45911</v>
      </c>
      <c r="D6640" t="inlineStr">
        <is>
          <t>GÄVLEBORGS LÄN</t>
        </is>
      </c>
      <c r="E6640" t="inlineStr">
        <is>
          <t>OVANÅKER</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34826-2024</t>
        </is>
      </c>
      <c r="B6641" s="1" t="n">
        <v>45526.72263888889</v>
      </c>
      <c r="C6641" s="1" t="n">
        <v>45911</v>
      </c>
      <c r="D6641" t="inlineStr">
        <is>
          <t>GÄVLEBORGS LÄN</t>
        </is>
      </c>
      <c r="E6641" t="inlineStr">
        <is>
          <t>SÖDERHAMN</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34664-2022</t>
        </is>
      </c>
      <c r="B6642" s="1" t="n">
        <v>44795</v>
      </c>
      <c r="C6642" s="1" t="n">
        <v>45911</v>
      </c>
      <c r="D6642" t="inlineStr">
        <is>
          <t>GÄVLEBORGS LÄN</t>
        </is>
      </c>
      <c r="E6642" t="inlineStr">
        <is>
          <t>HUDIKSVALL</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33879-2023</t>
        </is>
      </c>
      <c r="B6643" s="1" t="n">
        <v>45134.05142361111</v>
      </c>
      <c r="C6643" s="1" t="n">
        <v>45911</v>
      </c>
      <c r="D6643" t="inlineStr">
        <is>
          <t>GÄVLEBORGS LÄN</t>
        </is>
      </c>
      <c r="E6643" t="inlineStr">
        <is>
          <t>OCKELBO</t>
        </is>
      </c>
      <c r="F6643" t="inlineStr">
        <is>
          <t>Bergvik skog väst AB</t>
        </is>
      </c>
      <c r="G6643" t="n">
        <v>4</v>
      </c>
      <c r="H6643" t="n">
        <v>0</v>
      </c>
      <c r="I6643" t="n">
        <v>0</v>
      </c>
      <c r="J6643" t="n">
        <v>0</v>
      </c>
      <c r="K6643" t="n">
        <v>0</v>
      </c>
      <c r="L6643" t="n">
        <v>0</v>
      </c>
      <c r="M6643" t="n">
        <v>0</v>
      </c>
      <c r="N6643" t="n">
        <v>0</v>
      </c>
      <c r="O6643" t="n">
        <v>0</v>
      </c>
      <c r="P6643" t="n">
        <v>0</v>
      </c>
      <c r="Q6643" t="n">
        <v>0</v>
      </c>
      <c r="R6643" s="2" t="inlineStr"/>
    </row>
    <row r="6644" ht="15" customHeight="1">
      <c r="A6644" t="inlineStr">
        <is>
          <t>A 42907-2025</t>
        </is>
      </c>
      <c r="B6644" s="1" t="n">
        <v>45908.68849537037</v>
      </c>
      <c r="C6644" s="1" t="n">
        <v>45911</v>
      </c>
      <c r="D6644" t="inlineStr">
        <is>
          <t>GÄVLEBORGS LÄN</t>
        </is>
      </c>
      <c r="E6644" t="inlineStr">
        <is>
          <t>GÄVLE</t>
        </is>
      </c>
      <c r="F6644" t="inlineStr">
        <is>
          <t>Bergvik skog väst AB</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7297-2025</t>
        </is>
      </c>
      <c r="B6645" s="1" t="n">
        <v>45702.65013888889</v>
      </c>
      <c r="C6645" s="1" t="n">
        <v>45911</v>
      </c>
      <c r="D6645" t="inlineStr">
        <is>
          <t>GÄVLEBORGS LÄN</t>
        </is>
      </c>
      <c r="E6645" t="inlineStr">
        <is>
          <t>GÄVLE</t>
        </is>
      </c>
      <c r="F6645" t="inlineStr">
        <is>
          <t>Bergvik skog öst AB</t>
        </is>
      </c>
      <c r="G6645" t="n">
        <v>11.5</v>
      </c>
      <c r="H6645" t="n">
        <v>0</v>
      </c>
      <c r="I6645" t="n">
        <v>0</v>
      </c>
      <c r="J6645" t="n">
        <v>0</v>
      </c>
      <c r="K6645" t="n">
        <v>0</v>
      </c>
      <c r="L6645" t="n">
        <v>0</v>
      </c>
      <c r="M6645" t="n">
        <v>0</v>
      </c>
      <c r="N6645" t="n">
        <v>0</v>
      </c>
      <c r="O6645" t="n">
        <v>0</v>
      </c>
      <c r="P6645" t="n">
        <v>0</v>
      </c>
      <c r="Q6645" t="n">
        <v>0</v>
      </c>
      <c r="R6645" s="2" t="inlineStr"/>
    </row>
    <row r="6646" ht="15" customHeight="1">
      <c r="A6646" t="inlineStr">
        <is>
          <t>A 40160-2025</t>
        </is>
      </c>
      <c r="B6646" s="1" t="n">
        <v>45894</v>
      </c>
      <c r="C6646" s="1" t="n">
        <v>45911</v>
      </c>
      <c r="D6646" t="inlineStr">
        <is>
          <t>GÄVLEBORGS LÄN</t>
        </is>
      </c>
      <c r="E6646" t="inlineStr">
        <is>
          <t>BOLLNÄS</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42669-2025</t>
        </is>
      </c>
      <c r="B6647" s="1" t="n">
        <v>45908.27134259259</v>
      </c>
      <c r="C6647" s="1" t="n">
        <v>45911</v>
      </c>
      <c r="D6647" t="inlineStr">
        <is>
          <t>GÄVLEBORGS LÄN</t>
        </is>
      </c>
      <c r="E6647" t="inlineStr">
        <is>
          <t>BOLLNÄS</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33959-2023</t>
        </is>
      </c>
      <c r="B6648" s="1" t="n">
        <v>45124</v>
      </c>
      <c r="C6648" s="1" t="n">
        <v>45911</v>
      </c>
      <c r="D6648" t="inlineStr">
        <is>
          <t>GÄVLEBORGS LÄN</t>
        </is>
      </c>
      <c r="E6648" t="inlineStr">
        <is>
          <t>HUDIKSVALL</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33987-2023</t>
        </is>
      </c>
      <c r="B6649" s="1" t="n">
        <v>45134</v>
      </c>
      <c r="C6649" s="1" t="n">
        <v>45911</v>
      </c>
      <c r="D6649" t="inlineStr">
        <is>
          <t>GÄVLEBORGS LÄN</t>
        </is>
      </c>
      <c r="E6649" t="inlineStr">
        <is>
          <t>OCKELBO</t>
        </is>
      </c>
      <c r="F6649" t="inlineStr">
        <is>
          <t>Bergvik skog väst AB</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24366-2025</t>
        </is>
      </c>
      <c r="B6650" s="1" t="n">
        <v>45797.6044675926</v>
      </c>
      <c r="C6650" s="1" t="n">
        <v>45911</v>
      </c>
      <c r="D6650" t="inlineStr">
        <is>
          <t>GÄVLEBORGS LÄN</t>
        </is>
      </c>
      <c r="E6650" t="inlineStr">
        <is>
          <t>SANDVIKEN</t>
        </is>
      </c>
      <c r="G6650" t="n">
        <v>9.1</v>
      </c>
      <c r="H6650" t="n">
        <v>0</v>
      </c>
      <c r="I6650" t="n">
        <v>0</v>
      </c>
      <c r="J6650" t="n">
        <v>0</v>
      </c>
      <c r="K6650" t="n">
        <v>0</v>
      </c>
      <c r="L6650" t="n">
        <v>0</v>
      </c>
      <c r="M6650" t="n">
        <v>0</v>
      </c>
      <c r="N6650" t="n">
        <v>0</v>
      </c>
      <c r="O6650" t="n">
        <v>0</v>
      </c>
      <c r="P6650" t="n">
        <v>0</v>
      </c>
      <c r="Q6650" t="n">
        <v>0</v>
      </c>
      <c r="R6650" s="2" t="inlineStr"/>
    </row>
    <row r="6651" ht="15" customHeight="1">
      <c r="A6651" t="inlineStr">
        <is>
          <t>A 15615-2021</t>
        </is>
      </c>
      <c r="B6651" s="1" t="n">
        <v>44285</v>
      </c>
      <c r="C6651" s="1" t="n">
        <v>45911</v>
      </c>
      <c r="D6651" t="inlineStr">
        <is>
          <t>GÄVLEBORGS LÄN</t>
        </is>
      </c>
      <c r="E6651" t="inlineStr">
        <is>
          <t>HUDIKSVALL</t>
        </is>
      </c>
      <c r="G6651" t="n">
        <v>2.7</v>
      </c>
      <c r="H6651" t="n">
        <v>0</v>
      </c>
      <c r="I6651" t="n">
        <v>0</v>
      </c>
      <c r="J6651" t="n">
        <v>0</v>
      </c>
      <c r="K6651" t="n">
        <v>0</v>
      </c>
      <c r="L6651" t="n">
        <v>0</v>
      </c>
      <c r="M6651" t="n">
        <v>0</v>
      </c>
      <c r="N6651" t="n">
        <v>0</v>
      </c>
      <c r="O6651" t="n">
        <v>0</v>
      </c>
      <c r="P6651" t="n">
        <v>0</v>
      </c>
      <c r="Q6651" t="n">
        <v>0</v>
      </c>
      <c r="R6651" s="2" t="inlineStr"/>
    </row>
    <row r="6652" ht="15" customHeight="1">
      <c r="A6652" t="inlineStr">
        <is>
          <t>A 386-2023</t>
        </is>
      </c>
      <c r="B6652" s="1" t="n">
        <v>44929.59525462963</v>
      </c>
      <c r="C6652" s="1" t="n">
        <v>45911</v>
      </c>
      <c r="D6652" t="inlineStr">
        <is>
          <t>GÄVLEBORGS LÄN</t>
        </is>
      </c>
      <c r="E6652" t="inlineStr">
        <is>
          <t>HUDIKSVALL</t>
        </is>
      </c>
      <c r="F6652" t="inlineStr">
        <is>
          <t>Holmen skog AB</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51241-2023</t>
        </is>
      </c>
      <c r="B6653" s="1" t="n">
        <v>45219.47429398148</v>
      </c>
      <c r="C6653" s="1" t="n">
        <v>45911</v>
      </c>
      <c r="D6653" t="inlineStr">
        <is>
          <t>GÄVLEBORGS LÄN</t>
        </is>
      </c>
      <c r="E6653" t="inlineStr">
        <is>
          <t>HUDIKSVALL</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51306-2023</t>
        </is>
      </c>
      <c r="B6654" s="1" t="n">
        <v>45219</v>
      </c>
      <c r="C6654" s="1" t="n">
        <v>45911</v>
      </c>
      <c r="D6654" t="inlineStr">
        <is>
          <t>GÄVLEBORGS LÄN</t>
        </is>
      </c>
      <c r="E6654" t="inlineStr">
        <is>
          <t>BOLLNÄS</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42519-2025</t>
        </is>
      </c>
      <c r="B6655" s="1" t="n">
        <v>45905.54800925926</v>
      </c>
      <c r="C6655" s="1" t="n">
        <v>45911</v>
      </c>
      <c r="D6655" t="inlineStr">
        <is>
          <t>GÄVLEBORGS LÄN</t>
        </is>
      </c>
      <c r="E6655" t="inlineStr">
        <is>
          <t>SÖDERHAMN</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11813-2024</t>
        </is>
      </c>
      <c r="B6656" s="1" t="n">
        <v>45376.30138888889</v>
      </c>
      <c r="C6656" s="1" t="n">
        <v>45911</v>
      </c>
      <c r="D6656" t="inlineStr">
        <is>
          <t>GÄVLEBORGS LÄN</t>
        </is>
      </c>
      <c r="E6656" t="inlineStr">
        <is>
          <t>HOFORS</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42692-2025</t>
        </is>
      </c>
      <c r="B6657" s="1" t="n">
        <v>45908.35809027778</v>
      </c>
      <c r="C6657" s="1" t="n">
        <v>45911</v>
      </c>
      <c r="D6657" t="inlineStr">
        <is>
          <t>GÄVLEBORGS LÄN</t>
        </is>
      </c>
      <c r="E6657" t="inlineStr">
        <is>
          <t>GÄVLE</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42717-2025</t>
        </is>
      </c>
      <c r="B6658" s="1" t="n">
        <v>45908.3884375</v>
      </c>
      <c r="C6658" s="1" t="n">
        <v>45911</v>
      </c>
      <c r="D6658" t="inlineStr">
        <is>
          <t>GÄVLEBORGS LÄN</t>
        </is>
      </c>
      <c r="E6658" t="inlineStr">
        <is>
          <t>OCKELBO</t>
        </is>
      </c>
      <c r="G6658" t="n">
        <v>5.4</v>
      </c>
      <c r="H6658" t="n">
        <v>0</v>
      </c>
      <c r="I6658" t="n">
        <v>0</v>
      </c>
      <c r="J6658" t="n">
        <v>0</v>
      </c>
      <c r="K6658" t="n">
        <v>0</v>
      </c>
      <c r="L6658" t="n">
        <v>0</v>
      </c>
      <c r="M6658" t="n">
        <v>0</v>
      </c>
      <c r="N6658" t="n">
        <v>0</v>
      </c>
      <c r="O6658" t="n">
        <v>0</v>
      </c>
      <c r="P6658" t="n">
        <v>0</v>
      </c>
      <c r="Q6658" t="n">
        <v>0</v>
      </c>
      <c r="R6658" s="2" t="inlineStr"/>
      <c r="U6658">
        <f>HYPERLINK("https://klasma.github.io/Logging_2101/knärot/A 42717-2025 karta knärot.png", "A 42717-2025")</f>
        <v/>
      </c>
      <c r="V6658">
        <f>HYPERLINK("https://klasma.github.io/Logging_2101/klagomål/A 42717-2025 FSC-klagomål.docx", "A 42717-2025")</f>
        <v/>
      </c>
      <c r="W6658">
        <f>HYPERLINK("https://klasma.github.io/Logging_2101/klagomålsmail/A 42717-2025 FSC-klagomål mail.docx", "A 42717-2025")</f>
        <v/>
      </c>
      <c r="X6658">
        <f>HYPERLINK("https://klasma.github.io/Logging_2101/tillsyn/A 42717-2025 tillsynsbegäran.docx", "A 42717-2025")</f>
        <v/>
      </c>
      <c r="Y6658">
        <f>HYPERLINK("https://klasma.github.io/Logging_2101/tillsynsmail/A 42717-2025 tillsynsbegäran mail.docx", "A 42717-2025")</f>
        <v/>
      </c>
    </row>
    <row r="6659" ht="15" customHeight="1">
      <c r="A6659" t="inlineStr">
        <is>
          <t>A 13505-2025</t>
        </is>
      </c>
      <c r="B6659" s="1" t="n">
        <v>45736.46898148148</v>
      </c>
      <c r="C6659" s="1" t="n">
        <v>45911</v>
      </c>
      <c r="D6659" t="inlineStr">
        <is>
          <t>GÄVLEBORGS LÄN</t>
        </is>
      </c>
      <c r="E6659" t="inlineStr">
        <is>
          <t>LJUSDAL</t>
        </is>
      </c>
      <c r="G6659" t="n">
        <v>3.5</v>
      </c>
      <c r="H6659" t="n">
        <v>0</v>
      </c>
      <c r="I6659" t="n">
        <v>0</v>
      </c>
      <c r="J6659" t="n">
        <v>0</v>
      </c>
      <c r="K6659" t="n">
        <v>0</v>
      </c>
      <c r="L6659" t="n">
        <v>0</v>
      </c>
      <c r="M6659" t="n">
        <v>0</v>
      </c>
      <c r="N6659" t="n">
        <v>0</v>
      </c>
      <c r="O6659" t="n">
        <v>0</v>
      </c>
      <c r="P6659" t="n">
        <v>0</v>
      </c>
      <c r="Q6659" t="n">
        <v>0</v>
      </c>
      <c r="R6659" s="2" t="inlineStr"/>
    </row>
    <row r="6660" ht="15" customHeight="1">
      <c r="A6660" t="inlineStr">
        <is>
          <t>A 36061-2025</t>
        </is>
      </c>
      <c r="B6660" s="1" t="n">
        <v>45866.3949074074</v>
      </c>
      <c r="C6660" s="1" t="n">
        <v>45911</v>
      </c>
      <c r="D6660" t="inlineStr">
        <is>
          <t>GÄVLEBORGS LÄN</t>
        </is>
      </c>
      <c r="E6660" t="inlineStr">
        <is>
          <t>LJUSDAL</t>
        </is>
      </c>
      <c r="G6660" t="n">
        <v>3.6</v>
      </c>
      <c r="H6660" t="n">
        <v>0</v>
      </c>
      <c r="I6660" t="n">
        <v>0</v>
      </c>
      <c r="J6660" t="n">
        <v>0</v>
      </c>
      <c r="K6660" t="n">
        <v>0</v>
      </c>
      <c r="L6660" t="n">
        <v>0</v>
      </c>
      <c r="M6660" t="n">
        <v>0</v>
      </c>
      <c r="N6660" t="n">
        <v>0</v>
      </c>
      <c r="O6660" t="n">
        <v>0</v>
      </c>
      <c r="P6660" t="n">
        <v>0</v>
      </c>
      <c r="Q6660" t="n">
        <v>0</v>
      </c>
      <c r="R6660" s="2" t="inlineStr"/>
    </row>
    <row r="6661" ht="15" customHeight="1">
      <c r="A6661" t="inlineStr">
        <is>
          <t>A 29205-2023</t>
        </is>
      </c>
      <c r="B6661" s="1" t="n">
        <v>45105.56778935185</v>
      </c>
      <c r="C6661" s="1" t="n">
        <v>45911</v>
      </c>
      <c r="D6661" t="inlineStr">
        <is>
          <t>GÄVLEBORGS LÄN</t>
        </is>
      </c>
      <c r="E6661" t="inlineStr">
        <is>
          <t>LJUSDAL</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2311-2024</t>
        </is>
      </c>
      <c r="B6662" s="1" t="n">
        <v>45310</v>
      </c>
      <c r="C6662" s="1" t="n">
        <v>45911</v>
      </c>
      <c r="D6662" t="inlineStr">
        <is>
          <t>GÄVLEBORGS LÄN</t>
        </is>
      </c>
      <c r="E6662" t="inlineStr">
        <is>
          <t>BOLLNÄS</t>
        </is>
      </c>
      <c r="F6662" t="inlineStr">
        <is>
          <t>Övriga statliga verk och myndigheter</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57632-2021</t>
        </is>
      </c>
      <c r="B6663" s="1" t="n">
        <v>44484.39166666667</v>
      </c>
      <c r="C6663" s="1" t="n">
        <v>45911</v>
      </c>
      <c r="D6663" t="inlineStr">
        <is>
          <t>GÄVLEBORGS LÄN</t>
        </is>
      </c>
      <c r="E6663" t="inlineStr">
        <is>
          <t>HOFORS</t>
        </is>
      </c>
      <c r="G6663" t="n">
        <v>4.1</v>
      </c>
      <c r="H6663" t="n">
        <v>0</v>
      </c>
      <c r="I6663" t="n">
        <v>0</v>
      </c>
      <c r="J6663" t="n">
        <v>0</v>
      </c>
      <c r="K6663" t="n">
        <v>0</v>
      </c>
      <c r="L6663" t="n">
        <v>0</v>
      </c>
      <c r="M6663" t="n">
        <v>0</v>
      </c>
      <c r="N6663" t="n">
        <v>0</v>
      </c>
      <c r="O6663" t="n">
        <v>0</v>
      </c>
      <c r="P6663" t="n">
        <v>0</v>
      </c>
      <c r="Q6663" t="n">
        <v>0</v>
      </c>
      <c r="R6663" s="2" t="inlineStr"/>
    </row>
    <row r="6664" ht="15" customHeight="1">
      <c r="A6664" t="inlineStr">
        <is>
          <t>A 2247-2023</t>
        </is>
      </c>
      <c r="B6664" s="1" t="n">
        <v>44942.47491898148</v>
      </c>
      <c r="C6664" s="1" t="n">
        <v>45911</v>
      </c>
      <c r="D6664" t="inlineStr">
        <is>
          <t>GÄVLEBORGS LÄN</t>
        </is>
      </c>
      <c r="E6664" t="inlineStr">
        <is>
          <t>GÄVLE</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35995-2025</t>
        </is>
      </c>
      <c r="B6665" s="1" t="n">
        <v>45863.493125</v>
      </c>
      <c r="C6665" s="1" t="n">
        <v>45911</v>
      </c>
      <c r="D6665" t="inlineStr">
        <is>
          <t>GÄVLEBORGS LÄN</t>
        </is>
      </c>
      <c r="E6665" t="inlineStr">
        <is>
          <t>SANDVIKEN</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42591-2025</t>
        </is>
      </c>
      <c r="B6666" s="1" t="n">
        <v>45905.64267361111</v>
      </c>
      <c r="C6666" s="1" t="n">
        <v>45911</v>
      </c>
      <c r="D6666" t="inlineStr">
        <is>
          <t>GÄVLEBORGS LÄN</t>
        </is>
      </c>
      <c r="E6666" t="inlineStr">
        <is>
          <t>LJUSDAL</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42592-2025</t>
        </is>
      </c>
      <c r="B6667" s="1" t="n">
        <v>45905.6455787037</v>
      </c>
      <c r="C6667" s="1" t="n">
        <v>45911</v>
      </c>
      <c r="D6667" t="inlineStr">
        <is>
          <t>GÄVLEBORGS LÄN</t>
        </is>
      </c>
      <c r="E6667" t="inlineStr">
        <is>
          <t>GÄVLE</t>
        </is>
      </c>
      <c r="F6667" t="inlineStr">
        <is>
          <t>Bergvik skog väst AB</t>
        </is>
      </c>
      <c r="G6667" t="n">
        <v>2.6</v>
      </c>
      <c r="H6667" t="n">
        <v>0</v>
      </c>
      <c r="I6667" t="n">
        <v>0</v>
      </c>
      <c r="J6667" t="n">
        <v>0</v>
      </c>
      <c r="K6667" t="n">
        <v>0</v>
      </c>
      <c r="L6667" t="n">
        <v>0</v>
      </c>
      <c r="M6667" t="n">
        <v>0</v>
      </c>
      <c r="N6667" t="n">
        <v>0</v>
      </c>
      <c r="O6667" t="n">
        <v>0</v>
      </c>
      <c r="P6667" t="n">
        <v>0</v>
      </c>
      <c r="Q6667" t="n">
        <v>0</v>
      </c>
      <c r="R6667" s="2" t="inlineStr"/>
    </row>
    <row r="6668" ht="15" customHeight="1">
      <c r="A6668" t="inlineStr">
        <is>
          <t>A 42601-2025</t>
        </is>
      </c>
      <c r="B6668" s="1" t="n">
        <v>45905.6715625</v>
      </c>
      <c r="C6668" s="1" t="n">
        <v>45911</v>
      </c>
      <c r="D6668" t="inlineStr">
        <is>
          <t>GÄVLEBORGS LÄN</t>
        </is>
      </c>
      <c r="E6668" t="inlineStr">
        <is>
          <t>LJUSDAL</t>
        </is>
      </c>
      <c r="F6668" t="inlineStr">
        <is>
          <t>Sveaskog</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15454-2025</t>
        </is>
      </c>
      <c r="B6669" s="1" t="n">
        <v>45747.49863425926</v>
      </c>
      <c r="C6669" s="1" t="n">
        <v>45911</v>
      </c>
      <c r="D6669" t="inlineStr">
        <is>
          <t>GÄVLEBORGS LÄN</t>
        </is>
      </c>
      <c r="E6669" t="inlineStr">
        <is>
          <t>SÖDERHAMN</t>
        </is>
      </c>
      <c r="G6669" t="n">
        <v>6.2</v>
      </c>
      <c r="H6669" t="n">
        <v>0</v>
      </c>
      <c r="I6669" t="n">
        <v>0</v>
      </c>
      <c r="J6669" t="n">
        <v>0</v>
      </c>
      <c r="K6669" t="n">
        <v>0</v>
      </c>
      <c r="L6669" t="n">
        <v>0</v>
      </c>
      <c r="M6669" t="n">
        <v>0</v>
      </c>
      <c r="N6669" t="n">
        <v>0</v>
      </c>
      <c r="O6669" t="n">
        <v>0</v>
      </c>
      <c r="P6669" t="n">
        <v>0</v>
      </c>
      <c r="Q6669" t="n">
        <v>0</v>
      </c>
      <c r="R6669" s="2" t="inlineStr"/>
    </row>
    <row r="6670" ht="15" customHeight="1">
      <c r="A6670" t="inlineStr">
        <is>
          <t>A 4619-2024</t>
        </is>
      </c>
      <c r="B6670" s="1" t="n">
        <v>45328</v>
      </c>
      <c r="C6670" s="1" t="n">
        <v>45911</v>
      </c>
      <c r="D6670" t="inlineStr">
        <is>
          <t>GÄVLEBORGS LÄN</t>
        </is>
      </c>
      <c r="E6670" t="inlineStr">
        <is>
          <t>HUDIKSVALL</t>
        </is>
      </c>
      <c r="F6670" t="inlineStr">
        <is>
          <t>Holmen skog AB</t>
        </is>
      </c>
      <c r="G6670" t="n">
        <v>2.2</v>
      </c>
      <c r="H6670" t="n">
        <v>0</v>
      </c>
      <c r="I6670" t="n">
        <v>0</v>
      </c>
      <c r="J6670" t="n">
        <v>0</v>
      </c>
      <c r="K6670" t="n">
        <v>0</v>
      </c>
      <c r="L6670" t="n">
        <v>0</v>
      </c>
      <c r="M6670" t="n">
        <v>0</v>
      </c>
      <c r="N6670" t="n">
        <v>0</v>
      </c>
      <c r="O6670" t="n">
        <v>0</v>
      </c>
      <c r="P6670" t="n">
        <v>0</v>
      </c>
      <c r="Q6670" t="n">
        <v>0</v>
      </c>
      <c r="R6670" s="2" t="inlineStr"/>
    </row>
    <row r="6671" ht="15" customHeight="1">
      <c r="A6671" t="inlineStr">
        <is>
          <t>A 10575-2025</t>
        </is>
      </c>
      <c r="B6671" s="1" t="n">
        <v>45721.54357638889</v>
      </c>
      <c r="C6671" s="1" t="n">
        <v>45911</v>
      </c>
      <c r="D6671" t="inlineStr">
        <is>
          <t>GÄVLEBORGS LÄN</t>
        </is>
      </c>
      <c r="E6671" t="inlineStr">
        <is>
          <t>SANDVIKEN</t>
        </is>
      </c>
      <c r="F6671" t="inlineStr">
        <is>
          <t>Sveaskog</t>
        </is>
      </c>
      <c r="G6671" t="n">
        <v>3.7</v>
      </c>
      <c r="H6671" t="n">
        <v>0</v>
      </c>
      <c r="I6671" t="n">
        <v>0</v>
      </c>
      <c r="J6671" t="n">
        <v>0</v>
      </c>
      <c r="K6671" t="n">
        <v>0</v>
      </c>
      <c r="L6671" t="n">
        <v>0</v>
      </c>
      <c r="M6671" t="n">
        <v>0</v>
      </c>
      <c r="N6671" t="n">
        <v>0</v>
      </c>
      <c r="O6671" t="n">
        <v>0</v>
      </c>
      <c r="P6671" t="n">
        <v>0</v>
      </c>
      <c r="Q6671" t="n">
        <v>0</v>
      </c>
      <c r="R6671" s="2" t="inlineStr"/>
    </row>
    <row r="6672" ht="15" customHeight="1">
      <c r="A6672" t="inlineStr">
        <is>
          <t>A 10580-2025</t>
        </is>
      </c>
      <c r="B6672" s="1" t="n">
        <v>45721.54834490741</v>
      </c>
      <c r="C6672" s="1" t="n">
        <v>45911</v>
      </c>
      <c r="D6672" t="inlineStr">
        <is>
          <t>GÄVLEBORGS LÄN</t>
        </is>
      </c>
      <c r="E6672" t="inlineStr">
        <is>
          <t>SANDVIKEN</t>
        </is>
      </c>
      <c r="F6672" t="inlineStr">
        <is>
          <t>Sveaskog</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42851-2025</t>
        </is>
      </c>
      <c r="B6673" s="1" t="n">
        <v>45908.59920138889</v>
      </c>
      <c r="C6673" s="1" t="n">
        <v>45911</v>
      </c>
      <c r="D6673" t="inlineStr">
        <is>
          <t>GÄVLEBORGS LÄN</t>
        </is>
      </c>
      <c r="E6673" t="inlineStr">
        <is>
          <t>HUDIKSVALL</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37002-2024</t>
        </is>
      </c>
      <c r="B6674" s="1" t="n">
        <v>45539</v>
      </c>
      <c r="C6674" s="1" t="n">
        <v>45911</v>
      </c>
      <c r="D6674" t="inlineStr">
        <is>
          <t>GÄVLEBORGS LÄN</t>
        </is>
      </c>
      <c r="E6674" t="inlineStr">
        <is>
          <t>NORDANSTIG</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54171-2023</t>
        </is>
      </c>
      <c r="B6675" s="1" t="n">
        <v>45232.48421296296</v>
      </c>
      <c r="C6675" s="1" t="n">
        <v>45911</v>
      </c>
      <c r="D6675" t="inlineStr">
        <is>
          <t>GÄVLEBORGS LÄN</t>
        </is>
      </c>
      <c r="E6675" t="inlineStr">
        <is>
          <t>HUDIKSVALL</t>
        </is>
      </c>
      <c r="G6675" t="n">
        <v>4.6</v>
      </c>
      <c r="H6675" t="n">
        <v>0</v>
      </c>
      <c r="I6675" t="n">
        <v>0</v>
      </c>
      <c r="J6675" t="n">
        <v>0</v>
      </c>
      <c r="K6675" t="n">
        <v>0</v>
      </c>
      <c r="L6675" t="n">
        <v>0</v>
      </c>
      <c r="M6675" t="n">
        <v>0</v>
      </c>
      <c r="N6675" t="n">
        <v>0</v>
      </c>
      <c r="O6675" t="n">
        <v>0</v>
      </c>
      <c r="P6675" t="n">
        <v>0</v>
      </c>
      <c r="Q6675" t="n">
        <v>0</v>
      </c>
      <c r="R6675" s="2" t="inlineStr"/>
    </row>
    <row r="6676" ht="15" customHeight="1">
      <c r="A6676" t="inlineStr">
        <is>
          <t>A 45947-2022</t>
        </is>
      </c>
      <c r="B6676" s="1" t="n">
        <v>44846.65460648148</v>
      </c>
      <c r="C6676" s="1" t="n">
        <v>45911</v>
      </c>
      <c r="D6676" t="inlineStr">
        <is>
          <t>GÄVLEBORGS LÄN</t>
        </is>
      </c>
      <c r="E6676" t="inlineStr">
        <is>
          <t>OVANÅKER</t>
        </is>
      </c>
      <c r="G6676" t="n">
        <v>4.4</v>
      </c>
      <c r="H6676" t="n">
        <v>0</v>
      </c>
      <c r="I6676" t="n">
        <v>0</v>
      </c>
      <c r="J6676" t="n">
        <v>0</v>
      </c>
      <c r="K6676" t="n">
        <v>0</v>
      </c>
      <c r="L6676" t="n">
        <v>0</v>
      </c>
      <c r="M6676" t="n">
        <v>0</v>
      </c>
      <c r="N6676" t="n">
        <v>0</v>
      </c>
      <c r="O6676" t="n">
        <v>0</v>
      </c>
      <c r="P6676" t="n">
        <v>0</v>
      </c>
      <c r="Q6676" t="n">
        <v>0</v>
      </c>
      <c r="R6676" s="2" t="inlineStr"/>
    </row>
    <row r="6677" ht="15" customHeight="1">
      <c r="A6677" t="inlineStr">
        <is>
          <t>A 36829-2024</t>
        </is>
      </c>
      <c r="B6677" s="1" t="n">
        <v>45538.50928240741</v>
      </c>
      <c r="C6677" s="1" t="n">
        <v>45911</v>
      </c>
      <c r="D6677" t="inlineStr">
        <is>
          <t>GÄVLEBORGS LÄN</t>
        </is>
      </c>
      <c r="E6677" t="inlineStr">
        <is>
          <t>HUDIKSVALL</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24158-2021</t>
        </is>
      </c>
      <c r="B6678" s="1" t="n">
        <v>44336</v>
      </c>
      <c r="C6678" s="1" t="n">
        <v>45911</v>
      </c>
      <c r="D6678" t="inlineStr">
        <is>
          <t>GÄVLEBORGS LÄN</t>
        </is>
      </c>
      <c r="E6678" t="inlineStr">
        <is>
          <t>LJUSDAL</t>
        </is>
      </c>
      <c r="G6678" t="n">
        <v>9</v>
      </c>
      <c r="H6678" t="n">
        <v>0</v>
      </c>
      <c r="I6678" t="n">
        <v>0</v>
      </c>
      <c r="J6678" t="n">
        <v>0</v>
      </c>
      <c r="K6678" t="n">
        <v>0</v>
      </c>
      <c r="L6678" t="n">
        <v>0</v>
      </c>
      <c r="M6678" t="n">
        <v>0</v>
      </c>
      <c r="N6678" t="n">
        <v>0</v>
      </c>
      <c r="O6678" t="n">
        <v>0</v>
      </c>
      <c r="P6678" t="n">
        <v>0</v>
      </c>
      <c r="Q6678" t="n">
        <v>0</v>
      </c>
      <c r="R6678" s="2" t="inlineStr"/>
      <c r="U6678">
        <f>HYPERLINK("https://klasma.github.io/Logging_2161/knärot/A 24158-2021 karta knärot.png", "A 24158-2021")</f>
        <v/>
      </c>
      <c r="V6678">
        <f>HYPERLINK("https://klasma.github.io/Logging_2161/klagomål/A 24158-2021 FSC-klagomål.docx", "A 24158-2021")</f>
        <v/>
      </c>
      <c r="W6678">
        <f>HYPERLINK("https://klasma.github.io/Logging_2161/klagomålsmail/A 24158-2021 FSC-klagomål mail.docx", "A 24158-2021")</f>
        <v/>
      </c>
      <c r="X6678">
        <f>HYPERLINK("https://klasma.github.io/Logging_2161/tillsyn/A 24158-2021 tillsynsbegäran.docx", "A 24158-2021")</f>
        <v/>
      </c>
      <c r="Y6678">
        <f>HYPERLINK("https://klasma.github.io/Logging_2161/tillsynsmail/A 24158-2021 tillsynsbegäran mail.docx", "A 24158-2021")</f>
        <v/>
      </c>
    </row>
    <row r="6679" ht="15" customHeight="1">
      <c r="A6679" t="inlineStr">
        <is>
          <t>A 36047-2025</t>
        </is>
      </c>
      <c r="B6679" s="1" t="n">
        <v>45866.36804398148</v>
      </c>
      <c r="C6679" s="1" t="n">
        <v>45911</v>
      </c>
      <c r="D6679" t="inlineStr">
        <is>
          <t>GÄVLEBORGS LÄN</t>
        </is>
      </c>
      <c r="E6679" t="inlineStr">
        <is>
          <t>LJUSDAL</t>
        </is>
      </c>
      <c r="G6679" t="n">
        <v>2.2</v>
      </c>
      <c r="H6679" t="n">
        <v>0</v>
      </c>
      <c r="I6679" t="n">
        <v>0</v>
      </c>
      <c r="J6679" t="n">
        <v>0</v>
      </c>
      <c r="K6679" t="n">
        <v>0</v>
      </c>
      <c r="L6679" t="n">
        <v>0</v>
      </c>
      <c r="M6679" t="n">
        <v>0</v>
      </c>
      <c r="N6679" t="n">
        <v>0</v>
      </c>
      <c r="O6679" t="n">
        <v>0</v>
      </c>
      <c r="P6679" t="n">
        <v>0</v>
      </c>
      <c r="Q6679" t="n">
        <v>0</v>
      </c>
      <c r="R6679" s="2" t="inlineStr"/>
    </row>
    <row r="6680" ht="15" customHeight="1">
      <c r="A6680" t="inlineStr">
        <is>
          <t>A 18591-2025</t>
        </is>
      </c>
      <c r="B6680" s="1" t="n">
        <v>45763.48015046296</v>
      </c>
      <c r="C6680" s="1" t="n">
        <v>45911</v>
      </c>
      <c r="D6680" t="inlineStr">
        <is>
          <t>GÄVLEBORGS LÄN</t>
        </is>
      </c>
      <c r="E6680" t="inlineStr">
        <is>
          <t>OVANÅKER</t>
        </is>
      </c>
      <c r="G6680" t="n">
        <v>4.7</v>
      </c>
      <c r="H6680" t="n">
        <v>0</v>
      </c>
      <c r="I6680" t="n">
        <v>0</v>
      </c>
      <c r="J6680" t="n">
        <v>0</v>
      </c>
      <c r="K6680" t="n">
        <v>0</v>
      </c>
      <c r="L6680" t="n">
        <v>0</v>
      </c>
      <c r="M6680" t="n">
        <v>0</v>
      </c>
      <c r="N6680" t="n">
        <v>0</v>
      </c>
      <c r="O6680" t="n">
        <v>0</v>
      </c>
      <c r="P6680" t="n">
        <v>0</v>
      </c>
      <c r="Q6680" t="n">
        <v>0</v>
      </c>
      <c r="R6680" s="2" t="inlineStr"/>
    </row>
    <row r="6681" ht="15" customHeight="1">
      <c r="A6681" t="inlineStr">
        <is>
          <t>A 14594-2021</t>
        </is>
      </c>
      <c r="B6681" s="1" t="n">
        <v>44279</v>
      </c>
      <c r="C6681" s="1" t="n">
        <v>45911</v>
      </c>
      <c r="D6681" t="inlineStr">
        <is>
          <t>GÄVLEBORGS LÄN</t>
        </is>
      </c>
      <c r="E6681" t="inlineStr">
        <is>
          <t>GÄVLE</t>
        </is>
      </c>
      <c r="G6681" t="n">
        <v>2.7</v>
      </c>
      <c r="H6681" t="n">
        <v>0</v>
      </c>
      <c r="I6681" t="n">
        <v>0</v>
      </c>
      <c r="J6681" t="n">
        <v>0</v>
      </c>
      <c r="K6681" t="n">
        <v>0</v>
      </c>
      <c r="L6681" t="n">
        <v>0</v>
      </c>
      <c r="M6681" t="n">
        <v>0</v>
      </c>
      <c r="N6681" t="n">
        <v>0</v>
      </c>
      <c r="O6681" t="n">
        <v>0</v>
      </c>
      <c r="P6681" t="n">
        <v>0</v>
      </c>
      <c r="Q6681" t="n">
        <v>0</v>
      </c>
      <c r="R6681" s="2" t="inlineStr"/>
    </row>
    <row r="6682" ht="15" customHeight="1">
      <c r="A6682" t="inlineStr">
        <is>
          <t>A 25058-2022</t>
        </is>
      </c>
      <c r="B6682" s="1" t="n">
        <v>44729.31721064815</v>
      </c>
      <c r="C6682" s="1" t="n">
        <v>45911</v>
      </c>
      <c r="D6682" t="inlineStr">
        <is>
          <t>GÄVLEBORGS LÄN</t>
        </is>
      </c>
      <c r="E6682" t="inlineStr">
        <is>
          <t>OVANÅKER</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36079-2025</t>
        </is>
      </c>
      <c r="B6683" s="1" t="n">
        <v>45866.4482175926</v>
      </c>
      <c r="C6683" s="1" t="n">
        <v>45911</v>
      </c>
      <c r="D6683" t="inlineStr">
        <is>
          <t>GÄVLEBORGS LÄN</t>
        </is>
      </c>
      <c r="E6683" t="inlineStr">
        <is>
          <t>LJUSDAL</t>
        </is>
      </c>
      <c r="G6683" t="n">
        <v>4.3</v>
      </c>
      <c r="H6683" t="n">
        <v>0</v>
      </c>
      <c r="I6683" t="n">
        <v>0</v>
      </c>
      <c r="J6683" t="n">
        <v>0</v>
      </c>
      <c r="K6683" t="n">
        <v>0</v>
      </c>
      <c r="L6683" t="n">
        <v>0</v>
      </c>
      <c r="M6683" t="n">
        <v>0</v>
      </c>
      <c r="N6683" t="n">
        <v>0</v>
      </c>
      <c r="O6683" t="n">
        <v>0</v>
      </c>
      <c r="P6683" t="n">
        <v>0</v>
      </c>
      <c r="Q6683" t="n">
        <v>0</v>
      </c>
      <c r="R6683" s="2" t="inlineStr"/>
    </row>
    <row r="6684" ht="15" customHeight="1">
      <c r="A6684" t="inlineStr">
        <is>
          <t>A 29904-2024</t>
        </is>
      </c>
      <c r="B6684" s="1" t="n">
        <v>45487.71040509259</v>
      </c>
      <c r="C6684" s="1" t="n">
        <v>45911</v>
      </c>
      <c r="D6684" t="inlineStr">
        <is>
          <t>GÄVLEBORGS LÄN</t>
        </is>
      </c>
      <c r="E6684" t="inlineStr">
        <is>
          <t>HUDIKSVALL</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42913-2025</t>
        </is>
      </c>
      <c r="B6685" s="1" t="n">
        <v>45908.71673611111</v>
      </c>
      <c r="C6685" s="1" t="n">
        <v>45911</v>
      </c>
      <c r="D6685" t="inlineStr">
        <is>
          <t>GÄVLEBORGS LÄN</t>
        </is>
      </c>
      <c r="E6685" t="inlineStr">
        <is>
          <t>LJUSDAL</t>
        </is>
      </c>
      <c r="G6685" t="n">
        <v>3.5</v>
      </c>
      <c r="H6685" t="n">
        <v>0</v>
      </c>
      <c r="I6685" t="n">
        <v>0</v>
      </c>
      <c r="J6685" t="n">
        <v>0</v>
      </c>
      <c r="K6685" t="n">
        <v>0</v>
      </c>
      <c r="L6685" t="n">
        <v>0</v>
      </c>
      <c r="M6685" t="n">
        <v>0</v>
      </c>
      <c r="N6685" t="n">
        <v>0</v>
      </c>
      <c r="O6685" t="n">
        <v>0</v>
      </c>
      <c r="P6685" t="n">
        <v>0</v>
      </c>
      <c r="Q6685" t="n">
        <v>0</v>
      </c>
      <c r="R6685" s="2" t="inlineStr"/>
    </row>
    <row r="6686" ht="15" customHeight="1">
      <c r="A6686" t="inlineStr">
        <is>
          <t>A 23985-2022</t>
        </is>
      </c>
      <c r="B6686" s="1" t="n">
        <v>44722.9260300926</v>
      </c>
      <c r="C6686" s="1" t="n">
        <v>45911</v>
      </c>
      <c r="D6686" t="inlineStr">
        <is>
          <t>GÄVLEBORGS LÄN</t>
        </is>
      </c>
      <c r="E6686" t="inlineStr">
        <is>
          <t>LJUSDAL</t>
        </is>
      </c>
      <c r="G6686" t="n">
        <v>6.6</v>
      </c>
      <c r="H6686" t="n">
        <v>0</v>
      </c>
      <c r="I6686" t="n">
        <v>0</v>
      </c>
      <c r="J6686" t="n">
        <v>0</v>
      </c>
      <c r="K6686" t="n">
        <v>0</v>
      </c>
      <c r="L6686" t="n">
        <v>0</v>
      </c>
      <c r="M6686" t="n">
        <v>0</v>
      </c>
      <c r="N6686" t="n">
        <v>0</v>
      </c>
      <c r="O6686" t="n">
        <v>0</v>
      </c>
      <c r="P6686" t="n">
        <v>0</v>
      </c>
      <c r="Q6686" t="n">
        <v>0</v>
      </c>
      <c r="R6686" s="2" t="inlineStr"/>
    </row>
    <row r="6687" ht="15" customHeight="1">
      <c r="A6687" t="inlineStr">
        <is>
          <t>A 33734-2024</t>
        </is>
      </c>
      <c r="B6687" s="1" t="n">
        <v>45520</v>
      </c>
      <c r="C6687" s="1" t="n">
        <v>45911</v>
      </c>
      <c r="D6687" t="inlineStr">
        <is>
          <t>GÄVLEBORGS LÄN</t>
        </is>
      </c>
      <c r="E6687" t="inlineStr">
        <is>
          <t>HOFORS</t>
        </is>
      </c>
      <c r="F6687" t="inlineStr">
        <is>
          <t>Sveaskog</t>
        </is>
      </c>
      <c r="G6687" t="n">
        <v>3.5</v>
      </c>
      <c r="H6687" t="n">
        <v>0</v>
      </c>
      <c r="I6687" t="n">
        <v>0</v>
      </c>
      <c r="J6687" t="n">
        <v>0</v>
      </c>
      <c r="K6687" t="n">
        <v>0</v>
      </c>
      <c r="L6687" t="n">
        <v>0</v>
      </c>
      <c r="M6687" t="n">
        <v>0</v>
      </c>
      <c r="N6687" t="n">
        <v>0</v>
      </c>
      <c r="O6687" t="n">
        <v>0</v>
      </c>
      <c r="P6687" t="n">
        <v>0</v>
      </c>
      <c r="Q6687" t="n">
        <v>0</v>
      </c>
      <c r="R6687" s="2" t="inlineStr"/>
    </row>
    <row r="6688" ht="15" customHeight="1">
      <c r="A6688" t="inlineStr">
        <is>
          <t>A 22466-2023</t>
        </is>
      </c>
      <c r="B6688" s="1" t="n">
        <v>45070</v>
      </c>
      <c r="C6688" s="1" t="n">
        <v>45911</v>
      </c>
      <c r="D6688" t="inlineStr">
        <is>
          <t>GÄVLEBORGS LÄN</t>
        </is>
      </c>
      <c r="E6688" t="inlineStr">
        <is>
          <t>GÄVLE</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42495-2025</t>
        </is>
      </c>
      <c r="B6689" s="1" t="n">
        <v>45905.50623842593</v>
      </c>
      <c r="C6689" s="1" t="n">
        <v>45911</v>
      </c>
      <c r="D6689" t="inlineStr">
        <is>
          <t>GÄVLEBORGS LÄN</t>
        </is>
      </c>
      <c r="E6689" t="inlineStr">
        <is>
          <t>SANDVIKEN</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36091-2025</t>
        </is>
      </c>
      <c r="B6690" s="1" t="n">
        <v>45866.47849537037</v>
      </c>
      <c r="C6690" s="1" t="n">
        <v>45911</v>
      </c>
      <c r="D6690" t="inlineStr">
        <is>
          <t>GÄVLEBORGS LÄN</t>
        </is>
      </c>
      <c r="E6690" t="inlineStr">
        <is>
          <t>SANDVIKEN</t>
        </is>
      </c>
      <c r="F6690" t="inlineStr">
        <is>
          <t>Sveaskog</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59742-2022</t>
        </is>
      </c>
      <c r="B6691" s="1" t="n">
        <v>44908</v>
      </c>
      <c r="C6691" s="1" t="n">
        <v>45911</v>
      </c>
      <c r="D6691" t="inlineStr">
        <is>
          <t>GÄVLEBORGS LÄN</t>
        </is>
      </c>
      <c r="E6691" t="inlineStr">
        <is>
          <t>HUDIKSVALL</t>
        </is>
      </c>
      <c r="F6691" t="inlineStr">
        <is>
          <t>Holmen skog AB</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20044-2024</t>
        </is>
      </c>
      <c r="B6692" s="1" t="n">
        <v>45434.36261574074</v>
      </c>
      <c r="C6692" s="1" t="n">
        <v>45911</v>
      </c>
      <c r="D6692" t="inlineStr">
        <is>
          <t>GÄVLEBORGS LÄN</t>
        </is>
      </c>
      <c r="E6692" t="inlineStr">
        <is>
          <t>NORDANSTIG</t>
        </is>
      </c>
      <c r="F6692" t="inlineStr">
        <is>
          <t>Holmen skog AB</t>
        </is>
      </c>
      <c r="G6692" t="n">
        <v>9.1</v>
      </c>
      <c r="H6692" t="n">
        <v>0</v>
      </c>
      <c r="I6692" t="n">
        <v>0</v>
      </c>
      <c r="J6692" t="n">
        <v>0</v>
      </c>
      <c r="K6692" t="n">
        <v>0</v>
      </c>
      <c r="L6692" t="n">
        <v>0</v>
      </c>
      <c r="M6692" t="n">
        <v>0</v>
      </c>
      <c r="N6692" t="n">
        <v>0</v>
      </c>
      <c r="O6692" t="n">
        <v>0</v>
      </c>
      <c r="P6692" t="n">
        <v>0</v>
      </c>
      <c r="Q6692" t="n">
        <v>0</v>
      </c>
      <c r="R6692" s="2" t="inlineStr"/>
    </row>
    <row r="6693" ht="15" customHeight="1">
      <c r="A6693" t="inlineStr">
        <is>
          <t>A 36140-2025</t>
        </is>
      </c>
      <c r="B6693" s="1" t="n">
        <v>45866.65291666667</v>
      </c>
      <c r="C6693" s="1" t="n">
        <v>45911</v>
      </c>
      <c r="D6693" t="inlineStr">
        <is>
          <t>GÄVLEBORGS LÄN</t>
        </is>
      </c>
      <c r="E6693" t="inlineStr">
        <is>
          <t>OVANÅKER</t>
        </is>
      </c>
      <c r="G6693" t="n">
        <v>4</v>
      </c>
      <c r="H6693" t="n">
        <v>0</v>
      </c>
      <c r="I6693" t="n">
        <v>0</v>
      </c>
      <c r="J6693" t="n">
        <v>0</v>
      </c>
      <c r="K6693" t="n">
        <v>0</v>
      </c>
      <c r="L6693" t="n">
        <v>0</v>
      </c>
      <c r="M6693" t="n">
        <v>0</v>
      </c>
      <c r="N6693" t="n">
        <v>0</v>
      </c>
      <c r="O6693" t="n">
        <v>0</v>
      </c>
      <c r="P6693" t="n">
        <v>0</v>
      </c>
      <c r="Q6693" t="n">
        <v>0</v>
      </c>
      <c r="R6693" s="2" t="inlineStr"/>
    </row>
    <row r="6694" ht="15" customHeight="1">
      <c r="A6694" t="inlineStr">
        <is>
          <t>A 42187-2025</t>
        </is>
      </c>
      <c r="B6694" s="1" t="n">
        <v>45904</v>
      </c>
      <c r="C6694" s="1" t="n">
        <v>45911</v>
      </c>
      <c r="D6694" t="inlineStr">
        <is>
          <t>GÄVLEBORGS LÄN</t>
        </is>
      </c>
      <c r="E6694" t="inlineStr">
        <is>
          <t>BOLLNÄS</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8441-2023</t>
        </is>
      </c>
      <c r="B6695" s="1" t="n">
        <v>44977</v>
      </c>
      <c r="C6695" s="1" t="n">
        <v>45911</v>
      </c>
      <c r="D6695" t="inlineStr">
        <is>
          <t>GÄVLEBORGS LÄN</t>
        </is>
      </c>
      <c r="E6695" t="inlineStr">
        <is>
          <t>HUDIKSVALL</t>
        </is>
      </c>
      <c r="F6695" t="inlineStr">
        <is>
          <t>Holmen skog AB</t>
        </is>
      </c>
      <c r="G6695" t="n">
        <v>10</v>
      </c>
      <c r="H6695" t="n">
        <v>0</v>
      </c>
      <c r="I6695" t="n">
        <v>0</v>
      </c>
      <c r="J6695" t="n">
        <v>0</v>
      </c>
      <c r="K6695" t="n">
        <v>0</v>
      </c>
      <c r="L6695" t="n">
        <v>0</v>
      </c>
      <c r="M6695" t="n">
        <v>0</v>
      </c>
      <c r="N6695" t="n">
        <v>0</v>
      </c>
      <c r="O6695" t="n">
        <v>0</v>
      </c>
      <c r="P6695" t="n">
        <v>0</v>
      </c>
      <c r="Q6695" t="n">
        <v>0</v>
      </c>
      <c r="R6695" s="2" t="inlineStr"/>
    </row>
    <row r="6696" ht="15" customHeight="1">
      <c r="A6696" t="inlineStr">
        <is>
          <t>A 57110-2022</t>
        </is>
      </c>
      <c r="B6696" s="1" t="n">
        <v>44895.51792824074</v>
      </c>
      <c r="C6696" s="1" t="n">
        <v>45911</v>
      </c>
      <c r="D6696" t="inlineStr">
        <is>
          <t>GÄVLEBORGS LÄN</t>
        </is>
      </c>
      <c r="E6696" t="inlineStr">
        <is>
          <t>LJUSDAL</t>
        </is>
      </c>
      <c r="G6696" t="n">
        <v>0.4</v>
      </c>
      <c r="H6696" t="n">
        <v>0</v>
      </c>
      <c r="I6696" t="n">
        <v>0</v>
      </c>
      <c r="J6696" t="n">
        <v>0</v>
      </c>
      <c r="K6696" t="n">
        <v>0</v>
      </c>
      <c r="L6696" t="n">
        <v>0</v>
      </c>
      <c r="M6696" t="n">
        <v>0</v>
      </c>
      <c r="N6696" t="n">
        <v>0</v>
      </c>
      <c r="O6696" t="n">
        <v>0</v>
      </c>
      <c r="P6696" t="n">
        <v>0</v>
      </c>
      <c r="Q6696" t="n">
        <v>0</v>
      </c>
      <c r="R6696" s="2" t="inlineStr"/>
    </row>
    <row r="6697" ht="15" customHeight="1">
      <c r="A6697" t="inlineStr">
        <is>
          <t>A 17605-2025</t>
        </is>
      </c>
      <c r="B6697" s="1" t="n">
        <v>45757.73100694444</v>
      </c>
      <c r="C6697" s="1" t="n">
        <v>45911</v>
      </c>
      <c r="D6697" t="inlineStr">
        <is>
          <t>GÄVLEBORGS LÄN</t>
        </is>
      </c>
      <c r="E6697" t="inlineStr">
        <is>
          <t>GÄVLE</t>
        </is>
      </c>
      <c r="G6697" t="n">
        <v>2</v>
      </c>
      <c r="H6697" t="n">
        <v>0</v>
      </c>
      <c r="I6697" t="n">
        <v>0</v>
      </c>
      <c r="J6697" t="n">
        <v>0</v>
      </c>
      <c r="K6697" t="n">
        <v>0</v>
      </c>
      <c r="L6697" t="n">
        <v>0</v>
      </c>
      <c r="M6697" t="n">
        <v>0</v>
      </c>
      <c r="N6697" t="n">
        <v>0</v>
      </c>
      <c r="O6697" t="n">
        <v>0</v>
      </c>
      <c r="P6697" t="n">
        <v>0</v>
      </c>
      <c r="Q6697" t="n">
        <v>0</v>
      </c>
      <c r="R6697" s="2" t="inlineStr"/>
    </row>
    <row r="6698" ht="15" customHeight="1">
      <c r="A6698" t="inlineStr">
        <is>
          <t>A 17607-2025</t>
        </is>
      </c>
      <c r="B6698" s="1" t="n">
        <v>45757.74027777778</v>
      </c>
      <c r="C6698" s="1" t="n">
        <v>45911</v>
      </c>
      <c r="D6698" t="inlineStr">
        <is>
          <t>GÄVLEBORGS LÄN</t>
        </is>
      </c>
      <c r="E6698" t="inlineStr">
        <is>
          <t>GÄVLE</t>
        </is>
      </c>
      <c r="G6698" t="n">
        <v>7.6</v>
      </c>
      <c r="H6698" t="n">
        <v>0</v>
      </c>
      <c r="I6698" t="n">
        <v>0</v>
      </c>
      <c r="J6698" t="n">
        <v>0</v>
      </c>
      <c r="K6698" t="n">
        <v>0</v>
      </c>
      <c r="L6698" t="n">
        <v>0</v>
      </c>
      <c r="M6698" t="n">
        <v>0</v>
      </c>
      <c r="N6698" t="n">
        <v>0</v>
      </c>
      <c r="O6698" t="n">
        <v>0</v>
      </c>
      <c r="P6698" t="n">
        <v>0</v>
      </c>
      <c r="Q6698" t="n">
        <v>0</v>
      </c>
      <c r="R6698" s="2" t="inlineStr"/>
    </row>
    <row r="6699" ht="15" customHeight="1">
      <c r="A6699" t="inlineStr">
        <is>
          <t>A 36090-2025</t>
        </is>
      </c>
      <c r="B6699" s="1" t="n">
        <v>45866.47789351852</v>
      </c>
      <c r="C6699" s="1" t="n">
        <v>45911</v>
      </c>
      <c r="D6699" t="inlineStr">
        <is>
          <t>GÄVLEBORGS LÄN</t>
        </is>
      </c>
      <c r="E6699" t="inlineStr">
        <is>
          <t>OVANÅKER</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17617-2025</t>
        </is>
      </c>
      <c r="B6700" s="1" t="n">
        <v>45757.82751157408</v>
      </c>
      <c r="C6700" s="1" t="n">
        <v>45911</v>
      </c>
      <c r="D6700" t="inlineStr">
        <is>
          <t>GÄVLEBORGS LÄN</t>
        </is>
      </c>
      <c r="E6700" t="inlineStr">
        <is>
          <t>OVANÅKER</t>
        </is>
      </c>
      <c r="F6700" t="inlineStr">
        <is>
          <t>Holmen skog AB</t>
        </is>
      </c>
      <c r="G6700" t="n">
        <v>6.9</v>
      </c>
      <c r="H6700" t="n">
        <v>0</v>
      </c>
      <c r="I6700" t="n">
        <v>0</v>
      </c>
      <c r="J6700" t="n">
        <v>0</v>
      </c>
      <c r="K6700" t="n">
        <v>0</v>
      </c>
      <c r="L6700" t="n">
        <v>0</v>
      </c>
      <c r="M6700" t="n">
        <v>0</v>
      </c>
      <c r="N6700" t="n">
        <v>0</v>
      </c>
      <c r="O6700" t="n">
        <v>0</v>
      </c>
      <c r="P6700" t="n">
        <v>0</v>
      </c>
      <c r="Q6700" t="n">
        <v>0</v>
      </c>
      <c r="R6700" s="2" t="inlineStr"/>
    </row>
    <row r="6701" ht="15" customHeight="1">
      <c r="A6701" t="inlineStr">
        <is>
          <t>A 18933-2023</t>
        </is>
      </c>
      <c r="B6701" s="1" t="n">
        <v>45044.61585648148</v>
      </c>
      <c r="C6701" s="1" t="n">
        <v>45911</v>
      </c>
      <c r="D6701" t="inlineStr">
        <is>
          <t>GÄVLEBORGS LÄN</t>
        </is>
      </c>
      <c r="E6701" t="inlineStr">
        <is>
          <t>NORDANSTIG</t>
        </is>
      </c>
      <c r="G6701" t="n">
        <v>26.6</v>
      </c>
      <c r="H6701" t="n">
        <v>0</v>
      </c>
      <c r="I6701" t="n">
        <v>0</v>
      </c>
      <c r="J6701" t="n">
        <v>0</v>
      </c>
      <c r="K6701" t="n">
        <v>0</v>
      </c>
      <c r="L6701" t="n">
        <v>0</v>
      </c>
      <c r="M6701" t="n">
        <v>0</v>
      </c>
      <c r="N6701" t="n">
        <v>0</v>
      </c>
      <c r="O6701" t="n">
        <v>0</v>
      </c>
      <c r="P6701" t="n">
        <v>0</v>
      </c>
      <c r="Q6701" t="n">
        <v>0</v>
      </c>
      <c r="R6701" s="2" t="inlineStr"/>
    </row>
    <row r="6702" ht="15" customHeight="1">
      <c r="A6702" t="inlineStr">
        <is>
          <t>A 25810-2023</t>
        </is>
      </c>
      <c r="B6702" s="1" t="n">
        <v>45090.52650462963</v>
      </c>
      <c r="C6702" s="1" t="n">
        <v>45911</v>
      </c>
      <c r="D6702" t="inlineStr">
        <is>
          <t>GÄVLEBORGS LÄN</t>
        </is>
      </c>
      <c r="E6702" t="inlineStr">
        <is>
          <t>GÄVLE</t>
        </is>
      </c>
      <c r="G6702" t="n">
        <v>3.7</v>
      </c>
      <c r="H6702" t="n">
        <v>0</v>
      </c>
      <c r="I6702" t="n">
        <v>0</v>
      </c>
      <c r="J6702" t="n">
        <v>0</v>
      </c>
      <c r="K6702" t="n">
        <v>0</v>
      </c>
      <c r="L6702" t="n">
        <v>0</v>
      </c>
      <c r="M6702" t="n">
        <v>0</v>
      </c>
      <c r="N6702" t="n">
        <v>0</v>
      </c>
      <c r="O6702" t="n">
        <v>0</v>
      </c>
      <c r="P6702" t="n">
        <v>0</v>
      </c>
      <c r="Q6702" t="n">
        <v>0</v>
      </c>
      <c r="R6702" s="2" t="inlineStr"/>
    </row>
    <row r="6703" ht="15" customHeight="1">
      <c r="A6703" t="inlineStr">
        <is>
          <t>A 25812-2023</t>
        </is>
      </c>
      <c r="B6703" s="1" t="n">
        <v>45090.52939814814</v>
      </c>
      <c r="C6703" s="1" t="n">
        <v>45911</v>
      </c>
      <c r="D6703" t="inlineStr">
        <is>
          <t>GÄVLEBORGS LÄN</t>
        </is>
      </c>
      <c r="E6703" t="inlineStr">
        <is>
          <t>GÄVLE</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42737-2025</t>
        </is>
      </c>
      <c r="B6704" s="1" t="n">
        <v>45908.42128472222</v>
      </c>
      <c r="C6704" s="1" t="n">
        <v>45911</v>
      </c>
      <c r="D6704" t="inlineStr">
        <is>
          <t>GÄVLEBORGS LÄN</t>
        </is>
      </c>
      <c r="E6704" t="inlineStr">
        <is>
          <t>NORDANSTIG</t>
        </is>
      </c>
      <c r="F6704" t="inlineStr">
        <is>
          <t>Holmen skog AB</t>
        </is>
      </c>
      <c r="G6704" t="n">
        <v>6.7</v>
      </c>
      <c r="H6704" t="n">
        <v>0</v>
      </c>
      <c r="I6704" t="n">
        <v>0</v>
      </c>
      <c r="J6704" t="n">
        <v>0</v>
      </c>
      <c r="K6704" t="n">
        <v>0</v>
      </c>
      <c r="L6704" t="n">
        <v>0</v>
      </c>
      <c r="M6704" t="n">
        <v>0</v>
      </c>
      <c r="N6704" t="n">
        <v>0</v>
      </c>
      <c r="O6704" t="n">
        <v>0</v>
      </c>
      <c r="P6704" t="n">
        <v>0</v>
      </c>
      <c r="Q6704" t="n">
        <v>0</v>
      </c>
      <c r="R6704" s="2" t="inlineStr"/>
    </row>
    <row r="6705" ht="15" customHeight="1">
      <c r="A6705" t="inlineStr">
        <is>
          <t>A 8595-2023</t>
        </is>
      </c>
      <c r="B6705" s="1" t="n">
        <v>44977</v>
      </c>
      <c r="C6705" s="1" t="n">
        <v>45911</v>
      </c>
      <c r="D6705" t="inlineStr">
        <is>
          <t>GÄVLEBORGS LÄN</t>
        </is>
      </c>
      <c r="E6705" t="inlineStr">
        <is>
          <t>HUDIKSVALL</t>
        </is>
      </c>
      <c r="G6705" t="n">
        <v>0.4</v>
      </c>
      <c r="H6705" t="n">
        <v>0</v>
      </c>
      <c r="I6705" t="n">
        <v>0</v>
      </c>
      <c r="J6705" t="n">
        <v>0</v>
      </c>
      <c r="K6705" t="n">
        <v>0</v>
      </c>
      <c r="L6705" t="n">
        <v>0</v>
      </c>
      <c r="M6705" t="n">
        <v>0</v>
      </c>
      <c r="N6705" t="n">
        <v>0</v>
      </c>
      <c r="O6705" t="n">
        <v>0</v>
      </c>
      <c r="P6705" t="n">
        <v>0</v>
      </c>
      <c r="Q6705" t="n">
        <v>0</v>
      </c>
      <c r="R6705" s="2" t="inlineStr"/>
    </row>
    <row r="6706" ht="15" customHeight="1">
      <c r="A6706" t="inlineStr">
        <is>
          <t>A 42803-2025</t>
        </is>
      </c>
      <c r="B6706" s="1" t="n">
        <v>45908.53729166667</v>
      </c>
      <c r="C6706" s="1" t="n">
        <v>45911</v>
      </c>
      <c r="D6706" t="inlineStr">
        <is>
          <t>GÄVLEBORGS LÄN</t>
        </is>
      </c>
      <c r="E6706" t="inlineStr">
        <is>
          <t>GÄVLE</t>
        </is>
      </c>
      <c r="F6706" t="inlineStr">
        <is>
          <t>Bergvik skog öst AB</t>
        </is>
      </c>
      <c r="G6706" t="n">
        <v>11.9</v>
      </c>
      <c r="H6706" t="n">
        <v>0</v>
      </c>
      <c r="I6706" t="n">
        <v>0</v>
      </c>
      <c r="J6706" t="n">
        <v>0</v>
      </c>
      <c r="K6706" t="n">
        <v>0</v>
      </c>
      <c r="L6706" t="n">
        <v>0</v>
      </c>
      <c r="M6706" t="n">
        <v>0</v>
      </c>
      <c r="N6706" t="n">
        <v>0</v>
      </c>
      <c r="O6706" t="n">
        <v>0</v>
      </c>
      <c r="P6706" t="n">
        <v>0</v>
      </c>
      <c r="Q6706" t="n">
        <v>0</v>
      </c>
      <c r="R6706" s="2" t="inlineStr"/>
    </row>
    <row r="6707" ht="15" customHeight="1">
      <c r="A6707" t="inlineStr">
        <is>
          <t>A 49931-2023</t>
        </is>
      </c>
      <c r="B6707" s="1" t="n">
        <v>45215</v>
      </c>
      <c r="C6707" s="1" t="n">
        <v>45911</v>
      </c>
      <c r="D6707" t="inlineStr">
        <is>
          <t>GÄVLEBORGS LÄN</t>
        </is>
      </c>
      <c r="E6707" t="inlineStr">
        <is>
          <t>BOLLNÄS</t>
        </is>
      </c>
      <c r="G6707" t="n">
        <v>5.1</v>
      </c>
      <c r="H6707" t="n">
        <v>0</v>
      </c>
      <c r="I6707" t="n">
        <v>0</v>
      </c>
      <c r="J6707" t="n">
        <v>0</v>
      </c>
      <c r="K6707" t="n">
        <v>0</v>
      </c>
      <c r="L6707" t="n">
        <v>0</v>
      </c>
      <c r="M6707" t="n">
        <v>0</v>
      </c>
      <c r="N6707" t="n">
        <v>0</v>
      </c>
      <c r="O6707" t="n">
        <v>0</v>
      </c>
      <c r="P6707" t="n">
        <v>0</v>
      </c>
      <c r="Q6707" t="n">
        <v>0</v>
      </c>
      <c r="R6707" s="2" t="inlineStr"/>
    </row>
    <row r="6708" ht="15" customHeight="1">
      <c r="A6708" t="inlineStr">
        <is>
          <t>A 33850-2023</t>
        </is>
      </c>
      <c r="B6708" s="1" t="n">
        <v>45133.69795138889</v>
      </c>
      <c r="C6708" s="1" t="n">
        <v>45911</v>
      </c>
      <c r="D6708" t="inlineStr">
        <is>
          <t>GÄVLEBORGS LÄN</t>
        </is>
      </c>
      <c r="E6708" t="inlineStr">
        <is>
          <t>LJUSDAL</t>
        </is>
      </c>
      <c r="F6708" t="inlineStr">
        <is>
          <t>Holmen skog AB</t>
        </is>
      </c>
      <c r="G6708" t="n">
        <v>5.4</v>
      </c>
      <c r="H6708" t="n">
        <v>0</v>
      </c>
      <c r="I6708" t="n">
        <v>0</v>
      </c>
      <c r="J6708" t="n">
        <v>0</v>
      </c>
      <c r="K6708" t="n">
        <v>0</v>
      </c>
      <c r="L6708" t="n">
        <v>0</v>
      </c>
      <c r="M6708" t="n">
        <v>0</v>
      </c>
      <c r="N6708" t="n">
        <v>0</v>
      </c>
      <c r="O6708" t="n">
        <v>0</v>
      </c>
      <c r="P6708" t="n">
        <v>0</v>
      </c>
      <c r="Q6708" t="n">
        <v>0</v>
      </c>
      <c r="R6708" s="2" t="inlineStr"/>
    </row>
    <row r="6709" ht="15" customHeight="1">
      <c r="A6709" t="inlineStr">
        <is>
          <t>A 11838-2024</t>
        </is>
      </c>
      <c r="B6709" s="1" t="n">
        <v>45376.37584490741</v>
      </c>
      <c r="C6709" s="1" t="n">
        <v>45911</v>
      </c>
      <c r="D6709" t="inlineStr">
        <is>
          <t>GÄVLEBORGS LÄN</t>
        </is>
      </c>
      <c r="E6709" t="inlineStr">
        <is>
          <t>LJUSDAL</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35961-2025</t>
        </is>
      </c>
      <c r="B6710" s="1" t="n">
        <v>45863.35944444445</v>
      </c>
      <c r="C6710" s="1" t="n">
        <v>45911</v>
      </c>
      <c r="D6710" t="inlineStr">
        <is>
          <t>GÄVLEBORGS LÄN</t>
        </is>
      </c>
      <c r="E6710" t="inlineStr">
        <is>
          <t>SÖDERHAMN</t>
        </is>
      </c>
      <c r="F6710" t="inlineStr">
        <is>
          <t>Bergvik skog väst AB</t>
        </is>
      </c>
      <c r="G6710" t="n">
        <v>0.4</v>
      </c>
      <c r="H6710" t="n">
        <v>0</v>
      </c>
      <c r="I6710" t="n">
        <v>0</v>
      </c>
      <c r="J6710" t="n">
        <v>0</v>
      </c>
      <c r="K6710" t="n">
        <v>0</v>
      </c>
      <c r="L6710" t="n">
        <v>0</v>
      </c>
      <c r="M6710" t="n">
        <v>0</v>
      </c>
      <c r="N6710" t="n">
        <v>0</v>
      </c>
      <c r="O6710" t="n">
        <v>0</v>
      </c>
      <c r="P6710" t="n">
        <v>0</v>
      </c>
      <c r="Q6710" t="n">
        <v>0</v>
      </c>
      <c r="R6710" s="2" t="inlineStr"/>
    </row>
    <row r="6711" ht="15" customHeight="1">
      <c r="A6711" t="inlineStr">
        <is>
          <t>A 59522-2022</t>
        </is>
      </c>
      <c r="B6711" s="1" t="n">
        <v>44907.54619212963</v>
      </c>
      <c r="C6711" s="1" t="n">
        <v>45911</v>
      </c>
      <c r="D6711" t="inlineStr">
        <is>
          <t>GÄVLEBORGS LÄN</t>
        </is>
      </c>
      <c r="E6711" t="inlineStr">
        <is>
          <t>HUDIKSVALL</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8752-2023</t>
        </is>
      </c>
      <c r="B6712" s="1" t="n">
        <v>44978.47886574074</v>
      </c>
      <c r="C6712" s="1" t="n">
        <v>45911</v>
      </c>
      <c r="D6712" t="inlineStr">
        <is>
          <t>GÄVLEBORGS LÄN</t>
        </is>
      </c>
      <c r="E6712" t="inlineStr">
        <is>
          <t>HUDIKSVALL</t>
        </is>
      </c>
      <c r="G6712" t="n">
        <v>5</v>
      </c>
      <c r="H6712" t="n">
        <v>0</v>
      </c>
      <c r="I6712" t="n">
        <v>0</v>
      </c>
      <c r="J6712" t="n">
        <v>0</v>
      </c>
      <c r="K6712" t="n">
        <v>0</v>
      </c>
      <c r="L6712" t="n">
        <v>0</v>
      </c>
      <c r="M6712" t="n">
        <v>0</v>
      </c>
      <c r="N6712" t="n">
        <v>0</v>
      </c>
      <c r="O6712" t="n">
        <v>0</v>
      </c>
      <c r="P6712" t="n">
        <v>0</v>
      </c>
      <c r="Q6712" t="n">
        <v>0</v>
      </c>
      <c r="R6712" s="2" t="inlineStr"/>
    </row>
    <row r="6713" ht="15" customHeight="1">
      <c r="A6713" t="inlineStr">
        <is>
          <t>A 42606-2025</t>
        </is>
      </c>
      <c r="B6713" s="1" t="n">
        <v>45905.68067129629</v>
      </c>
      <c r="C6713" s="1" t="n">
        <v>45911</v>
      </c>
      <c r="D6713" t="inlineStr">
        <is>
          <t>GÄVLEBORGS LÄN</t>
        </is>
      </c>
      <c r="E6713" t="inlineStr">
        <is>
          <t>HUDIKSVALL</t>
        </is>
      </c>
      <c r="F6713" t="inlineStr">
        <is>
          <t>Holmen skog AB</t>
        </is>
      </c>
      <c r="G6713" t="n">
        <v>2.9</v>
      </c>
      <c r="H6713" t="n">
        <v>0</v>
      </c>
      <c r="I6713" t="n">
        <v>0</v>
      </c>
      <c r="J6713" t="n">
        <v>0</v>
      </c>
      <c r="K6713" t="n">
        <v>0</v>
      </c>
      <c r="L6713" t="n">
        <v>0</v>
      </c>
      <c r="M6713" t="n">
        <v>0</v>
      </c>
      <c r="N6713" t="n">
        <v>0</v>
      </c>
      <c r="O6713" t="n">
        <v>0</v>
      </c>
      <c r="P6713" t="n">
        <v>0</v>
      </c>
      <c r="Q6713" t="n">
        <v>0</v>
      </c>
      <c r="R6713" s="2" t="inlineStr"/>
    </row>
    <row r="6714" ht="15" customHeight="1">
      <c r="A6714" t="inlineStr">
        <is>
          <t>A 36118-2025</t>
        </is>
      </c>
      <c r="B6714" s="1" t="n">
        <v>45866.5916087963</v>
      </c>
      <c r="C6714" s="1" t="n">
        <v>45911</v>
      </c>
      <c r="D6714" t="inlineStr">
        <is>
          <t>GÄVLEBORGS LÄN</t>
        </is>
      </c>
      <c r="E6714" t="inlineStr">
        <is>
          <t>OVANÅKER</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59822-2024</t>
        </is>
      </c>
      <c r="B6715" s="1" t="n">
        <v>45639.63640046296</v>
      </c>
      <c r="C6715" s="1" t="n">
        <v>45911</v>
      </c>
      <c r="D6715" t="inlineStr">
        <is>
          <t>GÄVLEBORGS LÄN</t>
        </is>
      </c>
      <c r="E6715" t="inlineStr">
        <is>
          <t>HUDIKSVALL</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34447-2022</t>
        </is>
      </c>
      <c r="B6716" s="1" t="n">
        <v>44792</v>
      </c>
      <c r="C6716" s="1" t="n">
        <v>45911</v>
      </c>
      <c r="D6716" t="inlineStr">
        <is>
          <t>GÄVLEBORGS LÄN</t>
        </is>
      </c>
      <c r="E6716" t="inlineStr">
        <is>
          <t>LJUSDAL</t>
        </is>
      </c>
      <c r="G6716" t="n">
        <v>3.5</v>
      </c>
      <c r="H6716" t="n">
        <v>0</v>
      </c>
      <c r="I6716" t="n">
        <v>0</v>
      </c>
      <c r="J6716" t="n">
        <v>0</v>
      </c>
      <c r="K6716" t="n">
        <v>0</v>
      </c>
      <c r="L6716" t="n">
        <v>0</v>
      </c>
      <c r="M6716" t="n">
        <v>0</v>
      </c>
      <c r="N6716" t="n">
        <v>0</v>
      </c>
      <c r="O6716" t="n">
        <v>0</v>
      </c>
      <c r="P6716" t="n">
        <v>0</v>
      </c>
      <c r="Q6716" t="n">
        <v>0</v>
      </c>
      <c r="R6716" s="2" t="inlineStr"/>
    </row>
    <row r="6717" ht="15" customHeight="1">
      <c r="A6717" t="inlineStr">
        <is>
          <t>A 11599-2024</t>
        </is>
      </c>
      <c r="B6717" s="1" t="n">
        <v>45373.38446759259</v>
      </c>
      <c r="C6717" s="1" t="n">
        <v>45911</v>
      </c>
      <c r="D6717" t="inlineStr">
        <is>
          <t>GÄVLEBORGS LÄN</t>
        </is>
      </c>
      <c r="E6717" t="inlineStr">
        <is>
          <t>NORDANSTIG</t>
        </is>
      </c>
      <c r="F6717" t="inlineStr">
        <is>
          <t>Holmen skog AB</t>
        </is>
      </c>
      <c r="G6717" t="n">
        <v>3.4</v>
      </c>
      <c r="H6717" t="n">
        <v>0</v>
      </c>
      <c r="I6717" t="n">
        <v>0</v>
      </c>
      <c r="J6717" t="n">
        <v>0</v>
      </c>
      <c r="K6717" t="n">
        <v>0</v>
      </c>
      <c r="L6717" t="n">
        <v>0</v>
      </c>
      <c r="M6717" t="n">
        <v>0</v>
      </c>
      <c r="N6717" t="n">
        <v>0</v>
      </c>
      <c r="O6717" t="n">
        <v>0</v>
      </c>
      <c r="P6717" t="n">
        <v>0</v>
      </c>
      <c r="Q6717" t="n">
        <v>0</v>
      </c>
      <c r="R6717" s="2" t="inlineStr"/>
    </row>
    <row r="6718" ht="15" customHeight="1">
      <c r="A6718" t="inlineStr">
        <is>
          <t>A 16919-2025</t>
        </is>
      </c>
      <c r="B6718" s="1" t="n">
        <v>45755.37341435185</v>
      </c>
      <c r="C6718" s="1" t="n">
        <v>45911</v>
      </c>
      <c r="D6718" t="inlineStr">
        <is>
          <t>GÄVLEBORGS LÄN</t>
        </is>
      </c>
      <c r="E6718" t="inlineStr">
        <is>
          <t>BOLLNÄS</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42497-2025</t>
        </is>
      </c>
      <c r="B6719" s="1" t="n">
        <v>45905.50929398148</v>
      </c>
      <c r="C6719" s="1" t="n">
        <v>45911</v>
      </c>
      <c r="D6719" t="inlineStr">
        <is>
          <t>GÄVLEBORGS LÄN</t>
        </is>
      </c>
      <c r="E6719" t="inlineStr">
        <is>
          <t>SÖDERHAMN</t>
        </is>
      </c>
      <c r="G6719" t="n">
        <v>5.6</v>
      </c>
      <c r="H6719" t="n">
        <v>0</v>
      </c>
      <c r="I6719" t="n">
        <v>0</v>
      </c>
      <c r="J6719" t="n">
        <v>0</v>
      </c>
      <c r="K6719" t="n">
        <v>0</v>
      </c>
      <c r="L6719" t="n">
        <v>0</v>
      </c>
      <c r="M6719" t="n">
        <v>0</v>
      </c>
      <c r="N6719" t="n">
        <v>0</v>
      </c>
      <c r="O6719" t="n">
        <v>0</v>
      </c>
      <c r="P6719" t="n">
        <v>0</v>
      </c>
      <c r="Q6719" t="n">
        <v>0</v>
      </c>
      <c r="R6719" s="2" t="inlineStr"/>
    </row>
    <row r="6720" ht="15" customHeight="1">
      <c r="A6720" t="inlineStr">
        <is>
          <t>A 42501-2025</t>
        </is>
      </c>
      <c r="B6720" s="1" t="n">
        <v>45905.52456018519</v>
      </c>
      <c r="C6720" s="1" t="n">
        <v>45911</v>
      </c>
      <c r="D6720" t="inlineStr">
        <is>
          <t>GÄVLEBORGS LÄN</t>
        </is>
      </c>
      <c r="E6720" t="inlineStr">
        <is>
          <t>SÖDERHAMN</t>
        </is>
      </c>
      <c r="F6720" t="inlineStr">
        <is>
          <t>Bergvik skog väst AB</t>
        </is>
      </c>
      <c r="G6720" t="n">
        <v>4.5</v>
      </c>
      <c r="H6720" t="n">
        <v>0</v>
      </c>
      <c r="I6720" t="n">
        <v>0</v>
      </c>
      <c r="J6720" t="n">
        <v>0</v>
      </c>
      <c r="K6720" t="n">
        <v>0</v>
      </c>
      <c r="L6720" t="n">
        <v>0</v>
      </c>
      <c r="M6720" t="n">
        <v>0</v>
      </c>
      <c r="N6720" t="n">
        <v>0</v>
      </c>
      <c r="O6720" t="n">
        <v>0</v>
      </c>
      <c r="P6720" t="n">
        <v>0</v>
      </c>
      <c r="Q6720" t="n">
        <v>0</v>
      </c>
      <c r="R6720" s="2" t="inlineStr"/>
    </row>
    <row r="6721" ht="15" customHeight="1">
      <c r="A6721" t="inlineStr">
        <is>
          <t>A 11668-2024</t>
        </is>
      </c>
      <c r="B6721" s="1" t="n">
        <v>45373.56177083333</v>
      </c>
      <c r="C6721" s="1" t="n">
        <v>45911</v>
      </c>
      <c r="D6721" t="inlineStr">
        <is>
          <t>GÄVLEBORGS LÄN</t>
        </is>
      </c>
      <c r="E6721" t="inlineStr">
        <is>
          <t>HUDIKSVALL</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42822-2025</t>
        </is>
      </c>
      <c r="B6722" s="1" t="n">
        <v>45908.5725</v>
      </c>
      <c r="C6722" s="1" t="n">
        <v>45911</v>
      </c>
      <c r="D6722" t="inlineStr">
        <is>
          <t>GÄVLEBORGS LÄN</t>
        </is>
      </c>
      <c r="E6722" t="inlineStr">
        <is>
          <t>LJUSDAL</t>
        </is>
      </c>
      <c r="G6722" t="n">
        <v>3.7</v>
      </c>
      <c r="H6722" t="n">
        <v>0</v>
      </c>
      <c r="I6722" t="n">
        <v>0</v>
      </c>
      <c r="J6722" t="n">
        <v>0</v>
      </c>
      <c r="K6722" t="n">
        <v>0</v>
      </c>
      <c r="L6722" t="n">
        <v>0</v>
      </c>
      <c r="M6722" t="n">
        <v>0</v>
      </c>
      <c r="N6722" t="n">
        <v>0</v>
      </c>
      <c r="O6722" t="n">
        <v>0</v>
      </c>
      <c r="P6722" t="n">
        <v>0</v>
      </c>
      <c r="Q6722" t="n">
        <v>0</v>
      </c>
      <c r="R6722" s="2" t="inlineStr"/>
    </row>
    <row r="6723" ht="15" customHeight="1">
      <c r="A6723" t="inlineStr">
        <is>
          <t>A 19163-2024</t>
        </is>
      </c>
      <c r="B6723" s="1" t="n">
        <v>45428</v>
      </c>
      <c r="C6723" s="1" t="n">
        <v>45911</v>
      </c>
      <c r="D6723" t="inlineStr">
        <is>
          <t>GÄVLEBORGS LÄN</t>
        </is>
      </c>
      <c r="E6723" t="inlineStr">
        <is>
          <t>OVANÅKER</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9286-2022</t>
        </is>
      </c>
      <c r="B6724" s="1" t="n">
        <v>44616.45451388889</v>
      </c>
      <c r="C6724" s="1" t="n">
        <v>45911</v>
      </c>
      <c r="D6724" t="inlineStr">
        <is>
          <t>GÄVLEBORGS LÄN</t>
        </is>
      </c>
      <c r="E6724" t="inlineStr">
        <is>
          <t>OVANÅKER</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42727-2025</t>
        </is>
      </c>
      <c r="B6725" s="1" t="n">
        <v>45908.40347222222</v>
      </c>
      <c r="C6725" s="1" t="n">
        <v>45911</v>
      </c>
      <c r="D6725" t="inlineStr">
        <is>
          <t>GÄVLEBORGS LÄN</t>
        </is>
      </c>
      <c r="E6725" t="inlineStr">
        <is>
          <t>GÄVLE</t>
        </is>
      </c>
      <c r="G6725" t="n">
        <v>2.6</v>
      </c>
      <c r="H6725" t="n">
        <v>0</v>
      </c>
      <c r="I6725" t="n">
        <v>0</v>
      </c>
      <c r="J6725" t="n">
        <v>0</v>
      </c>
      <c r="K6725" t="n">
        <v>0</v>
      </c>
      <c r="L6725" t="n">
        <v>0</v>
      </c>
      <c r="M6725" t="n">
        <v>0</v>
      </c>
      <c r="N6725" t="n">
        <v>0</v>
      </c>
      <c r="O6725" t="n">
        <v>0</v>
      </c>
      <c r="P6725" t="n">
        <v>0</v>
      </c>
      <c r="Q6725" t="n">
        <v>0</v>
      </c>
      <c r="R6725" s="2" t="inlineStr"/>
    </row>
    <row r="6726" ht="15" customHeight="1">
      <c r="A6726" t="inlineStr">
        <is>
          <t>A 43665-2024</t>
        </is>
      </c>
      <c r="B6726" s="1" t="n">
        <v>45569.56012731481</v>
      </c>
      <c r="C6726" s="1" t="n">
        <v>45911</v>
      </c>
      <c r="D6726" t="inlineStr">
        <is>
          <t>GÄVLEBORGS LÄN</t>
        </is>
      </c>
      <c r="E6726" t="inlineStr">
        <is>
          <t>HUDIKSVALL</t>
        </is>
      </c>
      <c r="F6726" t="inlineStr">
        <is>
          <t>Kommuner</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50544-2023</t>
        </is>
      </c>
      <c r="B6727" s="1" t="n">
        <v>45217.35626157407</v>
      </c>
      <c r="C6727" s="1" t="n">
        <v>45911</v>
      </c>
      <c r="D6727" t="inlineStr">
        <is>
          <t>GÄVLEBORGS LÄN</t>
        </is>
      </c>
      <c r="E6727" t="inlineStr">
        <is>
          <t>BOLLNÄS</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46177-2022</t>
        </is>
      </c>
      <c r="B6728" s="1" t="n">
        <v>44847.49043981481</v>
      </c>
      <c r="C6728" s="1" t="n">
        <v>45911</v>
      </c>
      <c r="D6728" t="inlineStr">
        <is>
          <t>GÄVLEBORGS LÄN</t>
        </is>
      </c>
      <c r="E6728" t="inlineStr">
        <is>
          <t>SANDVIKEN</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13443-2024</t>
        </is>
      </c>
      <c r="B6729" s="1" t="n">
        <v>45387.49703703704</v>
      </c>
      <c r="C6729" s="1" t="n">
        <v>45911</v>
      </c>
      <c r="D6729" t="inlineStr">
        <is>
          <t>GÄVLEBORGS LÄN</t>
        </is>
      </c>
      <c r="E6729" t="inlineStr">
        <is>
          <t>OVANÅKER</t>
        </is>
      </c>
      <c r="G6729" t="n">
        <v>2.9</v>
      </c>
      <c r="H6729" t="n">
        <v>0</v>
      </c>
      <c r="I6729" t="n">
        <v>0</v>
      </c>
      <c r="J6729" t="n">
        <v>0</v>
      </c>
      <c r="K6729" t="n">
        <v>0</v>
      </c>
      <c r="L6729" t="n">
        <v>0</v>
      </c>
      <c r="M6729" t="n">
        <v>0</v>
      </c>
      <c r="N6729" t="n">
        <v>0</v>
      </c>
      <c r="O6729" t="n">
        <v>0</v>
      </c>
      <c r="P6729" t="n">
        <v>0</v>
      </c>
      <c r="Q6729" t="n">
        <v>0</v>
      </c>
      <c r="R6729" s="2" t="inlineStr"/>
    </row>
    <row r="6730" ht="15" customHeight="1">
      <c r="A6730" t="inlineStr">
        <is>
          <t>A 48007-2022</t>
        </is>
      </c>
      <c r="B6730" s="1" t="n">
        <v>44855.65891203703</v>
      </c>
      <c r="C6730" s="1" t="n">
        <v>45911</v>
      </c>
      <c r="D6730" t="inlineStr">
        <is>
          <t>GÄVLEBORGS LÄN</t>
        </is>
      </c>
      <c r="E6730" t="inlineStr">
        <is>
          <t>BOLLNÄS</t>
        </is>
      </c>
      <c r="G6730" t="n">
        <v>4.3</v>
      </c>
      <c r="H6730" t="n">
        <v>0</v>
      </c>
      <c r="I6730" t="n">
        <v>0</v>
      </c>
      <c r="J6730" t="n">
        <v>0</v>
      </c>
      <c r="K6730" t="n">
        <v>0</v>
      </c>
      <c r="L6730" t="n">
        <v>0</v>
      </c>
      <c r="M6730" t="n">
        <v>0</v>
      </c>
      <c r="N6730" t="n">
        <v>0</v>
      </c>
      <c r="O6730" t="n">
        <v>0</v>
      </c>
      <c r="P6730" t="n">
        <v>0</v>
      </c>
      <c r="Q6730" t="n">
        <v>0</v>
      </c>
      <c r="R6730" s="2" t="inlineStr"/>
    </row>
    <row r="6731" ht="15" customHeight="1">
      <c r="A6731" t="inlineStr">
        <is>
          <t>A 63045-2023</t>
        </is>
      </c>
      <c r="B6731" s="1" t="n">
        <v>45272.90516203704</v>
      </c>
      <c r="C6731" s="1" t="n">
        <v>45911</v>
      </c>
      <c r="D6731" t="inlineStr">
        <is>
          <t>GÄVLEBORGS LÄN</t>
        </is>
      </c>
      <c r="E6731" t="inlineStr">
        <is>
          <t>HUDIKSVALL</t>
        </is>
      </c>
      <c r="G6731" t="n">
        <v>6</v>
      </c>
      <c r="H6731" t="n">
        <v>0</v>
      </c>
      <c r="I6731" t="n">
        <v>0</v>
      </c>
      <c r="J6731" t="n">
        <v>0</v>
      </c>
      <c r="K6731" t="n">
        <v>0</v>
      </c>
      <c r="L6731" t="n">
        <v>0</v>
      </c>
      <c r="M6731" t="n">
        <v>0</v>
      </c>
      <c r="N6731" t="n">
        <v>0</v>
      </c>
      <c r="O6731" t="n">
        <v>0</v>
      </c>
      <c r="P6731" t="n">
        <v>0</v>
      </c>
      <c r="Q6731" t="n">
        <v>0</v>
      </c>
      <c r="R6731" s="2" t="inlineStr"/>
    </row>
    <row r="6732" ht="15" customHeight="1">
      <c r="A6732" t="inlineStr">
        <is>
          <t>A 57967-2022</t>
        </is>
      </c>
      <c r="B6732" s="1" t="n">
        <v>44900.43909722222</v>
      </c>
      <c r="C6732" s="1" t="n">
        <v>45911</v>
      </c>
      <c r="D6732" t="inlineStr">
        <is>
          <t>GÄVLEBORGS LÄN</t>
        </is>
      </c>
      <c r="E6732" t="inlineStr">
        <is>
          <t>HUDIKSVALL</t>
        </is>
      </c>
      <c r="F6732" t="inlineStr">
        <is>
          <t>Holmen skog AB</t>
        </is>
      </c>
      <c r="G6732" t="n">
        <v>7</v>
      </c>
      <c r="H6732" t="n">
        <v>0</v>
      </c>
      <c r="I6732" t="n">
        <v>0</v>
      </c>
      <c r="J6732" t="n">
        <v>0</v>
      </c>
      <c r="K6732" t="n">
        <v>0</v>
      </c>
      <c r="L6732" t="n">
        <v>0</v>
      </c>
      <c r="M6732" t="n">
        <v>0</v>
      </c>
      <c r="N6732" t="n">
        <v>0</v>
      </c>
      <c r="O6732" t="n">
        <v>0</v>
      </c>
      <c r="P6732" t="n">
        <v>0</v>
      </c>
      <c r="Q6732" t="n">
        <v>0</v>
      </c>
      <c r="R6732" s="2" t="inlineStr"/>
    </row>
    <row r="6733" ht="15" customHeight="1">
      <c r="A6733" t="inlineStr">
        <is>
          <t>A 36106-2025</t>
        </is>
      </c>
      <c r="B6733" s="1" t="n">
        <v>45866.55763888889</v>
      </c>
      <c r="C6733" s="1" t="n">
        <v>45911</v>
      </c>
      <c r="D6733" t="inlineStr">
        <is>
          <t>GÄVLEBORGS LÄN</t>
        </is>
      </c>
      <c r="E6733" t="inlineStr">
        <is>
          <t>GÄVLE</t>
        </is>
      </c>
      <c r="F6733" t="inlineStr">
        <is>
          <t>Bergvik skog väst AB</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36108-2025</t>
        </is>
      </c>
      <c r="B6734" s="1" t="n">
        <v>45866.56274305555</v>
      </c>
      <c r="C6734" s="1" t="n">
        <v>45911</v>
      </c>
      <c r="D6734" t="inlineStr">
        <is>
          <t>GÄVLEBORGS LÄN</t>
        </is>
      </c>
      <c r="E6734" t="inlineStr">
        <is>
          <t>GÄVLE</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2345-2024</t>
        </is>
      </c>
      <c r="B6735" s="1" t="n">
        <v>45310.581875</v>
      </c>
      <c r="C6735" s="1" t="n">
        <v>45911</v>
      </c>
      <c r="D6735" t="inlineStr">
        <is>
          <t>GÄVLEBORGS LÄN</t>
        </is>
      </c>
      <c r="E6735" t="inlineStr">
        <is>
          <t>BOLLNÄS</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27202-2024</t>
        </is>
      </c>
      <c r="B6736" s="1" t="n">
        <v>45471.6062962963</v>
      </c>
      <c r="C6736" s="1" t="n">
        <v>45911</v>
      </c>
      <c r="D6736" t="inlineStr">
        <is>
          <t>GÄVLEBORGS LÄN</t>
        </is>
      </c>
      <c r="E6736" t="inlineStr">
        <is>
          <t>BOLLNÄS</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39690-2021</t>
        </is>
      </c>
      <c r="B6737" s="1" t="n">
        <v>44417.45425925926</v>
      </c>
      <c r="C6737" s="1" t="n">
        <v>45911</v>
      </c>
      <c r="D6737" t="inlineStr">
        <is>
          <t>GÄVLEBORGS LÄN</t>
        </is>
      </c>
      <c r="E6737" t="inlineStr">
        <is>
          <t>HUDIKSVALL</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4498-2024</t>
        </is>
      </c>
      <c r="B6738" s="1" t="n">
        <v>45327.61053240741</v>
      </c>
      <c r="C6738" s="1" t="n">
        <v>45911</v>
      </c>
      <c r="D6738" t="inlineStr">
        <is>
          <t>GÄVLEBORGS LÄN</t>
        </is>
      </c>
      <c r="E6738" t="inlineStr">
        <is>
          <t>SANDVIKEN</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27028-2025</t>
        </is>
      </c>
      <c r="B6739" s="1" t="n">
        <v>45811.58194444444</v>
      </c>
      <c r="C6739" s="1" t="n">
        <v>45911</v>
      </c>
      <c r="D6739" t="inlineStr">
        <is>
          <t>GÄVLEBORGS LÄN</t>
        </is>
      </c>
      <c r="E6739" t="inlineStr">
        <is>
          <t>SÖDERHAMN</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19484-2023</t>
        </is>
      </c>
      <c r="B6740" s="1" t="n">
        <v>45050</v>
      </c>
      <c r="C6740" s="1" t="n">
        <v>45911</v>
      </c>
      <c r="D6740" t="inlineStr">
        <is>
          <t>GÄVLEBORGS LÄN</t>
        </is>
      </c>
      <c r="E6740" t="inlineStr">
        <is>
          <t>HUDIKSVALL</t>
        </is>
      </c>
      <c r="F6740" t="inlineStr">
        <is>
          <t>Holmen skog AB</t>
        </is>
      </c>
      <c r="G6740" t="n">
        <v>3.9</v>
      </c>
      <c r="H6740" t="n">
        <v>0</v>
      </c>
      <c r="I6740" t="n">
        <v>0</v>
      </c>
      <c r="J6740" t="n">
        <v>0</v>
      </c>
      <c r="K6740" t="n">
        <v>0</v>
      </c>
      <c r="L6740" t="n">
        <v>0</v>
      </c>
      <c r="M6740" t="n">
        <v>0</v>
      </c>
      <c r="N6740" t="n">
        <v>0</v>
      </c>
      <c r="O6740" t="n">
        <v>0</v>
      </c>
      <c r="P6740" t="n">
        <v>0</v>
      </c>
      <c r="Q6740" t="n">
        <v>0</v>
      </c>
      <c r="R6740" s="2" t="inlineStr"/>
    </row>
    <row r="6741" ht="15" customHeight="1">
      <c r="A6741" t="inlineStr">
        <is>
          <t>A 42959-2021</t>
        </is>
      </c>
      <c r="B6741" s="1" t="n">
        <v>44431.40888888889</v>
      </c>
      <c r="C6741" s="1" t="n">
        <v>45911</v>
      </c>
      <c r="D6741" t="inlineStr">
        <is>
          <t>GÄVLEBORGS LÄN</t>
        </is>
      </c>
      <c r="E6741" t="inlineStr">
        <is>
          <t>LJUSDAL</t>
        </is>
      </c>
      <c r="F6741" t="inlineStr">
        <is>
          <t>Bergvik skog väst AB</t>
        </is>
      </c>
      <c r="G6741" t="n">
        <v>4.2</v>
      </c>
      <c r="H6741" t="n">
        <v>0</v>
      </c>
      <c r="I6741" t="n">
        <v>0</v>
      </c>
      <c r="J6741" t="n">
        <v>0</v>
      </c>
      <c r="K6741" t="n">
        <v>0</v>
      </c>
      <c r="L6741" t="n">
        <v>0</v>
      </c>
      <c r="M6741" t="n">
        <v>0</v>
      </c>
      <c r="N6741" t="n">
        <v>0</v>
      </c>
      <c r="O6741" t="n">
        <v>0</v>
      </c>
      <c r="P6741" t="n">
        <v>0</v>
      </c>
      <c r="Q6741" t="n">
        <v>0</v>
      </c>
      <c r="R6741" s="2" t="inlineStr"/>
    </row>
    <row r="6742" ht="15" customHeight="1">
      <c r="A6742" t="inlineStr">
        <is>
          <t>A 26205-2025</t>
        </is>
      </c>
      <c r="B6742" s="1" t="n">
        <v>45805</v>
      </c>
      <c r="C6742" s="1" t="n">
        <v>45911</v>
      </c>
      <c r="D6742" t="inlineStr">
        <is>
          <t>GÄVLEBORGS LÄN</t>
        </is>
      </c>
      <c r="E6742" t="inlineStr">
        <is>
          <t>HUDIKSVALL</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61704-2020</t>
        </is>
      </c>
      <c r="B6743" s="1" t="n">
        <v>44158</v>
      </c>
      <c r="C6743" s="1" t="n">
        <v>45911</v>
      </c>
      <c r="D6743" t="inlineStr">
        <is>
          <t>GÄVLEBORGS LÄN</t>
        </is>
      </c>
      <c r="E6743" t="inlineStr">
        <is>
          <t>GÄVLE</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29837-2023</t>
        </is>
      </c>
      <c r="B6744" s="1" t="n">
        <v>45107.58168981481</v>
      </c>
      <c r="C6744" s="1" t="n">
        <v>45911</v>
      </c>
      <c r="D6744" t="inlineStr">
        <is>
          <t>GÄVLEBORGS LÄN</t>
        </is>
      </c>
      <c r="E6744" t="inlineStr">
        <is>
          <t>LJUSDAL</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29840-2023</t>
        </is>
      </c>
      <c r="B6745" s="1" t="n">
        <v>45107.58261574074</v>
      </c>
      <c r="C6745" s="1" t="n">
        <v>45911</v>
      </c>
      <c r="D6745" t="inlineStr">
        <is>
          <t>GÄVLEBORGS LÄN</t>
        </is>
      </c>
      <c r="E6745" t="inlineStr">
        <is>
          <t>GÄVLE</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31176-2023</t>
        </is>
      </c>
      <c r="B6746" s="1" t="n">
        <v>45113.90611111111</v>
      </c>
      <c r="C6746" s="1" t="n">
        <v>45911</v>
      </c>
      <c r="D6746" t="inlineStr">
        <is>
          <t>GÄVLEBORGS LÄN</t>
        </is>
      </c>
      <c r="E6746" t="inlineStr">
        <is>
          <t>SÖDERHAMN</t>
        </is>
      </c>
      <c r="G6746" t="n">
        <v>2.9</v>
      </c>
      <c r="H6746" t="n">
        <v>0</v>
      </c>
      <c r="I6746" t="n">
        <v>0</v>
      </c>
      <c r="J6746" t="n">
        <v>0</v>
      </c>
      <c r="K6746" t="n">
        <v>0</v>
      </c>
      <c r="L6746" t="n">
        <v>0</v>
      </c>
      <c r="M6746" t="n">
        <v>0</v>
      </c>
      <c r="N6746" t="n">
        <v>0</v>
      </c>
      <c r="O6746" t="n">
        <v>0</v>
      </c>
      <c r="P6746" t="n">
        <v>0</v>
      </c>
      <c r="Q6746" t="n">
        <v>0</v>
      </c>
      <c r="R6746" s="2" t="inlineStr"/>
    </row>
    <row r="6747" ht="15" customHeight="1">
      <c r="A6747" t="inlineStr">
        <is>
          <t>A 36212-2025</t>
        </is>
      </c>
      <c r="B6747" s="1" t="n">
        <v>45867.47538194444</v>
      </c>
      <c r="C6747" s="1" t="n">
        <v>45911</v>
      </c>
      <c r="D6747" t="inlineStr">
        <is>
          <t>GÄVLEBORGS LÄN</t>
        </is>
      </c>
      <c r="E6747" t="inlineStr">
        <is>
          <t>SANDVIKEN</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34666-2025</t>
        </is>
      </c>
      <c r="B6748" s="1" t="n">
        <v>45848</v>
      </c>
      <c r="C6748" s="1" t="n">
        <v>45911</v>
      </c>
      <c r="D6748" t="inlineStr">
        <is>
          <t>GÄVLEBORGS LÄN</t>
        </is>
      </c>
      <c r="E6748" t="inlineStr">
        <is>
          <t>GÄVLE</t>
        </is>
      </c>
      <c r="G6748" t="n">
        <v>4.9</v>
      </c>
      <c r="H6748" t="n">
        <v>0</v>
      </c>
      <c r="I6748" t="n">
        <v>0</v>
      </c>
      <c r="J6748" t="n">
        <v>0</v>
      </c>
      <c r="K6748" t="n">
        <v>0</v>
      </c>
      <c r="L6748" t="n">
        <v>0</v>
      </c>
      <c r="M6748" t="n">
        <v>0</v>
      </c>
      <c r="N6748" t="n">
        <v>0</v>
      </c>
      <c r="O6748" t="n">
        <v>0</v>
      </c>
      <c r="P6748" t="n">
        <v>0</v>
      </c>
      <c r="Q6748" t="n">
        <v>0</v>
      </c>
      <c r="R6748" s="2" t="inlineStr"/>
    </row>
    <row r="6749" ht="15" customHeight="1">
      <c r="A6749" t="inlineStr">
        <is>
          <t>A 36228-2025</t>
        </is>
      </c>
      <c r="B6749" s="1" t="n">
        <v>45867.53563657407</v>
      </c>
      <c r="C6749" s="1" t="n">
        <v>45911</v>
      </c>
      <c r="D6749" t="inlineStr">
        <is>
          <t>GÄVLEBORGS LÄN</t>
        </is>
      </c>
      <c r="E6749" t="inlineStr">
        <is>
          <t>BOLLNÄS</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39635-2025</t>
        </is>
      </c>
      <c r="B6750" s="1" t="n">
        <v>45890</v>
      </c>
      <c r="C6750" s="1" t="n">
        <v>45911</v>
      </c>
      <c r="D6750" t="inlineStr">
        <is>
          <t>GÄVLEBORGS LÄN</t>
        </is>
      </c>
      <c r="E6750" t="inlineStr">
        <is>
          <t>HUDIKSVALL</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36656-2024</t>
        </is>
      </c>
      <c r="B6751" s="1" t="n">
        <v>45537.61835648148</v>
      </c>
      <c r="C6751" s="1" t="n">
        <v>45911</v>
      </c>
      <c r="D6751" t="inlineStr">
        <is>
          <t>GÄVLEBORGS LÄN</t>
        </is>
      </c>
      <c r="E6751" t="inlineStr">
        <is>
          <t>SANDVIKEN</t>
        </is>
      </c>
      <c r="G6751" t="n">
        <v>2.5</v>
      </c>
      <c r="H6751" t="n">
        <v>0</v>
      </c>
      <c r="I6751" t="n">
        <v>0</v>
      </c>
      <c r="J6751" t="n">
        <v>0</v>
      </c>
      <c r="K6751" t="n">
        <v>0</v>
      </c>
      <c r="L6751" t="n">
        <v>0</v>
      </c>
      <c r="M6751" t="n">
        <v>0</v>
      </c>
      <c r="N6751" t="n">
        <v>0</v>
      </c>
      <c r="O6751" t="n">
        <v>0</v>
      </c>
      <c r="P6751" t="n">
        <v>0</v>
      </c>
      <c r="Q6751" t="n">
        <v>0</v>
      </c>
      <c r="R6751" s="2" t="inlineStr"/>
    </row>
    <row r="6752" ht="15" customHeight="1">
      <c r="A6752" t="inlineStr">
        <is>
          <t>A 36763-2024</t>
        </is>
      </c>
      <c r="B6752" s="1" t="n">
        <v>45538.36181712963</v>
      </c>
      <c r="C6752" s="1" t="n">
        <v>45911</v>
      </c>
      <c r="D6752" t="inlineStr">
        <is>
          <t>GÄVLEBORGS LÄN</t>
        </is>
      </c>
      <c r="E6752" t="inlineStr">
        <is>
          <t>HOFORS</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49209-2024</t>
        </is>
      </c>
      <c r="B6753" s="1" t="n">
        <v>45595.37880787037</v>
      </c>
      <c r="C6753" s="1" t="n">
        <v>45911</v>
      </c>
      <c r="D6753" t="inlineStr">
        <is>
          <t>GÄVLEBORGS LÄN</t>
        </is>
      </c>
      <c r="E6753" t="inlineStr">
        <is>
          <t>SANDVIKEN</t>
        </is>
      </c>
      <c r="G6753" t="n">
        <v>5.2</v>
      </c>
      <c r="H6753" t="n">
        <v>0</v>
      </c>
      <c r="I6753" t="n">
        <v>0</v>
      </c>
      <c r="J6753" t="n">
        <v>0</v>
      </c>
      <c r="K6753" t="n">
        <v>0</v>
      </c>
      <c r="L6753" t="n">
        <v>0</v>
      </c>
      <c r="M6753" t="n">
        <v>0</v>
      </c>
      <c r="N6753" t="n">
        <v>0</v>
      </c>
      <c r="O6753" t="n">
        <v>0</v>
      </c>
      <c r="P6753" t="n">
        <v>0</v>
      </c>
      <c r="Q6753" t="n">
        <v>0</v>
      </c>
      <c r="R6753" s="2" t="inlineStr"/>
    </row>
    <row r="6754" ht="15" customHeight="1">
      <c r="A6754" t="inlineStr">
        <is>
          <t>A 32632-2024</t>
        </is>
      </c>
      <c r="B6754" s="1" t="n">
        <v>45513.88582175926</v>
      </c>
      <c r="C6754" s="1" t="n">
        <v>45911</v>
      </c>
      <c r="D6754" t="inlineStr">
        <is>
          <t>GÄVLEBORGS LÄN</t>
        </is>
      </c>
      <c r="E6754" t="inlineStr">
        <is>
          <t>HUDIKSVALL</t>
        </is>
      </c>
      <c r="F6754" t="inlineStr">
        <is>
          <t>Holmen skog AB</t>
        </is>
      </c>
      <c r="G6754" t="n">
        <v>6.6</v>
      </c>
      <c r="H6754" t="n">
        <v>0</v>
      </c>
      <c r="I6754" t="n">
        <v>0</v>
      </c>
      <c r="J6754" t="n">
        <v>0</v>
      </c>
      <c r="K6754" t="n">
        <v>0</v>
      </c>
      <c r="L6754" t="n">
        <v>0</v>
      </c>
      <c r="M6754" t="n">
        <v>0</v>
      </c>
      <c r="N6754" t="n">
        <v>0</v>
      </c>
      <c r="O6754" t="n">
        <v>0</v>
      </c>
      <c r="P6754" t="n">
        <v>0</v>
      </c>
      <c r="Q6754" t="n">
        <v>0</v>
      </c>
      <c r="R6754" s="2" t="inlineStr"/>
    </row>
    <row r="6755" ht="15" customHeight="1">
      <c r="A6755" t="inlineStr">
        <is>
          <t>A 26752-2021</t>
        </is>
      </c>
      <c r="B6755" s="1" t="n">
        <v>44349.41986111111</v>
      </c>
      <c r="C6755" s="1" t="n">
        <v>45911</v>
      </c>
      <c r="D6755" t="inlineStr">
        <is>
          <t>GÄVLEBORGS LÄN</t>
        </is>
      </c>
      <c r="E6755" t="inlineStr">
        <is>
          <t>OVANÅKER</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26776-2021</t>
        </is>
      </c>
      <c r="B6756" s="1" t="n">
        <v>44349.48065972222</v>
      </c>
      <c r="C6756" s="1" t="n">
        <v>45911</v>
      </c>
      <c r="D6756" t="inlineStr">
        <is>
          <t>GÄVLEBORGS LÄN</t>
        </is>
      </c>
      <c r="E6756" t="inlineStr">
        <is>
          <t>GÄVLE</t>
        </is>
      </c>
      <c r="F6756" t="inlineStr">
        <is>
          <t>Bergvik skog öst AB</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18545-2025</t>
        </is>
      </c>
      <c r="B6757" s="1" t="n">
        <v>45763.42251157408</v>
      </c>
      <c r="C6757" s="1" t="n">
        <v>45911</v>
      </c>
      <c r="D6757" t="inlineStr">
        <is>
          <t>GÄVLEBORGS LÄN</t>
        </is>
      </c>
      <c r="E6757" t="inlineStr">
        <is>
          <t>OVANÅKER</t>
        </is>
      </c>
      <c r="F6757" t="inlineStr">
        <is>
          <t>Holmen skog AB</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36657-2025</t>
        </is>
      </c>
      <c r="B6758" s="1" t="n">
        <v>45873</v>
      </c>
      <c r="C6758" s="1" t="n">
        <v>45911</v>
      </c>
      <c r="D6758" t="inlineStr">
        <is>
          <t>GÄVLEBORGS LÄN</t>
        </is>
      </c>
      <c r="E6758" t="inlineStr">
        <is>
          <t>LJUSDAL</t>
        </is>
      </c>
      <c r="F6758" t="inlineStr">
        <is>
          <t>Bergvik skog väst AB</t>
        </is>
      </c>
      <c r="G6758" t="n">
        <v>3.8</v>
      </c>
      <c r="H6758" t="n">
        <v>0</v>
      </c>
      <c r="I6758" t="n">
        <v>0</v>
      </c>
      <c r="J6758" t="n">
        <v>0</v>
      </c>
      <c r="K6758" t="n">
        <v>0</v>
      </c>
      <c r="L6758" t="n">
        <v>0</v>
      </c>
      <c r="M6758" t="n">
        <v>0</v>
      </c>
      <c r="N6758" t="n">
        <v>0</v>
      </c>
      <c r="O6758" t="n">
        <v>0</v>
      </c>
      <c r="P6758" t="n">
        <v>0</v>
      </c>
      <c r="Q6758" t="n">
        <v>0</v>
      </c>
      <c r="R6758" s="2" t="inlineStr"/>
    </row>
    <row r="6759" ht="15" customHeight="1">
      <c r="A6759" t="inlineStr">
        <is>
          <t>A 40120-2025</t>
        </is>
      </c>
      <c r="B6759" s="1" t="n">
        <v>45894</v>
      </c>
      <c r="C6759" s="1" t="n">
        <v>45911</v>
      </c>
      <c r="D6759" t="inlineStr">
        <is>
          <t>GÄVLEBORGS LÄN</t>
        </is>
      </c>
      <c r="E6759" t="inlineStr">
        <is>
          <t>HUDIKSVALL</t>
        </is>
      </c>
      <c r="G6759" t="n">
        <v>3.6</v>
      </c>
      <c r="H6759" t="n">
        <v>0</v>
      </c>
      <c r="I6759" t="n">
        <v>0</v>
      </c>
      <c r="J6759" t="n">
        <v>0</v>
      </c>
      <c r="K6759" t="n">
        <v>0</v>
      </c>
      <c r="L6759" t="n">
        <v>0</v>
      </c>
      <c r="M6759" t="n">
        <v>0</v>
      </c>
      <c r="N6759" t="n">
        <v>0</v>
      </c>
      <c r="O6759" t="n">
        <v>0</v>
      </c>
      <c r="P6759" t="n">
        <v>0</v>
      </c>
      <c r="Q6759" t="n">
        <v>0</v>
      </c>
      <c r="R6759" s="2" t="inlineStr"/>
    </row>
    <row r="6760" ht="15" customHeight="1">
      <c r="A6760" t="inlineStr">
        <is>
          <t>A 7593-2023</t>
        </is>
      </c>
      <c r="B6760" s="1" t="n">
        <v>44972</v>
      </c>
      <c r="C6760" s="1" t="n">
        <v>45911</v>
      </c>
      <c r="D6760" t="inlineStr">
        <is>
          <t>GÄVLEBORGS LÄN</t>
        </is>
      </c>
      <c r="E6760" t="inlineStr">
        <is>
          <t>HUDIKSVALL</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55513-2024</t>
        </is>
      </c>
      <c r="B6761" s="1" t="n">
        <v>45622</v>
      </c>
      <c r="C6761" s="1" t="n">
        <v>45911</v>
      </c>
      <c r="D6761" t="inlineStr">
        <is>
          <t>GÄVLEBORGS LÄN</t>
        </is>
      </c>
      <c r="E6761" t="inlineStr">
        <is>
          <t>NORDANSTIG</t>
        </is>
      </c>
      <c r="F6761" t="inlineStr">
        <is>
          <t>Holmen skog AB</t>
        </is>
      </c>
      <c r="G6761" t="n">
        <v>3</v>
      </c>
      <c r="H6761" t="n">
        <v>0</v>
      </c>
      <c r="I6761" t="n">
        <v>0</v>
      </c>
      <c r="J6761" t="n">
        <v>0</v>
      </c>
      <c r="K6761" t="n">
        <v>0</v>
      </c>
      <c r="L6761" t="n">
        <v>0</v>
      </c>
      <c r="M6761" t="n">
        <v>0</v>
      </c>
      <c r="N6761" t="n">
        <v>0</v>
      </c>
      <c r="O6761" t="n">
        <v>0</v>
      </c>
      <c r="P6761" t="n">
        <v>0</v>
      </c>
      <c r="Q6761" t="n">
        <v>0</v>
      </c>
      <c r="R6761" s="2" t="inlineStr"/>
    </row>
    <row r="6762" ht="15" customHeight="1">
      <c r="A6762" t="inlineStr">
        <is>
          <t>A 43170-2025</t>
        </is>
      </c>
      <c r="B6762" s="1" t="n">
        <v>45910.38989583333</v>
      </c>
      <c r="C6762" s="1" t="n">
        <v>45911</v>
      </c>
      <c r="D6762" t="inlineStr">
        <is>
          <t>GÄVLEBORGS LÄN</t>
        </is>
      </c>
      <c r="E6762" t="inlineStr">
        <is>
          <t>HUDIKSVALL</t>
        </is>
      </c>
      <c r="F6762" t="inlineStr">
        <is>
          <t>Holmen skog AB</t>
        </is>
      </c>
      <c r="G6762" t="n">
        <v>3.7</v>
      </c>
      <c r="H6762" t="n">
        <v>0</v>
      </c>
      <c r="I6762" t="n">
        <v>0</v>
      </c>
      <c r="J6762" t="n">
        <v>0</v>
      </c>
      <c r="K6762" t="n">
        <v>0</v>
      </c>
      <c r="L6762" t="n">
        <v>0</v>
      </c>
      <c r="M6762" t="n">
        <v>0</v>
      </c>
      <c r="N6762" t="n">
        <v>0</v>
      </c>
      <c r="O6762" t="n">
        <v>0</v>
      </c>
      <c r="P6762" t="n">
        <v>0</v>
      </c>
      <c r="Q6762" t="n">
        <v>0</v>
      </c>
      <c r="R6762" s="2" t="inlineStr"/>
    </row>
    <row r="6763" ht="15" customHeight="1">
      <c r="A6763" t="inlineStr">
        <is>
          <t>A 59710-2022</t>
        </is>
      </c>
      <c r="B6763" s="1" t="n">
        <v>44908.40505787037</v>
      </c>
      <c r="C6763" s="1" t="n">
        <v>45911</v>
      </c>
      <c r="D6763" t="inlineStr">
        <is>
          <t>GÄVLEBORGS LÄN</t>
        </is>
      </c>
      <c r="E6763" t="inlineStr">
        <is>
          <t>LJUSDAL</t>
        </is>
      </c>
      <c r="G6763" t="n">
        <v>3.3</v>
      </c>
      <c r="H6763" t="n">
        <v>0</v>
      </c>
      <c r="I6763" t="n">
        <v>0</v>
      </c>
      <c r="J6763" t="n">
        <v>0</v>
      </c>
      <c r="K6763" t="n">
        <v>0</v>
      </c>
      <c r="L6763" t="n">
        <v>0</v>
      </c>
      <c r="M6763" t="n">
        <v>0</v>
      </c>
      <c r="N6763" t="n">
        <v>0</v>
      </c>
      <c r="O6763" t="n">
        <v>0</v>
      </c>
      <c r="P6763" t="n">
        <v>0</v>
      </c>
      <c r="Q6763" t="n">
        <v>0</v>
      </c>
      <c r="R6763" s="2" t="inlineStr"/>
    </row>
    <row r="6764" ht="15" customHeight="1">
      <c r="A6764" t="inlineStr">
        <is>
          <t>A 67088-2021</t>
        </is>
      </c>
      <c r="B6764" s="1" t="n">
        <v>44522</v>
      </c>
      <c r="C6764" s="1" t="n">
        <v>45911</v>
      </c>
      <c r="D6764" t="inlineStr">
        <is>
          <t>GÄVLEBORGS LÄN</t>
        </is>
      </c>
      <c r="E6764" t="inlineStr">
        <is>
          <t>HUDIKSVALL</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59759-2022</t>
        </is>
      </c>
      <c r="B6765" s="1" t="n">
        <v>44908.48275462963</v>
      </c>
      <c r="C6765" s="1" t="n">
        <v>45911</v>
      </c>
      <c r="D6765" t="inlineStr">
        <is>
          <t>GÄVLEBORGS LÄN</t>
        </is>
      </c>
      <c r="E6765" t="inlineStr">
        <is>
          <t>HUDIKSVALL</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54156-2022</t>
        </is>
      </c>
      <c r="B6766" s="1" t="n">
        <v>44881</v>
      </c>
      <c r="C6766" s="1" t="n">
        <v>45911</v>
      </c>
      <c r="D6766" t="inlineStr">
        <is>
          <t>GÄVLEBORGS LÄN</t>
        </is>
      </c>
      <c r="E6766" t="inlineStr">
        <is>
          <t>SÖDERHAMN</t>
        </is>
      </c>
      <c r="G6766" t="n">
        <v>5.8</v>
      </c>
      <c r="H6766" t="n">
        <v>0</v>
      </c>
      <c r="I6766" t="n">
        <v>0</v>
      </c>
      <c r="J6766" t="n">
        <v>0</v>
      </c>
      <c r="K6766" t="n">
        <v>0</v>
      </c>
      <c r="L6766" t="n">
        <v>0</v>
      </c>
      <c r="M6766" t="n">
        <v>0</v>
      </c>
      <c r="N6766" t="n">
        <v>0</v>
      </c>
      <c r="O6766" t="n">
        <v>0</v>
      </c>
      <c r="P6766" t="n">
        <v>0</v>
      </c>
      <c r="Q6766" t="n">
        <v>0</v>
      </c>
      <c r="R6766" s="2" t="inlineStr"/>
    </row>
    <row r="6767" ht="15" customHeight="1">
      <c r="A6767" t="inlineStr">
        <is>
          <t>A 41730-2023</t>
        </is>
      </c>
      <c r="B6767" s="1" t="n">
        <v>45176</v>
      </c>
      <c r="C6767" s="1" t="n">
        <v>45911</v>
      </c>
      <c r="D6767" t="inlineStr">
        <is>
          <t>GÄVLEBORGS LÄN</t>
        </is>
      </c>
      <c r="E6767" t="inlineStr">
        <is>
          <t>BOLLNÄS</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50283-2024</t>
        </is>
      </c>
      <c r="B6768" s="1" t="n">
        <v>45600.6139699074</v>
      </c>
      <c r="C6768" s="1" t="n">
        <v>45911</v>
      </c>
      <c r="D6768" t="inlineStr">
        <is>
          <t>GÄVLEBORGS LÄN</t>
        </is>
      </c>
      <c r="E6768" t="inlineStr">
        <is>
          <t>SÖDERHAMN</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41747-2023</t>
        </is>
      </c>
      <c r="B6769" s="1" t="n">
        <v>45176.43505787037</v>
      </c>
      <c r="C6769" s="1" t="n">
        <v>45911</v>
      </c>
      <c r="D6769" t="inlineStr">
        <is>
          <t>GÄVLEBORGS LÄN</t>
        </is>
      </c>
      <c r="E6769" t="inlineStr">
        <is>
          <t>HUDIKSVALL</t>
        </is>
      </c>
      <c r="F6769" t="inlineStr">
        <is>
          <t>Holmen skog AB</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31175-2024</t>
        </is>
      </c>
      <c r="B6770" s="1" t="n">
        <v>45503</v>
      </c>
      <c r="C6770" s="1" t="n">
        <v>45911</v>
      </c>
      <c r="D6770" t="inlineStr">
        <is>
          <t>GÄVLEBORGS LÄN</t>
        </is>
      </c>
      <c r="E6770" t="inlineStr">
        <is>
          <t>OVANÅKER</t>
        </is>
      </c>
      <c r="F6770" t="inlineStr">
        <is>
          <t>Bergvik skog väst AB</t>
        </is>
      </c>
      <c r="G6770" t="n">
        <v>5</v>
      </c>
      <c r="H6770" t="n">
        <v>0</v>
      </c>
      <c r="I6770" t="n">
        <v>0</v>
      </c>
      <c r="J6770" t="n">
        <v>0</v>
      </c>
      <c r="K6770" t="n">
        <v>0</v>
      </c>
      <c r="L6770" t="n">
        <v>0</v>
      </c>
      <c r="M6770" t="n">
        <v>0</v>
      </c>
      <c r="N6770" t="n">
        <v>0</v>
      </c>
      <c r="O6770" t="n">
        <v>0</v>
      </c>
      <c r="P6770" t="n">
        <v>0</v>
      </c>
      <c r="Q6770" t="n">
        <v>0</v>
      </c>
      <c r="R6770" s="2" t="inlineStr"/>
    </row>
    <row r="6771" ht="15" customHeight="1">
      <c r="A6771" t="inlineStr">
        <is>
          <t>A 32376-2024</t>
        </is>
      </c>
      <c r="B6771" s="1" t="n">
        <v>45512.6081712963</v>
      </c>
      <c r="C6771" s="1" t="n">
        <v>45911</v>
      </c>
      <c r="D6771" t="inlineStr">
        <is>
          <t>GÄVLEBORGS LÄN</t>
        </is>
      </c>
      <c r="E6771" t="inlineStr">
        <is>
          <t>HUDIKSVALL</t>
        </is>
      </c>
      <c r="F6771" t="inlineStr">
        <is>
          <t>Holmen skog AB</t>
        </is>
      </c>
      <c r="G6771" t="n">
        <v>6.7</v>
      </c>
      <c r="H6771" t="n">
        <v>0</v>
      </c>
      <c r="I6771" t="n">
        <v>0</v>
      </c>
      <c r="J6771" t="n">
        <v>0</v>
      </c>
      <c r="K6771" t="n">
        <v>0</v>
      </c>
      <c r="L6771" t="n">
        <v>0</v>
      </c>
      <c r="M6771" t="n">
        <v>0</v>
      </c>
      <c r="N6771" t="n">
        <v>0</v>
      </c>
      <c r="O6771" t="n">
        <v>0</v>
      </c>
      <c r="P6771" t="n">
        <v>0</v>
      </c>
      <c r="Q6771" t="n">
        <v>0</v>
      </c>
      <c r="R6771" s="2" t="inlineStr"/>
    </row>
    <row r="6772" ht="15" customHeight="1">
      <c r="A6772" t="inlineStr">
        <is>
          <t>A 30842-2024</t>
        </is>
      </c>
      <c r="B6772" s="1" t="n">
        <v>45497.57481481481</v>
      </c>
      <c r="C6772" s="1" t="n">
        <v>45911</v>
      </c>
      <c r="D6772" t="inlineStr">
        <is>
          <t>GÄVLEBORGS LÄN</t>
        </is>
      </c>
      <c r="E6772" t="inlineStr">
        <is>
          <t>NORDANSTIG</t>
        </is>
      </c>
      <c r="F6772" t="inlineStr">
        <is>
          <t>Holmen skog AB</t>
        </is>
      </c>
      <c r="G6772" t="n">
        <v>6.9</v>
      </c>
      <c r="H6772" t="n">
        <v>0</v>
      </c>
      <c r="I6772" t="n">
        <v>0</v>
      </c>
      <c r="J6772" t="n">
        <v>0</v>
      </c>
      <c r="K6772" t="n">
        <v>0</v>
      </c>
      <c r="L6772" t="n">
        <v>0</v>
      </c>
      <c r="M6772" t="n">
        <v>0</v>
      </c>
      <c r="N6772" t="n">
        <v>0</v>
      </c>
      <c r="O6772" t="n">
        <v>0</v>
      </c>
      <c r="P6772" t="n">
        <v>0</v>
      </c>
      <c r="Q6772" t="n">
        <v>0</v>
      </c>
      <c r="R6772" s="2" t="inlineStr"/>
    </row>
    <row r="6773" ht="15" customHeight="1">
      <c r="A6773" t="inlineStr">
        <is>
          <t>A 50169-2024</t>
        </is>
      </c>
      <c r="B6773" s="1" t="n">
        <v>45600.46696759259</v>
      </c>
      <c r="C6773" s="1" t="n">
        <v>45911</v>
      </c>
      <c r="D6773" t="inlineStr">
        <is>
          <t>GÄVLEBORGS LÄN</t>
        </is>
      </c>
      <c r="E6773" t="inlineStr">
        <is>
          <t>LJUSDAL</t>
        </is>
      </c>
      <c r="F6773" t="inlineStr">
        <is>
          <t>Sveaskog</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43210-2025</t>
        </is>
      </c>
      <c r="B6774" s="1" t="n">
        <v>45910.45524305556</v>
      </c>
      <c r="C6774" s="1" t="n">
        <v>45911</v>
      </c>
      <c r="D6774" t="inlineStr">
        <is>
          <t>GÄVLEBORGS LÄN</t>
        </is>
      </c>
      <c r="E6774" t="inlineStr">
        <is>
          <t>SANDVIKEN</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43097-2025</t>
        </is>
      </c>
      <c r="B6775" s="1" t="n">
        <v>45909.62787037037</v>
      </c>
      <c r="C6775" s="1" t="n">
        <v>45911</v>
      </c>
      <c r="D6775" t="inlineStr">
        <is>
          <t>GÄVLEBORGS LÄN</t>
        </is>
      </c>
      <c r="E6775" t="inlineStr">
        <is>
          <t>GÄVLE</t>
        </is>
      </c>
      <c r="F6775" t="inlineStr">
        <is>
          <t>Bergvik skog väst AB</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3442-2023</t>
        </is>
      </c>
      <c r="B6776" s="1" t="n">
        <v>44949.60355324074</v>
      </c>
      <c r="C6776" s="1" t="n">
        <v>45911</v>
      </c>
      <c r="D6776" t="inlineStr">
        <is>
          <t>GÄVLEBORGS LÄN</t>
        </is>
      </c>
      <c r="E6776" t="inlineStr">
        <is>
          <t>SANDVIKEN</t>
        </is>
      </c>
      <c r="G6776" t="n">
        <v>4.7</v>
      </c>
      <c r="H6776" t="n">
        <v>0</v>
      </c>
      <c r="I6776" t="n">
        <v>0</v>
      </c>
      <c r="J6776" t="n">
        <v>0</v>
      </c>
      <c r="K6776" t="n">
        <v>0</v>
      </c>
      <c r="L6776" t="n">
        <v>0</v>
      </c>
      <c r="M6776" t="n">
        <v>0</v>
      </c>
      <c r="N6776" t="n">
        <v>0</v>
      </c>
      <c r="O6776" t="n">
        <v>0</v>
      </c>
      <c r="P6776" t="n">
        <v>0</v>
      </c>
      <c r="Q6776" t="n">
        <v>0</v>
      </c>
      <c r="R6776" s="2" t="inlineStr"/>
    </row>
    <row r="6777" ht="15" customHeight="1">
      <c r="A6777" t="inlineStr">
        <is>
          <t>A 36317-2025</t>
        </is>
      </c>
      <c r="B6777" s="1" t="n">
        <v>45868.37267361111</v>
      </c>
      <c r="C6777" s="1" t="n">
        <v>45911</v>
      </c>
      <c r="D6777" t="inlineStr">
        <is>
          <t>GÄVLEBORGS LÄN</t>
        </is>
      </c>
      <c r="E6777" t="inlineStr">
        <is>
          <t>LJUSDAL</t>
        </is>
      </c>
      <c r="G6777" t="n">
        <v>7.7</v>
      </c>
      <c r="H6777" t="n">
        <v>0</v>
      </c>
      <c r="I6777" t="n">
        <v>0</v>
      </c>
      <c r="J6777" t="n">
        <v>0</v>
      </c>
      <c r="K6777" t="n">
        <v>0</v>
      </c>
      <c r="L6777" t="n">
        <v>0</v>
      </c>
      <c r="M6777" t="n">
        <v>0</v>
      </c>
      <c r="N6777" t="n">
        <v>0</v>
      </c>
      <c r="O6777" t="n">
        <v>0</v>
      </c>
      <c r="P6777" t="n">
        <v>0</v>
      </c>
      <c r="Q6777" t="n">
        <v>0</v>
      </c>
      <c r="R6777" s="2" t="inlineStr"/>
    </row>
    <row r="6778" ht="15" customHeight="1">
      <c r="A6778" t="inlineStr">
        <is>
          <t>A 36318-2025</t>
        </is>
      </c>
      <c r="B6778" s="1" t="n">
        <v>45868.37643518519</v>
      </c>
      <c r="C6778" s="1" t="n">
        <v>45911</v>
      </c>
      <c r="D6778" t="inlineStr">
        <is>
          <t>GÄVLEBORGS LÄN</t>
        </is>
      </c>
      <c r="E6778" t="inlineStr">
        <is>
          <t>LJUSDAL</t>
        </is>
      </c>
      <c r="G6778" t="n">
        <v>10.2</v>
      </c>
      <c r="H6778" t="n">
        <v>0</v>
      </c>
      <c r="I6778" t="n">
        <v>0</v>
      </c>
      <c r="J6778" t="n">
        <v>0</v>
      </c>
      <c r="K6778" t="n">
        <v>0</v>
      </c>
      <c r="L6778" t="n">
        <v>0</v>
      </c>
      <c r="M6778" t="n">
        <v>0</v>
      </c>
      <c r="N6778" t="n">
        <v>0</v>
      </c>
      <c r="O6778" t="n">
        <v>0</v>
      </c>
      <c r="P6778" t="n">
        <v>0</v>
      </c>
      <c r="Q6778" t="n">
        <v>0</v>
      </c>
      <c r="R6778" s="2" t="inlineStr"/>
    </row>
    <row r="6779" ht="15" customHeight="1">
      <c r="A6779" t="inlineStr">
        <is>
          <t>A 36342-2025</t>
        </is>
      </c>
      <c r="B6779" s="1" t="n">
        <v>45868.46923611111</v>
      </c>
      <c r="C6779" s="1" t="n">
        <v>45911</v>
      </c>
      <c r="D6779" t="inlineStr">
        <is>
          <t>GÄVLEBORGS LÄN</t>
        </is>
      </c>
      <c r="E6779" t="inlineStr">
        <is>
          <t>HUDIKSVALL</t>
        </is>
      </c>
      <c r="G6779" t="n">
        <v>4.2</v>
      </c>
      <c r="H6779" t="n">
        <v>0</v>
      </c>
      <c r="I6779" t="n">
        <v>0</v>
      </c>
      <c r="J6779" t="n">
        <v>0</v>
      </c>
      <c r="K6779" t="n">
        <v>0</v>
      </c>
      <c r="L6779" t="n">
        <v>0</v>
      </c>
      <c r="M6779" t="n">
        <v>0</v>
      </c>
      <c r="N6779" t="n">
        <v>0</v>
      </c>
      <c r="O6779" t="n">
        <v>0</v>
      </c>
      <c r="P6779" t="n">
        <v>0</v>
      </c>
      <c r="Q6779" t="n">
        <v>0</v>
      </c>
      <c r="R6779" s="2" t="inlineStr"/>
    </row>
    <row r="6780" ht="15" customHeight="1">
      <c r="A6780" t="inlineStr">
        <is>
          <t>A 20711-2023</t>
        </is>
      </c>
      <c r="B6780" s="1" t="n">
        <v>45058</v>
      </c>
      <c r="C6780" s="1" t="n">
        <v>45911</v>
      </c>
      <c r="D6780" t="inlineStr">
        <is>
          <t>GÄVLEBORGS LÄN</t>
        </is>
      </c>
      <c r="E6780" t="inlineStr">
        <is>
          <t>HUDIKSVALL</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36354-2025</t>
        </is>
      </c>
      <c r="B6781" s="1" t="n">
        <v>45868.48991898148</v>
      </c>
      <c r="C6781" s="1" t="n">
        <v>45911</v>
      </c>
      <c r="D6781" t="inlineStr">
        <is>
          <t>GÄVLEBORGS LÄN</t>
        </is>
      </c>
      <c r="E6781" t="inlineStr">
        <is>
          <t>LJUSDAL</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36251-2025</t>
        </is>
      </c>
      <c r="B6782" s="1" t="n">
        <v>45867.57475694444</v>
      </c>
      <c r="C6782" s="1" t="n">
        <v>45911</v>
      </c>
      <c r="D6782" t="inlineStr">
        <is>
          <t>GÄVLEBORGS LÄN</t>
        </is>
      </c>
      <c r="E6782" t="inlineStr">
        <is>
          <t>LJUSDAL</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51725-2024</t>
        </is>
      </c>
      <c r="B6783" s="1" t="n">
        <v>45607.383125</v>
      </c>
      <c r="C6783" s="1" t="n">
        <v>45911</v>
      </c>
      <c r="D6783" t="inlineStr">
        <is>
          <t>GÄVLEBORGS LÄN</t>
        </is>
      </c>
      <c r="E6783" t="inlineStr">
        <is>
          <t>LJUSDAL</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51277-2022</t>
        </is>
      </c>
      <c r="B6784" s="1" t="n">
        <v>44868.7127662037</v>
      </c>
      <c r="C6784" s="1" t="n">
        <v>45911</v>
      </c>
      <c r="D6784" t="inlineStr">
        <is>
          <t>GÄVLEBORGS LÄN</t>
        </is>
      </c>
      <c r="E6784" t="inlineStr">
        <is>
          <t>HOFORS</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11338-2023</t>
        </is>
      </c>
      <c r="B6785" s="1" t="n">
        <v>44993.35480324074</v>
      </c>
      <c r="C6785" s="1" t="n">
        <v>45911</v>
      </c>
      <c r="D6785" t="inlineStr">
        <is>
          <t>GÄVLEBORGS LÄN</t>
        </is>
      </c>
      <c r="E6785" t="inlineStr">
        <is>
          <t>NORDANSTIG</t>
        </is>
      </c>
      <c r="G6785" t="n">
        <v>3.4</v>
      </c>
      <c r="H6785" t="n">
        <v>0</v>
      </c>
      <c r="I6785" t="n">
        <v>0</v>
      </c>
      <c r="J6785" t="n">
        <v>0</v>
      </c>
      <c r="K6785" t="n">
        <v>0</v>
      </c>
      <c r="L6785" t="n">
        <v>0</v>
      </c>
      <c r="M6785" t="n">
        <v>0</v>
      </c>
      <c r="N6785" t="n">
        <v>0</v>
      </c>
      <c r="O6785" t="n">
        <v>0</v>
      </c>
      <c r="P6785" t="n">
        <v>0</v>
      </c>
      <c r="Q6785" t="n">
        <v>0</v>
      </c>
      <c r="R6785" s="2" t="inlineStr"/>
    </row>
    <row r="6786" ht="15" customHeight="1">
      <c r="A6786" t="inlineStr">
        <is>
          <t>A 11923-2023</t>
        </is>
      </c>
      <c r="B6786" s="1" t="n">
        <v>44995.47401620371</v>
      </c>
      <c r="C6786" s="1" t="n">
        <v>45911</v>
      </c>
      <c r="D6786" t="inlineStr">
        <is>
          <t>GÄVLEBORGS LÄN</t>
        </is>
      </c>
      <c r="E6786" t="inlineStr">
        <is>
          <t>LJUSDAL</t>
        </is>
      </c>
      <c r="F6786" t="inlineStr">
        <is>
          <t>Holmen skog AB</t>
        </is>
      </c>
      <c r="G6786" t="n">
        <v>3.9</v>
      </c>
      <c r="H6786" t="n">
        <v>0</v>
      </c>
      <c r="I6786" t="n">
        <v>0</v>
      </c>
      <c r="J6786" t="n">
        <v>0</v>
      </c>
      <c r="K6786" t="n">
        <v>0</v>
      </c>
      <c r="L6786" t="n">
        <v>0</v>
      </c>
      <c r="M6786" t="n">
        <v>0</v>
      </c>
      <c r="N6786" t="n">
        <v>0</v>
      </c>
      <c r="O6786" t="n">
        <v>0</v>
      </c>
      <c r="P6786" t="n">
        <v>0</v>
      </c>
      <c r="Q6786" t="n">
        <v>0</v>
      </c>
      <c r="R6786" s="2" t="inlineStr"/>
    </row>
    <row r="6787" ht="15" customHeight="1">
      <c r="A6787" t="inlineStr">
        <is>
          <t>A 36158-2025</t>
        </is>
      </c>
      <c r="B6787" s="1" t="n">
        <v>45867.35741898148</v>
      </c>
      <c r="C6787" s="1" t="n">
        <v>45911</v>
      </c>
      <c r="D6787" t="inlineStr">
        <is>
          <t>GÄVLEBORGS LÄN</t>
        </is>
      </c>
      <c r="E6787" t="inlineStr">
        <is>
          <t>OVANÅKER</t>
        </is>
      </c>
      <c r="F6787" t="inlineStr">
        <is>
          <t>Bergvik skog väst AB</t>
        </is>
      </c>
      <c r="G6787" t="n">
        <v>2.8</v>
      </c>
      <c r="H6787" t="n">
        <v>0</v>
      </c>
      <c r="I6787" t="n">
        <v>0</v>
      </c>
      <c r="J6787" t="n">
        <v>0</v>
      </c>
      <c r="K6787" t="n">
        <v>0</v>
      </c>
      <c r="L6787" t="n">
        <v>0</v>
      </c>
      <c r="M6787" t="n">
        <v>0</v>
      </c>
      <c r="N6787" t="n">
        <v>0</v>
      </c>
      <c r="O6787" t="n">
        <v>0</v>
      </c>
      <c r="P6787" t="n">
        <v>0</v>
      </c>
      <c r="Q6787" t="n">
        <v>0</v>
      </c>
      <c r="R6787" s="2" t="inlineStr"/>
    </row>
    <row r="6788" ht="15" customHeight="1">
      <c r="A6788" t="inlineStr">
        <is>
          <t>A 36213-2025</t>
        </is>
      </c>
      <c r="B6788" s="1" t="n">
        <v>45867.48995370371</v>
      </c>
      <c r="C6788" s="1" t="n">
        <v>45911</v>
      </c>
      <c r="D6788" t="inlineStr">
        <is>
          <t>GÄVLEBORGS LÄN</t>
        </is>
      </c>
      <c r="E6788" t="inlineStr">
        <is>
          <t>LJUSDAL</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36234-2025</t>
        </is>
      </c>
      <c r="B6789" s="1" t="n">
        <v>45867.54785879629</v>
      </c>
      <c r="C6789" s="1" t="n">
        <v>45911</v>
      </c>
      <c r="D6789" t="inlineStr">
        <is>
          <t>GÄVLEBORGS LÄN</t>
        </is>
      </c>
      <c r="E6789" t="inlineStr">
        <is>
          <t>BOLLNÄS</t>
        </is>
      </c>
      <c r="G6789" t="n">
        <v>1.9</v>
      </c>
      <c r="H6789" t="n">
        <v>0</v>
      </c>
      <c r="I6789" t="n">
        <v>0</v>
      </c>
      <c r="J6789" t="n">
        <v>0</v>
      </c>
      <c r="K6789" t="n">
        <v>0</v>
      </c>
      <c r="L6789" t="n">
        <v>0</v>
      </c>
      <c r="M6789" t="n">
        <v>0</v>
      </c>
      <c r="N6789" t="n">
        <v>0</v>
      </c>
      <c r="O6789" t="n">
        <v>0</v>
      </c>
      <c r="P6789" t="n">
        <v>0</v>
      </c>
      <c r="Q6789" t="n">
        <v>0</v>
      </c>
      <c r="R6789" s="2" t="inlineStr"/>
    </row>
    <row r="6790" ht="15" customHeight="1">
      <c r="A6790" t="inlineStr">
        <is>
          <t>A 36255-2025</t>
        </is>
      </c>
      <c r="B6790" s="1" t="n">
        <v>45867.58324074074</v>
      </c>
      <c r="C6790" s="1" t="n">
        <v>45911</v>
      </c>
      <c r="D6790" t="inlineStr">
        <is>
          <t>GÄVLEBORGS LÄN</t>
        </is>
      </c>
      <c r="E6790" t="inlineStr">
        <is>
          <t>GÄVLE</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36265-2025</t>
        </is>
      </c>
      <c r="B6791" s="1" t="n">
        <v>45867.61561342593</v>
      </c>
      <c r="C6791" s="1" t="n">
        <v>45911</v>
      </c>
      <c r="D6791" t="inlineStr">
        <is>
          <t>GÄVLEBORGS LÄN</t>
        </is>
      </c>
      <c r="E6791" t="inlineStr">
        <is>
          <t>BOLLNÄS</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19724-2024</t>
        </is>
      </c>
      <c r="B6792" s="1" t="n">
        <v>45432</v>
      </c>
      <c r="C6792" s="1" t="n">
        <v>45911</v>
      </c>
      <c r="D6792" t="inlineStr">
        <is>
          <t>GÄVLEBORGS LÄN</t>
        </is>
      </c>
      <c r="E6792" t="inlineStr">
        <is>
          <t>HUDIKSVALL</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16736-2025</t>
        </is>
      </c>
      <c r="B6793" s="1" t="n">
        <v>45754.54481481481</v>
      </c>
      <c r="C6793" s="1" t="n">
        <v>45911</v>
      </c>
      <c r="D6793" t="inlineStr">
        <is>
          <t>GÄVLEBORGS LÄN</t>
        </is>
      </c>
      <c r="E6793" t="inlineStr">
        <is>
          <t>HUDIKSVALL</t>
        </is>
      </c>
      <c r="G6793" t="n">
        <v>3.4</v>
      </c>
      <c r="H6793" t="n">
        <v>0</v>
      </c>
      <c r="I6793" t="n">
        <v>0</v>
      </c>
      <c r="J6793" t="n">
        <v>0</v>
      </c>
      <c r="K6793" t="n">
        <v>0</v>
      </c>
      <c r="L6793" t="n">
        <v>0</v>
      </c>
      <c r="M6793" t="n">
        <v>0</v>
      </c>
      <c r="N6793" t="n">
        <v>0</v>
      </c>
      <c r="O6793" t="n">
        <v>0</v>
      </c>
      <c r="P6793" t="n">
        <v>0</v>
      </c>
      <c r="Q6793" t="n">
        <v>0</v>
      </c>
      <c r="R6793" s="2" t="inlineStr"/>
    </row>
    <row r="6794" ht="15" customHeight="1">
      <c r="A6794" t="inlineStr">
        <is>
          <t>A 54974-2022</t>
        </is>
      </c>
      <c r="B6794" s="1" t="n">
        <v>44886.48644675926</v>
      </c>
      <c r="C6794" s="1" t="n">
        <v>45911</v>
      </c>
      <c r="D6794" t="inlineStr">
        <is>
          <t>GÄVLEBORGS LÄN</t>
        </is>
      </c>
      <c r="E6794" t="inlineStr">
        <is>
          <t>BOLLNÄS</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35931-2023</t>
        </is>
      </c>
      <c r="B6795" s="1" t="n">
        <v>45148.66540509259</v>
      </c>
      <c r="C6795" s="1" t="n">
        <v>45911</v>
      </c>
      <c r="D6795" t="inlineStr">
        <is>
          <t>GÄVLEBORGS LÄN</t>
        </is>
      </c>
      <c r="E6795" t="inlineStr">
        <is>
          <t>NORDANSTIG</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50053-2022</t>
        </is>
      </c>
      <c r="B6796" s="1" t="n">
        <v>44865.47443287037</v>
      </c>
      <c r="C6796" s="1" t="n">
        <v>45911</v>
      </c>
      <c r="D6796" t="inlineStr">
        <is>
          <t>GÄVLEBORGS LÄN</t>
        </is>
      </c>
      <c r="E6796" t="inlineStr">
        <is>
          <t>BOLLNÄS</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48645-2024</t>
        </is>
      </c>
      <c r="B6797" s="1" t="n">
        <v>45593.47621527778</v>
      </c>
      <c r="C6797" s="1" t="n">
        <v>45911</v>
      </c>
      <c r="D6797" t="inlineStr">
        <is>
          <t>GÄVLEBORGS LÄN</t>
        </is>
      </c>
      <c r="E6797" t="inlineStr">
        <is>
          <t>HUDIKSVALL</t>
        </is>
      </c>
      <c r="G6797" t="n">
        <v>5.9</v>
      </c>
      <c r="H6797" t="n">
        <v>0</v>
      </c>
      <c r="I6797" t="n">
        <v>0</v>
      </c>
      <c r="J6797" t="n">
        <v>0</v>
      </c>
      <c r="K6797" t="n">
        <v>0</v>
      </c>
      <c r="L6797" t="n">
        <v>0</v>
      </c>
      <c r="M6797" t="n">
        <v>0</v>
      </c>
      <c r="N6797" t="n">
        <v>0</v>
      </c>
      <c r="O6797" t="n">
        <v>0</v>
      </c>
      <c r="P6797" t="n">
        <v>0</v>
      </c>
      <c r="Q6797" t="n">
        <v>0</v>
      </c>
      <c r="R6797" s="2" t="inlineStr"/>
    </row>
    <row r="6798" ht="15" customHeight="1">
      <c r="A6798" t="inlineStr">
        <is>
          <t>A 30122-2023</t>
        </is>
      </c>
      <c r="B6798" s="1" t="n">
        <v>45110</v>
      </c>
      <c r="C6798" s="1" t="n">
        <v>45911</v>
      </c>
      <c r="D6798" t="inlineStr">
        <is>
          <t>GÄVLEBORGS LÄN</t>
        </is>
      </c>
      <c r="E6798" t="inlineStr">
        <is>
          <t>HUDIKSVALL</t>
        </is>
      </c>
      <c r="G6798" t="n">
        <v>0.4</v>
      </c>
      <c r="H6798" t="n">
        <v>0</v>
      </c>
      <c r="I6798" t="n">
        <v>0</v>
      </c>
      <c r="J6798" t="n">
        <v>0</v>
      </c>
      <c r="K6798" t="n">
        <v>0</v>
      </c>
      <c r="L6798" t="n">
        <v>0</v>
      </c>
      <c r="M6798" t="n">
        <v>0</v>
      </c>
      <c r="N6798" t="n">
        <v>0</v>
      </c>
      <c r="O6798" t="n">
        <v>0</v>
      </c>
      <c r="P6798" t="n">
        <v>0</v>
      </c>
      <c r="Q6798" t="n">
        <v>0</v>
      </c>
      <c r="R6798" s="2" t="inlineStr"/>
    </row>
    <row r="6799" ht="15" customHeight="1">
      <c r="A6799" t="inlineStr">
        <is>
          <t>A 54972-2024</t>
        </is>
      </c>
      <c r="B6799" s="1" t="n">
        <v>45620.67212962963</v>
      </c>
      <c r="C6799" s="1" t="n">
        <v>45911</v>
      </c>
      <c r="D6799" t="inlineStr">
        <is>
          <t>GÄVLEBORGS LÄN</t>
        </is>
      </c>
      <c r="E6799" t="inlineStr">
        <is>
          <t>HUDIKSVALL</t>
        </is>
      </c>
      <c r="F6799" t="inlineStr">
        <is>
          <t>Holmen skog AB</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33344-2025</t>
        </is>
      </c>
      <c r="B6800" s="1" t="n">
        <v>45841</v>
      </c>
      <c r="C6800" s="1" t="n">
        <v>45911</v>
      </c>
      <c r="D6800" t="inlineStr">
        <is>
          <t>GÄVLEBORGS LÄN</t>
        </is>
      </c>
      <c r="E6800" t="inlineStr">
        <is>
          <t>LJUSDAL</t>
        </is>
      </c>
      <c r="G6800" t="n">
        <v>9.699999999999999</v>
      </c>
      <c r="H6800" t="n">
        <v>0</v>
      </c>
      <c r="I6800" t="n">
        <v>0</v>
      </c>
      <c r="J6800" t="n">
        <v>0</v>
      </c>
      <c r="K6800" t="n">
        <v>0</v>
      </c>
      <c r="L6800" t="n">
        <v>0</v>
      </c>
      <c r="M6800" t="n">
        <v>0</v>
      </c>
      <c r="N6800" t="n">
        <v>0</v>
      </c>
      <c r="O6800" t="n">
        <v>0</v>
      </c>
      <c r="P6800" t="n">
        <v>0</v>
      </c>
      <c r="Q6800" t="n">
        <v>0</v>
      </c>
      <c r="R6800" s="2" t="inlineStr"/>
    </row>
    <row r="6801" ht="15" customHeight="1">
      <c r="A6801" t="inlineStr">
        <is>
          <t>A 39068-2023</t>
        </is>
      </c>
      <c r="B6801" s="1" t="n">
        <v>45163</v>
      </c>
      <c r="C6801" s="1" t="n">
        <v>45911</v>
      </c>
      <c r="D6801" t="inlineStr">
        <is>
          <t>GÄVLEBORGS LÄN</t>
        </is>
      </c>
      <c r="E6801" t="inlineStr">
        <is>
          <t>NORDANSTIG</t>
        </is>
      </c>
      <c r="F6801" t="inlineStr">
        <is>
          <t>SCA</t>
        </is>
      </c>
      <c r="G6801" t="n">
        <v>11.8</v>
      </c>
      <c r="H6801" t="n">
        <v>0</v>
      </c>
      <c r="I6801" t="n">
        <v>0</v>
      </c>
      <c r="J6801" t="n">
        <v>0</v>
      </c>
      <c r="K6801" t="n">
        <v>0</v>
      </c>
      <c r="L6801" t="n">
        <v>0</v>
      </c>
      <c r="M6801" t="n">
        <v>0</v>
      </c>
      <c r="N6801" t="n">
        <v>0</v>
      </c>
      <c r="O6801" t="n">
        <v>0</v>
      </c>
      <c r="P6801" t="n">
        <v>0</v>
      </c>
      <c r="Q6801" t="n">
        <v>0</v>
      </c>
      <c r="R6801" s="2" t="inlineStr"/>
    </row>
    <row r="6802" ht="15" customHeight="1">
      <c r="A6802" t="inlineStr">
        <is>
          <t>A 19954-2023</t>
        </is>
      </c>
      <c r="B6802" s="1" t="n">
        <v>45054.54555555555</v>
      </c>
      <c r="C6802" s="1" t="n">
        <v>45911</v>
      </c>
      <c r="D6802" t="inlineStr">
        <is>
          <t>GÄVLEBORGS LÄN</t>
        </is>
      </c>
      <c r="E6802" t="inlineStr">
        <is>
          <t>LJUSDAL</t>
        </is>
      </c>
      <c r="F6802" t="inlineStr">
        <is>
          <t>Holmen skog AB</t>
        </is>
      </c>
      <c r="G6802" t="n">
        <v>6.1</v>
      </c>
      <c r="H6802" t="n">
        <v>0</v>
      </c>
      <c r="I6802" t="n">
        <v>0</v>
      </c>
      <c r="J6802" t="n">
        <v>0</v>
      </c>
      <c r="K6802" t="n">
        <v>0</v>
      </c>
      <c r="L6802" t="n">
        <v>0</v>
      </c>
      <c r="M6802" t="n">
        <v>0</v>
      </c>
      <c r="N6802" t="n">
        <v>0</v>
      </c>
      <c r="O6802" t="n">
        <v>0</v>
      </c>
      <c r="P6802" t="n">
        <v>0</v>
      </c>
      <c r="Q6802" t="n">
        <v>0</v>
      </c>
      <c r="R6802" s="2" t="inlineStr"/>
    </row>
    <row r="6803" ht="15" customHeight="1">
      <c r="A6803" t="inlineStr">
        <is>
          <t>A 28460-2022</t>
        </is>
      </c>
      <c r="B6803" s="1" t="n">
        <v>44747</v>
      </c>
      <c r="C6803" s="1" t="n">
        <v>45911</v>
      </c>
      <c r="D6803" t="inlineStr">
        <is>
          <t>GÄVLEBORGS LÄN</t>
        </is>
      </c>
      <c r="E6803" t="inlineStr">
        <is>
          <t>LJUSDAL</t>
        </is>
      </c>
      <c r="G6803" t="n">
        <v>4</v>
      </c>
      <c r="H6803" t="n">
        <v>0</v>
      </c>
      <c r="I6803" t="n">
        <v>0</v>
      </c>
      <c r="J6803" t="n">
        <v>0</v>
      </c>
      <c r="K6803" t="n">
        <v>0</v>
      </c>
      <c r="L6803" t="n">
        <v>0</v>
      </c>
      <c r="M6803" t="n">
        <v>0</v>
      </c>
      <c r="N6803" t="n">
        <v>0</v>
      </c>
      <c r="O6803" t="n">
        <v>0</v>
      </c>
      <c r="P6803" t="n">
        <v>0</v>
      </c>
      <c r="Q6803" t="n">
        <v>0</v>
      </c>
      <c r="R6803" s="2" t="inlineStr"/>
    </row>
    <row r="6804" ht="15" customHeight="1">
      <c r="A6804" t="inlineStr">
        <is>
          <t>A 57044-2022</t>
        </is>
      </c>
      <c r="B6804" s="1" t="n">
        <v>44895</v>
      </c>
      <c r="C6804" s="1" t="n">
        <v>45911</v>
      </c>
      <c r="D6804" t="inlineStr">
        <is>
          <t>GÄVLEBORGS LÄN</t>
        </is>
      </c>
      <c r="E6804" t="inlineStr">
        <is>
          <t>SÖDERHAMN</t>
        </is>
      </c>
      <c r="G6804" t="n">
        <v>2</v>
      </c>
      <c r="H6804" t="n">
        <v>0</v>
      </c>
      <c r="I6804" t="n">
        <v>0</v>
      </c>
      <c r="J6804" t="n">
        <v>0</v>
      </c>
      <c r="K6804" t="n">
        <v>0</v>
      </c>
      <c r="L6804" t="n">
        <v>0</v>
      </c>
      <c r="M6804" t="n">
        <v>0</v>
      </c>
      <c r="N6804" t="n">
        <v>0</v>
      </c>
      <c r="O6804" t="n">
        <v>0</v>
      </c>
      <c r="P6804" t="n">
        <v>0</v>
      </c>
      <c r="Q6804" t="n">
        <v>0</v>
      </c>
      <c r="R6804" s="2" t="inlineStr"/>
    </row>
    <row r="6805" ht="15" customHeight="1">
      <c r="A6805" t="inlineStr">
        <is>
          <t>A 44109-2023</t>
        </is>
      </c>
      <c r="B6805" s="1" t="n">
        <v>45188.43717592592</v>
      </c>
      <c r="C6805" s="1" t="n">
        <v>45911</v>
      </c>
      <c r="D6805" t="inlineStr">
        <is>
          <t>GÄVLEBORGS LÄN</t>
        </is>
      </c>
      <c r="E6805" t="inlineStr">
        <is>
          <t>HUDIKSVALL</t>
        </is>
      </c>
      <c r="F6805" t="inlineStr">
        <is>
          <t>Holmen skog AB</t>
        </is>
      </c>
      <c r="G6805" t="n">
        <v>7.2</v>
      </c>
      <c r="H6805" t="n">
        <v>0</v>
      </c>
      <c r="I6805" t="n">
        <v>0</v>
      </c>
      <c r="J6805" t="n">
        <v>0</v>
      </c>
      <c r="K6805" t="n">
        <v>0</v>
      </c>
      <c r="L6805" t="n">
        <v>0</v>
      </c>
      <c r="M6805" t="n">
        <v>0</v>
      </c>
      <c r="N6805" t="n">
        <v>0</v>
      </c>
      <c r="O6805" t="n">
        <v>0</v>
      </c>
      <c r="P6805" t="n">
        <v>0</v>
      </c>
      <c r="Q6805" t="n">
        <v>0</v>
      </c>
      <c r="R6805" s="2" t="inlineStr"/>
    </row>
    <row r="6806" ht="15" customHeight="1">
      <c r="A6806" t="inlineStr">
        <is>
          <t>A 36231-2025</t>
        </is>
      </c>
      <c r="B6806" s="1" t="n">
        <v>45867.5446875</v>
      </c>
      <c r="C6806" s="1" t="n">
        <v>45911</v>
      </c>
      <c r="D6806" t="inlineStr">
        <is>
          <t>GÄVLEBORGS LÄN</t>
        </is>
      </c>
      <c r="E6806" t="inlineStr">
        <is>
          <t>BOLLNÄS</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36404-2025</t>
        </is>
      </c>
      <c r="B6807" s="1" t="n">
        <v>45868.66592592592</v>
      </c>
      <c r="C6807" s="1" t="n">
        <v>45911</v>
      </c>
      <c r="D6807" t="inlineStr">
        <is>
          <t>GÄVLEBORGS LÄN</t>
        </is>
      </c>
      <c r="E6807" t="inlineStr">
        <is>
          <t>OVANÅKER</t>
        </is>
      </c>
      <c r="G6807" t="n">
        <v>2.5</v>
      </c>
      <c r="H6807" t="n">
        <v>0</v>
      </c>
      <c r="I6807" t="n">
        <v>0</v>
      </c>
      <c r="J6807" t="n">
        <v>0</v>
      </c>
      <c r="K6807" t="n">
        <v>0</v>
      </c>
      <c r="L6807" t="n">
        <v>0</v>
      </c>
      <c r="M6807" t="n">
        <v>0</v>
      </c>
      <c r="N6807" t="n">
        <v>0</v>
      </c>
      <c r="O6807" t="n">
        <v>0</v>
      </c>
      <c r="P6807" t="n">
        <v>0</v>
      </c>
      <c r="Q6807" t="n">
        <v>0</v>
      </c>
      <c r="R6807" s="2" t="inlineStr"/>
    </row>
    <row r="6808" ht="15" customHeight="1">
      <c r="A6808" t="inlineStr">
        <is>
          <t>A 17405-2025</t>
        </is>
      </c>
      <c r="B6808" s="1" t="n">
        <v>45757.36209490741</v>
      </c>
      <c r="C6808" s="1" t="n">
        <v>45911</v>
      </c>
      <c r="D6808" t="inlineStr">
        <is>
          <t>GÄVLEBORGS LÄN</t>
        </is>
      </c>
      <c r="E6808" t="inlineStr">
        <is>
          <t>SANDVIKEN</t>
        </is>
      </c>
      <c r="F6808" t="inlineStr">
        <is>
          <t>Bergvik skog öst AB</t>
        </is>
      </c>
      <c r="G6808" t="n">
        <v>2.5</v>
      </c>
      <c r="H6808" t="n">
        <v>0</v>
      </c>
      <c r="I6808" t="n">
        <v>0</v>
      </c>
      <c r="J6808" t="n">
        <v>0</v>
      </c>
      <c r="K6808" t="n">
        <v>0</v>
      </c>
      <c r="L6808" t="n">
        <v>0</v>
      </c>
      <c r="M6808" t="n">
        <v>0</v>
      </c>
      <c r="N6808" t="n">
        <v>0</v>
      </c>
      <c r="O6808" t="n">
        <v>0</v>
      </c>
      <c r="P6808" t="n">
        <v>0</v>
      </c>
      <c r="Q6808" t="n">
        <v>0</v>
      </c>
      <c r="R6808" s="2" t="inlineStr"/>
    </row>
    <row r="6809" ht="15" customHeight="1">
      <c r="A6809" t="inlineStr">
        <is>
          <t>A 24032-2024</t>
        </is>
      </c>
      <c r="B6809" s="1" t="n">
        <v>45456.46153935185</v>
      </c>
      <c r="C6809" s="1" t="n">
        <v>45911</v>
      </c>
      <c r="D6809" t="inlineStr">
        <is>
          <t>GÄVLEBORGS LÄN</t>
        </is>
      </c>
      <c r="E6809" t="inlineStr">
        <is>
          <t>OVANÅKER</t>
        </is>
      </c>
      <c r="F6809" t="inlineStr">
        <is>
          <t>Bergvik skog väst AB</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24033-2024</t>
        </is>
      </c>
      <c r="B6810" s="1" t="n">
        <v>45456.46658564815</v>
      </c>
      <c r="C6810" s="1" t="n">
        <v>45911</v>
      </c>
      <c r="D6810" t="inlineStr">
        <is>
          <t>GÄVLEBORGS LÄN</t>
        </is>
      </c>
      <c r="E6810" t="inlineStr">
        <is>
          <t>HUDIKSVALL</t>
        </is>
      </c>
      <c r="F6810" t="inlineStr">
        <is>
          <t>Holmen skog AB</t>
        </is>
      </c>
      <c r="G6810" t="n">
        <v>22.8</v>
      </c>
      <c r="H6810" t="n">
        <v>0</v>
      </c>
      <c r="I6810" t="n">
        <v>0</v>
      </c>
      <c r="J6810" t="n">
        <v>0</v>
      </c>
      <c r="K6810" t="n">
        <v>0</v>
      </c>
      <c r="L6810" t="n">
        <v>0</v>
      </c>
      <c r="M6810" t="n">
        <v>0</v>
      </c>
      <c r="N6810" t="n">
        <v>0</v>
      </c>
      <c r="O6810" t="n">
        <v>0</v>
      </c>
      <c r="P6810" t="n">
        <v>0</v>
      </c>
      <c r="Q6810" t="n">
        <v>0</v>
      </c>
      <c r="R6810" s="2" t="inlineStr"/>
    </row>
    <row r="6811" ht="15" customHeight="1">
      <c r="A6811" t="inlineStr">
        <is>
          <t>A 16623-2025</t>
        </is>
      </c>
      <c r="B6811" s="1" t="n">
        <v>45754.34134259259</v>
      </c>
      <c r="C6811" s="1" t="n">
        <v>45911</v>
      </c>
      <c r="D6811" t="inlineStr">
        <is>
          <t>GÄVLEBORGS LÄN</t>
        </is>
      </c>
      <c r="E6811" t="inlineStr">
        <is>
          <t>OCKELBO</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16629-2025</t>
        </is>
      </c>
      <c r="B6812" s="1" t="n">
        <v>45754.36008101852</v>
      </c>
      <c r="C6812" s="1" t="n">
        <v>45911</v>
      </c>
      <c r="D6812" t="inlineStr">
        <is>
          <t>GÄVLEBORGS LÄN</t>
        </is>
      </c>
      <c r="E6812" t="inlineStr">
        <is>
          <t>OCKELBO</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17401-2025</t>
        </is>
      </c>
      <c r="B6813" s="1" t="n">
        <v>45757.35046296296</v>
      </c>
      <c r="C6813" s="1" t="n">
        <v>45911</v>
      </c>
      <c r="D6813" t="inlineStr">
        <is>
          <t>GÄVLEBORGS LÄN</t>
        </is>
      </c>
      <c r="E6813" t="inlineStr">
        <is>
          <t>BOLLNÄS</t>
        </is>
      </c>
      <c r="G6813" t="n">
        <v>2.6</v>
      </c>
      <c r="H6813" t="n">
        <v>0</v>
      </c>
      <c r="I6813" t="n">
        <v>0</v>
      </c>
      <c r="J6813" t="n">
        <v>0</v>
      </c>
      <c r="K6813" t="n">
        <v>0</v>
      </c>
      <c r="L6813" t="n">
        <v>0</v>
      </c>
      <c r="M6813" t="n">
        <v>0</v>
      </c>
      <c r="N6813" t="n">
        <v>0</v>
      </c>
      <c r="O6813" t="n">
        <v>0</v>
      </c>
      <c r="P6813" t="n">
        <v>0</v>
      </c>
      <c r="Q6813" t="n">
        <v>0</v>
      </c>
      <c r="R6813" s="2" t="inlineStr"/>
    </row>
    <row r="6814" ht="15" customHeight="1">
      <c r="A6814" t="inlineStr">
        <is>
          <t>A 17404-2025</t>
        </is>
      </c>
      <c r="B6814" s="1" t="n">
        <v>45757.35831018518</v>
      </c>
      <c r="C6814" s="1" t="n">
        <v>45911</v>
      </c>
      <c r="D6814" t="inlineStr">
        <is>
          <t>GÄVLEBORGS LÄN</t>
        </is>
      </c>
      <c r="E6814" t="inlineStr">
        <is>
          <t>GÄVLE</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22646-2022</t>
        </is>
      </c>
      <c r="B6815" s="1" t="n">
        <v>44714.4553125</v>
      </c>
      <c r="C6815" s="1" t="n">
        <v>45911</v>
      </c>
      <c r="D6815" t="inlineStr">
        <is>
          <t>GÄVLEBORGS LÄN</t>
        </is>
      </c>
      <c r="E6815" t="inlineStr">
        <is>
          <t>BOLLNÄS</t>
        </is>
      </c>
      <c r="F6815" t="inlineStr">
        <is>
          <t>Bergvik skog väst AB</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36629-2023</t>
        </is>
      </c>
      <c r="B6816" s="1" t="n">
        <v>45153.53344907407</v>
      </c>
      <c r="C6816" s="1" t="n">
        <v>45911</v>
      </c>
      <c r="D6816" t="inlineStr">
        <is>
          <t>GÄVLEBORGS LÄN</t>
        </is>
      </c>
      <c r="E6816" t="inlineStr">
        <is>
          <t>BOLLNÄS</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36699-2023</t>
        </is>
      </c>
      <c r="B6817" s="1" t="n">
        <v>45153.63834490741</v>
      </c>
      <c r="C6817" s="1" t="n">
        <v>45911</v>
      </c>
      <c r="D6817" t="inlineStr">
        <is>
          <t>GÄVLEBORGS LÄN</t>
        </is>
      </c>
      <c r="E6817" t="inlineStr">
        <is>
          <t>BOLLNÄS</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53517-2020</t>
        </is>
      </c>
      <c r="B6818" s="1" t="n">
        <v>44124</v>
      </c>
      <c r="C6818" s="1" t="n">
        <v>45911</v>
      </c>
      <c r="D6818" t="inlineStr">
        <is>
          <t>GÄVLEBORGS LÄN</t>
        </is>
      </c>
      <c r="E6818" t="inlineStr">
        <is>
          <t>GÄVLE</t>
        </is>
      </c>
      <c r="F6818" t="inlineStr">
        <is>
          <t>Bergvik skog öst AB</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44418-2024</t>
        </is>
      </c>
      <c r="B6819" s="1" t="n">
        <v>45573.83903935185</v>
      </c>
      <c r="C6819" s="1" t="n">
        <v>45911</v>
      </c>
      <c r="D6819" t="inlineStr">
        <is>
          <t>GÄVLEBORGS LÄN</t>
        </is>
      </c>
      <c r="E6819" t="inlineStr">
        <is>
          <t>OVANÅKER</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36794-2023</t>
        </is>
      </c>
      <c r="B6820" s="1" t="n">
        <v>45154</v>
      </c>
      <c r="C6820" s="1" t="n">
        <v>45911</v>
      </c>
      <c r="D6820" t="inlineStr">
        <is>
          <t>GÄVLEBORGS LÄN</t>
        </is>
      </c>
      <c r="E6820" t="inlineStr">
        <is>
          <t>OVANÅKER</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36184-2025</t>
        </is>
      </c>
      <c r="B6821" s="1" t="n">
        <v>45867.41747685185</v>
      </c>
      <c r="C6821" s="1" t="n">
        <v>45911</v>
      </c>
      <c r="D6821" t="inlineStr">
        <is>
          <t>GÄVLEBORGS LÄN</t>
        </is>
      </c>
      <c r="E6821" t="inlineStr">
        <is>
          <t>OVANÅKER</t>
        </is>
      </c>
      <c r="F6821" t="inlineStr">
        <is>
          <t>Bergvik skog väst AB</t>
        </is>
      </c>
      <c r="G6821" t="n">
        <v>8.199999999999999</v>
      </c>
      <c r="H6821" t="n">
        <v>0</v>
      </c>
      <c r="I6821" t="n">
        <v>0</v>
      </c>
      <c r="J6821" t="n">
        <v>0</v>
      </c>
      <c r="K6821" t="n">
        <v>0</v>
      </c>
      <c r="L6821" t="n">
        <v>0</v>
      </c>
      <c r="M6821" t="n">
        <v>0</v>
      </c>
      <c r="N6821" t="n">
        <v>0</v>
      </c>
      <c r="O6821" t="n">
        <v>0</v>
      </c>
      <c r="P6821" t="n">
        <v>0</v>
      </c>
      <c r="Q6821" t="n">
        <v>0</v>
      </c>
      <c r="R6821" s="2" t="inlineStr"/>
    </row>
    <row r="6822" ht="15" customHeight="1">
      <c r="A6822" t="inlineStr">
        <is>
          <t>A 42980-2025</t>
        </is>
      </c>
      <c r="B6822" s="1" t="n">
        <v>45909</v>
      </c>
      <c r="C6822" s="1" t="n">
        <v>45911</v>
      </c>
      <c r="D6822" t="inlineStr">
        <is>
          <t>GÄVLEBORGS LÄN</t>
        </is>
      </c>
      <c r="E6822" t="inlineStr">
        <is>
          <t>NORDANSTIG</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3645-2025</t>
        </is>
      </c>
      <c r="B6823" s="1" t="n">
        <v>45681.39703703704</v>
      </c>
      <c r="C6823" s="1" t="n">
        <v>45911</v>
      </c>
      <c r="D6823" t="inlineStr">
        <is>
          <t>GÄVLEBORGS LÄN</t>
        </is>
      </c>
      <c r="E6823" t="inlineStr">
        <is>
          <t>NORDANSTIG</t>
        </is>
      </c>
      <c r="F6823" t="inlineStr">
        <is>
          <t>Holmen skog AB</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58074-2024</t>
        </is>
      </c>
      <c r="B6824" s="1" t="n">
        <v>45632.28496527778</v>
      </c>
      <c r="C6824" s="1" t="n">
        <v>45911</v>
      </c>
      <c r="D6824" t="inlineStr">
        <is>
          <t>GÄVLEBORGS LÄN</t>
        </is>
      </c>
      <c r="E6824" t="inlineStr">
        <is>
          <t>SÖDERHAMN</t>
        </is>
      </c>
      <c r="F6824" t="inlineStr">
        <is>
          <t>Bergvik skog väst AB</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36263-2025</t>
        </is>
      </c>
      <c r="B6825" s="1" t="n">
        <v>45867.61510416667</v>
      </c>
      <c r="C6825" s="1" t="n">
        <v>45911</v>
      </c>
      <c r="D6825" t="inlineStr">
        <is>
          <t>GÄVLEBORGS LÄN</t>
        </is>
      </c>
      <c r="E6825" t="inlineStr">
        <is>
          <t>LJUSDAL</t>
        </is>
      </c>
      <c r="F6825" t="inlineStr">
        <is>
          <t>Naturvårdsverket</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43277-2025</t>
        </is>
      </c>
      <c r="B6826" s="1" t="n">
        <v>45910.59302083333</v>
      </c>
      <c r="C6826" s="1" t="n">
        <v>45911</v>
      </c>
      <c r="D6826" t="inlineStr">
        <is>
          <t>GÄVLEBORGS LÄN</t>
        </is>
      </c>
      <c r="E6826" t="inlineStr">
        <is>
          <t>LJUSDAL</t>
        </is>
      </c>
      <c r="F6826" t="inlineStr">
        <is>
          <t>Allmännings- och besparingsskogar</t>
        </is>
      </c>
      <c r="G6826" t="n">
        <v>2.7</v>
      </c>
      <c r="H6826" t="n">
        <v>0</v>
      </c>
      <c r="I6826" t="n">
        <v>0</v>
      </c>
      <c r="J6826" t="n">
        <v>0</v>
      </c>
      <c r="K6826" t="n">
        <v>0</v>
      </c>
      <c r="L6826" t="n">
        <v>0</v>
      </c>
      <c r="M6826" t="n">
        <v>0</v>
      </c>
      <c r="N6826" t="n">
        <v>0</v>
      </c>
      <c r="O6826" t="n">
        <v>0</v>
      </c>
      <c r="P6826" t="n">
        <v>0</v>
      </c>
      <c r="Q6826" t="n">
        <v>0</v>
      </c>
      <c r="R6826" s="2" t="inlineStr"/>
    </row>
    <row r="6827" ht="15" customHeight="1">
      <c r="A6827" t="inlineStr">
        <is>
          <t>A 42934-2025</t>
        </is>
      </c>
      <c r="B6827" s="1" t="n">
        <v>45909.32261574074</v>
      </c>
      <c r="C6827" s="1" t="n">
        <v>45911</v>
      </c>
      <c r="D6827" t="inlineStr">
        <is>
          <t>GÄVLEBORGS LÄN</t>
        </is>
      </c>
      <c r="E6827" t="inlineStr">
        <is>
          <t>HUDIKSVALL</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18313-2025</t>
        </is>
      </c>
      <c r="B6828" s="1" t="n">
        <v>45762.44820601852</v>
      </c>
      <c r="C6828" s="1" t="n">
        <v>45911</v>
      </c>
      <c r="D6828" t="inlineStr">
        <is>
          <t>GÄVLEBORGS LÄN</t>
        </is>
      </c>
      <c r="E6828" t="inlineStr">
        <is>
          <t>HUDIKSVALL</t>
        </is>
      </c>
      <c r="G6828" t="n">
        <v>2.8</v>
      </c>
      <c r="H6828" t="n">
        <v>0</v>
      </c>
      <c r="I6828" t="n">
        <v>0</v>
      </c>
      <c r="J6828" t="n">
        <v>0</v>
      </c>
      <c r="K6828" t="n">
        <v>0</v>
      </c>
      <c r="L6828" t="n">
        <v>0</v>
      </c>
      <c r="M6828" t="n">
        <v>0</v>
      </c>
      <c r="N6828" t="n">
        <v>0</v>
      </c>
      <c r="O6828" t="n">
        <v>0</v>
      </c>
      <c r="P6828" t="n">
        <v>0</v>
      </c>
      <c r="Q6828" t="n">
        <v>0</v>
      </c>
      <c r="R6828" s="2" t="inlineStr"/>
    </row>
    <row r="6829" ht="15" customHeight="1">
      <c r="A6829" t="inlineStr">
        <is>
          <t>A 14955-2023</t>
        </is>
      </c>
      <c r="B6829" s="1" t="n">
        <v>45015</v>
      </c>
      <c r="C6829" s="1" t="n">
        <v>45911</v>
      </c>
      <c r="D6829" t="inlineStr">
        <is>
          <t>GÄVLEBORGS LÄN</t>
        </is>
      </c>
      <c r="E6829" t="inlineStr">
        <is>
          <t>HUDIKSVALL</t>
        </is>
      </c>
      <c r="G6829" t="n">
        <v>9.699999999999999</v>
      </c>
      <c r="H6829" t="n">
        <v>0</v>
      </c>
      <c r="I6829" t="n">
        <v>0</v>
      </c>
      <c r="J6829" t="n">
        <v>0</v>
      </c>
      <c r="K6829" t="n">
        <v>0</v>
      </c>
      <c r="L6829" t="n">
        <v>0</v>
      </c>
      <c r="M6829" t="n">
        <v>0</v>
      </c>
      <c r="N6829" t="n">
        <v>0</v>
      </c>
      <c r="O6829" t="n">
        <v>0</v>
      </c>
      <c r="P6829" t="n">
        <v>0</v>
      </c>
      <c r="Q6829" t="n">
        <v>0</v>
      </c>
      <c r="R6829" s="2" t="inlineStr"/>
    </row>
    <row r="6830" ht="15" customHeight="1">
      <c r="A6830" t="inlineStr">
        <is>
          <t>A 44020-2023</t>
        </is>
      </c>
      <c r="B6830" s="1" t="n">
        <v>45188</v>
      </c>
      <c r="C6830" s="1" t="n">
        <v>45911</v>
      </c>
      <c r="D6830" t="inlineStr">
        <is>
          <t>GÄVLEBORGS LÄN</t>
        </is>
      </c>
      <c r="E6830" t="inlineStr">
        <is>
          <t>LJUSDAL</t>
        </is>
      </c>
      <c r="F6830" t="inlineStr">
        <is>
          <t>Sveaskog</t>
        </is>
      </c>
      <c r="G6830" t="n">
        <v>3</v>
      </c>
      <c r="H6830" t="n">
        <v>0</v>
      </c>
      <c r="I6830" t="n">
        <v>0</v>
      </c>
      <c r="J6830" t="n">
        <v>0</v>
      </c>
      <c r="K6830" t="n">
        <v>0</v>
      </c>
      <c r="L6830" t="n">
        <v>0</v>
      </c>
      <c r="M6830" t="n">
        <v>0</v>
      </c>
      <c r="N6830" t="n">
        <v>0</v>
      </c>
      <c r="O6830" t="n">
        <v>0</v>
      </c>
      <c r="P6830" t="n">
        <v>0</v>
      </c>
      <c r="Q6830" t="n">
        <v>0</v>
      </c>
      <c r="R6830" s="2" t="inlineStr"/>
    </row>
    <row r="6831" ht="15" customHeight="1">
      <c r="A6831" t="inlineStr">
        <is>
          <t>A 36417-2025</t>
        </is>
      </c>
      <c r="B6831" s="1" t="n">
        <v>45868.70127314814</v>
      </c>
      <c r="C6831" s="1" t="n">
        <v>45911</v>
      </c>
      <c r="D6831" t="inlineStr">
        <is>
          <t>GÄVLEBORGS LÄN</t>
        </is>
      </c>
      <c r="E6831" t="inlineStr">
        <is>
          <t>SANDVIKEN</t>
        </is>
      </c>
      <c r="F6831" t="inlineStr">
        <is>
          <t>Sveaskog</t>
        </is>
      </c>
      <c r="G6831" t="n">
        <v>3.9</v>
      </c>
      <c r="H6831" t="n">
        <v>0</v>
      </c>
      <c r="I6831" t="n">
        <v>0</v>
      </c>
      <c r="J6831" t="n">
        <v>0</v>
      </c>
      <c r="K6831" t="n">
        <v>0</v>
      </c>
      <c r="L6831" t="n">
        <v>0</v>
      </c>
      <c r="M6831" t="n">
        <v>0</v>
      </c>
      <c r="N6831" t="n">
        <v>0</v>
      </c>
      <c r="O6831" t="n">
        <v>0</v>
      </c>
      <c r="P6831" t="n">
        <v>0</v>
      </c>
      <c r="Q6831" t="n">
        <v>0</v>
      </c>
      <c r="R6831" s="2" t="inlineStr"/>
      <c r="U6831">
        <f>HYPERLINK("https://klasma.github.io/Logging_2181/knärot/A 36417-2025 karta knärot.png", "A 36417-2025")</f>
        <v/>
      </c>
      <c r="V6831">
        <f>HYPERLINK("https://klasma.github.io/Logging_2181/klagomål/A 36417-2025 FSC-klagomål.docx", "A 36417-2025")</f>
        <v/>
      </c>
      <c r="W6831">
        <f>HYPERLINK("https://klasma.github.io/Logging_2181/klagomålsmail/A 36417-2025 FSC-klagomål mail.docx", "A 36417-2025")</f>
        <v/>
      </c>
      <c r="X6831">
        <f>HYPERLINK("https://klasma.github.io/Logging_2181/tillsyn/A 36417-2025 tillsynsbegäran.docx", "A 36417-2025")</f>
        <v/>
      </c>
      <c r="Y6831">
        <f>HYPERLINK("https://klasma.github.io/Logging_2181/tillsynsmail/A 36417-2025 tillsynsbegäran mail.docx", "A 36417-2025")</f>
        <v/>
      </c>
    </row>
    <row r="6832" ht="15" customHeight="1">
      <c r="A6832" t="inlineStr">
        <is>
          <t>A 26547-2024</t>
        </is>
      </c>
      <c r="B6832" s="1" t="n">
        <v>45469.61952546296</v>
      </c>
      <c r="C6832" s="1" t="n">
        <v>45911</v>
      </c>
      <c r="D6832" t="inlineStr">
        <is>
          <t>GÄVLEBORGS LÄN</t>
        </is>
      </c>
      <c r="E6832" t="inlineStr">
        <is>
          <t>HUDIKSVALL</t>
        </is>
      </c>
      <c r="F6832" t="inlineStr">
        <is>
          <t>Holmen skog AB</t>
        </is>
      </c>
      <c r="G6832" t="n">
        <v>4</v>
      </c>
      <c r="H6832" t="n">
        <v>0</v>
      </c>
      <c r="I6832" t="n">
        <v>0</v>
      </c>
      <c r="J6832" t="n">
        <v>0</v>
      </c>
      <c r="K6832" t="n">
        <v>0</v>
      </c>
      <c r="L6832" t="n">
        <v>0</v>
      </c>
      <c r="M6832" t="n">
        <v>0</v>
      </c>
      <c r="N6832" t="n">
        <v>0</v>
      </c>
      <c r="O6832" t="n">
        <v>0</v>
      </c>
      <c r="P6832" t="n">
        <v>0</v>
      </c>
      <c r="Q6832" t="n">
        <v>0</v>
      </c>
      <c r="R6832" s="2" t="inlineStr"/>
    </row>
    <row r="6833" ht="15" customHeight="1">
      <c r="A6833" t="inlineStr">
        <is>
          <t>A 34641-2025</t>
        </is>
      </c>
      <c r="B6833" s="1" t="n">
        <v>45848</v>
      </c>
      <c r="C6833" s="1" t="n">
        <v>45911</v>
      </c>
      <c r="D6833" t="inlineStr">
        <is>
          <t>GÄVLEBORGS LÄN</t>
        </is>
      </c>
      <c r="E6833" t="inlineStr">
        <is>
          <t>LJUSDAL</t>
        </is>
      </c>
      <c r="F6833" t="inlineStr">
        <is>
          <t>Bergvik skog väst AB</t>
        </is>
      </c>
      <c r="G6833" t="n">
        <v>2.8</v>
      </c>
      <c r="H6833" t="n">
        <v>0</v>
      </c>
      <c r="I6833" t="n">
        <v>0</v>
      </c>
      <c r="J6833" t="n">
        <v>0</v>
      </c>
      <c r="K6833" t="n">
        <v>0</v>
      </c>
      <c r="L6833" t="n">
        <v>0</v>
      </c>
      <c r="M6833" t="n">
        <v>0</v>
      </c>
      <c r="N6833" t="n">
        <v>0</v>
      </c>
      <c r="O6833" t="n">
        <v>0</v>
      </c>
      <c r="P6833" t="n">
        <v>0</v>
      </c>
      <c r="Q6833" t="n">
        <v>0</v>
      </c>
      <c r="R6833" s="2" t="inlineStr"/>
    </row>
    <row r="6834" ht="15" customHeight="1">
      <c r="A6834" t="inlineStr">
        <is>
          <t>A 54820-2024</t>
        </is>
      </c>
      <c r="B6834" s="1" t="n">
        <v>45618.53278935186</v>
      </c>
      <c r="C6834" s="1" t="n">
        <v>45911</v>
      </c>
      <c r="D6834" t="inlineStr">
        <is>
          <t>GÄVLEBORGS LÄN</t>
        </is>
      </c>
      <c r="E6834" t="inlineStr">
        <is>
          <t>LJUSDAL</t>
        </is>
      </c>
      <c r="G6834" t="n">
        <v>2.8</v>
      </c>
      <c r="H6834" t="n">
        <v>0</v>
      </c>
      <c r="I6834" t="n">
        <v>0</v>
      </c>
      <c r="J6834" t="n">
        <v>0</v>
      </c>
      <c r="K6834" t="n">
        <v>0</v>
      </c>
      <c r="L6834" t="n">
        <v>0</v>
      </c>
      <c r="M6834" t="n">
        <v>0</v>
      </c>
      <c r="N6834" t="n">
        <v>0</v>
      </c>
      <c r="O6834" t="n">
        <v>0</v>
      </c>
      <c r="P6834" t="n">
        <v>0</v>
      </c>
      <c r="Q6834" t="n">
        <v>0</v>
      </c>
      <c r="R6834" s="2" t="inlineStr"/>
    </row>
    <row r="6835" ht="15" customHeight="1">
      <c r="A6835" t="inlineStr">
        <is>
          <t>A 38558-2023</t>
        </is>
      </c>
      <c r="B6835" s="1" t="n">
        <v>45162.60410879629</v>
      </c>
      <c r="C6835" s="1" t="n">
        <v>45911</v>
      </c>
      <c r="D6835" t="inlineStr">
        <is>
          <t>GÄVLEBORGS LÄN</t>
        </is>
      </c>
      <c r="E6835" t="inlineStr">
        <is>
          <t>GÄVLE</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42930-2025</t>
        </is>
      </c>
      <c r="B6836" s="1" t="n">
        <v>45909.30883101852</v>
      </c>
      <c r="C6836" s="1" t="n">
        <v>45911</v>
      </c>
      <c r="D6836" t="inlineStr">
        <is>
          <t>GÄVLEBORGS LÄN</t>
        </is>
      </c>
      <c r="E6836" t="inlineStr">
        <is>
          <t>NORDANSTIG</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29367-2025</t>
        </is>
      </c>
      <c r="B6837" s="1" t="n">
        <v>45824.57157407407</v>
      </c>
      <c r="C6837" s="1" t="n">
        <v>45911</v>
      </c>
      <c r="D6837" t="inlineStr">
        <is>
          <t>GÄVLEBORGS LÄN</t>
        </is>
      </c>
      <c r="E6837" t="inlineStr">
        <is>
          <t>LJUSDAL</t>
        </is>
      </c>
      <c r="G6837" t="n">
        <v>7.2</v>
      </c>
      <c r="H6837" t="n">
        <v>0</v>
      </c>
      <c r="I6837" t="n">
        <v>0</v>
      </c>
      <c r="J6837" t="n">
        <v>0</v>
      </c>
      <c r="K6837" t="n">
        <v>0</v>
      </c>
      <c r="L6837" t="n">
        <v>0</v>
      </c>
      <c r="M6837" t="n">
        <v>0</v>
      </c>
      <c r="N6837" t="n">
        <v>0</v>
      </c>
      <c r="O6837" t="n">
        <v>0</v>
      </c>
      <c r="P6837" t="n">
        <v>0</v>
      </c>
      <c r="Q6837" t="n">
        <v>0</v>
      </c>
      <c r="R6837" s="2" t="inlineStr"/>
    </row>
    <row r="6838" ht="15" customHeight="1">
      <c r="A6838" t="inlineStr">
        <is>
          <t>A 51525-2023</t>
        </is>
      </c>
      <c r="B6838" s="1" t="n">
        <v>45222.39458333333</v>
      </c>
      <c r="C6838" s="1" t="n">
        <v>45911</v>
      </c>
      <c r="D6838" t="inlineStr">
        <is>
          <t>GÄVLEBORGS LÄN</t>
        </is>
      </c>
      <c r="E6838" t="inlineStr">
        <is>
          <t>LJUSDAL</t>
        </is>
      </c>
      <c r="G6838" t="n">
        <v>3.7</v>
      </c>
      <c r="H6838" t="n">
        <v>0</v>
      </c>
      <c r="I6838" t="n">
        <v>0</v>
      </c>
      <c r="J6838" t="n">
        <v>0</v>
      </c>
      <c r="K6838" t="n">
        <v>0</v>
      </c>
      <c r="L6838" t="n">
        <v>0</v>
      </c>
      <c r="M6838" t="n">
        <v>0</v>
      </c>
      <c r="N6838" t="n">
        <v>0</v>
      </c>
      <c r="O6838" t="n">
        <v>0</v>
      </c>
      <c r="P6838" t="n">
        <v>0</v>
      </c>
      <c r="Q6838" t="n">
        <v>0</v>
      </c>
      <c r="R6838" s="2" t="inlineStr"/>
    </row>
    <row r="6839" ht="15" customHeight="1">
      <c r="A6839" t="inlineStr">
        <is>
          <t>A 36227-2025</t>
        </is>
      </c>
      <c r="B6839" s="1" t="n">
        <v>45867.53137731482</v>
      </c>
      <c r="C6839" s="1" t="n">
        <v>45911</v>
      </c>
      <c r="D6839" t="inlineStr">
        <is>
          <t>GÄVLEBORGS LÄN</t>
        </is>
      </c>
      <c r="E6839" t="inlineStr">
        <is>
          <t>LJUSDAL</t>
        </is>
      </c>
      <c r="G6839" t="n">
        <v>13.5</v>
      </c>
      <c r="H6839" t="n">
        <v>0</v>
      </c>
      <c r="I6839" t="n">
        <v>0</v>
      </c>
      <c r="J6839" t="n">
        <v>0</v>
      </c>
      <c r="K6839" t="n">
        <v>0</v>
      </c>
      <c r="L6839" t="n">
        <v>0</v>
      </c>
      <c r="M6839" t="n">
        <v>0</v>
      </c>
      <c r="N6839" t="n">
        <v>0</v>
      </c>
      <c r="O6839" t="n">
        <v>0</v>
      </c>
      <c r="P6839" t="n">
        <v>0</v>
      </c>
      <c r="Q6839" t="n">
        <v>0</v>
      </c>
      <c r="R6839" s="2" t="inlineStr"/>
    </row>
    <row r="6840" ht="15" customHeight="1">
      <c r="A6840" t="inlineStr">
        <is>
          <t>A 36170-2025</t>
        </is>
      </c>
      <c r="B6840" s="1" t="n">
        <v>45867.38659722222</v>
      </c>
      <c r="C6840" s="1" t="n">
        <v>45911</v>
      </c>
      <c r="D6840" t="inlineStr">
        <is>
          <t>GÄVLEBORGS LÄN</t>
        </is>
      </c>
      <c r="E6840" t="inlineStr">
        <is>
          <t>LJUSDAL</t>
        </is>
      </c>
      <c r="G6840" t="n">
        <v>6.3</v>
      </c>
      <c r="H6840" t="n">
        <v>0</v>
      </c>
      <c r="I6840" t="n">
        <v>0</v>
      </c>
      <c r="J6840" t="n">
        <v>0</v>
      </c>
      <c r="K6840" t="n">
        <v>0</v>
      </c>
      <c r="L6840" t="n">
        <v>0</v>
      </c>
      <c r="M6840" t="n">
        <v>0</v>
      </c>
      <c r="N6840" t="n">
        <v>0</v>
      </c>
      <c r="O6840" t="n">
        <v>0</v>
      </c>
      <c r="P6840" t="n">
        <v>0</v>
      </c>
      <c r="Q6840" t="n">
        <v>0</v>
      </c>
      <c r="R6840" s="2" t="inlineStr"/>
    </row>
    <row r="6841" ht="15" customHeight="1">
      <c r="A6841" t="inlineStr">
        <is>
          <t>A 36186-2025</t>
        </is>
      </c>
      <c r="B6841" s="1" t="n">
        <v>45867.41916666667</v>
      </c>
      <c r="C6841" s="1" t="n">
        <v>45911</v>
      </c>
      <c r="D6841" t="inlineStr">
        <is>
          <t>GÄVLEBORGS LÄN</t>
        </is>
      </c>
      <c r="E6841" t="inlineStr">
        <is>
          <t>SÖDERHAMN</t>
        </is>
      </c>
      <c r="F6841" t="inlineStr">
        <is>
          <t>Bergvik skog väst AB</t>
        </is>
      </c>
      <c r="G6841" t="n">
        <v>2.1</v>
      </c>
      <c r="H6841" t="n">
        <v>0</v>
      </c>
      <c r="I6841" t="n">
        <v>0</v>
      </c>
      <c r="J6841" t="n">
        <v>0</v>
      </c>
      <c r="K6841" t="n">
        <v>0</v>
      </c>
      <c r="L6841" t="n">
        <v>0</v>
      </c>
      <c r="M6841" t="n">
        <v>0</v>
      </c>
      <c r="N6841" t="n">
        <v>0</v>
      </c>
      <c r="O6841" t="n">
        <v>0</v>
      </c>
      <c r="P6841" t="n">
        <v>0</v>
      </c>
      <c r="Q6841" t="n">
        <v>0</v>
      </c>
      <c r="R6841" s="2" t="inlineStr"/>
    </row>
    <row r="6842" ht="15" customHeight="1">
      <c r="A6842" t="inlineStr">
        <is>
          <t>A 36200-2025</t>
        </is>
      </c>
      <c r="B6842" s="1" t="n">
        <v>45867.44158564815</v>
      </c>
      <c r="C6842" s="1" t="n">
        <v>45911</v>
      </c>
      <c r="D6842" t="inlineStr">
        <is>
          <t>GÄVLEBORGS LÄN</t>
        </is>
      </c>
      <c r="E6842" t="inlineStr">
        <is>
          <t>HUDIKSVALL</t>
        </is>
      </c>
      <c r="F6842" t="inlineStr">
        <is>
          <t>Holmen skog AB</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59798-2022</t>
        </is>
      </c>
      <c r="B6843" s="1" t="n">
        <v>44908.5655787037</v>
      </c>
      <c r="C6843" s="1" t="n">
        <v>45911</v>
      </c>
      <c r="D6843" t="inlineStr">
        <is>
          <t>GÄVLEBORGS LÄN</t>
        </is>
      </c>
      <c r="E6843" t="inlineStr">
        <is>
          <t>HUDIKSVALL</t>
        </is>
      </c>
      <c r="G6843" t="n">
        <v>0.4</v>
      </c>
      <c r="H6843" t="n">
        <v>0</v>
      </c>
      <c r="I6843" t="n">
        <v>0</v>
      </c>
      <c r="J6843" t="n">
        <v>0</v>
      </c>
      <c r="K6843" t="n">
        <v>0</v>
      </c>
      <c r="L6843" t="n">
        <v>0</v>
      </c>
      <c r="M6843" t="n">
        <v>0</v>
      </c>
      <c r="N6843" t="n">
        <v>0</v>
      </c>
      <c r="O6843" t="n">
        <v>0</v>
      </c>
      <c r="P6843" t="n">
        <v>0</v>
      </c>
      <c r="Q6843" t="n">
        <v>0</v>
      </c>
      <c r="R6843" s="2" t="inlineStr"/>
    </row>
    <row r="6844" ht="15" customHeight="1">
      <c r="A6844" t="inlineStr">
        <is>
          <t>A 59826-2022</t>
        </is>
      </c>
      <c r="B6844" s="1" t="n">
        <v>44908.60137731482</v>
      </c>
      <c r="C6844" s="1" t="n">
        <v>45911</v>
      </c>
      <c r="D6844" t="inlineStr">
        <is>
          <t>GÄVLEBORGS LÄN</t>
        </is>
      </c>
      <c r="E6844" t="inlineStr">
        <is>
          <t>LJUSDAL</t>
        </is>
      </c>
      <c r="F6844" t="inlineStr">
        <is>
          <t>Kommuner</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62983-2023</t>
        </is>
      </c>
      <c r="B6845" s="1" t="n">
        <v>45272</v>
      </c>
      <c r="C6845" s="1" t="n">
        <v>45911</v>
      </c>
      <c r="D6845" t="inlineStr">
        <is>
          <t>GÄVLEBORGS LÄN</t>
        </is>
      </c>
      <c r="E6845" t="inlineStr">
        <is>
          <t>GÄVLE</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17964-2025</t>
        </is>
      </c>
      <c r="B6846" s="1" t="n">
        <v>45761</v>
      </c>
      <c r="C6846" s="1" t="n">
        <v>45911</v>
      </c>
      <c r="D6846" t="inlineStr">
        <is>
          <t>GÄVLEBORGS LÄN</t>
        </is>
      </c>
      <c r="E6846" t="inlineStr">
        <is>
          <t>BOLLNÄS</t>
        </is>
      </c>
      <c r="F6846" t="inlineStr">
        <is>
          <t>Kyrkan</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2461-2024</t>
        </is>
      </c>
      <c r="B6847" s="1" t="n">
        <v>45312.93891203704</v>
      </c>
      <c r="C6847" s="1" t="n">
        <v>45911</v>
      </c>
      <c r="D6847" t="inlineStr">
        <is>
          <t>GÄVLEBORGS LÄN</t>
        </is>
      </c>
      <c r="E6847" t="inlineStr">
        <is>
          <t>GÄVLE</t>
        </is>
      </c>
      <c r="G6847" t="n">
        <v>4.3</v>
      </c>
      <c r="H6847" t="n">
        <v>0</v>
      </c>
      <c r="I6847" t="n">
        <v>0</v>
      </c>
      <c r="J6847" t="n">
        <v>0</v>
      </c>
      <c r="K6847" t="n">
        <v>0</v>
      </c>
      <c r="L6847" t="n">
        <v>0</v>
      </c>
      <c r="M6847" t="n">
        <v>0</v>
      </c>
      <c r="N6847" t="n">
        <v>0</v>
      </c>
      <c r="O6847" t="n">
        <v>0</v>
      </c>
      <c r="P6847" t="n">
        <v>0</v>
      </c>
      <c r="Q6847" t="n">
        <v>0</v>
      </c>
      <c r="R6847" s="2" t="inlineStr"/>
    </row>
    <row r="6848" ht="15" customHeight="1">
      <c r="A6848" t="inlineStr">
        <is>
          <t>A 51738-2022</t>
        </is>
      </c>
      <c r="B6848" s="1" t="n">
        <v>44872.48086805556</v>
      </c>
      <c r="C6848" s="1" t="n">
        <v>45911</v>
      </c>
      <c r="D6848" t="inlineStr">
        <is>
          <t>GÄVLEBORGS LÄN</t>
        </is>
      </c>
      <c r="E6848" t="inlineStr">
        <is>
          <t>LJUSDAL</t>
        </is>
      </c>
      <c r="F6848" t="inlineStr">
        <is>
          <t>Bergvik skog väst AB</t>
        </is>
      </c>
      <c r="G6848" t="n">
        <v>6.6</v>
      </c>
      <c r="H6848" t="n">
        <v>0</v>
      </c>
      <c r="I6848" t="n">
        <v>0</v>
      </c>
      <c r="J6848" t="n">
        <v>0</v>
      </c>
      <c r="K6848" t="n">
        <v>0</v>
      </c>
      <c r="L6848" t="n">
        <v>0</v>
      </c>
      <c r="M6848" t="n">
        <v>0</v>
      </c>
      <c r="N6848" t="n">
        <v>0</v>
      </c>
      <c r="O6848" t="n">
        <v>0</v>
      </c>
      <c r="P6848" t="n">
        <v>0</v>
      </c>
      <c r="Q6848" t="n">
        <v>0</v>
      </c>
      <c r="R6848" s="2" t="inlineStr"/>
    </row>
    <row r="6849" ht="15" customHeight="1">
      <c r="A6849" t="inlineStr">
        <is>
          <t>A 2397-2025</t>
        </is>
      </c>
      <c r="B6849" s="1" t="n">
        <v>45674.34046296297</v>
      </c>
      <c r="C6849" s="1" t="n">
        <v>45911</v>
      </c>
      <c r="D6849" t="inlineStr">
        <is>
          <t>GÄVLEBORGS LÄN</t>
        </is>
      </c>
      <c r="E6849" t="inlineStr">
        <is>
          <t>GÄVLE</t>
        </is>
      </c>
      <c r="G6849" t="n">
        <v>1.9</v>
      </c>
      <c r="H6849" t="n">
        <v>0</v>
      </c>
      <c r="I6849" t="n">
        <v>0</v>
      </c>
      <c r="J6849" t="n">
        <v>0</v>
      </c>
      <c r="K6849" t="n">
        <v>0</v>
      </c>
      <c r="L6849" t="n">
        <v>0</v>
      </c>
      <c r="M6849" t="n">
        <v>0</v>
      </c>
      <c r="N6849" t="n">
        <v>0</v>
      </c>
      <c r="O6849" t="n">
        <v>0</v>
      </c>
      <c r="P6849" t="n">
        <v>0</v>
      </c>
      <c r="Q6849" t="n">
        <v>0</v>
      </c>
      <c r="R6849" s="2" t="inlineStr"/>
    </row>
    <row r="6850" ht="15" customHeight="1">
      <c r="A6850" t="inlineStr">
        <is>
          <t>A 52387-2022</t>
        </is>
      </c>
      <c r="B6850" s="1" t="n">
        <v>44874</v>
      </c>
      <c r="C6850" s="1" t="n">
        <v>45911</v>
      </c>
      <c r="D6850" t="inlineStr">
        <is>
          <t>GÄVLEBORGS LÄN</t>
        </is>
      </c>
      <c r="E6850" t="inlineStr">
        <is>
          <t>GÄVLE</t>
        </is>
      </c>
      <c r="F6850" t="inlineStr">
        <is>
          <t>Kommuner</t>
        </is>
      </c>
      <c r="G6850" t="n">
        <v>0.5</v>
      </c>
      <c r="H6850" t="n">
        <v>0</v>
      </c>
      <c r="I6850" t="n">
        <v>0</v>
      </c>
      <c r="J6850" t="n">
        <v>0</v>
      </c>
      <c r="K6850" t="n">
        <v>0</v>
      </c>
      <c r="L6850" t="n">
        <v>0</v>
      </c>
      <c r="M6850" t="n">
        <v>0</v>
      </c>
      <c r="N6850" t="n">
        <v>0</v>
      </c>
      <c r="O6850" t="n">
        <v>0</v>
      </c>
      <c r="P6850" t="n">
        <v>0</v>
      </c>
      <c r="Q6850" t="n">
        <v>0</v>
      </c>
      <c r="R6850" s="2" t="inlineStr"/>
    </row>
    <row r="6851" ht="15" customHeight="1">
      <c r="A6851" t="inlineStr">
        <is>
          <t>A 43339-2025</t>
        </is>
      </c>
      <c r="B6851" s="1" t="n">
        <v>45910.74591435185</v>
      </c>
      <c r="C6851" s="1" t="n">
        <v>45911</v>
      </c>
      <c r="D6851" t="inlineStr">
        <is>
          <t>GÄVLEBORGS LÄN</t>
        </is>
      </c>
      <c r="E6851" t="inlineStr">
        <is>
          <t>HUDIKSVALL</t>
        </is>
      </c>
      <c r="F6851" t="inlineStr">
        <is>
          <t>Holmen skog AB</t>
        </is>
      </c>
      <c r="G6851" t="n">
        <v>7.4</v>
      </c>
      <c r="H6851" t="n">
        <v>0</v>
      </c>
      <c r="I6851" t="n">
        <v>0</v>
      </c>
      <c r="J6851" t="n">
        <v>0</v>
      </c>
      <c r="K6851" t="n">
        <v>0</v>
      </c>
      <c r="L6851" t="n">
        <v>0</v>
      </c>
      <c r="M6851" t="n">
        <v>0</v>
      </c>
      <c r="N6851" t="n">
        <v>0</v>
      </c>
      <c r="O6851" t="n">
        <v>0</v>
      </c>
      <c r="P6851" t="n">
        <v>0</v>
      </c>
      <c r="Q6851" t="n">
        <v>0</v>
      </c>
      <c r="R6851" s="2" t="inlineStr"/>
    </row>
    <row r="6852" ht="15" customHeight="1">
      <c r="A6852" t="inlineStr">
        <is>
          <t>A 43036-2025</t>
        </is>
      </c>
      <c r="B6852" s="1" t="n">
        <v>45909.54861111111</v>
      </c>
      <c r="C6852" s="1" t="n">
        <v>45911</v>
      </c>
      <c r="D6852" t="inlineStr">
        <is>
          <t>GÄVLEBORGS LÄN</t>
        </is>
      </c>
      <c r="E6852" t="inlineStr">
        <is>
          <t>SANDVIKEN</t>
        </is>
      </c>
      <c r="G6852" t="n">
        <v>3.4</v>
      </c>
      <c r="H6852" t="n">
        <v>0</v>
      </c>
      <c r="I6852" t="n">
        <v>0</v>
      </c>
      <c r="J6852" t="n">
        <v>0</v>
      </c>
      <c r="K6852" t="n">
        <v>0</v>
      </c>
      <c r="L6852" t="n">
        <v>0</v>
      </c>
      <c r="M6852" t="n">
        <v>0</v>
      </c>
      <c r="N6852" t="n">
        <v>0</v>
      </c>
      <c r="O6852" t="n">
        <v>0</v>
      </c>
      <c r="P6852" t="n">
        <v>0</v>
      </c>
      <c r="Q6852" t="n">
        <v>0</v>
      </c>
      <c r="R6852" s="2" t="inlineStr"/>
    </row>
    <row r="6853" ht="15" customHeight="1">
      <c r="A6853" t="inlineStr">
        <is>
          <t>A 33704-2023</t>
        </is>
      </c>
      <c r="B6853" s="1" t="n">
        <v>45132.78238425926</v>
      </c>
      <c r="C6853" s="1" t="n">
        <v>45911</v>
      </c>
      <c r="D6853" t="inlineStr">
        <is>
          <t>GÄVLEBORGS LÄN</t>
        </is>
      </c>
      <c r="E6853" t="inlineStr">
        <is>
          <t>HUDIKSVALL</t>
        </is>
      </c>
      <c r="G6853" t="n">
        <v>7.8</v>
      </c>
      <c r="H6853" t="n">
        <v>0</v>
      </c>
      <c r="I6853" t="n">
        <v>0</v>
      </c>
      <c r="J6853" t="n">
        <v>0</v>
      </c>
      <c r="K6853" t="n">
        <v>0</v>
      </c>
      <c r="L6853" t="n">
        <v>0</v>
      </c>
      <c r="M6853" t="n">
        <v>0</v>
      </c>
      <c r="N6853" t="n">
        <v>0</v>
      </c>
      <c r="O6853" t="n">
        <v>0</v>
      </c>
      <c r="P6853" t="n">
        <v>0</v>
      </c>
      <c r="Q6853" t="n">
        <v>0</v>
      </c>
      <c r="R6853" s="2" t="inlineStr"/>
    </row>
    <row r="6854" ht="15" customHeight="1">
      <c r="A6854" t="inlineStr">
        <is>
          <t>A 29963-2024</t>
        </is>
      </c>
      <c r="B6854" s="1" t="n">
        <v>45488.46547453704</v>
      </c>
      <c r="C6854" s="1" t="n">
        <v>45911</v>
      </c>
      <c r="D6854" t="inlineStr">
        <is>
          <t>GÄVLEBORGS LÄN</t>
        </is>
      </c>
      <c r="E6854" t="inlineStr">
        <is>
          <t>OCKELBO</t>
        </is>
      </c>
      <c r="G6854" t="n">
        <v>3</v>
      </c>
      <c r="H6854" t="n">
        <v>0</v>
      </c>
      <c r="I6854" t="n">
        <v>0</v>
      </c>
      <c r="J6854" t="n">
        <v>0</v>
      </c>
      <c r="K6854" t="n">
        <v>0</v>
      </c>
      <c r="L6854" t="n">
        <v>0</v>
      </c>
      <c r="M6854" t="n">
        <v>0</v>
      </c>
      <c r="N6854" t="n">
        <v>0</v>
      </c>
      <c r="O6854" t="n">
        <v>0</v>
      </c>
      <c r="P6854" t="n">
        <v>0</v>
      </c>
      <c r="Q6854" t="n">
        <v>0</v>
      </c>
      <c r="R6854" s="2" t="inlineStr"/>
    </row>
    <row r="6855" ht="15" customHeight="1">
      <c r="A6855" t="inlineStr">
        <is>
          <t>A 19231-2024</t>
        </is>
      </c>
      <c r="B6855" s="1" t="n">
        <v>45428</v>
      </c>
      <c r="C6855" s="1" t="n">
        <v>45911</v>
      </c>
      <c r="D6855" t="inlineStr">
        <is>
          <t>GÄVLEBORGS LÄN</t>
        </is>
      </c>
      <c r="E6855" t="inlineStr">
        <is>
          <t>NORDANSTIG</t>
        </is>
      </c>
      <c r="F6855" t="inlineStr">
        <is>
          <t>Holmen skog AB</t>
        </is>
      </c>
      <c r="G6855" t="n">
        <v>21.5</v>
      </c>
      <c r="H6855" t="n">
        <v>0</v>
      </c>
      <c r="I6855" t="n">
        <v>0</v>
      </c>
      <c r="J6855" t="n">
        <v>0</v>
      </c>
      <c r="K6855" t="n">
        <v>0</v>
      </c>
      <c r="L6855" t="n">
        <v>0</v>
      </c>
      <c r="M6855" t="n">
        <v>0</v>
      </c>
      <c r="N6855" t="n">
        <v>0</v>
      </c>
      <c r="O6855" t="n">
        <v>0</v>
      </c>
      <c r="P6855" t="n">
        <v>0</v>
      </c>
      <c r="Q6855" t="n">
        <v>0</v>
      </c>
      <c r="R6855" s="2" t="inlineStr"/>
    </row>
    <row r="6856" ht="15" customHeight="1">
      <c r="A6856" t="inlineStr">
        <is>
          <t>A 24958-2023</t>
        </is>
      </c>
      <c r="B6856" s="1" t="n">
        <v>45085</v>
      </c>
      <c r="C6856" s="1" t="n">
        <v>45911</v>
      </c>
      <c r="D6856" t="inlineStr">
        <is>
          <t>GÄVLEBORGS LÄN</t>
        </is>
      </c>
      <c r="E6856" t="inlineStr">
        <is>
          <t>BOLLNÄS</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57716-2022</t>
        </is>
      </c>
      <c r="B6857" s="1" t="n">
        <v>44897</v>
      </c>
      <c r="C6857" s="1" t="n">
        <v>45911</v>
      </c>
      <c r="D6857" t="inlineStr">
        <is>
          <t>GÄVLEBORGS LÄN</t>
        </is>
      </c>
      <c r="E6857" t="inlineStr">
        <is>
          <t>HUDIKSVALL</t>
        </is>
      </c>
      <c r="F6857" t="inlineStr">
        <is>
          <t>Holmen skog AB</t>
        </is>
      </c>
      <c r="G6857" t="n">
        <v>2.7</v>
      </c>
      <c r="H6857" t="n">
        <v>0</v>
      </c>
      <c r="I6857" t="n">
        <v>0</v>
      </c>
      <c r="J6857" t="n">
        <v>0</v>
      </c>
      <c r="K6857" t="n">
        <v>0</v>
      </c>
      <c r="L6857" t="n">
        <v>0</v>
      </c>
      <c r="M6857" t="n">
        <v>0</v>
      </c>
      <c r="N6857" t="n">
        <v>0</v>
      </c>
      <c r="O6857" t="n">
        <v>0</v>
      </c>
      <c r="P6857" t="n">
        <v>0</v>
      </c>
      <c r="Q6857" t="n">
        <v>0</v>
      </c>
      <c r="R6857" s="2" t="inlineStr"/>
    </row>
    <row r="6858" ht="15" customHeight="1">
      <c r="A6858" t="inlineStr">
        <is>
          <t>A 36180-2025</t>
        </is>
      </c>
      <c r="B6858" s="1" t="n">
        <v>45867.41327546296</v>
      </c>
      <c r="C6858" s="1" t="n">
        <v>45911</v>
      </c>
      <c r="D6858" t="inlineStr">
        <is>
          <t>GÄVLEBORGS LÄN</t>
        </is>
      </c>
      <c r="E6858" t="inlineStr">
        <is>
          <t>HOFORS</t>
        </is>
      </c>
      <c r="G6858" t="n">
        <v>11.7</v>
      </c>
      <c r="H6858" t="n">
        <v>0</v>
      </c>
      <c r="I6858" t="n">
        <v>0</v>
      </c>
      <c r="J6858" t="n">
        <v>0</v>
      </c>
      <c r="K6858" t="n">
        <v>0</v>
      </c>
      <c r="L6858" t="n">
        <v>0</v>
      </c>
      <c r="M6858" t="n">
        <v>0</v>
      </c>
      <c r="N6858" t="n">
        <v>0</v>
      </c>
      <c r="O6858" t="n">
        <v>0</v>
      </c>
      <c r="P6858" t="n">
        <v>0</v>
      </c>
      <c r="Q6858" t="n">
        <v>0</v>
      </c>
      <c r="R6858" s="2" t="inlineStr"/>
    </row>
    <row r="6859" ht="15" customHeight="1">
      <c r="A6859" t="inlineStr">
        <is>
          <t>A 36194-2025</t>
        </is>
      </c>
      <c r="B6859" s="1" t="n">
        <v>45867.42790509259</v>
      </c>
      <c r="C6859" s="1" t="n">
        <v>45911</v>
      </c>
      <c r="D6859" t="inlineStr">
        <is>
          <t>GÄVLEBORGS LÄN</t>
        </is>
      </c>
      <c r="E6859" t="inlineStr">
        <is>
          <t>HUDIKSVALL</t>
        </is>
      </c>
      <c r="F6859" t="inlineStr">
        <is>
          <t>Holmen skog AB</t>
        </is>
      </c>
      <c r="G6859" t="n">
        <v>3.6</v>
      </c>
      <c r="H6859" t="n">
        <v>0</v>
      </c>
      <c r="I6859" t="n">
        <v>0</v>
      </c>
      <c r="J6859" t="n">
        <v>0</v>
      </c>
      <c r="K6859" t="n">
        <v>0</v>
      </c>
      <c r="L6859" t="n">
        <v>0</v>
      </c>
      <c r="M6859" t="n">
        <v>0</v>
      </c>
      <c r="N6859" t="n">
        <v>0</v>
      </c>
      <c r="O6859" t="n">
        <v>0</v>
      </c>
      <c r="P6859" t="n">
        <v>0</v>
      </c>
      <c r="Q6859" t="n">
        <v>0</v>
      </c>
      <c r="R6859" s="2" t="inlineStr"/>
    </row>
    <row r="6860" ht="15" customHeight="1">
      <c r="A6860" t="inlineStr">
        <is>
          <t>A 63431-2021</t>
        </is>
      </c>
      <c r="B6860" s="1" t="n">
        <v>44508.57627314814</v>
      </c>
      <c r="C6860" s="1" t="n">
        <v>45911</v>
      </c>
      <c r="D6860" t="inlineStr">
        <is>
          <t>GÄVLEBORGS LÄN</t>
        </is>
      </c>
      <c r="E6860" t="inlineStr">
        <is>
          <t>SÖDERHAMN</t>
        </is>
      </c>
      <c r="F6860" t="inlineStr">
        <is>
          <t>Bergvik skog väst AB</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36403-2025</t>
        </is>
      </c>
      <c r="B6861" s="1" t="n">
        <v>45868.6621875</v>
      </c>
      <c r="C6861" s="1" t="n">
        <v>45911</v>
      </c>
      <c r="D6861" t="inlineStr">
        <is>
          <t>GÄVLEBORGS LÄN</t>
        </is>
      </c>
      <c r="E6861" t="inlineStr">
        <is>
          <t>OVANÅKER</t>
        </is>
      </c>
      <c r="G6861" t="n">
        <v>2.5</v>
      </c>
      <c r="H6861" t="n">
        <v>0</v>
      </c>
      <c r="I6861" t="n">
        <v>0</v>
      </c>
      <c r="J6861" t="n">
        <v>0</v>
      </c>
      <c r="K6861" t="n">
        <v>0</v>
      </c>
      <c r="L6861" t="n">
        <v>0</v>
      </c>
      <c r="M6861" t="n">
        <v>0</v>
      </c>
      <c r="N6861" t="n">
        <v>0</v>
      </c>
      <c r="O6861" t="n">
        <v>0</v>
      </c>
      <c r="P6861" t="n">
        <v>0</v>
      </c>
      <c r="Q6861" t="n">
        <v>0</v>
      </c>
      <c r="R6861" s="2" t="inlineStr"/>
    </row>
    <row r="6862" ht="15" customHeight="1">
      <c r="A6862" t="inlineStr">
        <is>
          <t>A 36406-2025</t>
        </is>
      </c>
      <c r="B6862" s="1" t="n">
        <v>45868.67018518518</v>
      </c>
      <c r="C6862" s="1" t="n">
        <v>45911</v>
      </c>
      <c r="D6862" t="inlineStr">
        <is>
          <t>GÄVLEBORGS LÄN</t>
        </is>
      </c>
      <c r="E6862" t="inlineStr">
        <is>
          <t>OVANÅKER</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43085-2025</t>
        </is>
      </c>
      <c r="B6863" s="1" t="n">
        <v>45909.61652777778</v>
      </c>
      <c r="C6863" s="1" t="n">
        <v>45911</v>
      </c>
      <c r="D6863" t="inlineStr">
        <is>
          <t>GÄVLEBORGS LÄN</t>
        </is>
      </c>
      <c r="E6863" t="inlineStr">
        <is>
          <t>GÄVLE</t>
        </is>
      </c>
      <c r="F6863" t="inlineStr">
        <is>
          <t>Bergvik skog väst AB</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19875-2025</t>
        </is>
      </c>
      <c r="B6864" s="1" t="n">
        <v>45771.55023148148</v>
      </c>
      <c r="C6864" s="1" t="n">
        <v>45911</v>
      </c>
      <c r="D6864" t="inlineStr">
        <is>
          <t>GÄVLEBORGS LÄN</t>
        </is>
      </c>
      <c r="E6864" t="inlineStr">
        <is>
          <t>OVANÅKER</t>
        </is>
      </c>
      <c r="G6864" t="n">
        <v>0.4</v>
      </c>
      <c r="H6864" t="n">
        <v>0</v>
      </c>
      <c r="I6864" t="n">
        <v>0</v>
      </c>
      <c r="J6864" t="n">
        <v>0</v>
      </c>
      <c r="K6864" t="n">
        <v>0</v>
      </c>
      <c r="L6864" t="n">
        <v>0</v>
      </c>
      <c r="M6864" t="n">
        <v>0</v>
      </c>
      <c r="N6864" t="n">
        <v>0</v>
      </c>
      <c r="O6864" t="n">
        <v>0</v>
      </c>
      <c r="P6864" t="n">
        <v>0</v>
      </c>
      <c r="Q6864" t="n">
        <v>0</v>
      </c>
      <c r="R6864" s="2" t="inlineStr"/>
    </row>
    <row r="6865" ht="15" customHeight="1">
      <c r="A6865" t="inlineStr">
        <is>
          <t>A 19896-2025</t>
        </is>
      </c>
      <c r="B6865" s="1" t="n">
        <v>45771.5834837963</v>
      </c>
      <c r="C6865" s="1" t="n">
        <v>45911</v>
      </c>
      <c r="D6865" t="inlineStr">
        <is>
          <t>GÄVLEBORGS LÄN</t>
        </is>
      </c>
      <c r="E6865" t="inlineStr">
        <is>
          <t>NORDANSTIG</t>
        </is>
      </c>
      <c r="F6865" t="inlineStr">
        <is>
          <t>Holmen skog AB</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17840-2023</t>
        </is>
      </c>
      <c r="B6866" s="1" t="n">
        <v>45037</v>
      </c>
      <c r="C6866" s="1" t="n">
        <v>45911</v>
      </c>
      <c r="D6866" t="inlineStr">
        <is>
          <t>GÄVLEBORGS LÄN</t>
        </is>
      </c>
      <c r="E6866" t="inlineStr">
        <is>
          <t>NORDANSTIG</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43199-2025</t>
        </is>
      </c>
      <c r="B6867" s="1" t="n">
        <v>45910.43589120371</v>
      </c>
      <c r="C6867" s="1" t="n">
        <v>45911</v>
      </c>
      <c r="D6867" t="inlineStr">
        <is>
          <t>GÄVLEBORGS LÄN</t>
        </is>
      </c>
      <c r="E6867" t="inlineStr">
        <is>
          <t>NORDANSTIG</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43021-2025</t>
        </is>
      </c>
      <c r="B6868" s="1" t="n">
        <v>45909.50746527778</v>
      </c>
      <c r="C6868" s="1" t="n">
        <v>45911</v>
      </c>
      <c r="D6868" t="inlineStr">
        <is>
          <t>GÄVLEBORGS LÄN</t>
        </is>
      </c>
      <c r="E6868" t="inlineStr">
        <is>
          <t>OVANÅKER</t>
        </is>
      </c>
      <c r="G6868" t="n">
        <v>4.4</v>
      </c>
      <c r="H6868" t="n">
        <v>0</v>
      </c>
      <c r="I6868" t="n">
        <v>0</v>
      </c>
      <c r="J6868" t="n">
        <v>0</v>
      </c>
      <c r="K6868" t="n">
        <v>0</v>
      </c>
      <c r="L6868" t="n">
        <v>0</v>
      </c>
      <c r="M6868" t="n">
        <v>0</v>
      </c>
      <c r="N6868" t="n">
        <v>0</v>
      </c>
      <c r="O6868" t="n">
        <v>0</v>
      </c>
      <c r="P6868" t="n">
        <v>0</v>
      </c>
      <c r="Q6868" t="n">
        <v>0</v>
      </c>
      <c r="R6868" s="2" t="inlineStr"/>
    </row>
    <row r="6869" ht="15" customHeight="1">
      <c r="A6869" t="inlineStr">
        <is>
          <t>A 50871-2022</t>
        </is>
      </c>
      <c r="B6869" s="1" t="n">
        <v>44867</v>
      </c>
      <c r="C6869" s="1" t="n">
        <v>45911</v>
      </c>
      <c r="D6869" t="inlineStr">
        <is>
          <t>GÄVLEBORGS LÄN</t>
        </is>
      </c>
      <c r="E6869" t="inlineStr">
        <is>
          <t>GÄVLE</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43018-2025</t>
        </is>
      </c>
      <c r="B6870" s="1" t="n">
        <v>45909.50288194444</v>
      </c>
      <c r="C6870" s="1" t="n">
        <v>45911</v>
      </c>
      <c r="D6870" t="inlineStr">
        <is>
          <t>GÄVLEBORGS LÄN</t>
        </is>
      </c>
      <c r="E6870" t="inlineStr">
        <is>
          <t>OVANÅKER</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37739-2024</t>
        </is>
      </c>
      <c r="B6871" s="1" t="n">
        <v>45541.67366898148</v>
      </c>
      <c r="C6871" s="1" t="n">
        <v>45911</v>
      </c>
      <c r="D6871" t="inlineStr">
        <is>
          <t>GÄVLEBORGS LÄN</t>
        </is>
      </c>
      <c r="E6871" t="inlineStr">
        <is>
          <t>NORDANSTIG</t>
        </is>
      </c>
      <c r="F6871" t="inlineStr">
        <is>
          <t>Holmen skog AB</t>
        </is>
      </c>
      <c r="G6871" t="n">
        <v>3.6</v>
      </c>
      <c r="H6871" t="n">
        <v>0</v>
      </c>
      <c r="I6871" t="n">
        <v>0</v>
      </c>
      <c r="J6871" t="n">
        <v>0</v>
      </c>
      <c r="K6871" t="n">
        <v>0</v>
      </c>
      <c r="L6871" t="n">
        <v>0</v>
      </c>
      <c r="M6871" t="n">
        <v>0</v>
      </c>
      <c r="N6871" t="n">
        <v>0</v>
      </c>
      <c r="O6871" t="n">
        <v>0</v>
      </c>
      <c r="P6871" t="n">
        <v>0</v>
      </c>
      <c r="Q6871" t="n">
        <v>0</v>
      </c>
      <c r="R6871" s="2" t="inlineStr"/>
    </row>
    <row r="6872" ht="15" customHeight="1">
      <c r="A6872" t="inlineStr">
        <is>
          <t>A 13843-2025</t>
        </is>
      </c>
      <c r="B6872" s="1" t="n">
        <v>45737.55868055556</v>
      </c>
      <c r="C6872" s="1" t="n">
        <v>45911</v>
      </c>
      <c r="D6872" t="inlineStr">
        <is>
          <t>GÄVLEBORGS LÄN</t>
        </is>
      </c>
      <c r="E6872" t="inlineStr">
        <is>
          <t>LJUSDAL</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36418-2025</t>
        </is>
      </c>
      <c r="B6873" s="1" t="n">
        <v>45868</v>
      </c>
      <c r="C6873" s="1" t="n">
        <v>45911</v>
      </c>
      <c r="D6873" t="inlineStr">
        <is>
          <t>GÄVLEBORGS LÄN</t>
        </is>
      </c>
      <c r="E6873" t="inlineStr">
        <is>
          <t>HUDIKSVALL</t>
        </is>
      </c>
      <c r="G6873" t="n">
        <v>6.1</v>
      </c>
      <c r="H6873" t="n">
        <v>0</v>
      </c>
      <c r="I6873" t="n">
        <v>0</v>
      </c>
      <c r="J6873" t="n">
        <v>0</v>
      </c>
      <c r="K6873" t="n">
        <v>0</v>
      </c>
      <c r="L6873" t="n">
        <v>0</v>
      </c>
      <c r="M6873" t="n">
        <v>0</v>
      </c>
      <c r="N6873" t="n">
        <v>0</v>
      </c>
      <c r="O6873" t="n">
        <v>0</v>
      </c>
      <c r="P6873" t="n">
        <v>0</v>
      </c>
      <c r="Q6873" t="n">
        <v>0</v>
      </c>
      <c r="R6873" s="2" t="inlineStr"/>
    </row>
    <row r="6874" ht="15" customHeight="1">
      <c r="A6874" t="inlineStr">
        <is>
          <t>A 36159-2025</t>
        </is>
      </c>
      <c r="B6874" s="1" t="n">
        <v>45867.36305555556</v>
      </c>
      <c r="C6874" s="1" t="n">
        <v>45911</v>
      </c>
      <c r="D6874" t="inlineStr">
        <is>
          <t>GÄVLEBORGS LÄN</t>
        </is>
      </c>
      <c r="E6874" t="inlineStr">
        <is>
          <t>HUDIKSVALL</t>
        </is>
      </c>
      <c r="G6874" t="n">
        <v>3.6</v>
      </c>
      <c r="H6874" t="n">
        <v>0</v>
      </c>
      <c r="I6874" t="n">
        <v>0</v>
      </c>
      <c r="J6874" t="n">
        <v>0</v>
      </c>
      <c r="K6874" t="n">
        <v>0</v>
      </c>
      <c r="L6874" t="n">
        <v>0</v>
      </c>
      <c r="M6874" t="n">
        <v>0</v>
      </c>
      <c r="N6874" t="n">
        <v>0</v>
      </c>
      <c r="O6874" t="n">
        <v>0</v>
      </c>
      <c r="P6874" t="n">
        <v>0</v>
      </c>
      <c r="Q6874" t="n">
        <v>0</v>
      </c>
      <c r="R6874" s="2" t="inlineStr"/>
    </row>
    <row r="6875" ht="15" customHeight="1">
      <c r="A6875" t="inlineStr">
        <is>
          <t>A 11533-2021</t>
        </is>
      </c>
      <c r="B6875" s="1" t="n">
        <v>44264</v>
      </c>
      <c r="C6875" s="1" t="n">
        <v>45911</v>
      </c>
      <c r="D6875" t="inlineStr">
        <is>
          <t>GÄVLEBORGS LÄN</t>
        </is>
      </c>
      <c r="E6875" t="inlineStr">
        <is>
          <t>OVANÅKER</t>
        </is>
      </c>
      <c r="G6875" t="n">
        <v>0</v>
      </c>
      <c r="H6875" t="n">
        <v>0</v>
      </c>
      <c r="I6875" t="n">
        <v>0</v>
      </c>
      <c r="J6875" t="n">
        <v>0</v>
      </c>
      <c r="K6875" t="n">
        <v>0</v>
      </c>
      <c r="L6875" t="n">
        <v>0</v>
      </c>
      <c r="M6875" t="n">
        <v>0</v>
      </c>
      <c r="N6875" t="n">
        <v>0</v>
      </c>
      <c r="O6875" t="n">
        <v>0</v>
      </c>
      <c r="P6875" t="n">
        <v>0</v>
      </c>
      <c r="Q6875" t="n">
        <v>0</v>
      </c>
      <c r="R6875" s="2" t="inlineStr"/>
    </row>
    <row r="6876" ht="15" customHeight="1">
      <c r="A6876" t="inlineStr">
        <is>
          <t>A 43230-2025</t>
        </is>
      </c>
      <c r="B6876" s="1" t="n">
        <v>45910.49741898148</v>
      </c>
      <c r="C6876" s="1" t="n">
        <v>45911</v>
      </c>
      <c r="D6876" t="inlineStr">
        <is>
          <t>GÄVLEBORGS LÄN</t>
        </is>
      </c>
      <c r="E6876" t="inlineStr">
        <is>
          <t>SANDVIKEN</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47288-2023</t>
        </is>
      </c>
      <c r="B6877" s="1" t="n">
        <v>45202</v>
      </c>
      <c r="C6877" s="1" t="n">
        <v>45911</v>
      </c>
      <c r="D6877" t="inlineStr">
        <is>
          <t>GÄVLEBORGS LÄN</t>
        </is>
      </c>
      <c r="E6877" t="inlineStr">
        <is>
          <t>SÖDERHAMN</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36349-2025</t>
        </is>
      </c>
      <c r="B6878" s="1" t="n">
        <v>45868.48269675926</v>
      </c>
      <c r="C6878" s="1" t="n">
        <v>45911</v>
      </c>
      <c r="D6878" t="inlineStr">
        <is>
          <t>GÄVLEBORGS LÄN</t>
        </is>
      </c>
      <c r="E6878" t="inlineStr">
        <is>
          <t>HOFORS</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36352-2025</t>
        </is>
      </c>
      <c r="B6879" s="1" t="n">
        <v>45868.48983796296</v>
      </c>
      <c r="C6879" s="1" t="n">
        <v>45911</v>
      </c>
      <c r="D6879" t="inlineStr">
        <is>
          <t>GÄVLEBORGS LÄN</t>
        </is>
      </c>
      <c r="E6879" t="inlineStr">
        <is>
          <t>LJUSDAL</t>
        </is>
      </c>
      <c r="G6879" t="n">
        <v>5.7</v>
      </c>
      <c r="H6879" t="n">
        <v>0</v>
      </c>
      <c r="I6879" t="n">
        <v>0</v>
      </c>
      <c r="J6879" t="n">
        <v>0</v>
      </c>
      <c r="K6879" t="n">
        <v>0</v>
      </c>
      <c r="L6879" t="n">
        <v>0</v>
      </c>
      <c r="M6879" t="n">
        <v>0</v>
      </c>
      <c r="N6879" t="n">
        <v>0</v>
      </c>
      <c r="O6879" t="n">
        <v>0</v>
      </c>
      <c r="P6879" t="n">
        <v>0</v>
      </c>
      <c r="Q6879" t="n">
        <v>0</v>
      </c>
      <c r="R6879" s="2" t="inlineStr"/>
    </row>
    <row r="6880" ht="15" customHeight="1">
      <c r="A6880" t="inlineStr">
        <is>
          <t>A 36353-2025</t>
        </is>
      </c>
      <c r="B6880" s="1" t="n">
        <v>45868.48988425926</v>
      </c>
      <c r="C6880" s="1" t="n">
        <v>45911</v>
      </c>
      <c r="D6880" t="inlineStr">
        <is>
          <t>GÄVLEBORGS LÄN</t>
        </is>
      </c>
      <c r="E6880" t="inlineStr">
        <is>
          <t>LJUSDAL</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26304-2022</t>
        </is>
      </c>
      <c r="B6881" s="1" t="n">
        <v>44735.58756944445</v>
      </c>
      <c r="C6881" s="1" t="n">
        <v>45911</v>
      </c>
      <c r="D6881" t="inlineStr">
        <is>
          <t>GÄVLEBORGS LÄN</t>
        </is>
      </c>
      <c r="E6881" t="inlineStr">
        <is>
          <t>BOLLNÄS</t>
        </is>
      </c>
      <c r="G6881" t="n">
        <v>2.3</v>
      </c>
      <c r="H6881" t="n">
        <v>0</v>
      </c>
      <c r="I6881" t="n">
        <v>0</v>
      </c>
      <c r="J6881" t="n">
        <v>0</v>
      </c>
      <c r="K6881" t="n">
        <v>0</v>
      </c>
      <c r="L6881" t="n">
        <v>0</v>
      </c>
      <c r="M6881" t="n">
        <v>0</v>
      </c>
      <c r="N6881" t="n">
        <v>0</v>
      </c>
      <c r="O6881" t="n">
        <v>0</v>
      </c>
      <c r="P6881" t="n">
        <v>0</v>
      </c>
      <c r="Q6881" t="n">
        <v>0</v>
      </c>
      <c r="R6881" s="2" t="inlineStr"/>
    </row>
    <row r="6882" ht="15" customHeight="1">
      <c r="A6882" t="inlineStr">
        <is>
          <t>A 61416-2024</t>
        </is>
      </c>
      <c r="B6882" s="1" t="n">
        <v>45646.44552083333</v>
      </c>
      <c r="C6882" s="1" t="n">
        <v>45911</v>
      </c>
      <c r="D6882" t="inlineStr">
        <is>
          <t>GÄVLEBORGS LÄN</t>
        </is>
      </c>
      <c r="E6882" t="inlineStr">
        <is>
          <t>LJUSDAL</t>
        </is>
      </c>
      <c r="F6882" t="inlineStr">
        <is>
          <t>Sveaskog</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61419-2024</t>
        </is>
      </c>
      <c r="B6883" s="1" t="n">
        <v>45646.4496875</v>
      </c>
      <c r="C6883" s="1" t="n">
        <v>45911</v>
      </c>
      <c r="D6883" t="inlineStr">
        <is>
          <t>GÄVLEBORGS LÄN</t>
        </is>
      </c>
      <c r="E6883" t="inlineStr">
        <is>
          <t>NORDANSTIG</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36250-2025</t>
        </is>
      </c>
      <c r="B6884" s="1" t="n">
        <v>45867.57358796296</v>
      </c>
      <c r="C6884" s="1" t="n">
        <v>45911</v>
      </c>
      <c r="D6884" t="inlineStr">
        <is>
          <t>GÄVLEBORGS LÄN</t>
        </is>
      </c>
      <c r="E6884" t="inlineStr">
        <is>
          <t>LJUSDAL</t>
        </is>
      </c>
      <c r="F6884" t="inlineStr">
        <is>
          <t>Naturvårdsverket</t>
        </is>
      </c>
      <c r="G6884" t="n">
        <v>4.2</v>
      </c>
      <c r="H6884" t="n">
        <v>0</v>
      </c>
      <c r="I6884" t="n">
        <v>0</v>
      </c>
      <c r="J6884" t="n">
        <v>0</v>
      </c>
      <c r="K6884" t="n">
        <v>0</v>
      </c>
      <c r="L6884" t="n">
        <v>0</v>
      </c>
      <c r="M6884" t="n">
        <v>0</v>
      </c>
      <c r="N6884" t="n">
        <v>0</v>
      </c>
      <c r="O6884" t="n">
        <v>0</v>
      </c>
      <c r="P6884" t="n">
        <v>0</v>
      </c>
      <c r="Q6884" t="n">
        <v>0</v>
      </c>
      <c r="R6884" s="2" t="inlineStr"/>
    </row>
    <row r="6885" ht="15" customHeight="1">
      <c r="A6885" t="inlineStr">
        <is>
          <t>A 24201-2023</t>
        </is>
      </c>
      <c r="B6885" s="1" t="n">
        <v>45079</v>
      </c>
      <c r="C6885" s="1" t="n">
        <v>45911</v>
      </c>
      <c r="D6885" t="inlineStr">
        <is>
          <t>GÄVLEBORGS LÄN</t>
        </is>
      </c>
      <c r="E6885" t="inlineStr">
        <is>
          <t>HUDIKSVALL</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52695-2024</t>
        </is>
      </c>
      <c r="B6886" s="1" t="n">
        <v>45610.40315972222</v>
      </c>
      <c r="C6886" s="1" t="n">
        <v>45911</v>
      </c>
      <c r="D6886" t="inlineStr">
        <is>
          <t>GÄVLEBORGS LÄN</t>
        </is>
      </c>
      <c r="E6886" t="inlineStr">
        <is>
          <t>NORDANSTIG</t>
        </is>
      </c>
      <c r="F6886" t="inlineStr">
        <is>
          <t>Holmen skog AB</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43071-2025</t>
        </is>
      </c>
      <c r="B6887" s="1" t="n">
        <v>45909.59766203703</v>
      </c>
      <c r="C6887" s="1" t="n">
        <v>45911</v>
      </c>
      <c r="D6887" t="inlineStr">
        <is>
          <t>GÄVLEBORGS LÄN</t>
        </is>
      </c>
      <c r="E6887" t="inlineStr">
        <is>
          <t>OCKELBO</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36388-2025</t>
        </is>
      </c>
      <c r="B6888" s="1" t="n">
        <v>45868.59954861111</v>
      </c>
      <c r="C6888" s="1" t="n">
        <v>45911</v>
      </c>
      <c r="D6888" t="inlineStr">
        <is>
          <t>GÄVLEBORGS LÄN</t>
        </is>
      </c>
      <c r="E6888" t="inlineStr">
        <is>
          <t>HUDIKSVALL</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36394-2025</t>
        </is>
      </c>
      <c r="B6889" s="1" t="n">
        <v>45868.61902777778</v>
      </c>
      <c r="C6889" s="1" t="n">
        <v>45911</v>
      </c>
      <c r="D6889" t="inlineStr">
        <is>
          <t>GÄVLEBORGS LÄN</t>
        </is>
      </c>
      <c r="E6889" t="inlineStr">
        <is>
          <t>HUDIKSVALL</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51005-2024</t>
        </is>
      </c>
      <c r="B6890" s="1" t="n">
        <v>45603</v>
      </c>
      <c r="C6890" s="1" t="n">
        <v>45911</v>
      </c>
      <c r="D6890" t="inlineStr">
        <is>
          <t>GÄVLEBORGS LÄN</t>
        </is>
      </c>
      <c r="E6890" t="inlineStr">
        <is>
          <t>OVANÅKER</t>
        </is>
      </c>
      <c r="G6890" t="n">
        <v>10.9</v>
      </c>
      <c r="H6890" t="n">
        <v>0</v>
      </c>
      <c r="I6890" t="n">
        <v>0</v>
      </c>
      <c r="J6890" t="n">
        <v>0</v>
      </c>
      <c r="K6890" t="n">
        <v>0</v>
      </c>
      <c r="L6890" t="n">
        <v>0</v>
      </c>
      <c r="M6890" t="n">
        <v>0</v>
      </c>
      <c r="N6890" t="n">
        <v>0</v>
      </c>
      <c r="O6890" t="n">
        <v>0</v>
      </c>
      <c r="P6890" t="n">
        <v>0</v>
      </c>
      <c r="Q6890" t="n">
        <v>0</v>
      </c>
      <c r="R6890" s="2" t="inlineStr"/>
    </row>
    <row r="6891" ht="15" customHeight="1">
      <c r="A6891" t="inlineStr">
        <is>
          <t>A 43087-2025</t>
        </is>
      </c>
      <c r="B6891" s="1" t="n">
        <v>45909.62013888889</v>
      </c>
      <c r="C6891" s="1" t="n">
        <v>45911</v>
      </c>
      <c r="D6891" t="inlineStr">
        <is>
          <t>GÄVLEBORGS LÄN</t>
        </is>
      </c>
      <c r="E6891" t="inlineStr">
        <is>
          <t>GÄVLE</t>
        </is>
      </c>
      <c r="F6891" t="inlineStr">
        <is>
          <t>Bergvik skog väst AB</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43089-2025</t>
        </is>
      </c>
      <c r="B6892" s="1" t="n">
        <v>45909.62445601852</v>
      </c>
      <c r="C6892" s="1" t="n">
        <v>45911</v>
      </c>
      <c r="D6892" t="inlineStr">
        <is>
          <t>GÄVLEBORGS LÄN</t>
        </is>
      </c>
      <c r="E6892" t="inlineStr">
        <is>
          <t>GÄVLE</t>
        </is>
      </c>
      <c r="F6892" t="inlineStr">
        <is>
          <t>Bergvik skog väst AB</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43094-2025</t>
        </is>
      </c>
      <c r="B6893" s="1" t="n">
        <v>45909.62625</v>
      </c>
      <c r="C6893" s="1" t="n">
        <v>45911</v>
      </c>
      <c r="D6893" t="inlineStr">
        <is>
          <t>GÄVLEBORGS LÄN</t>
        </is>
      </c>
      <c r="E6893" t="inlineStr">
        <is>
          <t>LJUSDAL</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13825-2025</t>
        </is>
      </c>
      <c r="B6894" s="1" t="n">
        <v>45737.54068287037</v>
      </c>
      <c r="C6894" s="1" t="n">
        <v>45911</v>
      </c>
      <c r="D6894" t="inlineStr">
        <is>
          <t>GÄVLEBORGS LÄN</t>
        </is>
      </c>
      <c r="E6894" t="inlineStr">
        <is>
          <t>GÄVLE</t>
        </is>
      </c>
      <c r="G6894" t="n">
        <v>4.9</v>
      </c>
      <c r="H6894" t="n">
        <v>0</v>
      </c>
      <c r="I6894" t="n">
        <v>0</v>
      </c>
      <c r="J6894" t="n">
        <v>0</v>
      </c>
      <c r="K6894" t="n">
        <v>0</v>
      </c>
      <c r="L6894" t="n">
        <v>0</v>
      </c>
      <c r="M6894" t="n">
        <v>0</v>
      </c>
      <c r="N6894" t="n">
        <v>0</v>
      </c>
      <c r="O6894" t="n">
        <v>0</v>
      </c>
      <c r="P6894" t="n">
        <v>0</v>
      </c>
      <c r="Q6894" t="n">
        <v>0</v>
      </c>
      <c r="R6894" s="2" t="inlineStr"/>
    </row>
    <row r="6895" ht="15" customHeight="1">
      <c r="A6895" t="inlineStr">
        <is>
          <t>A 47493-2024</t>
        </is>
      </c>
      <c r="B6895" s="1" t="n">
        <v>45587.59410879629</v>
      </c>
      <c r="C6895" s="1" t="n">
        <v>45911</v>
      </c>
      <c r="D6895" t="inlineStr">
        <is>
          <t>GÄVLEBORGS LÄN</t>
        </is>
      </c>
      <c r="E6895" t="inlineStr">
        <is>
          <t>HOFORS</t>
        </is>
      </c>
      <c r="F6895" t="inlineStr">
        <is>
          <t>Sveaskog</t>
        </is>
      </c>
      <c r="G6895" t="n">
        <v>3.9</v>
      </c>
      <c r="H6895" t="n">
        <v>0</v>
      </c>
      <c r="I6895" t="n">
        <v>0</v>
      </c>
      <c r="J6895" t="n">
        <v>0</v>
      </c>
      <c r="K6895" t="n">
        <v>0</v>
      </c>
      <c r="L6895" t="n">
        <v>0</v>
      </c>
      <c r="M6895" t="n">
        <v>0</v>
      </c>
      <c r="N6895" t="n">
        <v>0</v>
      </c>
      <c r="O6895" t="n">
        <v>0</v>
      </c>
      <c r="P6895" t="n">
        <v>0</v>
      </c>
      <c r="Q6895" t="n">
        <v>0</v>
      </c>
      <c r="R6895" s="2" t="inlineStr"/>
    </row>
    <row r="6896" ht="15" customHeight="1">
      <c r="A6896" t="inlineStr">
        <is>
          <t>A 47528-2024</t>
        </is>
      </c>
      <c r="B6896" s="1" t="n">
        <v>45587.63690972222</v>
      </c>
      <c r="C6896" s="1" t="n">
        <v>45911</v>
      </c>
      <c r="D6896" t="inlineStr">
        <is>
          <t>GÄVLEBORGS LÄN</t>
        </is>
      </c>
      <c r="E6896" t="inlineStr">
        <is>
          <t>BOLLNÄS</t>
        </is>
      </c>
      <c r="G6896" t="n">
        <v>4</v>
      </c>
      <c r="H6896" t="n">
        <v>0</v>
      </c>
      <c r="I6896" t="n">
        <v>0</v>
      </c>
      <c r="J6896" t="n">
        <v>0</v>
      </c>
      <c r="K6896" t="n">
        <v>0</v>
      </c>
      <c r="L6896" t="n">
        <v>0</v>
      </c>
      <c r="M6896" t="n">
        <v>0</v>
      </c>
      <c r="N6896" t="n">
        <v>0</v>
      </c>
      <c r="O6896" t="n">
        <v>0</v>
      </c>
      <c r="P6896" t="n">
        <v>0</v>
      </c>
      <c r="Q6896" t="n">
        <v>0</v>
      </c>
      <c r="R6896" s="2" t="inlineStr"/>
    </row>
    <row r="6897" ht="15" customHeight="1">
      <c r="A6897" t="inlineStr">
        <is>
          <t>A 12624-2025</t>
        </is>
      </c>
      <c r="B6897" s="1" t="n">
        <v>45733.36315972222</v>
      </c>
      <c r="C6897" s="1" t="n">
        <v>45911</v>
      </c>
      <c r="D6897" t="inlineStr">
        <is>
          <t>GÄVLEBORGS LÄN</t>
        </is>
      </c>
      <c r="E6897" t="inlineStr">
        <is>
          <t>BOLLNÄS</t>
        </is>
      </c>
      <c r="G6897" t="n">
        <v>2.1</v>
      </c>
      <c r="H6897" t="n">
        <v>0</v>
      </c>
      <c r="I6897" t="n">
        <v>0</v>
      </c>
      <c r="J6897" t="n">
        <v>0</v>
      </c>
      <c r="K6897" t="n">
        <v>0</v>
      </c>
      <c r="L6897" t="n">
        <v>0</v>
      </c>
      <c r="M6897" t="n">
        <v>0</v>
      </c>
      <c r="N6897" t="n">
        <v>0</v>
      </c>
      <c r="O6897" t="n">
        <v>0</v>
      </c>
      <c r="P6897" t="n">
        <v>0</v>
      </c>
      <c r="Q6897" t="n">
        <v>0</v>
      </c>
      <c r="R6897" s="2" t="inlineStr"/>
    </row>
    <row r="6898" ht="15" customHeight="1">
      <c r="A6898" t="inlineStr">
        <is>
          <t>A 36170-2023</t>
        </is>
      </c>
      <c r="B6898" s="1" t="n">
        <v>45149.6374074074</v>
      </c>
      <c r="C6898" s="1" t="n">
        <v>45911</v>
      </c>
      <c r="D6898" t="inlineStr">
        <is>
          <t>GÄVLEBORGS LÄN</t>
        </is>
      </c>
      <c r="E6898" t="inlineStr">
        <is>
          <t>LJUSDAL</t>
        </is>
      </c>
      <c r="F6898" t="inlineStr">
        <is>
          <t>Sveaskog</t>
        </is>
      </c>
      <c r="G6898" t="n">
        <v>9.4</v>
      </c>
      <c r="H6898" t="n">
        <v>0</v>
      </c>
      <c r="I6898" t="n">
        <v>0</v>
      </c>
      <c r="J6898" t="n">
        <v>0</v>
      </c>
      <c r="K6898" t="n">
        <v>0</v>
      </c>
      <c r="L6898" t="n">
        <v>0</v>
      </c>
      <c r="M6898" t="n">
        <v>0</v>
      </c>
      <c r="N6898" t="n">
        <v>0</v>
      </c>
      <c r="O6898" t="n">
        <v>0</v>
      </c>
      <c r="P6898" t="n">
        <v>0</v>
      </c>
      <c r="Q6898" t="n">
        <v>0</v>
      </c>
      <c r="R6898" s="2" t="inlineStr"/>
    </row>
    <row r="6899" ht="15" customHeight="1">
      <c r="A6899" t="inlineStr">
        <is>
          <t>A 49713-2022</t>
        </is>
      </c>
      <c r="B6899" s="1" t="n">
        <v>44862</v>
      </c>
      <c r="C6899" s="1" t="n">
        <v>45911</v>
      </c>
      <c r="D6899" t="inlineStr">
        <is>
          <t>GÄVLEBORGS LÄN</t>
        </is>
      </c>
      <c r="E6899" t="inlineStr">
        <is>
          <t>HUDIKSVALL</t>
        </is>
      </c>
      <c r="G6899" t="n">
        <v>3.1</v>
      </c>
      <c r="H6899" t="n">
        <v>0</v>
      </c>
      <c r="I6899" t="n">
        <v>0</v>
      </c>
      <c r="J6899" t="n">
        <v>0</v>
      </c>
      <c r="K6899" t="n">
        <v>0</v>
      </c>
      <c r="L6899" t="n">
        <v>0</v>
      </c>
      <c r="M6899" t="n">
        <v>0</v>
      </c>
      <c r="N6899" t="n">
        <v>0</v>
      </c>
      <c r="O6899" t="n">
        <v>0</v>
      </c>
      <c r="P6899" t="n">
        <v>0</v>
      </c>
      <c r="Q6899" t="n">
        <v>0</v>
      </c>
      <c r="R6899" s="2" t="inlineStr"/>
    </row>
    <row r="6900" ht="15" customHeight="1">
      <c r="A6900" t="inlineStr">
        <is>
          <t>A 34232-2023</t>
        </is>
      </c>
      <c r="B6900" s="1" t="n">
        <v>45127</v>
      </c>
      <c r="C6900" s="1" t="n">
        <v>45911</v>
      </c>
      <c r="D6900" t="inlineStr">
        <is>
          <t>GÄVLEBORGS LÄN</t>
        </is>
      </c>
      <c r="E6900" t="inlineStr">
        <is>
          <t>HOFORS</t>
        </is>
      </c>
      <c r="F6900" t="inlineStr">
        <is>
          <t>Bergvik skog väst AB</t>
        </is>
      </c>
      <c r="G6900" t="n">
        <v>5.8</v>
      </c>
      <c r="H6900" t="n">
        <v>0</v>
      </c>
      <c r="I6900" t="n">
        <v>0</v>
      </c>
      <c r="J6900" t="n">
        <v>0</v>
      </c>
      <c r="K6900" t="n">
        <v>0</v>
      </c>
      <c r="L6900" t="n">
        <v>0</v>
      </c>
      <c r="M6900" t="n">
        <v>0</v>
      </c>
      <c r="N6900" t="n">
        <v>0</v>
      </c>
      <c r="O6900" t="n">
        <v>0</v>
      </c>
      <c r="P6900" t="n">
        <v>0</v>
      </c>
      <c r="Q6900" t="n">
        <v>0</v>
      </c>
      <c r="R6900" s="2" t="inlineStr"/>
    </row>
    <row r="6901" ht="15" customHeight="1">
      <c r="A6901" t="inlineStr">
        <is>
          <t>A 54625-2023</t>
        </is>
      </c>
      <c r="B6901" s="1" t="n">
        <v>45234</v>
      </c>
      <c r="C6901" s="1" t="n">
        <v>45911</v>
      </c>
      <c r="D6901" t="inlineStr">
        <is>
          <t>GÄVLEBORGS LÄN</t>
        </is>
      </c>
      <c r="E6901" t="inlineStr">
        <is>
          <t>HUDIKSVALL</t>
        </is>
      </c>
      <c r="G6901" t="n">
        <v>4</v>
      </c>
      <c r="H6901" t="n">
        <v>0</v>
      </c>
      <c r="I6901" t="n">
        <v>0</v>
      </c>
      <c r="J6901" t="n">
        <v>0</v>
      </c>
      <c r="K6901" t="n">
        <v>0</v>
      </c>
      <c r="L6901" t="n">
        <v>0</v>
      </c>
      <c r="M6901" t="n">
        <v>0</v>
      </c>
      <c r="N6901" t="n">
        <v>0</v>
      </c>
      <c r="O6901" t="n">
        <v>0</v>
      </c>
      <c r="P6901" t="n">
        <v>0</v>
      </c>
      <c r="Q6901" t="n">
        <v>0</v>
      </c>
      <c r="R6901" s="2" t="inlineStr"/>
    </row>
    <row r="6902" ht="15" customHeight="1">
      <c r="A6902" t="inlineStr">
        <is>
          <t>A 18920-2025</t>
        </is>
      </c>
      <c r="B6902" s="1" t="n">
        <v>45764.47677083333</v>
      </c>
      <c r="C6902" s="1" t="n">
        <v>45911</v>
      </c>
      <c r="D6902" t="inlineStr">
        <is>
          <t>GÄVLEBORGS LÄN</t>
        </is>
      </c>
      <c r="E6902" t="inlineStr">
        <is>
          <t>SÖDERHAMN</t>
        </is>
      </c>
      <c r="F6902" t="inlineStr">
        <is>
          <t>Kommuner</t>
        </is>
      </c>
      <c r="G6902" t="n">
        <v>2.9</v>
      </c>
      <c r="H6902" t="n">
        <v>0</v>
      </c>
      <c r="I6902" t="n">
        <v>0</v>
      </c>
      <c r="J6902" t="n">
        <v>0</v>
      </c>
      <c r="K6902" t="n">
        <v>0</v>
      </c>
      <c r="L6902" t="n">
        <v>0</v>
      </c>
      <c r="M6902" t="n">
        <v>0</v>
      </c>
      <c r="N6902" t="n">
        <v>0</v>
      </c>
      <c r="O6902" t="n">
        <v>0</v>
      </c>
      <c r="P6902" t="n">
        <v>0</v>
      </c>
      <c r="Q6902" t="n">
        <v>0</v>
      </c>
      <c r="R6902" s="2" t="inlineStr"/>
    </row>
    <row r="6903" ht="15" customHeight="1">
      <c r="A6903" t="inlineStr">
        <is>
          <t>A 23921-2023</t>
        </is>
      </c>
      <c r="B6903" s="1" t="n">
        <v>45078</v>
      </c>
      <c r="C6903" s="1" t="n">
        <v>45911</v>
      </c>
      <c r="D6903" t="inlineStr">
        <is>
          <t>GÄVLEBORGS LÄN</t>
        </is>
      </c>
      <c r="E6903" t="inlineStr">
        <is>
          <t>HUDIKSVALL</t>
        </is>
      </c>
      <c r="F6903" t="inlineStr">
        <is>
          <t>Holmen skog AB</t>
        </is>
      </c>
      <c r="G6903" t="n">
        <v>8.6</v>
      </c>
      <c r="H6903" t="n">
        <v>0</v>
      </c>
      <c r="I6903" t="n">
        <v>0</v>
      </c>
      <c r="J6903" t="n">
        <v>0</v>
      </c>
      <c r="K6903" t="n">
        <v>0</v>
      </c>
      <c r="L6903" t="n">
        <v>0</v>
      </c>
      <c r="M6903" t="n">
        <v>0</v>
      </c>
      <c r="N6903" t="n">
        <v>0</v>
      </c>
      <c r="O6903" t="n">
        <v>0</v>
      </c>
      <c r="P6903" t="n">
        <v>0</v>
      </c>
      <c r="Q6903" t="n">
        <v>0</v>
      </c>
      <c r="R6903" s="2" t="inlineStr"/>
    </row>
    <row r="6904" ht="15" customHeight="1">
      <c r="A6904" t="inlineStr">
        <is>
          <t>A 52250-2024</t>
        </is>
      </c>
      <c r="B6904" s="1" t="n">
        <v>45608.62623842592</v>
      </c>
      <c r="C6904" s="1" t="n">
        <v>45911</v>
      </c>
      <c r="D6904" t="inlineStr">
        <is>
          <t>GÄVLEBORGS LÄN</t>
        </is>
      </c>
      <c r="E6904" t="inlineStr">
        <is>
          <t>GÄVLE</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61399-2023</t>
        </is>
      </c>
      <c r="B6905" s="1" t="n">
        <v>45264</v>
      </c>
      <c r="C6905" s="1" t="n">
        <v>45911</v>
      </c>
      <c r="D6905" t="inlineStr">
        <is>
          <t>GÄVLEBORGS LÄN</t>
        </is>
      </c>
      <c r="E6905" t="inlineStr">
        <is>
          <t>BOLLNÄS</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35941-2022</t>
        </is>
      </c>
      <c r="B6906" s="1" t="n">
        <v>44802.5419675926</v>
      </c>
      <c r="C6906" s="1" t="n">
        <v>45911</v>
      </c>
      <c r="D6906" t="inlineStr">
        <is>
          <t>GÄVLEBORGS LÄN</t>
        </is>
      </c>
      <c r="E6906" t="inlineStr">
        <is>
          <t>BOLLNÄS</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17526-2025</t>
        </is>
      </c>
      <c r="B6907" s="1" t="n">
        <v>45757</v>
      </c>
      <c r="C6907" s="1" t="n">
        <v>45911</v>
      </c>
      <c r="D6907" t="inlineStr">
        <is>
          <t>GÄVLEBORGS LÄN</t>
        </is>
      </c>
      <c r="E6907" t="inlineStr">
        <is>
          <t>SÖDERHAMN</t>
        </is>
      </c>
      <c r="F6907" t="inlineStr">
        <is>
          <t>Bergvik skog väst AB</t>
        </is>
      </c>
      <c r="G6907" t="n">
        <v>7.3</v>
      </c>
      <c r="H6907" t="n">
        <v>0</v>
      </c>
      <c r="I6907" t="n">
        <v>0</v>
      </c>
      <c r="J6907" t="n">
        <v>0</v>
      </c>
      <c r="K6907" t="n">
        <v>0</v>
      </c>
      <c r="L6907" t="n">
        <v>0</v>
      </c>
      <c r="M6907" t="n">
        <v>0</v>
      </c>
      <c r="N6907" t="n">
        <v>0</v>
      </c>
      <c r="O6907" t="n">
        <v>0</v>
      </c>
      <c r="P6907" t="n">
        <v>0</v>
      </c>
      <c r="Q6907" t="n">
        <v>0</v>
      </c>
      <c r="R6907" s="2" t="inlineStr"/>
    </row>
    <row r="6908" ht="15" customHeight="1">
      <c r="A6908" t="inlineStr">
        <is>
          <t>A 26533-2021</t>
        </is>
      </c>
      <c r="B6908" s="1" t="n">
        <v>44348.48729166666</v>
      </c>
      <c r="C6908" s="1" t="n">
        <v>45911</v>
      </c>
      <c r="D6908" t="inlineStr">
        <is>
          <t>GÄVLEBORGS LÄN</t>
        </is>
      </c>
      <c r="E6908" t="inlineStr">
        <is>
          <t>SÖDERHAMN</t>
        </is>
      </c>
      <c r="G6908" t="n">
        <v>2.7</v>
      </c>
      <c r="H6908" t="n">
        <v>0</v>
      </c>
      <c r="I6908" t="n">
        <v>0</v>
      </c>
      <c r="J6908" t="n">
        <v>0</v>
      </c>
      <c r="K6908" t="n">
        <v>0</v>
      </c>
      <c r="L6908" t="n">
        <v>0</v>
      </c>
      <c r="M6908" t="n">
        <v>0</v>
      </c>
      <c r="N6908" t="n">
        <v>0</v>
      </c>
      <c r="O6908" t="n">
        <v>0</v>
      </c>
      <c r="P6908" t="n">
        <v>0</v>
      </c>
      <c r="Q6908" t="n">
        <v>0</v>
      </c>
      <c r="R6908" s="2" t="inlineStr"/>
    </row>
    <row r="6909" ht="15" customHeight="1">
      <c r="A6909" t="inlineStr">
        <is>
          <t>A 13484-2023</t>
        </is>
      </c>
      <c r="B6909" s="1" t="n">
        <v>45005</v>
      </c>
      <c r="C6909" s="1" t="n">
        <v>45911</v>
      </c>
      <c r="D6909" t="inlineStr">
        <is>
          <t>GÄVLEBORGS LÄN</t>
        </is>
      </c>
      <c r="E6909" t="inlineStr">
        <is>
          <t>HUDIKSVALL</t>
        </is>
      </c>
      <c r="G6909" t="n">
        <v>4.3</v>
      </c>
      <c r="H6909" t="n">
        <v>0</v>
      </c>
      <c r="I6909" t="n">
        <v>0</v>
      </c>
      <c r="J6909" t="n">
        <v>0</v>
      </c>
      <c r="K6909" t="n">
        <v>0</v>
      </c>
      <c r="L6909" t="n">
        <v>0</v>
      </c>
      <c r="M6909" t="n">
        <v>0</v>
      </c>
      <c r="N6909" t="n">
        <v>0</v>
      </c>
      <c r="O6909" t="n">
        <v>0</v>
      </c>
      <c r="P6909" t="n">
        <v>0</v>
      </c>
      <c r="Q6909" t="n">
        <v>0</v>
      </c>
      <c r="R6909" s="2" t="inlineStr"/>
    </row>
    <row r="6910" ht="15" customHeight="1">
      <c r="A6910" t="inlineStr">
        <is>
          <t>A 44168-2022</t>
        </is>
      </c>
      <c r="B6910" s="1" t="n">
        <v>44839.44467592592</v>
      </c>
      <c r="C6910" s="1" t="n">
        <v>45911</v>
      </c>
      <c r="D6910" t="inlineStr">
        <is>
          <t>GÄVLEBORGS LÄN</t>
        </is>
      </c>
      <c r="E6910" t="inlineStr">
        <is>
          <t>HUDIKSVALL</t>
        </is>
      </c>
      <c r="G6910" t="n">
        <v>3.2</v>
      </c>
      <c r="H6910" t="n">
        <v>0</v>
      </c>
      <c r="I6910" t="n">
        <v>0</v>
      </c>
      <c r="J6910" t="n">
        <v>0</v>
      </c>
      <c r="K6910" t="n">
        <v>0</v>
      </c>
      <c r="L6910" t="n">
        <v>0</v>
      </c>
      <c r="M6910" t="n">
        <v>0</v>
      </c>
      <c r="N6910" t="n">
        <v>0</v>
      </c>
      <c r="O6910" t="n">
        <v>0</v>
      </c>
      <c r="P6910" t="n">
        <v>0</v>
      </c>
      <c r="Q6910" t="n">
        <v>0</v>
      </c>
      <c r="R6910" s="2" t="inlineStr"/>
    </row>
    <row r="6911" ht="15" customHeight="1">
      <c r="A6911" t="inlineStr">
        <is>
          <t>A 44347-2023</t>
        </is>
      </c>
      <c r="B6911" s="1" t="n">
        <v>45188.72041666666</v>
      </c>
      <c r="C6911" s="1" t="n">
        <v>45911</v>
      </c>
      <c r="D6911" t="inlineStr">
        <is>
          <t>GÄVLEBORGS LÄN</t>
        </is>
      </c>
      <c r="E6911" t="inlineStr">
        <is>
          <t>OVANÅKER</t>
        </is>
      </c>
      <c r="G6911" t="n">
        <v>4.1</v>
      </c>
      <c r="H6911" t="n">
        <v>0</v>
      </c>
      <c r="I6911" t="n">
        <v>0</v>
      </c>
      <c r="J6911" t="n">
        <v>0</v>
      </c>
      <c r="K6911" t="n">
        <v>0</v>
      </c>
      <c r="L6911" t="n">
        <v>0</v>
      </c>
      <c r="M6911" t="n">
        <v>0</v>
      </c>
      <c r="N6911" t="n">
        <v>0</v>
      </c>
      <c r="O6911" t="n">
        <v>0</v>
      </c>
      <c r="P6911" t="n">
        <v>0</v>
      </c>
      <c r="Q6911" t="n">
        <v>0</v>
      </c>
      <c r="R6911" s="2" t="inlineStr"/>
    </row>
    <row r="6912" ht="15" customHeight="1">
      <c r="A6912" t="inlineStr">
        <is>
          <t>A 59354-2024</t>
        </is>
      </c>
      <c r="B6912" s="1" t="n">
        <v>45638.3077662037</v>
      </c>
      <c r="C6912" s="1" t="n">
        <v>45911</v>
      </c>
      <c r="D6912" t="inlineStr">
        <is>
          <t>GÄVLEBORGS LÄN</t>
        </is>
      </c>
      <c r="E6912" t="inlineStr">
        <is>
          <t>OVANÅKER</t>
        </is>
      </c>
      <c r="G6912" t="n">
        <v>0.5</v>
      </c>
      <c r="H6912" t="n">
        <v>0</v>
      </c>
      <c r="I6912" t="n">
        <v>0</v>
      </c>
      <c r="J6912" t="n">
        <v>0</v>
      </c>
      <c r="K6912" t="n">
        <v>0</v>
      </c>
      <c r="L6912" t="n">
        <v>0</v>
      </c>
      <c r="M6912" t="n">
        <v>0</v>
      </c>
      <c r="N6912" t="n">
        <v>0</v>
      </c>
      <c r="O6912" t="n">
        <v>0</v>
      </c>
      <c r="P6912" t="n">
        <v>0</v>
      </c>
      <c r="Q6912" t="n">
        <v>0</v>
      </c>
      <c r="R6912" s="2" t="inlineStr"/>
    </row>
    <row r="6913" ht="15" customHeight="1">
      <c r="A6913" t="inlineStr">
        <is>
          <t>A 7748-2025</t>
        </is>
      </c>
      <c r="B6913" s="1" t="n">
        <v>45706</v>
      </c>
      <c r="C6913" s="1" t="n">
        <v>45911</v>
      </c>
      <c r="D6913" t="inlineStr">
        <is>
          <t>GÄVLEBORGS LÄN</t>
        </is>
      </c>
      <c r="E6913" t="inlineStr">
        <is>
          <t>GÄVLE</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28897-2024</t>
        </is>
      </c>
      <c r="B6914" s="1" t="n">
        <v>45480.41858796297</v>
      </c>
      <c r="C6914" s="1" t="n">
        <v>45911</v>
      </c>
      <c r="D6914" t="inlineStr">
        <is>
          <t>GÄVLEBORGS LÄN</t>
        </is>
      </c>
      <c r="E6914" t="inlineStr">
        <is>
          <t>SANDVIKEN</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9111-2024</t>
        </is>
      </c>
      <c r="B6915" s="1" t="n">
        <v>45357.96122685185</v>
      </c>
      <c r="C6915" s="1" t="n">
        <v>45911</v>
      </c>
      <c r="D6915" t="inlineStr">
        <is>
          <t>GÄVLEBORGS LÄN</t>
        </is>
      </c>
      <c r="E6915" t="inlineStr">
        <is>
          <t>LJUSDAL</t>
        </is>
      </c>
      <c r="G6915" t="n">
        <v>3</v>
      </c>
      <c r="H6915" t="n">
        <v>0</v>
      </c>
      <c r="I6915" t="n">
        <v>0</v>
      </c>
      <c r="J6915" t="n">
        <v>0</v>
      </c>
      <c r="K6915" t="n">
        <v>0</v>
      </c>
      <c r="L6915" t="n">
        <v>0</v>
      </c>
      <c r="M6915" t="n">
        <v>0</v>
      </c>
      <c r="N6915" t="n">
        <v>0</v>
      </c>
      <c r="O6915" t="n">
        <v>0</v>
      </c>
      <c r="P6915" t="n">
        <v>0</v>
      </c>
      <c r="Q6915" t="n">
        <v>0</v>
      </c>
      <c r="R6915" s="2" t="inlineStr"/>
    </row>
    <row r="6916" ht="15" customHeight="1">
      <c r="A6916" t="inlineStr">
        <is>
          <t>A 34058-2022</t>
        </is>
      </c>
      <c r="B6916" s="1" t="n">
        <v>44791.37611111111</v>
      </c>
      <c r="C6916" s="1" t="n">
        <v>45911</v>
      </c>
      <c r="D6916" t="inlineStr">
        <is>
          <t>GÄVLEBORGS LÄN</t>
        </is>
      </c>
      <c r="E6916" t="inlineStr">
        <is>
          <t>LJUSDAL</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61785-2024</t>
        </is>
      </c>
      <c r="B6917" s="1" t="n">
        <v>45649.47710648148</v>
      </c>
      <c r="C6917" s="1" t="n">
        <v>45911</v>
      </c>
      <c r="D6917" t="inlineStr">
        <is>
          <t>GÄVLEBORGS LÄN</t>
        </is>
      </c>
      <c r="E6917" t="inlineStr">
        <is>
          <t>HUDIKSVALL</t>
        </is>
      </c>
      <c r="G6917" t="n">
        <v>3</v>
      </c>
      <c r="H6917" t="n">
        <v>0</v>
      </c>
      <c r="I6917" t="n">
        <v>0</v>
      </c>
      <c r="J6917" t="n">
        <v>0</v>
      </c>
      <c r="K6917" t="n">
        <v>0</v>
      </c>
      <c r="L6917" t="n">
        <v>0</v>
      </c>
      <c r="M6917" t="n">
        <v>0</v>
      </c>
      <c r="N6917" t="n">
        <v>0</v>
      </c>
      <c r="O6917" t="n">
        <v>0</v>
      </c>
      <c r="P6917" t="n">
        <v>0</v>
      </c>
      <c r="Q6917" t="n">
        <v>0</v>
      </c>
      <c r="R6917" s="2" t="inlineStr"/>
    </row>
    <row r="6918" ht="15" customHeight="1">
      <c r="A6918" t="inlineStr">
        <is>
          <t>A 59856-2022</t>
        </is>
      </c>
      <c r="B6918" s="1" t="n">
        <v>44908</v>
      </c>
      <c r="C6918" s="1" t="n">
        <v>45911</v>
      </c>
      <c r="D6918" t="inlineStr">
        <is>
          <t>GÄVLEBORGS LÄN</t>
        </is>
      </c>
      <c r="E6918" t="inlineStr">
        <is>
          <t>HUDIKSVALL</t>
        </is>
      </c>
      <c r="G6918" t="n">
        <v>2.8</v>
      </c>
      <c r="H6918" t="n">
        <v>0</v>
      </c>
      <c r="I6918" t="n">
        <v>0</v>
      </c>
      <c r="J6918" t="n">
        <v>0</v>
      </c>
      <c r="K6918" t="n">
        <v>0</v>
      </c>
      <c r="L6918" t="n">
        <v>0</v>
      </c>
      <c r="M6918" t="n">
        <v>0</v>
      </c>
      <c r="N6918" t="n">
        <v>0</v>
      </c>
      <c r="O6918" t="n">
        <v>0</v>
      </c>
      <c r="P6918" t="n">
        <v>0</v>
      </c>
      <c r="Q6918" t="n">
        <v>0</v>
      </c>
      <c r="R6918" s="2" t="inlineStr"/>
    </row>
    <row r="6919" ht="15" customHeight="1">
      <c r="A6919" t="inlineStr">
        <is>
          <t>A 61792-2024</t>
        </is>
      </c>
      <c r="B6919" s="1" t="n">
        <v>45649</v>
      </c>
      <c r="C6919" s="1" t="n">
        <v>45911</v>
      </c>
      <c r="D6919" t="inlineStr">
        <is>
          <t>GÄVLEBORGS LÄN</t>
        </is>
      </c>
      <c r="E6919" t="inlineStr">
        <is>
          <t>HUDIKSVALL</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15233-2023</t>
        </is>
      </c>
      <c r="B6920" s="1" t="n">
        <v>45019.34851851852</v>
      </c>
      <c r="C6920" s="1" t="n">
        <v>45911</v>
      </c>
      <c r="D6920" t="inlineStr">
        <is>
          <t>GÄVLEBORGS LÄN</t>
        </is>
      </c>
      <c r="E6920" t="inlineStr">
        <is>
          <t>HUDIKSVALL</t>
        </is>
      </c>
      <c r="F6920" t="inlineStr">
        <is>
          <t>Holmen skog AB</t>
        </is>
      </c>
      <c r="G6920" t="n">
        <v>4.8</v>
      </c>
      <c r="H6920" t="n">
        <v>0</v>
      </c>
      <c r="I6920" t="n">
        <v>0</v>
      </c>
      <c r="J6920" t="n">
        <v>0</v>
      </c>
      <c r="K6920" t="n">
        <v>0</v>
      </c>
      <c r="L6920" t="n">
        <v>0</v>
      </c>
      <c r="M6920" t="n">
        <v>0</v>
      </c>
      <c r="N6920" t="n">
        <v>0</v>
      </c>
      <c r="O6920" t="n">
        <v>0</v>
      </c>
      <c r="P6920" t="n">
        <v>0</v>
      </c>
      <c r="Q6920" t="n">
        <v>0</v>
      </c>
      <c r="R6920" s="2" t="inlineStr"/>
    </row>
    <row r="6921" ht="15" customHeight="1">
      <c r="A6921" t="inlineStr">
        <is>
          <t>A 52778-2021</t>
        </is>
      </c>
      <c r="B6921" s="1" t="n">
        <v>44467.35164351852</v>
      </c>
      <c r="C6921" s="1" t="n">
        <v>45911</v>
      </c>
      <c r="D6921" t="inlineStr">
        <is>
          <t>GÄVLEBORGS LÄN</t>
        </is>
      </c>
      <c r="E6921" t="inlineStr">
        <is>
          <t>LJUSDAL</t>
        </is>
      </c>
      <c r="F6921" t="inlineStr">
        <is>
          <t>Sveaskog</t>
        </is>
      </c>
      <c r="G6921" t="n">
        <v>3.5</v>
      </c>
      <c r="H6921" t="n">
        <v>0</v>
      </c>
      <c r="I6921" t="n">
        <v>0</v>
      </c>
      <c r="J6921" t="n">
        <v>0</v>
      </c>
      <c r="K6921" t="n">
        <v>0</v>
      </c>
      <c r="L6921" t="n">
        <v>0</v>
      </c>
      <c r="M6921" t="n">
        <v>0</v>
      </c>
      <c r="N6921" t="n">
        <v>0</v>
      </c>
      <c r="O6921" t="n">
        <v>0</v>
      </c>
      <c r="P6921" t="n">
        <v>0</v>
      </c>
      <c r="Q6921" t="n">
        <v>0</v>
      </c>
      <c r="R6921" s="2" t="inlineStr"/>
    </row>
    <row r="6922" ht="15" customHeight="1">
      <c r="A6922" t="inlineStr">
        <is>
          <t>A 15285-2023</t>
        </is>
      </c>
      <c r="B6922" s="1" t="n">
        <v>45019.43928240741</v>
      </c>
      <c r="C6922" s="1" t="n">
        <v>45911</v>
      </c>
      <c r="D6922" t="inlineStr">
        <is>
          <t>GÄVLEBORGS LÄN</t>
        </is>
      </c>
      <c r="E6922" t="inlineStr">
        <is>
          <t>LJUSDAL</t>
        </is>
      </c>
      <c r="F6922" t="inlineStr">
        <is>
          <t>Holmen skog AB</t>
        </is>
      </c>
      <c r="G6922" t="n">
        <v>1.8</v>
      </c>
      <c r="H6922" t="n">
        <v>0</v>
      </c>
      <c r="I6922" t="n">
        <v>0</v>
      </c>
      <c r="J6922" t="n">
        <v>0</v>
      </c>
      <c r="K6922" t="n">
        <v>0</v>
      </c>
      <c r="L6922" t="n">
        <v>0</v>
      </c>
      <c r="M6922" t="n">
        <v>0</v>
      </c>
      <c r="N6922" t="n">
        <v>0</v>
      </c>
      <c r="O6922" t="n">
        <v>0</v>
      </c>
      <c r="P6922" t="n">
        <v>0</v>
      </c>
      <c r="Q6922" t="n">
        <v>0</v>
      </c>
      <c r="R6922" s="2" t="inlineStr"/>
    </row>
    <row r="6923" ht="15" customHeight="1">
      <c r="A6923" t="inlineStr">
        <is>
          <t>A 41730-2024</t>
        </is>
      </c>
      <c r="B6923" s="1" t="n">
        <v>45560.90769675926</v>
      </c>
      <c r="C6923" s="1" t="n">
        <v>45911</v>
      </c>
      <c r="D6923" t="inlineStr">
        <is>
          <t>GÄVLEBORGS LÄN</t>
        </is>
      </c>
      <c r="E6923" t="inlineStr">
        <is>
          <t>LJUSDAL</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34976-2024</t>
        </is>
      </c>
      <c r="B6924" s="1" t="n">
        <v>45527.5432175926</v>
      </c>
      <c r="C6924" s="1" t="n">
        <v>45911</v>
      </c>
      <c r="D6924" t="inlineStr">
        <is>
          <t>GÄVLEBORGS LÄN</t>
        </is>
      </c>
      <c r="E6924" t="inlineStr">
        <is>
          <t>SÖDERHAMN</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34982-2024</t>
        </is>
      </c>
      <c r="B6925" s="1" t="n">
        <v>45527.54805555556</v>
      </c>
      <c r="C6925" s="1" t="n">
        <v>45911</v>
      </c>
      <c r="D6925" t="inlineStr">
        <is>
          <t>GÄVLEBORGS LÄN</t>
        </is>
      </c>
      <c r="E6925" t="inlineStr">
        <is>
          <t>HUDIKSVALL</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34989-2024</t>
        </is>
      </c>
      <c r="B6926" s="1" t="n">
        <v>45527.55215277777</v>
      </c>
      <c r="C6926" s="1" t="n">
        <v>45911</v>
      </c>
      <c r="D6926" t="inlineStr">
        <is>
          <t>GÄVLEBORGS LÄN</t>
        </is>
      </c>
      <c r="E6926" t="inlineStr">
        <is>
          <t>LJUSDAL</t>
        </is>
      </c>
      <c r="F6926" t="inlineStr">
        <is>
          <t>Sveaskog</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3712-2023</t>
        </is>
      </c>
      <c r="B6927" s="1" t="n">
        <v>44951.33599537037</v>
      </c>
      <c r="C6927" s="1" t="n">
        <v>45911</v>
      </c>
      <c r="D6927" t="inlineStr">
        <is>
          <t>GÄVLEBORGS LÄN</t>
        </is>
      </c>
      <c r="E6927" t="inlineStr">
        <is>
          <t>GÄVLE</t>
        </is>
      </c>
      <c r="F6927" t="inlineStr">
        <is>
          <t>Bergvik skog väst AB</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52746-2022</t>
        </is>
      </c>
      <c r="B6928" s="1" t="n">
        <v>44874</v>
      </c>
      <c r="C6928" s="1" t="n">
        <v>45911</v>
      </c>
      <c r="D6928" t="inlineStr">
        <is>
          <t>GÄVLEBORGS LÄN</t>
        </is>
      </c>
      <c r="E6928" t="inlineStr">
        <is>
          <t>NORDANSTIG</t>
        </is>
      </c>
      <c r="F6928" t="inlineStr">
        <is>
          <t>SCA</t>
        </is>
      </c>
      <c r="G6928" t="n">
        <v>7.1</v>
      </c>
      <c r="H6928" t="n">
        <v>0</v>
      </c>
      <c r="I6928" t="n">
        <v>0</v>
      </c>
      <c r="J6928" t="n">
        <v>0</v>
      </c>
      <c r="K6928" t="n">
        <v>0</v>
      </c>
      <c r="L6928" t="n">
        <v>0</v>
      </c>
      <c r="M6928" t="n">
        <v>0</v>
      </c>
      <c r="N6928" t="n">
        <v>0</v>
      </c>
      <c r="O6928" t="n">
        <v>0</v>
      </c>
      <c r="P6928" t="n">
        <v>0</v>
      </c>
      <c r="Q6928" t="n">
        <v>0</v>
      </c>
      <c r="R6928" s="2" t="inlineStr"/>
    </row>
    <row r="6929" ht="15" customHeight="1">
      <c r="A6929" t="inlineStr">
        <is>
          <t>A 60495-2023</t>
        </is>
      </c>
      <c r="B6929" s="1" t="n">
        <v>45258</v>
      </c>
      <c r="C6929" s="1" t="n">
        <v>45911</v>
      </c>
      <c r="D6929" t="inlineStr">
        <is>
          <t>GÄVLEBORGS LÄN</t>
        </is>
      </c>
      <c r="E6929" t="inlineStr">
        <is>
          <t>BOLLNÄS</t>
        </is>
      </c>
      <c r="G6929" t="n">
        <v>7.1</v>
      </c>
      <c r="H6929" t="n">
        <v>0</v>
      </c>
      <c r="I6929" t="n">
        <v>0</v>
      </c>
      <c r="J6929" t="n">
        <v>0</v>
      </c>
      <c r="K6929" t="n">
        <v>0</v>
      </c>
      <c r="L6929" t="n">
        <v>0</v>
      </c>
      <c r="M6929" t="n">
        <v>0</v>
      </c>
      <c r="N6929" t="n">
        <v>0</v>
      </c>
      <c r="O6929" t="n">
        <v>0</v>
      </c>
      <c r="P6929" t="n">
        <v>0</v>
      </c>
      <c r="Q6929" t="n">
        <v>0</v>
      </c>
      <c r="R6929" s="2" t="inlineStr"/>
    </row>
    <row r="6930" ht="15" customHeight="1">
      <c r="A6930" t="inlineStr">
        <is>
          <t>A 47995-2024</t>
        </is>
      </c>
      <c r="B6930" s="1" t="n">
        <v>45589.4359375</v>
      </c>
      <c r="C6930" s="1" t="n">
        <v>45911</v>
      </c>
      <c r="D6930" t="inlineStr">
        <is>
          <t>GÄVLEBORGS LÄN</t>
        </is>
      </c>
      <c r="E6930" t="inlineStr">
        <is>
          <t>HUDIKSVALL</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54099-2023</t>
        </is>
      </c>
      <c r="B6931" s="1" t="n">
        <v>45225</v>
      </c>
      <c r="C6931" s="1" t="n">
        <v>45911</v>
      </c>
      <c r="D6931" t="inlineStr">
        <is>
          <t>GÄVLEBORGS LÄN</t>
        </is>
      </c>
      <c r="E6931" t="inlineStr">
        <is>
          <t>OVANÅKER</t>
        </is>
      </c>
      <c r="G6931" t="n">
        <v>2.5</v>
      </c>
      <c r="H6931" t="n">
        <v>0</v>
      </c>
      <c r="I6931" t="n">
        <v>0</v>
      </c>
      <c r="J6931" t="n">
        <v>0</v>
      </c>
      <c r="K6931" t="n">
        <v>0</v>
      </c>
      <c r="L6931" t="n">
        <v>0</v>
      </c>
      <c r="M6931" t="n">
        <v>0</v>
      </c>
      <c r="N6931" t="n">
        <v>0</v>
      </c>
      <c r="O6931" t="n">
        <v>0</v>
      </c>
      <c r="P6931" t="n">
        <v>0</v>
      </c>
      <c r="Q6931" t="n">
        <v>0</v>
      </c>
      <c r="R6931" s="2" t="inlineStr"/>
    </row>
    <row r="6932" ht="15" customHeight="1">
      <c r="A6932" t="inlineStr">
        <is>
          <t>A 25411-2024</t>
        </is>
      </c>
      <c r="B6932" s="1" t="n">
        <v>45463.35957175926</v>
      </c>
      <c r="C6932" s="1" t="n">
        <v>45911</v>
      </c>
      <c r="D6932" t="inlineStr">
        <is>
          <t>GÄVLEBORGS LÄN</t>
        </is>
      </c>
      <c r="E6932" t="inlineStr">
        <is>
          <t>OVANÅKER</t>
        </is>
      </c>
      <c r="F6932" t="inlineStr">
        <is>
          <t>Bergvik skog öst AB</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54511-2024</t>
        </is>
      </c>
      <c r="B6933" s="1" t="n">
        <v>45617</v>
      </c>
      <c r="C6933" s="1" t="n">
        <v>45911</v>
      </c>
      <c r="D6933" t="inlineStr">
        <is>
          <t>GÄVLEBORGS LÄN</t>
        </is>
      </c>
      <c r="E6933" t="inlineStr">
        <is>
          <t>BOLLNÄS</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54524-2024</t>
        </is>
      </c>
      <c r="B6934" s="1" t="n">
        <v>45617</v>
      </c>
      <c r="C6934" s="1" t="n">
        <v>45911</v>
      </c>
      <c r="D6934" t="inlineStr">
        <is>
          <t>GÄVLEBORGS LÄN</t>
        </is>
      </c>
      <c r="E6934" t="inlineStr">
        <is>
          <t>NORDANSTIG</t>
        </is>
      </c>
      <c r="F6934" t="inlineStr">
        <is>
          <t>Holmen skog AB</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61774-2024</t>
        </is>
      </c>
      <c r="B6935" s="1" t="n">
        <v>45649.46215277778</v>
      </c>
      <c r="C6935" s="1" t="n">
        <v>45911</v>
      </c>
      <c r="D6935" t="inlineStr">
        <is>
          <t>GÄVLEBORGS LÄN</t>
        </is>
      </c>
      <c r="E6935" t="inlineStr">
        <is>
          <t>SANDVIKEN</t>
        </is>
      </c>
      <c r="G6935" t="n">
        <v>5.6</v>
      </c>
      <c r="H6935" t="n">
        <v>0</v>
      </c>
      <c r="I6935" t="n">
        <v>0</v>
      </c>
      <c r="J6935" t="n">
        <v>0</v>
      </c>
      <c r="K6935" t="n">
        <v>0</v>
      </c>
      <c r="L6935" t="n">
        <v>0</v>
      </c>
      <c r="M6935" t="n">
        <v>0</v>
      </c>
      <c r="N6935" t="n">
        <v>0</v>
      </c>
      <c r="O6935" t="n">
        <v>0</v>
      </c>
      <c r="P6935" t="n">
        <v>0</v>
      </c>
      <c r="Q6935" t="n">
        <v>0</v>
      </c>
      <c r="R6935" s="2" t="inlineStr"/>
    </row>
    <row r="6936" ht="15" customHeight="1">
      <c r="A6936" t="inlineStr">
        <is>
          <t>A 61795-2024</t>
        </is>
      </c>
      <c r="B6936" s="1" t="n">
        <v>45646</v>
      </c>
      <c r="C6936" s="1" t="n">
        <v>45911</v>
      </c>
      <c r="D6936" t="inlineStr">
        <is>
          <t>GÄVLEBORGS LÄN</t>
        </is>
      </c>
      <c r="E6936" t="inlineStr">
        <is>
          <t>BOLLNÄS</t>
        </is>
      </c>
      <c r="G6936" t="n">
        <v>10.6</v>
      </c>
      <c r="H6936" t="n">
        <v>0</v>
      </c>
      <c r="I6936" t="n">
        <v>0</v>
      </c>
      <c r="J6936" t="n">
        <v>0</v>
      </c>
      <c r="K6936" t="n">
        <v>0</v>
      </c>
      <c r="L6936" t="n">
        <v>0</v>
      </c>
      <c r="M6936" t="n">
        <v>0</v>
      </c>
      <c r="N6936" t="n">
        <v>0</v>
      </c>
      <c r="O6936" t="n">
        <v>0</v>
      </c>
      <c r="P6936" t="n">
        <v>0</v>
      </c>
      <c r="Q6936" t="n">
        <v>0</v>
      </c>
      <c r="R6936" s="2" t="inlineStr"/>
    </row>
    <row r="6937" ht="15" customHeight="1">
      <c r="A6937" t="inlineStr">
        <is>
          <t>A 17498-2024</t>
        </is>
      </c>
      <c r="B6937" s="1" t="n">
        <v>45415</v>
      </c>
      <c r="C6937" s="1" t="n">
        <v>45911</v>
      </c>
      <c r="D6937" t="inlineStr">
        <is>
          <t>GÄVLEBORGS LÄN</t>
        </is>
      </c>
      <c r="E6937" t="inlineStr">
        <is>
          <t>SANDVIKEN</t>
        </is>
      </c>
      <c r="F6937" t="inlineStr">
        <is>
          <t>Kommuner</t>
        </is>
      </c>
      <c r="G6937" t="n">
        <v>2.3</v>
      </c>
      <c r="H6937" t="n">
        <v>0</v>
      </c>
      <c r="I6937" t="n">
        <v>0</v>
      </c>
      <c r="J6937" t="n">
        <v>0</v>
      </c>
      <c r="K6937" t="n">
        <v>0</v>
      </c>
      <c r="L6937" t="n">
        <v>0</v>
      </c>
      <c r="M6937" t="n">
        <v>0</v>
      </c>
      <c r="N6937" t="n">
        <v>0</v>
      </c>
      <c r="O6937" t="n">
        <v>0</v>
      </c>
      <c r="P6937" t="n">
        <v>0</v>
      </c>
      <c r="Q6937" t="n">
        <v>0</v>
      </c>
      <c r="R6937" s="2" t="inlineStr"/>
    </row>
    <row r="6938" ht="15" customHeight="1">
      <c r="A6938" t="inlineStr">
        <is>
          <t>A 6752-2024</t>
        </is>
      </c>
      <c r="B6938" s="1" t="n">
        <v>45342</v>
      </c>
      <c r="C6938" s="1" t="n">
        <v>45911</v>
      </c>
      <c r="D6938" t="inlineStr">
        <is>
          <t>GÄVLEBORGS LÄN</t>
        </is>
      </c>
      <c r="E6938" t="inlineStr">
        <is>
          <t>BOLLNÄS</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6755-2024</t>
        </is>
      </c>
      <c r="B6939" s="1" t="n">
        <v>45342</v>
      </c>
      <c r="C6939" s="1" t="n">
        <v>45911</v>
      </c>
      <c r="D6939" t="inlineStr">
        <is>
          <t>GÄVLEBORGS LÄN</t>
        </is>
      </c>
      <c r="E6939" t="inlineStr">
        <is>
          <t>BOLLNÄS</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34792-2024</t>
        </is>
      </c>
      <c r="B6940" s="1" t="n">
        <v>45526.66439814815</v>
      </c>
      <c r="C6940" s="1" t="n">
        <v>45911</v>
      </c>
      <c r="D6940" t="inlineStr">
        <is>
          <t>GÄVLEBORGS LÄN</t>
        </is>
      </c>
      <c r="E6940" t="inlineStr">
        <is>
          <t>OCKELBO</t>
        </is>
      </c>
      <c r="F6940" t="inlineStr">
        <is>
          <t>Bergvik skog väst AB</t>
        </is>
      </c>
      <c r="G6940" t="n">
        <v>2.9</v>
      </c>
      <c r="H6940" t="n">
        <v>0</v>
      </c>
      <c r="I6940" t="n">
        <v>0</v>
      </c>
      <c r="J6940" t="n">
        <v>0</v>
      </c>
      <c r="K6940" t="n">
        <v>0</v>
      </c>
      <c r="L6940" t="n">
        <v>0</v>
      </c>
      <c r="M6940" t="n">
        <v>0</v>
      </c>
      <c r="N6940" t="n">
        <v>0</v>
      </c>
      <c r="O6940" t="n">
        <v>0</v>
      </c>
      <c r="P6940" t="n">
        <v>0</v>
      </c>
      <c r="Q6940" t="n">
        <v>0</v>
      </c>
      <c r="R6940" s="2" t="inlineStr"/>
    </row>
    <row r="6941" ht="15" customHeight="1">
      <c r="A6941" t="inlineStr">
        <is>
          <t>A 52241-2024</t>
        </is>
      </c>
      <c r="B6941" s="1" t="n">
        <v>45608.61949074074</v>
      </c>
      <c r="C6941" s="1" t="n">
        <v>45911</v>
      </c>
      <c r="D6941" t="inlineStr">
        <is>
          <t>GÄVLEBORGS LÄN</t>
        </is>
      </c>
      <c r="E6941" t="inlineStr">
        <is>
          <t>OCKELBO</t>
        </is>
      </c>
      <c r="F6941" t="inlineStr">
        <is>
          <t>Bergvik skog väst AB</t>
        </is>
      </c>
      <c r="G6941" t="n">
        <v>7.7</v>
      </c>
      <c r="H6941" t="n">
        <v>0</v>
      </c>
      <c r="I6941" t="n">
        <v>0</v>
      </c>
      <c r="J6941" t="n">
        <v>0</v>
      </c>
      <c r="K6941" t="n">
        <v>0</v>
      </c>
      <c r="L6941" t="n">
        <v>0</v>
      </c>
      <c r="M6941" t="n">
        <v>0</v>
      </c>
      <c r="N6941" t="n">
        <v>0</v>
      </c>
      <c r="O6941" t="n">
        <v>0</v>
      </c>
      <c r="P6941" t="n">
        <v>0</v>
      </c>
      <c r="Q6941" t="n">
        <v>0</v>
      </c>
      <c r="R6941" s="2" t="inlineStr"/>
    </row>
    <row r="6942" ht="15" customHeight="1">
      <c r="A6942" t="inlineStr">
        <is>
          <t>A 25204-2024</t>
        </is>
      </c>
      <c r="B6942" s="1" t="n">
        <v>45462.57364583333</v>
      </c>
      <c r="C6942" s="1" t="n">
        <v>45911</v>
      </c>
      <c r="D6942" t="inlineStr">
        <is>
          <t>GÄVLEBORGS LÄN</t>
        </is>
      </c>
      <c r="E6942" t="inlineStr">
        <is>
          <t>LJUSDAL</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8898-2024</t>
        </is>
      </c>
      <c r="B6943" s="1" t="n">
        <v>45357</v>
      </c>
      <c r="C6943" s="1" t="n">
        <v>45911</v>
      </c>
      <c r="D6943" t="inlineStr">
        <is>
          <t>GÄVLEBORGS LÄN</t>
        </is>
      </c>
      <c r="E6943" t="inlineStr">
        <is>
          <t>NORDANSTIG</t>
        </is>
      </c>
      <c r="G6943" t="n">
        <v>8.199999999999999</v>
      </c>
      <c r="H6943" t="n">
        <v>0</v>
      </c>
      <c r="I6943" t="n">
        <v>0</v>
      </c>
      <c r="J6943" t="n">
        <v>0</v>
      </c>
      <c r="K6943" t="n">
        <v>0</v>
      </c>
      <c r="L6943" t="n">
        <v>0</v>
      </c>
      <c r="M6943" t="n">
        <v>0</v>
      </c>
      <c r="N6943" t="n">
        <v>0</v>
      </c>
      <c r="O6943" t="n">
        <v>0</v>
      </c>
      <c r="P6943" t="n">
        <v>0</v>
      </c>
      <c r="Q6943" t="n">
        <v>0</v>
      </c>
      <c r="R6943" s="2" t="inlineStr"/>
    </row>
    <row r="6944" ht="15" customHeight="1">
      <c r="A6944" t="inlineStr">
        <is>
          <t>A 23230-2024</t>
        </is>
      </c>
      <c r="B6944" s="1" t="n">
        <v>45453</v>
      </c>
      <c r="C6944" s="1" t="n">
        <v>45911</v>
      </c>
      <c r="D6944" t="inlineStr">
        <is>
          <t>GÄVLEBORGS LÄN</t>
        </is>
      </c>
      <c r="E6944" t="inlineStr">
        <is>
          <t>SÖDERHAMN</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34298-2021</t>
        </is>
      </c>
      <c r="B6945" s="1" t="n">
        <v>44379</v>
      </c>
      <c r="C6945" s="1" t="n">
        <v>45911</v>
      </c>
      <c r="D6945" t="inlineStr">
        <is>
          <t>GÄVLEBORGS LÄN</t>
        </is>
      </c>
      <c r="E6945" t="inlineStr">
        <is>
          <t>OVANÅKER</t>
        </is>
      </c>
      <c r="F6945" t="inlineStr">
        <is>
          <t>Holmen skog AB</t>
        </is>
      </c>
      <c r="G6945" t="n">
        <v>4.2</v>
      </c>
      <c r="H6945" t="n">
        <v>0</v>
      </c>
      <c r="I6945" t="n">
        <v>0</v>
      </c>
      <c r="J6945" t="n">
        <v>0</v>
      </c>
      <c r="K6945" t="n">
        <v>0</v>
      </c>
      <c r="L6945" t="n">
        <v>0</v>
      </c>
      <c r="M6945" t="n">
        <v>0</v>
      </c>
      <c r="N6945" t="n">
        <v>0</v>
      </c>
      <c r="O6945" t="n">
        <v>0</v>
      </c>
      <c r="P6945" t="n">
        <v>0</v>
      </c>
      <c r="Q6945" t="n">
        <v>0</v>
      </c>
      <c r="R6945" s="2" t="inlineStr"/>
    </row>
    <row r="6946" ht="15" customHeight="1">
      <c r="A6946" t="inlineStr">
        <is>
          <t>A 25474-2024</t>
        </is>
      </c>
      <c r="B6946" s="1" t="n">
        <v>45463.44631944445</v>
      </c>
      <c r="C6946" s="1" t="n">
        <v>45911</v>
      </c>
      <c r="D6946" t="inlineStr">
        <is>
          <t>GÄVLEBORGS LÄN</t>
        </is>
      </c>
      <c r="E6946" t="inlineStr">
        <is>
          <t>HOFORS</t>
        </is>
      </c>
      <c r="F6946" t="inlineStr">
        <is>
          <t>Sveaskog</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52243-2024</t>
        </is>
      </c>
      <c r="B6947" s="1" t="n">
        <v>45608.62261574074</v>
      </c>
      <c r="C6947" s="1" t="n">
        <v>45911</v>
      </c>
      <c r="D6947" t="inlineStr">
        <is>
          <t>GÄVLEBORGS LÄN</t>
        </is>
      </c>
      <c r="E6947" t="inlineStr">
        <is>
          <t>OCKELBO</t>
        </is>
      </c>
      <c r="F6947" t="inlineStr">
        <is>
          <t>Bergvik skog väst AB</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71068-2021</t>
        </is>
      </c>
      <c r="B6948" s="1" t="n">
        <v>44538</v>
      </c>
      <c r="C6948" s="1" t="n">
        <v>45911</v>
      </c>
      <c r="D6948" t="inlineStr">
        <is>
          <t>GÄVLEBORGS LÄN</t>
        </is>
      </c>
      <c r="E6948" t="inlineStr">
        <is>
          <t>LJUSDAL</t>
        </is>
      </c>
      <c r="G6948" t="n">
        <v>5.8</v>
      </c>
      <c r="H6948" t="n">
        <v>0</v>
      </c>
      <c r="I6948" t="n">
        <v>0</v>
      </c>
      <c r="J6948" t="n">
        <v>0</v>
      </c>
      <c r="K6948" t="n">
        <v>0</v>
      </c>
      <c r="L6948" t="n">
        <v>0</v>
      </c>
      <c r="M6948" t="n">
        <v>0</v>
      </c>
      <c r="N6948" t="n">
        <v>0</v>
      </c>
      <c r="O6948" t="n">
        <v>0</v>
      </c>
      <c r="P6948" t="n">
        <v>0</v>
      </c>
      <c r="Q6948" t="n">
        <v>0</v>
      </c>
      <c r="R6948" s="2" t="inlineStr"/>
    </row>
    <row r="6949" ht="15" customHeight="1">
      <c r="A6949" t="inlineStr">
        <is>
          <t>A 38428-2023</t>
        </is>
      </c>
      <c r="B6949" s="1" t="n">
        <v>45162</v>
      </c>
      <c r="C6949" s="1" t="n">
        <v>45911</v>
      </c>
      <c r="D6949" t="inlineStr">
        <is>
          <t>GÄVLEBORGS LÄN</t>
        </is>
      </c>
      <c r="E6949" t="inlineStr">
        <is>
          <t>SANDVIKEN</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38431-2023</t>
        </is>
      </c>
      <c r="B6950" s="1" t="n">
        <v>45162</v>
      </c>
      <c r="C6950" s="1" t="n">
        <v>45911</v>
      </c>
      <c r="D6950" t="inlineStr">
        <is>
          <t>GÄVLEBORGS LÄN</t>
        </is>
      </c>
      <c r="E6950" t="inlineStr">
        <is>
          <t>SANDVIKEN</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20909-2023</t>
        </is>
      </c>
      <c r="B6951" s="1" t="n">
        <v>45060</v>
      </c>
      <c r="C6951" s="1" t="n">
        <v>45911</v>
      </c>
      <c r="D6951" t="inlineStr">
        <is>
          <t>GÄVLEBORGS LÄN</t>
        </is>
      </c>
      <c r="E6951" t="inlineStr">
        <is>
          <t>LJUSDAL</t>
        </is>
      </c>
      <c r="G6951" t="n">
        <v>5.3</v>
      </c>
      <c r="H6951" t="n">
        <v>0</v>
      </c>
      <c r="I6951" t="n">
        <v>0</v>
      </c>
      <c r="J6951" t="n">
        <v>0</v>
      </c>
      <c r="K6951" t="n">
        <v>0</v>
      </c>
      <c r="L6951" t="n">
        <v>0</v>
      </c>
      <c r="M6951" t="n">
        <v>0</v>
      </c>
      <c r="N6951" t="n">
        <v>0</v>
      </c>
      <c r="O6951" t="n">
        <v>0</v>
      </c>
      <c r="P6951" t="n">
        <v>0</v>
      </c>
      <c r="Q6951" t="n">
        <v>0</v>
      </c>
      <c r="R6951" s="2" t="inlineStr"/>
    </row>
    <row r="6952" ht="15" customHeight="1">
      <c r="A6952" t="inlineStr">
        <is>
          <t>A 58184-2022</t>
        </is>
      </c>
      <c r="B6952" s="1" t="n">
        <v>44900</v>
      </c>
      <c r="C6952" s="1" t="n">
        <v>45911</v>
      </c>
      <c r="D6952" t="inlineStr">
        <is>
          <t>GÄVLEBORGS LÄN</t>
        </is>
      </c>
      <c r="E6952" t="inlineStr">
        <is>
          <t>NORDANSTIG</t>
        </is>
      </c>
      <c r="F6952" t="inlineStr">
        <is>
          <t>SCA</t>
        </is>
      </c>
      <c r="G6952" t="n">
        <v>5</v>
      </c>
      <c r="H6952" t="n">
        <v>0</v>
      </c>
      <c r="I6952" t="n">
        <v>0</v>
      </c>
      <c r="J6952" t="n">
        <v>0</v>
      </c>
      <c r="K6952" t="n">
        <v>0</v>
      </c>
      <c r="L6952" t="n">
        <v>0</v>
      </c>
      <c r="M6952" t="n">
        <v>0</v>
      </c>
      <c r="N6952" t="n">
        <v>0</v>
      </c>
      <c r="O6952" t="n">
        <v>0</v>
      </c>
      <c r="P6952" t="n">
        <v>0</v>
      </c>
      <c r="Q6952" t="n">
        <v>0</v>
      </c>
      <c r="R6952" s="2" t="inlineStr"/>
    </row>
    <row r="6953" ht="15" customHeight="1">
      <c r="A6953" t="inlineStr">
        <is>
          <t>A 15118-2025</t>
        </is>
      </c>
      <c r="B6953" s="1" t="n">
        <v>45744.30840277778</v>
      </c>
      <c r="C6953" s="1" t="n">
        <v>45911</v>
      </c>
      <c r="D6953" t="inlineStr">
        <is>
          <t>GÄVLEBORGS LÄN</t>
        </is>
      </c>
      <c r="E6953" t="inlineStr">
        <is>
          <t>BOLLNÄS</t>
        </is>
      </c>
      <c r="F6953" t="inlineStr">
        <is>
          <t>Bergvik skog väst AB</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23928-2023</t>
        </is>
      </c>
      <c r="B6954" s="1" t="n">
        <v>45078</v>
      </c>
      <c r="C6954" s="1" t="n">
        <v>45911</v>
      </c>
      <c r="D6954" t="inlineStr">
        <is>
          <t>GÄVLEBORGS LÄN</t>
        </is>
      </c>
      <c r="E6954" t="inlineStr">
        <is>
          <t>HUDIKSVALL</t>
        </is>
      </c>
      <c r="F6954" t="inlineStr">
        <is>
          <t>Holmen skog AB</t>
        </is>
      </c>
      <c r="G6954" t="n">
        <v>5.7</v>
      </c>
      <c r="H6954" t="n">
        <v>0</v>
      </c>
      <c r="I6954" t="n">
        <v>0</v>
      </c>
      <c r="J6954" t="n">
        <v>0</v>
      </c>
      <c r="K6954" t="n">
        <v>0</v>
      </c>
      <c r="L6954" t="n">
        <v>0</v>
      </c>
      <c r="M6954" t="n">
        <v>0</v>
      </c>
      <c r="N6954" t="n">
        <v>0</v>
      </c>
      <c r="O6954" t="n">
        <v>0</v>
      </c>
      <c r="P6954" t="n">
        <v>0</v>
      </c>
      <c r="Q6954" t="n">
        <v>0</v>
      </c>
      <c r="R6954" s="2" t="inlineStr"/>
    </row>
    <row r="6955" ht="15" customHeight="1">
      <c r="A6955" t="inlineStr">
        <is>
          <t>A 7495-2025</t>
        </is>
      </c>
      <c r="B6955" s="1" t="n">
        <v>45705.48628472222</v>
      </c>
      <c r="C6955" s="1" t="n">
        <v>45911</v>
      </c>
      <c r="D6955" t="inlineStr">
        <is>
          <t>GÄVLEBORGS LÄN</t>
        </is>
      </c>
      <c r="E6955" t="inlineStr">
        <is>
          <t>LJUSDAL</t>
        </is>
      </c>
      <c r="G6955" t="n">
        <v>2.5</v>
      </c>
      <c r="H6955" t="n">
        <v>0</v>
      </c>
      <c r="I6955" t="n">
        <v>0</v>
      </c>
      <c r="J6955" t="n">
        <v>0</v>
      </c>
      <c r="K6955" t="n">
        <v>0</v>
      </c>
      <c r="L6955" t="n">
        <v>0</v>
      </c>
      <c r="M6955" t="n">
        <v>0</v>
      </c>
      <c r="N6955" t="n">
        <v>0</v>
      </c>
      <c r="O6955" t="n">
        <v>0</v>
      </c>
      <c r="P6955" t="n">
        <v>0</v>
      </c>
      <c r="Q6955" t="n">
        <v>0</v>
      </c>
      <c r="R6955" s="2" t="inlineStr"/>
    </row>
    <row r="6956" ht="15" customHeight="1">
      <c r="A6956" t="inlineStr">
        <is>
          <t>A 23930-2023</t>
        </is>
      </c>
      <c r="B6956" s="1" t="n">
        <v>45078</v>
      </c>
      <c r="C6956" s="1" t="n">
        <v>45911</v>
      </c>
      <c r="D6956" t="inlineStr">
        <is>
          <t>GÄVLEBORGS LÄN</t>
        </is>
      </c>
      <c r="E6956" t="inlineStr">
        <is>
          <t>LJUSDAL</t>
        </is>
      </c>
      <c r="G6956" t="n">
        <v>3.8</v>
      </c>
      <c r="H6956" t="n">
        <v>0</v>
      </c>
      <c r="I6956" t="n">
        <v>0</v>
      </c>
      <c r="J6956" t="n">
        <v>0</v>
      </c>
      <c r="K6956" t="n">
        <v>0</v>
      </c>
      <c r="L6956" t="n">
        <v>0</v>
      </c>
      <c r="M6956" t="n">
        <v>0</v>
      </c>
      <c r="N6956" t="n">
        <v>0</v>
      </c>
      <c r="O6956" t="n">
        <v>0</v>
      </c>
      <c r="P6956" t="n">
        <v>0</v>
      </c>
      <c r="Q6956" t="n">
        <v>0</v>
      </c>
      <c r="R6956" s="2" t="inlineStr"/>
    </row>
    <row r="6957" ht="15" customHeight="1">
      <c r="A6957" t="inlineStr">
        <is>
          <t>A 38449-2023</t>
        </is>
      </c>
      <c r="B6957" s="1" t="n">
        <v>45162</v>
      </c>
      <c r="C6957" s="1" t="n">
        <v>45911</v>
      </c>
      <c r="D6957" t="inlineStr">
        <is>
          <t>GÄVLEBORGS LÄN</t>
        </is>
      </c>
      <c r="E6957" t="inlineStr">
        <is>
          <t>SANDVIKEN</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52206-2022</t>
        </is>
      </c>
      <c r="B6958" s="1" t="n">
        <v>44869</v>
      </c>
      <c r="C6958" s="1" t="n">
        <v>45911</v>
      </c>
      <c r="D6958" t="inlineStr">
        <is>
          <t>GÄVLEBORGS LÄN</t>
        </is>
      </c>
      <c r="E6958" t="inlineStr">
        <is>
          <t>NORDANSTIG</t>
        </is>
      </c>
      <c r="G6958" t="n">
        <v>1.9</v>
      </c>
      <c r="H6958" t="n">
        <v>0</v>
      </c>
      <c r="I6958" t="n">
        <v>0</v>
      </c>
      <c r="J6958" t="n">
        <v>0</v>
      </c>
      <c r="K6958" t="n">
        <v>0</v>
      </c>
      <c r="L6958" t="n">
        <v>0</v>
      </c>
      <c r="M6958" t="n">
        <v>0</v>
      </c>
      <c r="N6958" t="n">
        <v>0</v>
      </c>
      <c r="O6958" t="n">
        <v>0</v>
      </c>
      <c r="P6958" t="n">
        <v>0</v>
      </c>
      <c r="Q6958" t="n">
        <v>0</v>
      </c>
      <c r="R6958" s="2" t="inlineStr"/>
    </row>
    <row r="6959" ht="15" customHeight="1">
      <c r="A6959" t="inlineStr">
        <is>
          <t>A 14261-2025</t>
        </is>
      </c>
      <c r="B6959" s="1" t="n">
        <v>45740.629375</v>
      </c>
      <c r="C6959" s="1" t="n">
        <v>45911</v>
      </c>
      <c r="D6959" t="inlineStr">
        <is>
          <t>GÄVLEBORGS LÄN</t>
        </is>
      </c>
      <c r="E6959" t="inlineStr">
        <is>
          <t>BOLLNÄS</t>
        </is>
      </c>
      <c r="G6959" t="n">
        <v>0.1</v>
      </c>
      <c r="H6959" t="n">
        <v>0</v>
      </c>
      <c r="I6959" t="n">
        <v>0</v>
      </c>
      <c r="J6959" t="n">
        <v>0</v>
      </c>
      <c r="K6959" t="n">
        <v>0</v>
      </c>
      <c r="L6959" t="n">
        <v>0</v>
      </c>
      <c r="M6959" t="n">
        <v>0</v>
      </c>
      <c r="N6959" t="n">
        <v>0</v>
      </c>
      <c r="O6959" t="n">
        <v>0</v>
      </c>
      <c r="P6959" t="n">
        <v>0</v>
      </c>
      <c r="Q6959" t="n">
        <v>0</v>
      </c>
      <c r="R6959" s="2" t="inlineStr"/>
    </row>
    <row r="6960" ht="15" customHeight="1">
      <c r="A6960" t="inlineStr">
        <is>
          <t>A 15112-2025</t>
        </is>
      </c>
      <c r="B6960" s="1" t="n">
        <v>45744.35600694444</v>
      </c>
      <c r="C6960" s="1" t="n">
        <v>45911</v>
      </c>
      <c r="D6960" t="inlineStr">
        <is>
          <t>GÄVLEBORGS LÄN</t>
        </is>
      </c>
      <c r="E6960" t="inlineStr">
        <is>
          <t>GÄVLE</t>
        </is>
      </c>
      <c r="F6960" t="inlineStr">
        <is>
          <t>Bergvik skog öst AB</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364-2024</t>
        </is>
      </c>
      <c r="B6961" s="1" t="n">
        <v>45295.92856481481</v>
      </c>
      <c r="C6961" s="1" t="n">
        <v>45911</v>
      </c>
      <c r="D6961" t="inlineStr">
        <is>
          <t>GÄVLEBORGS LÄN</t>
        </is>
      </c>
      <c r="E6961" t="inlineStr">
        <is>
          <t>HUDIKSVALL</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6467-2024</t>
        </is>
      </c>
      <c r="B6962" s="1" t="n">
        <v>45338.92774305555</v>
      </c>
      <c r="C6962" s="1" t="n">
        <v>45911</v>
      </c>
      <c r="D6962" t="inlineStr">
        <is>
          <t>GÄVLEBORGS LÄN</t>
        </is>
      </c>
      <c r="E6962" t="inlineStr">
        <is>
          <t>NORDANSTIG</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34440-2023</t>
        </is>
      </c>
      <c r="B6963" s="1" t="n">
        <v>45139.65960648148</v>
      </c>
      <c r="C6963" s="1" t="n">
        <v>45911</v>
      </c>
      <c r="D6963" t="inlineStr">
        <is>
          <t>GÄVLEBORGS LÄN</t>
        </is>
      </c>
      <c r="E6963" t="inlineStr">
        <is>
          <t>OCKELBO</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39249-2024</t>
        </is>
      </c>
      <c r="B6964" s="1" t="n">
        <v>45551.31310185185</v>
      </c>
      <c r="C6964" s="1" t="n">
        <v>45911</v>
      </c>
      <c r="D6964" t="inlineStr">
        <is>
          <t>GÄVLEBORGS LÄN</t>
        </is>
      </c>
      <c r="E6964" t="inlineStr">
        <is>
          <t>OVANÅKER</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469-2024</t>
        </is>
      </c>
      <c r="B6965" s="1" t="n">
        <v>45297.67460648148</v>
      </c>
      <c r="C6965" s="1" t="n">
        <v>45911</v>
      </c>
      <c r="D6965" t="inlineStr">
        <is>
          <t>GÄVLEBORGS LÄN</t>
        </is>
      </c>
      <c r="E6965" t="inlineStr">
        <is>
          <t>NORDANSTIG</t>
        </is>
      </c>
      <c r="F6965" t="inlineStr">
        <is>
          <t>Holmen skog AB</t>
        </is>
      </c>
      <c r="G6965" t="n">
        <v>4.4</v>
      </c>
      <c r="H6965" t="n">
        <v>0</v>
      </c>
      <c r="I6965" t="n">
        <v>0</v>
      </c>
      <c r="J6965" t="n">
        <v>0</v>
      </c>
      <c r="K6965" t="n">
        <v>0</v>
      </c>
      <c r="L6965" t="n">
        <v>0</v>
      </c>
      <c r="M6965" t="n">
        <v>0</v>
      </c>
      <c r="N6965" t="n">
        <v>0</v>
      </c>
      <c r="O6965" t="n">
        <v>0</v>
      </c>
      <c r="P6965" t="n">
        <v>0</v>
      </c>
      <c r="Q6965" t="n">
        <v>0</v>
      </c>
      <c r="R6965" s="2" t="inlineStr"/>
    </row>
    <row r="6966" ht="15" customHeight="1">
      <c r="A6966" t="inlineStr">
        <is>
          <t>A 17730-2025</t>
        </is>
      </c>
      <c r="B6966" s="1" t="n">
        <v>45758.46114583333</v>
      </c>
      <c r="C6966" s="1" t="n">
        <v>45911</v>
      </c>
      <c r="D6966" t="inlineStr">
        <is>
          <t>GÄVLEBORGS LÄN</t>
        </is>
      </c>
      <c r="E6966" t="inlineStr">
        <is>
          <t>OCKELBO</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55460-2024</t>
        </is>
      </c>
      <c r="B6967" s="1" t="n">
        <v>45622</v>
      </c>
      <c r="C6967" s="1" t="n">
        <v>45911</v>
      </c>
      <c r="D6967" t="inlineStr">
        <is>
          <t>GÄVLEBORGS LÄN</t>
        </is>
      </c>
      <c r="E6967" t="inlineStr">
        <is>
          <t>HUDIKSVALL</t>
        </is>
      </c>
      <c r="F6967" t="inlineStr">
        <is>
          <t>Holmen skog AB</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29905-2024</t>
        </is>
      </c>
      <c r="B6968" s="1" t="n">
        <v>45487</v>
      </c>
      <c r="C6968" s="1" t="n">
        <v>45911</v>
      </c>
      <c r="D6968" t="inlineStr">
        <is>
          <t>GÄVLEBORGS LÄN</t>
        </is>
      </c>
      <c r="E6968" t="inlineStr">
        <is>
          <t>HUDIKSVALL</t>
        </is>
      </c>
      <c r="F6968" t="inlineStr">
        <is>
          <t>Holmen skog AB</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61207-2022</t>
        </is>
      </c>
      <c r="B6969" s="1" t="n">
        <v>44915.53925925926</v>
      </c>
      <c r="C6969" s="1" t="n">
        <v>45911</v>
      </c>
      <c r="D6969" t="inlineStr">
        <is>
          <t>GÄVLEBORGS LÄN</t>
        </is>
      </c>
      <c r="E6969" t="inlineStr">
        <is>
          <t>HUDIKSVALL</t>
        </is>
      </c>
      <c r="F6969" t="inlineStr">
        <is>
          <t>Holmen skog AB</t>
        </is>
      </c>
      <c r="G6969" t="n">
        <v>4.2</v>
      </c>
      <c r="H6969" t="n">
        <v>0</v>
      </c>
      <c r="I6969" t="n">
        <v>0</v>
      </c>
      <c r="J6969" t="n">
        <v>0</v>
      </c>
      <c r="K6969" t="n">
        <v>0</v>
      </c>
      <c r="L6969" t="n">
        <v>0</v>
      </c>
      <c r="M6969" t="n">
        <v>0</v>
      </c>
      <c r="N6969" t="n">
        <v>0</v>
      </c>
      <c r="O6969" t="n">
        <v>0</v>
      </c>
      <c r="P6969" t="n">
        <v>0</v>
      </c>
      <c r="Q6969" t="n">
        <v>0</v>
      </c>
      <c r="R6969" s="2" t="inlineStr"/>
    </row>
    <row r="6970" ht="15" customHeight="1">
      <c r="A6970" t="inlineStr">
        <is>
          <t>A 29934-2024</t>
        </is>
      </c>
      <c r="B6970" s="1" t="n">
        <v>45488.40883101852</v>
      </c>
      <c r="C6970" s="1" t="n">
        <v>45911</v>
      </c>
      <c r="D6970" t="inlineStr">
        <is>
          <t>GÄVLEBORGS LÄN</t>
        </is>
      </c>
      <c r="E6970" t="inlineStr">
        <is>
          <t>LJUSDAL</t>
        </is>
      </c>
      <c r="F6970" t="inlineStr">
        <is>
          <t>Bergvik skog väst AB</t>
        </is>
      </c>
      <c r="G6970" t="n">
        <v>13.9</v>
      </c>
      <c r="H6970" t="n">
        <v>0</v>
      </c>
      <c r="I6970" t="n">
        <v>0</v>
      </c>
      <c r="J6970" t="n">
        <v>0</v>
      </c>
      <c r="K6970" t="n">
        <v>0</v>
      </c>
      <c r="L6970" t="n">
        <v>0</v>
      </c>
      <c r="M6970" t="n">
        <v>0</v>
      </c>
      <c r="N6970" t="n">
        <v>0</v>
      </c>
      <c r="O6970" t="n">
        <v>0</v>
      </c>
      <c r="P6970" t="n">
        <v>0</v>
      </c>
      <c r="Q6970" t="n">
        <v>0</v>
      </c>
      <c r="R6970" s="2" t="inlineStr"/>
    </row>
    <row r="6971" ht="15" customHeight="1">
      <c r="A6971" t="inlineStr">
        <is>
          <t>A 29968-2024</t>
        </is>
      </c>
      <c r="B6971" s="1" t="n">
        <v>45488.47298611111</v>
      </c>
      <c r="C6971" s="1" t="n">
        <v>45911</v>
      </c>
      <c r="D6971" t="inlineStr">
        <is>
          <t>GÄVLEBORGS LÄN</t>
        </is>
      </c>
      <c r="E6971" t="inlineStr">
        <is>
          <t>OCKELBO</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45331-2024</t>
        </is>
      </c>
      <c r="B6972" s="1" t="n">
        <v>45576.4566087963</v>
      </c>
      <c r="C6972" s="1" t="n">
        <v>45911</v>
      </c>
      <c r="D6972" t="inlineStr">
        <is>
          <t>GÄVLEBORGS LÄN</t>
        </is>
      </c>
      <c r="E6972" t="inlineStr">
        <is>
          <t>SANDVIKEN</t>
        </is>
      </c>
      <c r="F6972" t="inlineStr">
        <is>
          <t>Bergvik skog öst AB</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27320-2023</t>
        </is>
      </c>
      <c r="B6973" s="1" t="n">
        <v>45096.66672453703</v>
      </c>
      <c r="C6973" s="1" t="n">
        <v>45911</v>
      </c>
      <c r="D6973" t="inlineStr">
        <is>
          <t>GÄVLEBORGS LÄN</t>
        </is>
      </c>
      <c r="E6973" t="inlineStr">
        <is>
          <t>OVANÅKER</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47149-2024</t>
        </is>
      </c>
      <c r="B6974" s="1" t="n">
        <v>45586.59251157408</v>
      </c>
      <c r="C6974" s="1" t="n">
        <v>45911</v>
      </c>
      <c r="D6974" t="inlineStr">
        <is>
          <t>GÄVLEBORGS LÄN</t>
        </is>
      </c>
      <c r="E6974" t="inlineStr">
        <is>
          <t>HUDIKSVALL</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16360-2025</t>
        </is>
      </c>
      <c r="B6975" s="1" t="n">
        <v>45751.39</v>
      </c>
      <c r="C6975" s="1" t="n">
        <v>45911</v>
      </c>
      <c r="D6975" t="inlineStr">
        <is>
          <t>GÄVLEBORGS LÄN</t>
        </is>
      </c>
      <c r="E6975" t="inlineStr">
        <is>
          <t>OVANÅKER</t>
        </is>
      </c>
      <c r="F6975" t="inlineStr">
        <is>
          <t>Bergvik skog öst AB</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22250-2024</t>
        </is>
      </c>
      <c r="B6976" s="1" t="n">
        <v>45446.45796296297</v>
      </c>
      <c r="C6976" s="1" t="n">
        <v>45911</v>
      </c>
      <c r="D6976" t="inlineStr">
        <is>
          <t>GÄVLEBORGS LÄN</t>
        </is>
      </c>
      <c r="E6976" t="inlineStr">
        <is>
          <t>LJUSDAL</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28174-2023</t>
        </is>
      </c>
      <c r="B6977" s="1" t="n">
        <v>45099</v>
      </c>
      <c r="C6977" s="1" t="n">
        <v>45911</v>
      </c>
      <c r="D6977" t="inlineStr">
        <is>
          <t>GÄVLEBORGS LÄN</t>
        </is>
      </c>
      <c r="E6977" t="inlineStr">
        <is>
          <t>HUDIKSVALL</t>
        </is>
      </c>
      <c r="G6977" t="n">
        <v>3.3</v>
      </c>
      <c r="H6977" t="n">
        <v>0</v>
      </c>
      <c r="I6977" t="n">
        <v>0</v>
      </c>
      <c r="J6977" t="n">
        <v>0</v>
      </c>
      <c r="K6977" t="n">
        <v>0</v>
      </c>
      <c r="L6977" t="n">
        <v>0</v>
      </c>
      <c r="M6977" t="n">
        <v>0</v>
      </c>
      <c r="N6977" t="n">
        <v>0</v>
      </c>
      <c r="O6977" t="n">
        <v>0</v>
      </c>
      <c r="P6977" t="n">
        <v>0</v>
      </c>
      <c r="Q6977" t="n">
        <v>0</v>
      </c>
      <c r="R6977" s="2" t="inlineStr"/>
    </row>
    <row r="6978" ht="15" customHeight="1">
      <c r="A6978" t="inlineStr">
        <is>
          <t>A 28179-2023</t>
        </is>
      </c>
      <c r="B6978" s="1" t="n">
        <v>45099.53201388889</v>
      </c>
      <c r="C6978" s="1" t="n">
        <v>45911</v>
      </c>
      <c r="D6978" t="inlineStr">
        <is>
          <t>GÄVLEBORGS LÄN</t>
        </is>
      </c>
      <c r="E6978" t="inlineStr">
        <is>
          <t>BOLLNÄS</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26129-2024</t>
        </is>
      </c>
      <c r="B6979" s="1" t="n">
        <v>45468.47239583333</v>
      </c>
      <c r="C6979" s="1" t="n">
        <v>45911</v>
      </c>
      <c r="D6979" t="inlineStr">
        <is>
          <t>GÄVLEBORGS LÄN</t>
        </is>
      </c>
      <c r="E6979" t="inlineStr">
        <is>
          <t>GÄVLE</t>
        </is>
      </c>
      <c r="F6979" t="inlineStr">
        <is>
          <t>Bergvik skog väst AB</t>
        </is>
      </c>
      <c r="G6979" t="n">
        <v>9.9</v>
      </c>
      <c r="H6979" t="n">
        <v>0</v>
      </c>
      <c r="I6979" t="n">
        <v>0</v>
      </c>
      <c r="J6979" t="n">
        <v>0</v>
      </c>
      <c r="K6979" t="n">
        <v>0</v>
      </c>
      <c r="L6979" t="n">
        <v>0</v>
      </c>
      <c r="M6979" t="n">
        <v>0</v>
      </c>
      <c r="N6979" t="n">
        <v>0</v>
      </c>
      <c r="O6979" t="n">
        <v>0</v>
      </c>
      <c r="P6979" t="n">
        <v>0</v>
      </c>
      <c r="Q6979" t="n">
        <v>0</v>
      </c>
      <c r="R6979" s="2" t="inlineStr"/>
    </row>
    <row r="6980" ht="15" customHeight="1">
      <c r="A6980" t="inlineStr">
        <is>
          <t>A 2478-2023</t>
        </is>
      </c>
      <c r="B6980" s="1" t="n">
        <v>44943</v>
      </c>
      <c r="C6980" s="1" t="n">
        <v>45911</v>
      </c>
      <c r="D6980" t="inlineStr">
        <is>
          <t>GÄVLEBORGS LÄN</t>
        </is>
      </c>
      <c r="E6980" t="inlineStr">
        <is>
          <t>OVANÅKER</t>
        </is>
      </c>
      <c r="G6980" t="n">
        <v>3.1</v>
      </c>
      <c r="H6980" t="n">
        <v>0</v>
      </c>
      <c r="I6980" t="n">
        <v>0</v>
      </c>
      <c r="J6980" t="n">
        <v>0</v>
      </c>
      <c r="K6980" t="n">
        <v>0</v>
      </c>
      <c r="L6980" t="n">
        <v>0</v>
      </c>
      <c r="M6980" t="n">
        <v>0</v>
      </c>
      <c r="N6980" t="n">
        <v>0</v>
      </c>
      <c r="O6980" t="n">
        <v>0</v>
      </c>
      <c r="P6980" t="n">
        <v>0</v>
      </c>
      <c r="Q6980" t="n">
        <v>0</v>
      </c>
      <c r="R6980" s="2" t="inlineStr"/>
    </row>
    <row r="6981" ht="15" customHeight="1">
      <c r="A6981" t="inlineStr">
        <is>
          <t>A 14280-2025</t>
        </is>
      </c>
      <c r="B6981" s="1" t="n">
        <v>45740.65372685185</v>
      </c>
      <c r="C6981" s="1" t="n">
        <v>45911</v>
      </c>
      <c r="D6981" t="inlineStr">
        <is>
          <t>GÄVLEBORGS LÄN</t>
        </is>
      </c>
      <c r="E6981" t="inlineStr">
        <is>
          <t>SANDVIKEN</t>
        </is>
      </c>
      <c r="F6981" t="inlineStr">
        <is>
          <t>Bergvik skog öst AB</t>
        </is>
      </c>
      <c r="G6981" t="n">
        <v>7.4</v>
      </c>
      <c r="H6981" t="n">
        <v>0</v>
      </c>
      <c r="I6981" t="n">
        <v>0</v>
      </c>
      <c r="J6981" t="n">
        <v>0</v>
      </c>
      <c r="K6981" t="n">
        <v>0</v>
      </c>
      <c r="L6981" t="n">
        <v>0</v>
      </c>
      <c r="M6981" t="n">
        <v>0</v>
      </c>
      <c r="N6981" t="n">
        <v>0</v>
      </c>
      <c r="O6981" t="n">
        <v>0</v>
      </c>
      <c r="P6981" t="n">
        <v>0</v>
      </c>
      <c r="Q6981" t="n">
        <v>0</v>
      </c>
      <c r="R6981" s="2" t="inlineStr"/>
    </row>
    <row r="6982" ht="15" customHeight="1">
      <c r="A6982" t="inlineStr">
        <is>
          <t>A 29061-2024</t>
        </is>
      </c>
      <c r="B6982" s="1" t="n">
        <v>45481.66096064815</v>
      </c>
      <c r="C6982" s="1" t="n">
        <v>45911</v>
      </c>
      <c r="D6982" t="inlineStr">
        <is>
          <t>GÄVLEBORGS LÄN</t>
        </is>
      </c>
      <c r="E6982" t="inlineStr">
        <is>
          <t>BOLLNÄS</t>
        </is>
      </c>
      <c r="F6982" t="inlineStr">
        <is>
          <t>Bergvik skog väst AB</t>
        </is>
      </c>
      <c r="G6982" t="n">
        <v>7.1</v>
      </c>
      <c r="H6982" t="n">
        <v>0</v>
      </c>
      <c r="I6982" t="n">
        <v>0</v>
      </c>
      <c r="J6982" t="n">
        <v>0</v>
      </c>
      <c r="K6982" t="n">
        <v>0</v>
      </c>
      <c r="L6982" t="n">
        <v>0</v>
      </c>
      <c r="M6982" t="n">
        <v>0</v>
      </c>
      <c r="N6982" t="n">
        <v>0</v>
      </c>
      <c r="O6982" t="n">
        <v>0</v>
      </c>
      <c r="P6982" t="n">
        <v>0</v>
      </c>
      <c r="Q6982" t="n">
        <v>0</v>
      </c>
      <c r="R6982" s="2" t="inlineStr"/>
    </row>
    <row r="6983" ht="15" customHeight="1">
      <c r="A6983" t="inlineStr">
        <is>
          <t>A 20115-2025</t>
        </is>
      </c>
      <c r="B6983" s="1" t="n">
        <v>45772.48476851852</v>
      </c>
      <c r="C6983" s="1" t="n">
        <v>45911</v>
      </c>
      <c r="D6983" t="inlineStr">
        <is>
          <t>GÄVLEBORGS LÄN</t>
        </is>
      </c>
      <c r="E6983" t="inlineStr">
        <is>
          <t>OVANÅKER</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12018-2024</t>
        </is>
      </c>
      <c r="B6984" s="1" t="n">
        <v>45377.36298611111</v>
      </c>
      <c r="C6984" s="1" t="n">
        <v>45911</v>
      </c>
      <c r="D6984" t="inlineStr">
        <is>
          <t>GÄVLEBORGS LÄN</t>
        </is>
      </c>
      <c r="E6984" t="inlineStr">
        <is>
          <t>BOLLNÄS</t>
        </is>
      </c>
      <c r="G6984" t="n">
        <v>2.7</v>
      </c>
      <c r="H6984" t="n">
        <v>0</v>
      </c>
      <c r="I6984" t="n">
        <v>0</v>
      </c>
      <c r="J6984" t="n">
        <v>0</v>
      </c>
      <c r="K6984" t="n">
        <v>0</v>
      </c>
      <c r="L6984" t="n">
        <v>0</v>
      </c>
      <c r="M6984" t="n">
        <v>0</v>
      </c>
      <c r="N6984" t="n">
        <v>0</v>
      </c>
      <c r="O6984" t="n">
        <v>0</v>
      </c>
      <c r="P6984" t="n">
        <v>0</v>
      </c>
      <c r="Q6984" t="n">
        <v>0</v>
      </c>
      <c r="R6984" s="2" t="inlineStr"/>
    </row>
    <row r="6985" ht="15" customHeight="1">
      <c r="A6985" t="inlineStr">
        <is>
          <t>A 13141-2024</t>
        </is>
      </c>
      <c r="B6985" s="1" t="n">
        <v>45386.34681712963</v>
      </c>
      <c r="C6985" s="1" t="n">
        <v>45911</v>
      </c>
      <c r="D6985" t="inlineStr">
        <is>
          <t>GÄVLEBORGS LÄN</t>
        </is>
      </c>
      <c r="E6985" t="inlineStr">
        <is>
          <t>OVANÅKER</t>
        </is>
      </c>
      <c r="G6985" t="n">
        <v>4.6</v>
      </c>
      <c r="H6985" t="n">
        <v>0</v>
      </c>
      <c r="I6985" t="n">
        <v>0</v>
      </c>
      <c r="J6985" t="n">
        <v>0</v>
      </c>
      <c r="K6985" t="n">
        <v>0</v>
      </c>
      <c r="L6985" t="n">
        <v>0</v>
      </c>
      <c r="M6985" t="n">
        <v>0</v>
      </c>
      <c r="N6985" t="n">
        <v>0</v>
      </c>
      <c r="O6985" t="n">
        <v>0</v>
      </c>
      <c r="P6985" t="n">
        <v>0</v>
      </c>
      <c r="Q6985" t="n">
        <v>0</v>
      </c>
      <c r="R6985" s="2" t="inlineStr"/>
    </row>
    <row r="6986" ht="15" customHeight="1">
      <c r="A6986" t="inlineStr">
        <is>
          <t>A 5850-2023</t>
        </is>
      </c>
      <c r="B6986" s="1" t="n">
        <v>44963.58248842593</v>
      </c>
      <c r="C6986" s="1" t="n">
        <v>45911</v>
      </c>
      <c r="D6986" t="inlineStr">
        <is>
          <t>GÄVLEBORGS LÄN</t>
        </is>
      </c>
      <c r="E6986" t="inlineStr">
        <is>
          <t>LJUSDAL</t>
        </is>
      </c>
      <c r="F6986" t="inlineStr">
        <is>
          <t>Allmännings- och besparingsskogar</t>
        </is>
      </c>
      <c r="G6986" t="n">
        <v>20.5</v>
      </c>
      <c r="H6986" t="n">
        <v>0</v>
      </c>
      <c r="I6986" t="n">
        <v>0</v>
      </c>
      <c r="J6986" t="n">
        <v>0</v>
      </c>
      <c r="K6986" t="n">
        <v>0</v>
      </c>
      <c r="L6986" t="n">
        <v>0</v>
      </c>
      <c r="M6986" t="n">
        <v>0</v>
      </c>
      <c r="N6986" t="n">
        <v>0</v>
      </c>
      <c r="O6986" t="n">
        <v>0</v>
      </c>
      <c r="P6986" t="n">
        <v>0</v>
      </c>
      <c r="Q6986" t="n">
        <v>0</v>
      </c>
      <c r="R6986" s="2" t="inlineStr"/>
    </row>
    <row r="6987" ht="15" customHeight="1">
      <c r="A6987" t="inlineStr">
        <is>
          <t>A 5853-2023</t>
        </is>
      </c>
      <c r="B6987" s="1" t="n">
        <v>44963.58543981481</v>
      </c>
      <c r="C6987" s="1" t="n">
        <v>45911</v>
      </c>
      <c r="D6987" t="inlineStr">
        <is>
          <t>GÄVLEBORGS LÄN</t>
        </is>
      </c>
      <c r="E6987" t="inlineStr">
        <is>
          <t>LJUSDAL</t>
        </is>
      </c>
      <c r="F6987" t="inlineStr">
        <is>
          <t>Allmännings- och besparingsskogar</t>
        </is>
      </c>
      <c r="G6987" t="n">
        <v>4.9</v>
      </c>
      <c r="H6987" t="n">
        <v>0</v>
      </c>
      <c r="I6987" t="n">
        <v>0</v>
      </c>
      <c r="J6987" t="n">
        <v>0</v>
      </c>
      <c r="K6987" t="n">
        <v>0</v>
      </c>
      <c r="L6987" t="n">
        <v>0</v>
      </c>
      <c r="M6987" t="n">
        <v>0</v>
      </c>
      <c r="N6987" t="n">
        <v>0</v>
      </c>
      <c r="O6987" t="n">
        <v>0</v>
      </c>
      <c r="P6987" t="n">
        <v>0</v>
      </c>
      <c r="Q6987" t="n">
        <v>0</v>
      </c>
      <c r="R6987" s="2" t="inlineStr"/>
    </row>
    <row r="6988" ht="15" customHeight="1">
      <c r="A6988" t="inlineStr">
        <is>
          <t>A 5856-2023</t>
        </is>
      </c>
      <c r="B6988" s="1" t="n">
        <v>44963.58771990741</v>
      </c>
      <c r="C6988" s="1" t="n">
        <v>45911</v>
      </c>
      <c r="D6988" t="inlineStr">
        <is>
          <t>GÄVLEBORGS LÄN</t>
        </is>
      </c>
      <c r="E6988" t="inlineStr">
        <is>
          <t>LJUSDAL</t>
        </is>
      </c>
      <c r="F6988" t="inlineStr">
        <is>
          <t>Allmännings- och besparingsskogar</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58820-2022</t>
        </is>
      </c>
      <c r="B6989" s="1" t="n">
        <v>44903</v>
      </c>
      <c r="C6989" s="1" t="n">
        <v>45911</v>
      </c>
      <c r="D6989" t="inlineStr">
        <is>
          <t>GÄVLEBORGS LÄN</t>
        </is>
      </c>
      <c r="E6989" t="inlineStr">
        <is>
          <t>LJUSDAL</t>
        </is>
      </c>
      <c r="F6989" t="inlineStr">
        <is>
          <t>Kyrkan</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10123-2024</t>
        </is>
      </c>
      <c r="B6990" s="1" t="n">
        <v>45364.56289351852</v>
      </c>
      <c r="C6990" s="1" t="n">
        <v>45911</v>
      </c>
      <c r="D6990" t="inlineStr">
        <is>
          <t>GÄVLEBORGS LÄN</t>
        </is>
      </c>
      <c r="E6990" t="inlineStr">
        <is>
          <t>BOLLNÄS</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14119-2025</t>
        </is>
      </c>
      <c r="B6991" s="1" t="n">
        <v>45740.4659837963</v>
      </c>
      <c r="C6991" s="1" t="n">
        <v>45911</v>
      </c>
      <c r="D6991" t="inlineStr">
        <is>
          <t>GÄVLEBORGS LÄN</t>
        </is>
      </c>
      <c r="E6991" t="inlineStr">
        <is>
          <t>HOFORS</t>
        </is>
      </c>
      <c r="F6991" t="inlineStr">
        <is>
          <t>Bergvik skog öst AB</t>
        </is>
      </c>
      <c r="G6991" t="n">
        <v>2.9</v>
      </c>
      <c r="H6991" t="n">
        <v>0</v>
      </c>
      <c r="I6991" t="n">
        <v>0</v>
      </c>
      <c r="J6991" t="n">
        <v>0</v>
      </c>
      <c r="K6991" t="n">
        <v>0</v>
      </c>
      <c r="L6991" t="n">
        <v>0</v>
      </c>
      <c r="M6991" t="n">
        <v>0</v>
      </c>
      <c r="N6991" t="n">
        <v>0</v>
      </c>
      <c r="O6991" t="n">
        <v>0</v>
      </c>
      <c r="P6991" t="n">
        <v>0</v>
      </c>
      <c r="Q6991" t="n">
        <v>0</v>
      </c>
      <c r="R6991" s="2" t="inlineStr"/>
    </row>
    <row r="6992" ht="15" customHeight="1">
      <c r="A6992" t="inlineStr">
        <is>
          <t>A 12437-2024</t>
        </is>
      </c>
      <c r="B6992" s="1" t="n">
        <v>45379.44809027778</v>
      </c>
      <c r="C6992" s="1" t="n">
        <v>45911</v>
      </c>
      <c r="D6992" t="inlineStr">
        <is>
          <t>GÄVLEBORGS LÄN</t>
        </is>
      </c>
      <c r="E6992" t="inlineStr">
        <is>
          <t>GÄVLE</t>
        </is>
      </c>
      <c r="F6992" t="inlineStr">
        <is>
          <t>Bergvik skog öst AB</t>
        </is>
      </c>
      <c r="G6992" t="n">
        <v>7.4</v>
      </c>
      <c r="H6992" t="n">
        <v>0</v>
      </c>
      <c r="I6992" t="n">
        <v>0</v>
      </c>
      <c r="J6992" t="n">
        <v>0</v>
      </c>
      <c r="K6992" t="n">
        <v>0</v>
      </c>
      <c r="L6992" t="n">
        <v>0</v>
      </c>
      <c r="M6992" t="n">
        <v>0</v>
      </c>
      <c r="N6992" t="n">
        <v>0</v>
      </c>
      <c r="O6992" t="n">
        <v>0</v>
      </c>
      <c r="P6992" t="n">
        <v>0</v>
      </c>
      <c r="Q6992" t="n">
        <v>0</v>
      </c>
      <c r="R6992" s="2" t="inlineStr"/>
    </row>
    <row r="6993" ht="15" customHeight="1">
      <c r="A6993" t="inlineStr">
        <is>
          <t>A 32859-2024</t>
        </is>
      </c>
      <c r="B6993" s="1" t="n">
        <v>45516.64608796296</v>
      </c>
      <c r="C6993" s="1" t="n">
        <v>45911</v>
      </c>
      <c r="D6993" t="inlineStr">
        <is>
          <t>GÄVLEBORGS LÄN</t>
        </is>
      </c>
      <c r="E6993" t="inlineStr">
        <is>
          <t>BOLLNÄS</t>
        </is>
      </c>
      <c r="F6993" t="inlineStr">
        <is>
          <t>Sveaskog</t>
        </is>
      </c>
      <c r="G6993" t="n">
        <v>0.3</v>
      </c>
      <c r="H6993" t="n">
        <v>0</v>
      </c>
      <c r="I6993" t="n">
        <v>0</v>
      </c>
      <c r="J6993" t="n">
        <v>0</v>
      </c>
      <c r="K6993" t="n">
        <v>0</v>
      </c>
      <c r="L6993" t="n">
        <v>0</v>
      </c>
      <c r="M6993" t="n">
        <v>0</v>
      </c>
      <c r="N6993" t="n">
        <v>0</v>
      </c>
      <c r="O6993" t="n">
        <v>0</v>
      </c>
      <c r="P6993" t="n">
        <v>0</v>
      </c>
      <c r="Q6993" t="n">
        <v>0</v>
      </c>
      <c r="R6993" s="2" t="inlineStr"/>
    </row>
    <row r="6994" ht="15" customHeight="1">
      <c r="A6994" t="inlineStr">
        <is>
          <t>A 46669-2024</t>
        </is>
      </c>
      <c r="B6994" s="1" t="n">
        <v>45583.3762037037</v>
      </c>
      <c r="C6994" s="1" t="n">
        <v>45911</v>
      </c>
      <c r="D6994" t="inlineStr">
        <is>
          <t>GÄVLEBORGS LÄN</t>
        </is>
      </c>
      <c r="E6994" t="inlineStr">
        <is>
          <t>BOLLNÄS</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25357-2023</t>
        </is>
      </c>
      <c r="B6995" s="1" t="n">
        <v>45087.9609837963</v>
      </c>
      <c r="C6995" s="1" t="n">
        <v>45911</v>
      </c>
      <c r="D6995" t="inlineStr">
        <is>
          <t>GÄVLEBORGS LÄN</t>
        </is>
      </c>
      <c r="E6995" t="inlineStr">
        <is>
          <t>SANDVIKEN</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24372-2023</t>
        </is>
      </c>
      <c r="B6996" s="1" t="n">
        <v>45082</v>
      </c>
      <c r="C6996" s="1" t="n">
        <v>45911</v>
      </c>
      <c r="D6996" t="inlineStr">
        <is>
          <t>GÄVLEBORGS LÄN</t>
        </is>
      </c>
      <c r="E6996" t="inlineStr">
        <is>
          <t>HUDIKSVALL</t>
        </is>
      </c>
      <c r="G6996" t="n">
        <v>5.9</v>
      </c>
      <c r="H6996" t="n">
        <v>0</v>
      </c>
      <c r="I6996" t="n">
        <v>0</v>
      </c>
      <c r="J6996" t="n">
        <v>0</v>
      </c>
      <c r="K6996" t="n">
        <v>0</v>
      </c>
      <c r="L6996" t="n">
        <v>0</v>
      </c>
      <c r="M6996" t="n">
        <v>0</v>
      </c>
      <c r="N6996" t="n">
        <v>0</v>
      </c>
      <c r="O6996" t="n">
        <v>0</v>
      </c>
      <c r="P6996" t="n">
        <v>0</v>
      </c>
      <c r="Q6996" t="n">
        <v>0</v>
      </c>
      <c r="R6996" s="2" t="inlineStr"/>
    </row>
    <row r="6997" ht="15" customHeight="1">
      <c r="A6997" t="inlineStr">
        <is>
          <t>A 20456-2024</t>
        </is>
      </c>
      <c r="B6997" s="1" t="n">
        <v>45435.6531712963</v>
      </c>
      <c r="C6997" s="1" t="n">
        <v>45911</v>
      </c>
      <c r="D6997" t="inlineStr">
        <is>
          <t>GÄVLEBORGS LÄN</t>
        </is>
      </c>
      <c r="E6997" t="inlineStr">
        <is>
          <t>SÖDERHAMN</t>
        </is>
      </c>
      <c r="G6997" t="n">
        <v>0.5</v>
      </c>
      <c r="H6997" t="n">
        <v>0</v>
      </c>
      <c r="I6997" t="n">
        <v>0</v>
      </c>
      <c r="J6997" t="n">
        <v>0</v>
      </c>
      <c r="K6997" t="n">
        <v>0</v>
      </c>
      <c r="L6997" t="n">
        <v>0</v>
      </c>
      <c r="M6997" t="n">
        <v>0</v>
      </c>
      <c r="N6997" t="n">
        <v>0</v>
      </c>
      <c r="O6997" t="n">
        <v>0</v>
      </c>
      <c r="P6997" t="n">
        <v>0</v>
      </c>
      <c r="Q6997" t="n">
        <v>0</v>
      </c>
      <c r="R6997" s="2" t="inlineStr"/>
    </row>
    <row r="6998" ht="15" customHeight="1">
      <c r="A6998" t="inlineStr">
        <is>
          <t>A 41100-2024</t>
        </is>
      </c>
      <c r="B6998" s="1" t="n">
        <v>45559</v>
      </c>
      <c r="C6998" s="1" t="n">
        <v>45911</v>
      </c>
      <c r="D6998" t="inlineStr">
        <is>
          <t>GÄVLEBORGS LÄN</t>
        </is>
      </c>
      <c r="E6998" t="inlineStr">
        <is>
          <t>GÄVLE</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56933-2024</t>
        </is>
      </c>
      <c r="B6999" s="1" t="n">
        <v>45628</v>
      </c>
      <c r="C6999" s="1" t="n">
        <v>45911</v>
      </c>
      <c r="D6999" t="inlineStr">
        <is>
          <t>GÄVLEBORGS LÄN</t>
        </is>
      </c>
      <c r="E6999" t="inlineStr">
        <is>
          <t>SÖDERHAMN</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51666-2022</t>
        </is>
      </c>
      <c r="B7000" s="1" t="n">
        <v>44872.42103009259</v>
      </c>
      <c r="C7000" s="1" t="n">
        <v>45911</v>
      </c>
      <c r="D7000" t="inlineStr">
        <is>
          <t>GÄVLEBORGS LÄN</t>
        </is>
      </c>
      <c r="E7000" t="inlineStr">
        <is>
          <t>BOLLNÄS</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34735-2024</t>
        </is>
      </c>
      <c r="B7001" s="1" t="n">
        <v>45526.58457175926</v>
      </c>
      <c r="C7001" s="1" t="n">
        <v>45911</v>
      </c>
      <c r="D7001" t="inlineStr">
        <is>
          <t>GÄVLEBORGS LÄN</t>
        </is>
      </c>
      <c r="E7001" t="inlineStr">
        <is>
          <t>NORDANSTIG</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51700-2022</t>
        </is>
      </c>
      <c r="B7002" s="1" t="n">
        <v>44872</v>
      </c>
      <c r="C7002" s="1" t="n">
        <v>45911</v>
      </c>
      <c r="D7002" t="inlineStr">
        <is>
          <t>GÄVLEBORGS LÄN</t>
        </is>
      </c>
      <c r="E7002" t="inlineStr">
        <is>
          <t>OVANÅKER</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41318-2024</t>
        </is>
      </c>
      <c r="B7003" s="1" t="n">
        <v>45559.63951388889</v>
      </c>
      <c r="C7003" s="1" t="n">
        <v>45911</v>
      </c>
      <c r="D7003" t="inlineStr">
        <is>
          <t>GÄVLEBORGS LÄN</t>
        </is>
      </c>
      <c r="E7003" t="inlineStr">
        <is>
          <t>NORDANSTIG</t>
        </is>
      </c>
      <c r="F7003" t="inlineStr">
        <is>
          <t>Holmen skog AB</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49925-2021</t>
        </is>
      </c>
      <c r="B7004" s="1" t="n">
        <v>44455.92104166667</v>
      </c>
      <c r="C7004" s="1" t="n">
        <v>45911</v>
      </c>
      <c r="D7004" t="inlineStr">
        <is>
          <t>GÄVLEBORGS LÄN</t>
        </is>
      </c>
      <c r="E7004" t="inlineStr">
        <is>
          <t>HUDIKSVALL</t>
        </is>
      </c>
      <c r="G7004" t="n">
        <v>3.6</v>
      </c>
      <c r="H7004" t="n">
        <v>0</v>
      </c>
      <c r="I7004" t="n">
        <v>0</v>
      </c>
      <c r="J7004" t="n">
        <v>0</v>
      </c>
      <c r="K7004" t="n">
        <v>0</v>
      </c>
      <c r="L7004" t="n">
        <v>0</v>
      </c>
      <c r="M7004" t="n">
        <v>0</v>
      </c>
      <c r="N7004" t="n">
        <v>0</v>
      </c>
      <c r="O7004" t="n">
        <v>0</v>
      </c>
      <c r="P7004" t="n">
        <v>0</v>
      </c>
      <c r="Q7004" t="n">
        <v>0</v>
      </c>
      <c r="R7004" s="2" t="inlineStr"/>
    </row>
    <row r="7005" ht="15" customHeight="1">
      <c r="A7005" t="inlineStr">
        <is>
          <t>A 33389-2024</t>
        </is>
      </c>
      <c r="B7005" s="1" t="n">
        <v>45519.47418981481</v>
      </c>
      <c r="C7005" s="1" t="n">
        <v>45911</v>
      </c>
      <c r="D7005" t="inlineStr">
        <is>
          <t>GÄVLEBORGS LÄN</t>
        </is>
      </c>
      <c r="E7005" t="inlineStr">
        <is>
          <t>LJUSDAL</t>
        </is>
      </c>
      <c r="F7005" t="inlineStr">
        <is>
          <t>Sveaskog</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59064-2022</t>
        </is>
      </c>
      <c r="B7006" s="1" t="n">
        <v>44904.33759259259</v>
      </c>
      <c r="C7006" s="1" t="n">
        <v>45911</v>
      </c>
      <c r="D7006" t="inlineStr">
        <is>
          <t>GÄVLEBORGS LÄN</t>
        </is>
      </c>
      <c r="E7006" t="inlineStr">
        <is>
          <t>HUDIKSVALL</t>
        </is>
      </c>
      <c r="F7006" t="inlineStr">
        <is>
          <t>Kyrkan</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58900-2024</t>
        </is>
      </c>
      <c r="B7007" s="1" t="n">
        <v>45636.47081018519</v>
      </c>
      <c r="C7007" s="1" t="n">
        <v>45911</v>
      </c>
      <c r="D7007" t="inlineStr">
        <is>
          <t>GÄVLEBORGS LÄN</t>
        </is>
      </c>
      <c r="E7007" t="inlineStr">
        <is>
          <t>LJUSDAL</t>
        </is>
      </c>
      <c r="G7007" t="n">
        <v>9.9</v>
      </c>
      <c r="H7007" t="n">
        <v>0</v>
      </c>
      <c r="I7007" t="n">
        <v>0</v>
      </c>
      <c r="J7007" t="n">
        <v>0</v>
      </c>
      <c r="K7007" t="n">
        <v>0</v>
      </c>
      <c r="L7007" t="n">
        <v>0</v>
      </c>
      <c r="M7007" t="n">
        <v>0</v>
      </c>
      <c r="N7007" t="n">
        <v>0</v>
      </c>
      <c r="O7007" t="n">
        <v>0</v>
      </c>
      <c r="P7007" t="n">
        <v>0</v>
      </c>
      <c r="Q7007" t="n">
        <v>0</v>
      </c>
      <c r="R7007" s="2" t="inlineStr"/>
    </row>
    <row r="7008" ht="15" customHeight="1">
      <c r="A7008" t="inlineStr">
        <is>
          <t>A 29716-2023</t>
        </is>
      </c>
      <c r="B7008" s="1" t="n">
        <v>45107</v>
      </c>
      <c r="C7008" s="1" t="n">
        <v>45911</v>
      </c>
      <c r="D7008" t="inlineStr">
        <is>
          <t>GÄVLEBORGS LÄN</t>
        </is>
      </c>
      <c r="E7008" t="inlineStr">
        <is>
          <t>BOLLNÄS</t>
        </is>
      </c>
      <c r="F7008" t="inlineStr">
        <is>
          <t>Sveaskog</t>
        </is>
      </c>
      <c r="G7008" t="n">
        <v>7.3</v>
      </c>
      <c r="H7008" t="n">
        <v>0</v>
      </c>
      <c r="I7008" t="n">
        <v>0</v>
      </c>
      <c r="J7008" t="n">
        <v>0</v>
      </c>
      <c r="K7008" t="n">
        <v>0</v>
      </c>
      <c r="L7008" t="n">
        <v>0</v>
      </c>
      <c r="M7008" t="n">
        <v>0</v>
      </c>
      <c r="N7008" t="n">
        <v>0</v>
      </c>
      <c r="O7008" t="n">
        <v>0</v>
      </c>
      <c r="P7008" t="n">
        <v>0</v>
      </c>
      <c r="Q7008" t="n">
        <v>0</v>
      </c>
      <c r="R7008" s="2" t="inlineStr"/>
    </row>
    <row r="7009" ht="15" customHeight="1">
      <c r="A7009" t="inlineStr">
        <is>
          <t>A 16389-2025</t>
        </is>
      </c>
      <c r="B7009" s="1" t="n">
        <v>45751</v>
      </c>
      <c r="C7009" s="1" t="n">
        <v>45911</v>
      </c>
      <c r="D7009" t="inlineStr">
        <is>
          <t>GÄVLEBORGS LÄN</t>
        </is>
      </c>
      <c r="E7009" t="inlineStr">
        <is>
          <t>GÄVLE</t>
        </is>
      </c>
      <c r="F7009" t="inlineStr">
        <is>
          <t>Bergvik skog väst AB</t>
        </is>
      </c>
      <c r="G7009" t="n">
        <v>3.2</v>
      </c>
      <c r="H7009" t="n">
        <v>0</v>
      </c>
      <c r="I7009" t="n">
        <v>0</v>
      </c>
      <c r="J7009" t="n">
        <v>0</v>
      </c>
      <c r="K7009" t="n">
        <v>0</v>
      </c>
      <c r="L7009" t="n">
        <v>0</v>
      </c>
      <c r="M7009" t="n">
        <v>0</v>
      </c>
      <c r="N7009" t="n">
        <v>0</v>
      </c>
      <c r="O7009" t="n">
        <v>0</v>
      </c>
      <c r="P7009" t="n">
        <v>0</v>
      </c>
      <c r="Q7009" t="n">
        <v>0</v>
      </c>
      <c r="R7009" s="2" t="inlineStr"/>
    </row>
    <row r="7010" ht="15" customHeight="1">
      <c r="A7010" t="inlineStr">
        <is>
          <t>A 53213-2022</t>
        </is>
      </c>
      <c r="B7010" s="1" t="n">
        <v>44876.60974537037</v>
      </c>
      <c r="C7010" s="1" t="n">
        <v>45911</v>
      </c>
      <c r="D7010" t="inlineStr">
        <is>
          <t>GÄVLEBORGS LÄN</t>
        </is>
      </c>
      <c r="E7010" t="inlineStr">
        <is>
          <t>OVANÅKER</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5622-2025</t>
        </is>
      </c>
      <c r="B7011" s="1" t="n">
        <v>45693.63630787037</v>
      </c>
      <c r="C7011" s="1" t="n">
        <v>45911</v>
      </c>
      <c r="D7011" t="inlineStr">
        <is>
          <t>GÄVLEBORGS LÄN</t>
        </is>
      </c>
      <c r="E7011" t="inlineStr">
        <is>
          <t>HUDIKSVALL</t>
        </is>
      </c>
      <c r="G7011" t="n">
        <v>2.6</v>
      </c>
      <c r="H7011" t="n">
        <v>0</v>
      </c>
      <c r="I7011" t="n">
        <v>0</v>
      </c>
      <c r="J7011" t="n">
        <v>0</v>
      </c>
      <c r="K7011" t="n">
        <v>0</v>
      </c>
      <c r="L7011" t="n">
        <v>0</v>
      </c>
      <c r="M7011" t="n">
        <v>0</v>
      </c>
      <c r="N7011" t="n">
        <v>0</v>
      </c>
      <c r="O7011" t="n">
        <v>0</v>
      </c>
      <c r="P7011" t="n">
        <v>0</v>
      </c>
      <c r="Q7011" t="n">
        <v>0</v>
      </c>
      <c r="R7011" s="2" t="inlineStr"/>
    </row>
    <row r="7012" ht="15" customHeight="1">
      <c r="A7012" t="inlineStr">
        <is>
          <t>A 5633-2024</t>
        </is>
      </c>
      <c r="B7012" s="1" t="n">
        <v>45334.61027777778</v>
      </c>
      <c r="C7012" s="1" t="n">
        <v>45911</v>
      </c>
      <c r="D7012" t="inlineStr">
        <is>
          <t>GÄVLEBORGS LÄN</t>
        </is>
      </c>
      <c r="E7012" t="inlineStr">
        <is>
          <t>GÄVLE</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21251-2023</t>
        </is>
      </c>
      <c r="B7013" s="1" t="n">
        <v>45062</v>
      </c>
      <c r="C7013" s="1" t="n">
        <v>45911</v>
      </c>
      <c r="D7013" t="inlineStr">
        <is>
          <t>GÄVLEBORGS LÄN</t>
        </is>
      </c>
      <c r="E7013" t="inlineStr">
        <is>
          <t>HUDIKSVALL</t>
        </is>
      </c>
      <c r="G7013" t="n">
        <v>0.6</v>
      </c>
      <c r="H7013" t="n">
        <v>0</v>
      </c>
      <c r="I7013" t="n">
        <v>0</v>
      </c>
      <c r="J7013" t="n">
        <v>0</v>
      </c>
      <c r="K7013" t="n">
        <v>0</v>
      </c>
      <c r="L7013" t="n">
        <v>0</v>
      </c>
      <c r="M7013" t="n">
        <v>0</v>
      </c>
      <c r="N7013" t="n">
        <v>0</v>
      </c>
      <c r="O7013" t="n">
        <v>0</v>
      </c>
      <c r="P7013" t="n">
        <v>0</v>
      </c>
      <c r="Q7013" t="n">
        <v>0</v>
      </c>
      <c r="R7013" s="2" t="inlineStr"/>
    </row>
    <row r="7014" ht="15" customHeight="1">
      <c r="A7014" t="inlineStr">
        <is>
          <t>A 24720-2023</t>
        </is>
      </c>
      <c r="B7014" s="1" t="n">
        <v>45084</v>
      </c>
      <c r="C7014" s="1" t="n">
        <v>45911</v>
      </c>
      <c r="D7014" t="inlineStr">
        <is>
          <t>GÄVLEBORGS LÄN</t>
        </is>
      </c>
      <c r="E7014" t="inlineStr">
        <is>
          <t>GÄVLE</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39927-2024</t>
        </is>
      </c>
      <c r="B7015" s="1" t="n">
        <v>45553.54829861111</v>
      </c>
      <c r="C7015" s="1" t="n">
        <v>45911</v>
      </c>
      <c r="D7015" t="inlineStr">
        <is>
          <t>GÄVLEBORGS LÄN</t>
        </is>
      </c>
      <c r="E7015" t="inlineStr">
        <is>
          <t>LJUSDAL</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26510-2023</t>
        </is>
      </c>
      <c r="B7016" s="1" t="n">
        <v>45092</v>
      </c>
      <c r="C7016" s="1" t="n">
        <v>45911</v>
      </c>
      <c r="D7016" t="inlineStr">
        <is>
          <t>GÄVLEBORGS LÄN</t>
        </is>
      </c>
      <c r="E7016" t="inlineStr">
        <is>
          <t>LJUSDAL</t>
        </is>
      </c>
      <c r="F7016" t="inlineStr">
        <is>
          <t>Sveaskog</t>
        </is>
      </c>
      <c r="G7016" t="n">
        <v>3</v>
      </c>
      <c r="H7016" t="n">
        <v>0</v>
      </c>
      <c r="I7016" t="n">
        <v>0</v>
      </c>
      <c r="J7016" t="n">
        <v>0</v>
      </c>
      <c r="K7016" t="n">
        <v>0</v>
      </c>
      <c r="L7016" t="n">
        <v>0</v>
      </c>
      <c r="M7016" t="n">
        <v>0</v>
      </c>
      <c r="N7016" t="n">
        <v>0</v>
      </c>
      <c r="O7016" t="n">
        <v>0</v>
      </c>
      <c r="P7016" t="n">
        <v>0</v>
      </c>
      <c r="Q7016" t="n">
        <v>0</v>
      </c>
      <c r="R7016" s="2" t="inlineStr"/>
    </row>
    <row r="7017" ht="15" customHeight="1">
      <c r="A7017" t="inlineStr">
        <is>
          <t>A 30697-2024</t>
        </is>
      </c>
      <c r="B7017" s="1" t="n">
        <v>45496.34385416667</v>
      </c>
      <c r="C7017" s="1" t="n">
        <v>45911</v>
      </c>
      <c r="D7017" t="inlineStr">
        <is>
          <t>GÄVLEBORGS LÄN</t>
        </is>
      </c>
      <c r="E7017" t="inlineStr">
        <is>
          <t>HUDIKSVALL</t>
        </is>
      </c>
      <c r="G7017" t="n">
        <v>2.9</v>
      </c>
      <c r="H7017" t="n">
        <v>0</v>
      </c>
      <c r="I7017" t="n">
        <v>0</v>
      </c>
      <c r="J7017" t="n">
        <v>0</v>
      </c>
      <c r="K7017" t="n">
        <v>0</v>
      </c>
      <c r="L7017" t="n">
        <v>0</v>
      </c>
      <c r="M7017" t="n">
        <v>0</v>
      </c>
      <c r="N7017" t="n">
        <v>0</v>
      </c>
      <c r="O7017" t="n">
        <v>0</v>
      </c>
      <c r="P7017" t="n">
        <v>0</v>
      </c>
      <c r="Q7017" t="n">
        <v>0</v>
      </c>
      <c r="R7017" s="2" t="inlineStr"/>
    </row>
    <row r="7018" ht="15" customHeight="1">
      <c r="A7018" t="inlineStr">
        <is>
          <t>A 15385-2023</t>
        </is>
      </c>
      <c r="B7018" s="1" t="n">
        <v>45019.6284837963</v>
      </c>
      <c r="C7018" s="1" t="n">
        <v>45911</v>
      </c>
      <c r="D7018" t="inlineStr">
        <is>
          <t>GÄVLEBORGS LÄN</t>
        </is>
      </c>
      <c r="E7018" t="inlineStr">
        <is>
          <t>NORDANSTIG</t>
        </is>
      </c>
      <c r="G7018" t="n">
        <v>5.9</v>
      </c>
      <c r="H7018" t="n">
        <v>0</v>
      </c>
      <c r="I7018" t="n">
        <v>0</v>
      </c>
      <c r="J7018" t="n">
        <v>0</v>
      </c>
      <c r="K7018" t="n">
        <v>0</v>
      </c>
      <c r="L7018" t="n">
        <v>0</v>
      </c>
      <c r="M7018" t="n">
        <v>0</v>
      </c>
      <c r="N7018" t="n">
        <v>0</v>
      </c>
      <c r="O7018" t="n">
        <v>0</v>
      </c>
      <c r="P7018" t="n">
        <v>0</v>
      </c>
      <c r="Q7018" t="n">
        <v>0</v>
      </c>
      <c r="R7018" s="2" t="inlineStr"/>
    </row>
    <row r="7019" ht="15" customHeight="1">
      <c r="A7019" t="inlineStr">
        <is>
          <t>A 39154-2021</t>
        </is>
      </c>
      <c r="B7019" s="1" t="n">
        <v>44412</v>
      </c>
      <c r="C7019" s="1" t="n">
        <v>45911</v>
      </c>
      <c r="D7019" t="inlineStr">
        <is>
          <t>GÄVLEBORGS LÄN</t>
        </is>
      </c>
      <c r="E7019" t="inlineStr">
        <is>
          <t>HUDIKSVALL</t>
        </is>
      </c>
      <c r="G7019" t="n">
        <v>2.5</v>
      </c>
      <c r="H7019" t="n">
        <v>0</v>
      </c>
      <c r="I7019" t="n">
        <v>0</v>
      </c>
      <c r="J7019" t="n">
        <v>0</v>
      </c>
      <c r="K7019" t="n">
        <v>0</v>
      </c>
      <c r="L7019" t="n">
        <v>0</v>
      </c>
      <c r="M7019" t="n">
        <v>0</v>
      </c>
      <c r="N7019" t="n">
        <v>0</v>
      </c>
      <c r="O7019" t="n">
        <v>0</v>
      </c>
      <c r="P7019" t="n">
        <v>0</v>
      </c>
      <c r="Q7019" t="n">
        <v>0</v>
      </c>
      <c r="R7019" s="2" t="inlineStr"/>
    </row>
    <row r="7020" ht="15" customHeight="1">
      <c r="A7020" t="inlineStr">
        <is>
          <t>A 6816-2021</t>
        </is>
      </c>
      <c r="B7020" s="1" t="n">
        <v>44237.32259259259</v>
      </c>
      <c r="C7020" s="1" t="n">
        <v>45911</v>
      </c>
      <c r="D7020" t="inlineStr">
        <is>
          <t>GÄVLEBORGS LÄN</t>
        </is>
      </c>
      <c r="E7020" t="inlineStr">
        <is>
          <t>SÖDERHAMN</t>
        </is>
      </c>
      <c r="F7020" t="inlineStr">
        <is>
          <t>Bergvik skog väst AB</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36407-2024</t>
        </is>
      </c>
      <c r="B7021" s="1" t="n">
        <v>45535.81711805556</v>
      </c>
      <c r="C7021" s="1" t="n">
        <v>45911</v>
      </c>
      <c r="D7021" t="inlineStr">
        <is>
          <t>GÄVLEBORGS LÄN</t>
        </is>
      </c>
      <c r="E7021" t="inlineStr">
        <is>
          <t>HUDIKSVALL</t>
        </is>
      </c>
      <c r="F7021" t="inlineStr">
        <is>
          <t>Holmen skog AB</t>
        </is>
      </c>
      <c r="G7021" t="n">
        <v>7.7</v>
      </c>
      <c r="H7021" t="n">
        <v>0</v>
      </c>
      <c r="I7021" t="n">
        <v>0</v>
      </c>
      <c r="J7021" t="n">
        <v>0</v>
      </c>
      <c r="K7021" t="n">
        <v>0</v>
      </c>
      <c r="L7021" t="n">
        <v>0</v>
      </c>
      <c r="M7021" t="n">
        <v>0</v>
      </c>
      <c r="N7021" t="n">
        <v>0</v>
      </c>
      <c r="O7021" t="n">
        <v>0</v>
      </c>
      <c r="P7021" t="n">
        <v>0</v>
      </c>
      <c r="Q7021" t="n">
        <v>0</v>
      </c>
      <c r="R7021" s="2" t="inlineStr"/>
    </row>
    <row r="7022" ht="15" customHeight="1">
      <c r="A7022" t="inlineStr">
        <is>
          <t>A 1351-2024</t>
        </is>
      </c>
      <c r="B7022" s="1" t="n">
        <v>45303</v>
      </c>
      <c r="C7022" s="1" t="n">
        <v>45911</v>
      </c>
      <c r="D7022" t="inlineStr">
        <is>
          <t>GÄVLEBORGS LÄN</t>
        </is>
      </c>
      <c r="E7022" t="inlineStr">
        <is>
          <t>NORDANSTIG</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1408-2024</t>
        </is>
      </c>
      <c r="B7023" s="1" t="n">
        <v>45303.60203703704</v>
      </c>
      <c r="C7023" s="1" t="n">
        <v>45911</v>
      </c>
      <c r="D7023" t="inlineStr">
        <is>
          <t>GÄVLEBORGS LÄN</t>
        </is>
      </c>
      <c r="E7023" t="inlineStr">
        <is>
          <t>SANDVIKEN</t>
        </is>
      </c>
      <c r="G7023" t="n">
        <v>4.1</v>
      </c>
      <c r="H7023" t="n">
        <v>0</v>
      </c>
      <c r="I7023" t="n">
        <v>0</v>
      </c>
      <c r="J7023" t="n">
        <v>0</v>
      </c>
      <c r="K7023" t="n">
        <v>0</v>
      </c>
      <c r="L7023" t="n">
        <v>0</v>
      </c>
      <c r="M7023" t="n">
        <v>0</v>
      </c>
      <c r="N7023" t="n">
        <v>0</v>
      </c>
      <c r="O7023" t="n">
        <v>0</v>
      </c>
      <c r="P7023" t="n">
        <v>0</v>
      </c>
      <c r="Q7023" t="n">
        <v>0</v>
      </c>
      <c r="R7023" s="2" t="inlineStr"/>
    </row>
    <row r="7024" ht="15" customHeight="1">
      <c r="A7024" t="inlineStr">
        <is>
          <t>A 26503-2021</t>
        </is>
      </c>
      <c r="B7024" s="1" t="n">
        <v>44348</v>
      </c>
      <c r="C7024" s="1" t="n">
        <v>45911</v>
      </c>
      <c r="D7024" t="inlineStr">
        <is>
          <t>GÄVLEBORGS LÄN</t>
        </is>
      </c>
      <c r="E7024" t="inlineStr">
        <is>
          <t>NORDANSTIG</t>
        </is>
      </c>
      <c r="G7024" t="n">
        <v>2.3</v>
      </c>
      <c r="H7024" t="n">
        <v>0</v>
      </c>
      <c r="I7024" t="n">
        <v>0</v>
      </c>
      <c r="J7024" t="n">
        <v>0</v>
      </c>
      <c r="K7024" t="n">
        <v>0</v>
      </c>
      <c r="L7024" t="n">
        <v>0</v>
      </c>
      <c r="M7024" t="n">
        <v>0</v>
      </c>
      <c r="N7024" t="n">
        <v>0</v>
      </c>
      <c r="O7024" t="n">
        <v>0</v>
      </c>
      <c r="P7024" t="n">
        <v>0</v>
      </c>
      <c r="Q7024" t="n">
        <v>0</v>
      </c>
      <c r="R7024" s="2" t="inlineStr"/>
    </row>
    <row r="7025" ht="15" customHeight="1">
      <c r="A7025" t="inlineStr">
        <is>
          <t>A 7801-2021</t>
        </is>
      </c>
      <c r="B7025" s="1" t="n">
        <v>44242.59861111111</v>
      </c>
      <c r="C7025" s="1" t="n">
        <v>45911</v>
      </c>
      <c r="D7025" t="inlineStr">
        <is>
          <t>GÄVLEBORGS LÄN</t>
        </is>
      </c>
      <c r="E7025" t="inlineStr">
        <is>
          <t>BOLLNÄS</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42306-2023</t>
        </is>
      </c>
      <c r="B7026" s="1" t="n">
        <v>45180.45332175926</v>
      </c>
      <c r="C7026" s="1" t="n">
        <v>45911</v>
      </c>
      <c r="D7026" t="inlineStr">
        <is>
          <t>GÄVLEBORGS LÄN</t>
        </is>
      </c>
      <c r="E7026" t="inlineStr">
        <is>
          <t>BOLLNÄS</t>
        </is>
      </c>
      <c r="G7026" t="n">
        <v>4.8</v>
      </c>
      <c r="H7026" t="n">
        <v>0</v>
      </c>
      <c r="I7026" t="n">
        <v>0</v>
      </c>
      <c r="J7026" t="n">
        <v>0</v>
      </c>
      <c r="K7026" t="n">
        <v>0</v>
      </c>
      <c r="L7026" t="n">
        <v>0</v>
      </c>
      <c r="M7026" t="n">
        <v>0</v>
      </c>
      <c r="N7026" t="n">
        <v>0</v>
      </c>
      <c r="O7026" t="n">
        <v>0</v>
      </c>
      <c r="P7026" t="n">
        <v>0</v>
      </c>
      <c r="Q7026" t="n">
        <v>0</v>
      </c>
      <c r="R7026" s="2" t="inlineStr"/>
    </row>
    <row r="7027" ht="15" customHeight="1">
      <c r="A7027" t="inlineStr">
        <is>
          <t>A 40477-2024</t>
        </is>
      </c>
      <c r="B7027" s="1" t="n">
        <v>45555.54740740741</v>
      </c>
      <c r="C7027" s="1" t="n">
        <v>45911</v>
      </c>
      <c r="D7027" t="inlineStr">
        <is>
          <t>GÄVLEBORGS LÄN</t>
        </is>
      </c>
      <c r="E7027" t="inlineStr">
        <is>
          <t>NORDANSTIG</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40481-2024</t>
        </is>
      </c>
      <c r="B7028" s="1" t="n">
        <v>45555.55221064815</v>
      </c>
      <c r="C7028" s="1" t="n">
        <v>45911</v>
      </c>
      <c r="D7028" t="inlineStr">
        <is>
          <t>GÄVLEBORGS LÄN</t>
        </is>
      </c>
      <c r="E7028" t="inlineStr">
        <is>
          <t>BOLLNÄS</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19696-2025</t>
        </is>
      </c>
      <c r="B7029" s="1" t="n">
        <v>45771</v>
      </c>
      <c r="C7029" s="1" t="n">
        <v>45911</v>
      </c>
      <c r="D7029" t="inlineStr">
        <is>
          <t>GÄVLEBORGS LÄN</t>
        </is>
      </c>
      <c r="E7029" t="inlineStr">
        <is>
          <t>GÄVLE</t>
        </is>
      </c>
      <c r="F7029" t="inlineStr">
        <is>
          <t>Bergvik skog väst AB</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39173-2024</t>
        </is>
      </c>
      <c r="B7030" s="1" t="n">
        <v>45548.65622685185</v>
      </c>
      <c r="C7030" s="1" t="n">
        <v>45911</v>
      </c>
      <c r="D7030" t="inlineStr">
        <is>
          <t>GÄVLEBORGS LÄN</t>
        </is>
      </c>
      <c r="E7030" t="inlineStr">
        <is>
          <t>OVANÅKER</t>
        </is>
      </c>
      <c r="G7030" t="n">
        <v>3.2</v>
      </c>
      <c r="H7030" t="n">
        <v>0</v>
      </c>
      <c r="I7030" t="n">
        <v>0</v>
      </c>
      <c r="J7030" t="n">
        <v>0</v>
      </c>
      <c r="K7030" t="n">
        <v>0</v>
      </c>
      <c r="L7030" t="n">
        <v>0</v>
      </c>
      <c r="M7030" t="n">
        <v>0</v>
      </c>
      <c r="N7030" t="n">
        <v>0</v>
      </c>
      <c r="O7030" t="n">
        <v>0</v>
      </c>
      <c r="P7030" t="n">
        <v>0</v>
      </c>
      <c r="Q7030" t="n">
        <v>0</v>
      </c>
      <c r="R7030" s="2" t="inlineStr"/>
    </row>
    <row r="7031" ht="15" customHeight="1">
      <c r="A7031" t="inlineStr">
        <is>
          <t>A 34964-2024</t>
        </is>
      </c>
      <c r="B7031" s="1" t="n">
        <v>45527.49265046296</v>
      </c>
      <c r="C7031" s="1" t="n">
        <v>45911</v>
      </c>
      <c r="D7031" t="inlineStr">
        <is>
          <t>GÄVLEBORGS LÄN</t>
        </is>
      </c>
      <c r="E7031" t="inlineStr">
        <is>
          <t>LJUSDAL</t>
        </is>
      </c>
      <c r="F7031" t="inlineStr">
        <is>
          <t>Holmen skog AB</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19190-2024</t>
        </is>
      </c>
      <c r="B7032" s="1" t="n">
        <v>45428</v>
      </c>
      <c r="C7032" s="1" t="n">
        <v>45911</v>
      </c>
      <c r="D7032" t="inlineStr">
        <is>
          <t>GÄVLEBORGS LÄN</t>
        </is>
      </c>
      <c r="E7032" t="inlineStr">
        <is>
          <t>LJUSDAL</t>
        </is>
      </c>
      <c r="G7032" t="n">
        <v>4.8</v>
      </c>
      <c r="H7032" t="n">
        <v>0</v>
      </c>
      <c r="I7032" t="n">
        <v>0</v>
      </c>
      <c r="J7032" t="n">
        <v>0</v>
      </c>
      <c r="K7032" t="n">
        <v>0</v>
      </c>
      <c r="L7032" t="n">
        <v>0</v>
      </c>
      <c r="M7032" t="n">
        <v>0</v>
      </c>
      <c r="N7032" t="n">
        <v>0</v>
      </c>
      <c r="O7032" t="n">
        <v>0</v>
      </c>
      <c r="P7032" t="n">
        <v>0</v>
      </c>
      <c r="Q7032" t="n">
        <v>0</v>
      </c>
      <c r="R7032" s="2" t="inlineStr"/>
    </row>
    <row r="7033" ht="15" customHeight="1">
      <c r="A7033" t="inlineStr">
        <is>
          <t>A 13194-2025</t>
        </is>
      </c>
      <c r="B7033" s="1" t="n">
        <v>45735</v>
      </c>
      <c r="C7033" s="1" t="n">
        <v>45911</v>
      </c>
      <c r="D7033" t="inlineStr">
        <is>
          <t>GÄVLEBORGS LÄN</t>
        </is>
      </c>
      <c r="E7033" t="inlineStr">
        <is>
          <t>SANDVIKEN</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17380-2025</t>
        </is>
      </c>
      <c r="B7034" s="1" t="n">
        <v>45757.29439814815</v>
      </c>
      <c r="C7034" s="1" t="n">
        <v>45911</v>
      </c>
      <c r="D7034" t="inlineStr">
        <is>
          <t>GÄVLEBORGS LÄN</t>
        </is>
      </c>
      <c r="E7034" t="inlineStr">
        <is>
          <t>BOLLNÄS</t>
        </is>
      </c>
      <c r="F7034" t="inlineStr">
        <is>
          <t>Bergvik skog väst AB</t>
        </is>
      </c>
      <c r="G7034" t="n">
        <v>2.9</v>
      </c>
      <c r="H7034" t="n">
        <v>0</v>
      </c>
      <c r="I7034" t="n">
        <v>0</v>
      </c>
      <c r="J7034" t="n">
        <v>0</v>
      </c>
      <c r="K7034" t="n">
        <v>0</v>
      </c>
      <c r="L7034" t="n">
        <v>0</v>
      </c>
      <c r="M7034" t="n">
        <v>0</v>
      </c>
      <c r="N7034" t="n">
        <v>0</v>
      </c>
      <c r="O7034" t="n">
        <v>0</v>
      </c>
      <c r="P7034" t="n">
        <v>0</v>
      </c>
      <c r="Q7034" t="n">
        <v>0</v>
      </c>
      <c r="R7034" s="2" t="inlineStr"/>
    </row>
    <row r="7035" ht="15" customHeight="1">
      <c r="A7035" t="inlineStr">
        <is>
          <t>A 17999-2024</t>
        </is>
      </c>
      <c r="B7035" s="1" t="n">
        <v>45419.94796296296</v>
      </c>
      <c r="C7035" s="1" t="n">
        <v>45911</v>
      </c>
      <c r="D7035" t="inlineStr">
        <is>
          <t>GÄVLEBORGS LÄN</t>
        </is>
      </c>
      <c r="E7035" t="inlineStr">
        <is>
          <t>OVANÅKER</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38870-2024</t>
        </is>
      </c>
      <c r="B7036" s="1" t="n">
        <v>45547.64189814815</v>
      </c>
      <c r="C7036" s="1" t="n">
        <v>45911</v>
      </c>
      <c r="D7036" t="inlineStr">
        <is>
          <t>GÄVLEBORGS LÄN</t>
        </is>
      </c>
      <c r="E7036" t="inlineStr">
        <is>
          <t>LJUSDAL</t>
        </is>
      </c>
      <c r="G7036" t="n">
        <v>34</v>
      </c>
      <c r="H7036" t="n">
        <v>0</v>
      </c>
      <c r="I7036" t="n">
        <v>0</v>
      </c>
      <c r="J7036" t="n">
        <v>0</v>
      </c>
      <c r="K7036" t="n">
        <v>0</v>
      </c>
      <c r="L7036" t="n">
        <v>0</v>
      </c>
      <c r="M7036" t="n">
        <v>0</v>
      </c>
      <c r="N7036" t="n">
        <v>0</v>
      </c>
      <c r="O7036" t="n">
        <v>0</v>
      </c>
      <c r="P7036" t="n">
        <v>0</v>
      </c>
      <c r="Q7036" t="n">
        <v>0</v>
      </c>
      <c r="R7036" s="2" t="inlineStr"/>
    </row>
    <row r="7037" ht="15" customHeight="1">
      <c r="A7037" t="inlineStr">
        <is>
          <t>A 2412-2025</t>
        </is>
      </c>
      <c r="B7037" s="1" t="n">
        <v>45674.37393518518</v>
      </c>
      <c r="C7037" s="1" t="n">
        <v>45911</v>
      </c>
      <c r="D7037" t="inlineStr">
        <is>
          <t>GÄVLEBORGS LÄN</t>
        </is>
      </c>
      <c r="E7037" t="inlineStr">
        <is>
          <t>LJUSDAL</t>
        </is>
      </c>
      <c r="F7037" t="inlineStr">
        <is>
          <t>Sveaskog</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53174-2022</t>
        </is>
      </c>
      <c r="B7038" s="1" t="n">
        <v>44876</v>
      </c>
      <c r="C7038" s="1" t="n">
        <v>45911</v>
      </c>
      <c r="D7038" t="inlineStr">
        <is>
          <t>GÄVLEBORGS LÄN</t>
        </is>
      </c>
      <c r="E7038" t="inlineStr">
        <is>
          <t>OVANÅKER</t>
        </is>
      </c>
      <c r="G7038" t="n">
        <v>6.4</v>
      </c>
      <c r="H7038" t="n">
        <v>0</v>
      </c>
      <c r="I7038" t="n">
        <v>0</v>
      </c>
      <c r="J7038" t="n">
        <v>0</v>
      </c>
      <c r="K7038" t="n">
        <v>0</v>
      </c>
      <c r="L7038" t="n">
        <v>0</v>
      </c>
      <c r="M7038" t="n">
        <v>0</v>
      </c>
      <c r="N7038" t="n">
        <v>0</v>
      </c>
      <c r="O7038" t="n">
        <v>0</v>
      </c>
      <c r="P7038" t="n">
        <v>0</v>
      </c>
      <c r="Q7038" t="n">
        <v>0</v>
      </c>
      <c r="R7038" s="2" t="inlineStr"/>
    </row>
    <row r="7039" ht="15" customHeight="1">
      <c r="A7039" t="inlineStr">
        <is>
          <t>A 55593-2024</t>
        </is>
      </c>
      <c r="B7039" s="1" t="n">
        <v>45622.56936342592</v>
      </c>
      <c r="C7039" s="1" t="n">
        <v>45911</v>
      </c>
      <c r="D7039" t="inlineStr">
        <is>
          <t>GÄVLEBORGS LÄN</t>
        </is>
      </c>
      <c r="E7039" t="inlineStr">
        <is>
          <t>BOLLNÄS</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18123-2025</t>
        </is>
      </c>
      <c r="B7040" s="1" t="n">
        <v>45761.59417824074</v>
      </c>
      <c r="C7040" s="1" t="n">
        <v>45911</v>
      </c>
      <c r="D7040" t="inlineStr">
        <is>
          <t>GÄVLEBORGS LÄN</t>
        </is>
      </c>
      <c r="E7040" t="inlineStr">
        <is>
          <t>LJUSDAL</t>
        </is>
      </c>
      <c r="G7040" t="n">
        <v>3.2</v>
      </c>
      <c r="H7040" t="n">
        <v>0</v>
      </c>
      <c r="I7040" t="n">
        <v>0</v>
      </c>
      <c r="J7040" t="n">
        <v>0</v>
      </c>
      <c r="K7040" t="n">
        <v>0</v>
      </c>
      <c r="L7040" t="n">
        <v>0</v>
      </c>
      <c r="M7040" t="n">
        <v>0</v>
      </c>
      <c r="N7040" t="n">
        <v>0</v>
      </c>
      <c r="O7040" t="n">
        <v>0</v>
      </c>
      <c r="P7040" t="n">
        <v>0</v>
      </c>
      <c r="Q7040" t="n">
        <v>0</v>
      </c>
      <c r="R7040" s="2" t="inlineStr"/>
    </row>
    <row r="7041" ht="15" customHeight="1">
      <c r="A7041" t="inlineStr">
        <is>
          <t>A 44339-2024</t>
        </is>
      </c>
      <c r="B7041" s="1" t="n">
        <v>45573.61497685185</v>
      </c>
      <c r="C7041" s="1" t="n">
        <v>45911</v>
      </c>
      <c r="D7041" t="inlineStr">
        <is>
          <t>GÄVLEBORGS LÄN</t>
        </is>
      </c>
      <c r="E7041" t="inlineStr">
        <is>
          <t>NORDANSTIG</t>
        </is>
      </c>
      <c r="G7041" t="n">
        <v>10.7</v>
      </c>
      <c r="H7041" t="n">
        <v>0</v>
      </c>
      <c r="I7041" t="n">
        <v>0</v>
      </c>
      <c r="J7041" t="n">
        <v>0</v>
      </c>
      <c r="K7041" t="n">
        <v>0</v>
      </c>
      <c r="L7041" t="n">
        <v>0</v>
      </c>
      <c r="M7041" t="n">
        <v>0</v>
      </c>
      <c r="N7041" t="n">
        <v>0</v>
      </c>
      <c r="O7041" t="n">
        <v>0</v>
      </c>
      <c r="P7041" t="n">
        <v>0</v>
      </c>
      <c r="Q7041" t="n">
        <v>0</v>
      </c>
      <c r="R7041" s="2" t="inlineStr"/>
    </row>
    <row r="7042" ht="15" customHeight="1">
      <c r="A7042" t="inlineStr">
        <is>
          <t>A 51989-2023</t>
        </is>
      </c>
      <c r="B7042" s="1" t="n">
        <v>45223.58224537037</v>
      </c>
      <c r="C7042" s="1" t="n">
        <v>45911</v>
      </c>
      <c r="D7042" t="inlineStr">
        <is>
          <t>GÄVLEBORGS LÄN</t>
        </is>
      </c>
      <c r="E7042" t="inlineStr">
        <is>
          <t>OCKELBO</t>
        </is>
      </c>
      <c r="F7042" t="inlineStr">
        <is>
          <t>Bergvik skog väst AB</t>
        </is>
      </c>
      <c r="G7042" t="n">
        <v>2.9</v>
      </c>
      <c r="H7042" t="n">
        <v>0</v>
      </c>
      <c r="I7042" t="n">
        <v>0</v>
      </c>
      <c r="J7042" t="n">
        <v>0</v>
      </c>
      <c r="K7042" t="n">
        <v>0</v>
      </c>
      <c r="L7042" t="n">
        <v>0</v>
      </c>
      <c r="M7042" t="n">
        <v>0</v>
      </c>
      <c r="N7042" t="n">
        <v>0</v>
      </c>
      <c r="O7042" t="n">
        <v>0</v>
      </c>
      <c r="P7042" t="n">
        <v>0</v>
      </c>
      <c r="Q7042" t="n">
        <v>0</v>
      </c>
      <c r="R7042" s="2" t="inlineStr"/>
    </row>
    <row r="7043" ht="15" customHeight="1">
      <c r="A7043" t="inlineStr">
        <is>
          <t>A 19600-2024</t>
        </is>
      </c>
      <c r="B7043" s="1" t="n">
        <v>45431.79233796296</v>
      </c>
      <c r="C7043" s="1" t="n">
        <v>45911</v>
      </c>
      <c r="D7043" t="inlineStr">
        <is>
          <t>GÄVLEBORGS LÄN</t>
        </is>
      </c>
      <c r="E7043" t="inlineStr">
        <is>
          <t>HUDIKSVALL</t>
        </is>
      </c>
      <c r="F7043" t="inlineStr">
        <is>
          <t>Holmen skog AB</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19603-2024</t>
        </is>
      </c>
      <c r="B7044" s="1" t="n">
        <v>45431.87506944445</v>
      </c>
      <c r="C7044" s="1" t="n">
        <v>45911</v>
      </c>
      <c r="D7044" t="inlineStr">
        <is>
          <t>GÄVLEBORGS LÄN</t>
        </is>
      </c>
      <c r="E7044" t="inlineStr">
        <is>
          <t>HUDIKSVALL</t>
        </is>
      </c>
      <c r="F7044" t="inlineStr">
        <is>
          <t>Holmen skog AB</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54608-2024</t>
        </is>
      </c>
      <c r="B7045" s="1" t="n">
        <v>45617.6917824074</v>
      </c>
      <c r="C7045" s="1" t="n">
        <v>45911</v>
      </c>
      <c r="D7045" t="inlineStr">
        <is>
          <t>GÄVLEBORGS LÄN</t>
        </is>
      </c>
      <c r="E7045" t="inlineStr">
        <is>
          <t>SÖDERHAMN</t>
        </is>
      </c>
      <c r="G7045" t="n">
        <v>2.9</v>
      </c>
      <c r="H7045" t="n">
        <v>0</v>
      </c>
      <c r="I7045" t="n">
        <v>0</v>
      </c>
      <c r="J7045" t="n">
        <v>0</v>
      </c>
      <c r="K7045" t="n">
        <v>0</v>
      </c>
      <c r="L7045" t="n">
        <v>0</v>
      </c>
      <c r="M7045" t="n">
        <v>0</v>
      </c>
      <c r="N7045" t="n">
        <v>0</v>
      </c>
      <c r="O7045" t="n">
        <v>0</v>
      </c>
      <c r="P7045" t="n">
        <v>0</v>
      </c>
      <c r="Q7045" t="n">
        <v>0</v>
      </c>
      <c r="R7045" s="2" t="inlineStr"/>
    </row>
    <row r="7046" ht="15" customHeight="1">
      <c r="A7046" t="inlineStr">
        <is>
          <t>A 36405-2024</t>
        </is>
      </c>
      <c r="B7046" s="1" t="n">
        <v>45535.78827546296</v>
      </c>
      <c r="C7046" s="1" t="n">
        <v>45911</v>
      </c>
      <c r="D7046" t="inlineStr">
        <is>
          <t>GÄVLEBORGS LÄN</t>
        </is>
      </c>
      <c r="E7046" t="inlineStr">
        <is>
          <t>HUDIKSVALL</t>
        </is>
      </c>
      <c r="F7046" t="inlineStr">
        <is>
          <t>Holmen skog AB</t>
        </is>
      </c>
      <c r="G7046" t="n">
        <v>16.8</v>
      </c>
      <c r="H7046" t="n">
        <v>0</v>
      </c>
      <c r="I7046" t="n">
        <v>0</v>
      </c>
      <c r="J7046" t="n">
        <v>0</v>
      </c>
      <c r="K7046" t="n">
        <v>0</v>
      </c>
      <c r="L7046" t="n">
        <v>0</v>
      </c>
      <c r="M7046" t="n">
        <v>0</v>
      </c>
      <c r="N7046" t="n">
        <v>0</v>
      </c>
      <c r="O7046" t="n">
        <v>0</v>
      </c>
      <c r="P7046" t="n">
        <v>0</v>
      </c>
      <c r="Q7046" t="n">
        <v>0</v>
      </c>
      <c r="R7046" s="2" t="inlineStr"/>
    </row>
    <row r="7047" ht="15" customHeight="1">
      <c r="A7047" t="inlineStr">
        <is>
          <t>A 43378-2023</t>
        </is>
      </c>
      <c r="B7047" s="1" t="n">
        <v>45183</v>
      </c>
      <c r="C7047" s="1" t="n">
        <v>45911</v>
      </c>
      <c r="D7047" t="inlineStr">
        <is>
          <t>GÄVLEBORGS LÄN</t>
        </is>
      </c>
      <c r="E7047" t="inlineStr">
        <is>
          <t>NORDANSTIG</t>
        </is>
      </c>
      <c r="F7047" t="inlineStr">
        <is>
          <t>Holmen skog AB</t>
        </is>
      </c>
      <c r="G7047" t="n">
        <v>8</v>
      </c>
      <c r="H7047" t="n">
        <v>0</v>
      </c>
      <c r="I7047" t="n">
        <v>0</v>
      </c>
      <c r="J7047" t="n">
        <v>0</v>
      </c>
      <c r="K7047" t="n">
        <v>0</v>
      </c>
      <c r="L7047" t="n">
        <v>0</v>
      </c>
      <c r="M7047" t="n">
        <v>0</v>
      </c>
      <c r="N7047" t="n">
        <v>0</v>
      </c>
      <c r="O7047" t="n">
        <v>0</v>
      </c>
      <c r="P7047" t="n">
        <v>0</v>
      </c>
      <c r="Q7047" t="n">
        <v>0</v>
      </c>
      <c r="R7047" s="2" t="inlineStr"/>
    </row>
    <row r="7048" ht="15" customHeight="1">
      <c r="A7048" t="inlineStr">
        <is>
          <t>A 67923-2021</t>
        </is>
      </c>
      <c r="B7048" s="1" t="n">
        <v>44525.61118055556</v>
      </c>
      <c r="C7048" s="1" t="n">
        <v>45911</v>
      </c>
      <c r="D7048" t="inlineStr">
        <is>
          <t>GÄVLEBORGS LÄN</t>
        </is>
      </c>
      <c r="E7048" t="inlineStr">
        <is>
          <t>LJUSDAL</t>
        </is>
      </c>
      <c r="G7048" t="n">
        <v>2.6</v>
      </c>
      <c r="H7048" t="n">
        <v>0</v>
      </c>
      <c r="I7048" t="n">
        <v>0</v>
      </c>
      <c r="J7048" t="n">
        <v>0</v>
      </c>
      <c r="K7048" t="n">
        <v>0</v>
      </c>
      <c r="L7048" t="n">
        <v>0</v>
      </c>
      <c r="M7048" t="n">
        <v>0</v>
      </c>
      <c r="N7048" t="n">
        <v>0</v>
      </c>
      <c r="O7048" t="n">
        <v>0</v>
      </c>
      <c r="P7048" t="n">
        <v>0</v>
      </c>
      <c r="Q7048" t="n">
        <v>0</v>
      </c>
      <c r="R7048" s="2" t="inlineStr"/>
    </row>
    <row r="7049" ht="15" customHeight="1">
      <c r="A7049" t="inlineStr">
        <is>
          <t>A 37780-2024</t>
        </is>
      </c>
      <c r="B7049" s="1" t="n">
        <v>45542.70951388889</v>
      </c>
      <c r="C7049" s="1" t="n">
        <v>45911</v>
      </c>
      <c r="D7049" t="inlineStr">
        <is>
          <t>GÄVLEBORGS LÄN</t>
        </is>
      </c>
      <c r="E7049" t="inlineStr">
        <is>
          <t>BOLLNÄS</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8073-2022</t>
        </is>
      </c>
      <c r="B7050" s="1" t="n">
        <v>44609.49275462963</v>
      </c>
      <c r="C7050" s="1" t="n">
        <v>45911</v>
      </c>
      <c r="D7050" t="inlineStr">
        <is>
          <t>GÄVLEBORGS LÄN</t>
        </is>
      </c>
      <c r="E7050" t="inlineStr">
        <is>
          <t>SÖDERHAMN</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47486-2021</t>
        </is>
      </c>
      <c r="B7051" s="1" t="n">
        <v>44447.66361111111</v>
      </c>
      <c r="C7051" s="1" t="n">
        <v>45911</v>
      </c>
      <c r="D7051" t="inlineStr">
        <is>
          <t>GÄVLEBORGS LÄN</t>
        </is>
      </c>
      <c r="E7051" t="inlineStr">
        <is>
          <t>OVANÅKER</t>
        </is>
      </c>
      <c r="G7051" t="n">
        <v>3.2</v>
      </c>
      <c r="H7051" t="n">
        <v>0</v>
      </c>
      <c r="I7051" t="n">
        <v>0</v>
      </c>
      <c r="J7051" t="n">
        <v>0</v>
      </c>
      <c r="K7051" t="n">
        <v>0</v>
      </c>
      <c r="L7051" t="n">
        <v>0</v>
      </c>
      <c r="M7051" t="n">
        <v>0</v>
      </c>
      <c r="N7051" t="n">
        <v>0</v>
      </c>
      <c r="O7051" t="n">
        <v>0</v>
      </c>
      <c r="P7051" t="n">
        <v>0</v>
      </c>
      <c r="Q7051" t="n">
        <v>0</v>
      </c>
      <c r="R7051" s="2" t="inlineStr"/>
    </row>
    <row r="7052" ht="15" customHeight="1">
      <c r="A7052" t="inlineStr">
        <is>
          <t>A 53410-2024</t>
        </is>
      </c>
      <c r="B7052" s="1" t="n">
        <v>45614.50283564815</v>
      </c>
      <c r="C7052" s="1" t="n">
        <v>45911</v>
      </c>
      <c r="D7052" t="inlineStr">
        <is>
          <t>GÄVLEBORGS LÄN</t>
        </is>
      </c>
      <c r="E7052" t="inlineStr">
        <is>
          <t>LJUSDAL</t>
        </is>
      </c>
      <c r="F7052" t="inlineStr">
        <is>
          <t>Sveaskog</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20612-2024</t>
        </is>
      </c>
      <c r="B7053" s="1" t="n">
        <v>45436</v>
      </c>
      <c r="C7053" s="1" t="n">
        <v>45911</v>
      </c>
      <c r="D7053" t="inlineStr">
        <is>
          <t>GÄVLEBORGS LÄN</t>
        </is>
      </c>
      <c r="E7053" t="inlineStr">
        <is>
          <t>HUDIKSVALL</t>
        </is>
      </c>
      <c r="G7053" t="n">
        <v>0.4</v>
      </c>
      <c r="H7053" t="n">
        <v>0</v>
      </c>
      <c r="I7053" t="n">
        <v>0</v>
      </c>
      <c r="J7053" t="n">
        <v>0</v>
      </c>
      <c r="K7053" t="n">
        <v>0</v>
      </c>
      <c r="L7053" t="n">
        <v>0</v>
      </c>
      <c r="M7053" t="n">
        <v>0</v>
      </c>
      <c r="N7053" t="n">
        <v>0</v>
      </c>
      <c r="O7053" t="n">
        <v>0</v>
      </c>
      <c r="P7053" t="n">
        <v>0</v>
      </c>
      <c r="Q7053" t="n">
        <v>0</v>
      </c>
      <c r="R7053" s="2" t="inlineStr"/>
    </row>
    <row r="7054" ht="15" customHeight="1">
      <c r="A7054" t="inlineStr">
        <is>
          <t>A 58363-2022</t>
        </is>
      </c>
      <c r="B7054" s="1" t="n">
        <v>44901</v>
      </c>
      <c r="C7054" s="1" t="n">
        <v>45911</v>
      </c>
      <c r="D7054" t="inlineStr">
        <is>
          <t>GÄVLEBORGS LÄN</t>
        </is>
      </c>
      <c r="E7054" t="inlineStr">
        <is>
          <t>SANDVIKEN</t>
        </is>
      </c>
      <c r="G7054" t="n">
        <v>7.3</v>
      </c>
      <c r="H7054" t="n">
        <v>0</v>
      </c>
      <c r="I7054" t="n">
        <v>0</v>
      </c>
      <c r="J7054" t="n">
        <v>0</v>
      </c>
      <c r="K7054" t="n">
        <v>0</v>
      </c>
      <c r="L7054" t="n">
        <v>0</v>
      </c>
      <c r="M7054" t="n">
        <v>0</v>
      </c>
      <c r="N7054" t="n">
        <v>0</v>
      </c>
      <c r="O7054" t="n">
        <v>0</v>
      </c>
      <c r="P7054" t="n">
        <v>0</v>
      </c>
      <c r="Q7054" t="n">
        <v>0</v>
      </c>
      <c r="R7054" s="2" t="inlineStr"/>
    </row>
    <row r="7055" ht="15" customHeight="1">
      <c r="A7055" t="inlineStr">
        <is>
          <t>A 58796-2022</t>
        </is>
      </c>
      <c r="B7055" s="1" t="n">
        <v>44903</v>
      </c>
      <c r="C7055" s="1" t="n">
        <v>45911</v>
      </c>
      <c r="D7055" t="inlineStr">
        <is>
          <t>GÄVLEBORGS LÄN</t>
        </is>
      </c>
      <c r="E7055" t="inlineStr">
        <is>
          <t>LJUSDAL</t>
        </is>
      </c>
      <c r="F7055" t="inlineStr">
        <is>
          <t>Kyrkan</t>
        </is>
      </c>
      <c r="G7055" t="n">
        <v>6.8</v>
      </c>
      <c r="H7055" t="n">
        <v>0</v>
      </c>
      <c r="I7055" t="n">
        <v>0</v>
      </c>
      <c r="J7055" t="n">
        <v>0</v>
      </c>
      <c r="K7055" t="n">
        <v>0</v>
      </c>
      <c r="L7055" t="n">
        <v>0</v>
      </c>
      <c r="M7055" t="n">
        <v>0</v>
      </c>
      <c r="N7055" t="n">
        <v>0</v>
      </c>
      <c r="O7055" t="n">
        <v>0</v>
      </c>
      <c r="P7055" t="n">
        <v>0</v>
      </c>
      <c r="Q7055" t="n">
        <v>0</v>
      </c>
      <c r="R7055" s="2" t="inlineStr"/>
      <c r="U7055">
        <f>HYPERLINK("https://klasma.github.io/Logging_2161/knärot/A 58796-2022 karta knärot.png", "A 58796-2022")</f>
        <v/>
      </c>
      <c r="V7055">
        <f>HYPERLINK("https://klasma.github.io/Logging_2161/klagomål/A 58796-2022 FSC-klagomål.docx", "A 58796-2022")</f>
        <v/>
      </c>
      <c r="W7055">
        <f>HYPERLINK("https://klasma.github.io/Logging_2161/klagomålsmail/A 58796-2022 FSC-klagomål mail.docx", "A 58796-2022")</f>
        <v/>
      </c>
      <c r="X7055">
        <f>HYPERLINK("https://klasma.github.io/Logging_2161/tillsyn/A 58796-2022 tillsynsbegäran.docx", "A 58796-2022")</f>
        <v/>
      </c>
      <c r="Y7055">
        <f>HYPERLINK("https://klasma.github.io/Logging_2161/tillsynsmail/A 58796-2022 tillsynsbegäran mail.docx", "A 58796-2022")</f>
        <v/>
      </c>
    </row>
    <row r="7056" ht="15" customHeight="1">
      <c r="A7056" t="inlineStr">
        <is>
          <t>A 12012-2024</t>
        </is>
      </c>
      <c r="B7056" s="1" t="n">
        <v>45377.3384375</v>
      </c>
      <c r="C7056" s="1" t="n">
        <v>45911</v>
      </c>
      <c r="D7056" t="inlineStr">
        <is>
          <t>GÄVLEBORGS LÄN</t>
        </is>
      </c>
      <c r="E7056" t="inlineStr">
        <is>
          <t>OVANÅKER</t>
        </is>
      </c>
      <c r="G7056" t="n">
        <v>10.9</v>
      </c>
      <c r="H7056" t="n">
        <v>0</v>
      </c>
      <c r="I7056" t="n">
        <v>0</v>
      </c>
      <c r="J7056" t="n">
        <v>0</v>
      </c>
      <c r="K7056" t="n">
        <v>0</v>
      </c>
      <c r="L7056" t="n">
        <v>0</v>
      </c>
      <c r="M7056" t="n">
        <v>0</v>
      </c>
      <c r="N7056" t="n">
        <v>0</v>
      </c>
      <c r="O7056" t="n">
        <v>0</v>
      </c>
      <c r="P7056" t="n">
        <v>0</v>
      </c>
      <c r="Q7056" t="n">
        <v>0</v>
      </c>
      <c r="R7056" s="2" t="inlineStr"/>
    </row>
    <row r="7057" ht="15" customHeight="1">
      <c r="A7057" t="inlineStr">
        <is>
          <t>A 42233-2023</t>
        </is>
      </c>
      <c r="B7057" s="1" t="n">
        <v>45180</v>
      </c>
      <c r="C7057" s="1" t="n">
        <v>45911</v>
      </c>
      <c r="D7057" t="inlineStr">
        <is>
          <t>GÄVLEBORGS LÄN</t>
        </is>
      </c>
      <c r="E7057" t="inlineStr">
        <is>
          <t>BOLLNÄS</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71215-2021</t>
        </is>
      </c>
      <c r="B7058" s="1" t="n">
        <v>44539.56224537037</v>
      </c>
      <c r="C7058" s="1" t="n">
        <v>45911</v>
      </c>
      <c r="D7058" t="inlineStr">
        <is>
          <t>GÄVLEBORGS LÄN</t>
        </is>
      </c>
      <c r="E7058" t="inlineStr">
        <is>
          <t>GÄVLE</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42949-2023</t>
        </is>
      </c>
      <c r="B7059" s="1" t="n">
        <v>45182</v>
      </c>
      <c r="C7059" s="1" t="n">
        <v>45911</v>
      </c>
      <c r="D7059" t="inlineStr">
        <is>
          <t>GÄVLEBORGS LÄN</t>
        </is>
      </c>
      <c r="E7059" t="inlineStr">
        <is>
          <t>LJUSDAL</t>
        </is>
      </c>
      <c r="G7059" t="n">
        <v>10.4</v>
      </c>
      <c r="H7059" t="n">
        <v>0</v>
      </c>
      <c r="I7059" t="n">
        <v>0</v>
      </c>
      <c r="J7059" t="n">
        <v>0</v>
      </c>
      <c r="K7059" t="n">
        <v>0</v>
      </c>
      <c r="L7059" t="n">
        <v>0</v>
      </c>
      <c r="M7059" t="n">
        <v>0</v>
      </c>
      <c r="N7059" t="n">
        <v>0</v>
      </c>
      <c r="O7059" t="n">
        <v>0</v>
      </c>
      <c r="P7059" t="n">
        <v>0</v>
      </c>
      <c r="Q7059" t="n">
        <v>0</v>
      </c>
      <c r="R7059" s="2" t="inlineStr"/>
    </row>
    <row r="7060" ht="15" customHeight="1">
      <c r="A7060" t="inlineStr">
        <is>
          <t>A 19551-2025</t>
        </is>
      </c>
      <c r="B7060" s="1" t="n">
        <v>45770.50553240741</v>
      </c>
      <c r="C7060" s="1" t="n">
        <v>45911</v>
      </c>
      <c r="D7060" t="inlineStr">
        <is>
          <t>GÄVLEBORGS LÄN</t>
        </is>
      </c>
      <c r="E7060" t="inlineStr">
        <is>
          <t>GÄVLE</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1564-2025</t>
        </is>
      </c>
      <c r="B7061" s="1" t="n">
        <v>45667</v>
      </c>
      <c r="C7061" s="1" t="n">
        <v>45911</v>
      </c>
      <c r="D7061" t="inlineStr">
        <is>
          <t>GÄVLEBORGS LÄN</t>
        </is>
      </c>
      <c r="E7061" t="inlineStr">
        <is>
          <t>NORDANSTIG</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1576-2025</t>
        </is>
      </c>
      <c r="B7062" s="1" t="n">
        <v>45670.55952546297</v>
      </c>
      <c r="C7062" s="1" t="n">
        <v>45911</v>
      </c>
      <c r="D7062" t="inlineStr">
        <is>
          <t>GÄVLEBORGS LÄN</t>
        </is>
      </c>
      <c r="E7062" t="inlineStr">
        <is>
          <t>NORDANSTIG</t>
        </is>
      </c>
      <c r="F7062" t="inlineStr">
        <is>
          <t>Holmen skog AB</t>
        </is>
      </c>
      <c r="G7062" t="n">
        <v>5.6</v>
      </c>
      <c r="H7062" t="n">
        <v>0</v>
      </c>
      <c r="I7062" t="n">
        <v>0</v>
      </c>
      <c r="J7062" t="n">
        <v>0</v>
      </c>
      <c r="K7062" t="n">
        <v>0</v>
      </c>
      <c r="L7062" t="n">
        <v>0</v>
      </c>
      <c r="M7062" t="n">
        <v>0</v>
      </c>
      <c r="N7062" t="n">
        <v>0</v>
      </c>
      <c r="O7062" t="n">
        <v>0</v>
      </c>
      <c r="P7062" t="n">
        <v>0</v>
      </c>
      <c r="Q7062" t="n">
        <v>0</v>
      </c>
      <c r="R7062" s="2" t="inlineStr"/>
    </row>
    <row r="7063" ht="15" customHeight="1">
      <c r="A7063" t="inlineStr">
        <is>
          <t>A 1579-2025</t>
        </is>
      </c>
      <c r="B7063" s="1" t="n">
        <v>45670.56143518518</v>
      </c>
      <c r="C7063" s="1" t="n">
        <v>45911</v>
      </c>
      <c r="D7063" t="inlineStr">
        <is>
          <t>GÄVLEBORGS LÄN</t>
        </is>
      </c>
      <c r="E7063" t="inlineStr">
        <is>
          <t>NORDANSTIG</t>
        </is>
      </c>
      <c r="F7063" t="inlineStr">
        <is>
          <t>Holmen skog AB</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3271-2025</t>
        </is>
      </c>
      <c r="B7064" s="1" t="n">
        <v>45679.58766203704</v>
      </c>
      <c r="C7064" s="1" t="n">
        <v>45911</v>
      </c>
      <c r="D7064" t="inlineStr">
        <is>
          <t>GÄVLEBORGS LÄN</t>
        </is>
      </c>
      <c r="E7064" t="inlineStr">
        <is>
          <t>BOLLNÄS</t>
        </is>
      </c>
      <c r="G7064" t="n">
        <v>2.5</v>
      </c>
      <c r="H7064" t="n">
        <v>0</v>
      </c>
      <c r="I7064" t="n">
        <v>0</v>
      </c>
      <c r="J7064" t="n">
        <v>0</v>
      </c>
      <c r="K7064" t="n">
        <v>0</v>
      </c>
      <c r="L7064" t="n">
        <v>0</v>
      </c>
      <c r="M7064" t="n">
        <v>0</v>
      </c>
      <c r="N7064" t="n">
        <v>0</v>
      </c>
      <c r="O7064" t="n">
        <v>0</v>
      </c>
      <c r="P7064" t="n">
        <v>0</v>
      </c>
      <c r="Q7064" t="n">
        <v>0</v>
      </c>
      <c r="R7064" s="2" t="inlineStr"/>
    </row>
    <row r="7065" ht="15" customHeight="1">
      <c r="A7065" t="inlineStr">
        <is>
          <t>A 50351-2022</t>
        </is>
      </c>
      <c r="B7065" s="1" t="n">
        <v>44866.31077546296</v>
      </c>
      <c r="C7065" s="1" t="n">
        <v>45911</v>
      </c>
      <c r="D7065" t="inlineStr">
        <is>
          <t>GÄVLEBORGS LÄN</t>
        </is>
      </c>
      <c r="E7065" t="inlineStr">
        <is>
          <t>LJUSDAL</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21900-2023</t>
        </is>
      </c>
      <c r="B7066" s="1" t="n">
        <v>45068.53083333333</v>
      </c>
      <c r="C7066" s="1" t="n">
        <v>45911</v>
      </c>
      <c r="D7066" t="inlineStr">
        <is>
          <t>GÄVLEBORGS LÄN</t>
        </is>
      </c>
      <c r="E7066" t="inlineStr">
        <is>
          <t>OCKELBO</t>
        </is>
      </c>
      <c r="F7066" t="inlineStr">
        <is>
          <t>Bergvik skog väst AB</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16581-2021</t>
        </is>
      </c>
      <c r="B7067" s="1" t="n">
        <v>44294.3290625</v>
      </c>
      <c r="C7067" s="1" t="n">
        <v>45911</v>
      </c>
      <c r="D7067" t="inlineStr">
        <is>
          <t>GÄVLEBORGS LÄN</t>
        </is>
      </c>
      <c r="E7067" t="inlineStr">
        <is>
          <t>GÄVLE</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61220-2022</t>
        </is>
      </c>
      <c r="B7068" s="1" t="n">
        <v>44915.55640046296</v>
      </c>
      <c r="C7068" s="1" t="n">
        <v>45911</v>
      </c>
      <c r="D7068" t="inlineStr">
        <is>
          <t>GÄVLEBORGS LÄN</t>
        </is>
      </c>
      <c r="E7068" t="inlineStr">
        <is>
          <t>BOLLNÄS</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363-2024</t>
        </is>
      </c>
      <c r="B7069" s="1" t="n">
        <v>45295.92835648148</v>
      </c>
      <c r="C7069" s="1" t="n">
        <v>45911</v>
      </c>
      <c r="D7069" t="inlineStr">
        <is>
          <t>GÄVLEBORGS LÄN</t>
        </is>
      </c>
      <c r="E7069" t="inlineStr">
        <is>
          <t>HUDIKSVALL</t>
        </is>
      </c>
      <c r="G7069" t="n">
        <v>13.3</v>
      </c>
      <c r="H7069" t="n">
        <v>0</v>
      </c>
      <c r="I7069" t="n">
        <v>0</v>
      </c>
      <c r="J7069" t="n">
        <v>0</v>
      </c>
      <c r="K7069" t="n">
        <v>0</v>
      </c>
      <c r="L7069" t="n">
        <v>0</v>
      </c>
      <c r="M7069" t="n">
        <v>0</v>
      </c>
      <c r="N7069" t="n">
        <v>0</v>
      </c>
      <c r="O7069" t="n">
        <v>0</v>
      </c>
      <c r="P7069" t="n">
        <v>0</v>
      </c>
      <c r="Q7069" t="n">
        <v>0</v>
      </c>
      <c r="R7069" s="2" t="inlineStr"/>
    </row>
    <row r="7070" ht="15" customHeight="1">
      <c r="A7070" t="inlineStr">
        <is>
          <t>A 365-2024</t>
        </is>
      </c>
      <c r="B7070" s="1" t="n">
        <v>45295.92863425926</v>
      </c>
      <c r="C7070" s="1" t="n">
        <v>45911</v>
      </c>
      <c r="D7070" t="inlineStr">
        <is>
          <t>GÄVLEBORGS LÄN</t>
        </is>
      </c>
      <c r="E7070" t="inlineStr">
        <is>
          <t>HUDIKSVALL</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377-2024</t>
        </is>
      </c>
      <c r="B7071" s="1" t="n">
        <v>45296.35038194444</v>
      </c>
      <c r="C7071" s="1" t="n">
        <v>45911</v>
      </c>
      <c r="D7071" t="inlineStr">
        <is>
          <t>GÄVLEBORGS LÄN</t>
        </is>
      </c>
      <c r="E7071" t="inlineStr">
        <is>
          <t>NORDANSTIG</t>
        </is>
      </c>
      <c r="F7071" t="inlineStr">
        <is>
          <t>Holmen skog AB</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17375-2025</t>
        </is>
      </c>
      <c r="B7072" s="1" t="n">
        <v>45756.89346064815</v>
      </c>
      <c r="C7072" s="1" t="n">
        <v>45911</v>
      </c>
      <c r="D7072" t="inlineStr">
        <is>
          <t>GÄVLEBORGS LÄN</t>
        </is>
      </c>
      <c r="E7072" t="inlineStr">
        <is>
          <t>SANDVIKEN</t>
        </is>
      </c>
      <c r="G7072" t="n">
        <v>3.5</v>
      </c>
      <c r="H7072" t="n">
        <v>0</v>
      </c>
      <c r="I7072" t="n">
        <v>0</v>
      </c>
      <c r="J7072" t="n">
        <v>0</v>
      </c>
      <c r="K7072" t="n">
        <v>0</v>
      </c>
      <c r="L7072" t="n">
        <v>0</v>
      </c>
      <c r="M7072" t="n">
        <v>0</v>
      </c>
      <c r="N7072" t="n">
        <v>0</v>
      </c>
      <c r="O7072" t="n">
        <v>0</v>
      </c>
      <c r="P7072" t="n">
        <v>0</v>
      </c>
      <c r="Q7072" t="n">
        <v>0</v>
      </c>
      <c r="R7072" s="2" t="inlineStr"/>
    </row>
    <row r="7073" ht="15" customHeight="1">
      <c r="A7073" t="inlineStr">
        <is>
          <t>A 17475-2025</t>
        </is>
      </c>
      <c r="B7073" s="1" t="n">
        <v>45757.48234953704</v>
      </c>
      <c r="C7073" s="1" t="n">
        <v>45911</v>
      </c>
      <c r="D7073" t="inlineStr">
        <is>
          <t>GÄVLEBORGS LÄN</t>
        </is>
      </c>
      <c r="E7073" t="inlineStr">
        <is>
          <t>LJUSDAL</t>
        </is>
      </c>
      <c r="G7073" t="n">
        <v>8.199999999999999</v>
      </c>
      <c r="H7073" t="n">
        <v>0</v>
      </c>
      <c r="I7073" t="n">
        <v>0</v>
      </c>
      <c r="J7073" t="n">
        <v>0</v>
      </c>
      <c r="K7073" t="n">
        <v>0</v>
      </c>
      <c r="L7073" t="n">
        <v>0</v>
      </c>
      <c r="M7073" t="n">
        <v>0</v>
      </c>
      <c r="N7073" t="n">
        <v>0</v>
      </c>
      <c r="O7073" t="n">
        <v>0</v>
      </c>
      <c r="P7073" t="n">
        <v>0</v>
      </c>
      <c r="Q7073" t="n">
        <v>0</v>
      </c>
      <c r="R7073" s="2" t="inlineStr"/>
    </row>
    <row r="7074" ht="15" customHeight="1">
      <c r="A7074" t="inlineStr">
        <is>
          <t>A 48593-2024</t>
        </is>
      </c>
      <c r="B7074" s="1" t="n">
        <v>45593.43715277778</v>
      </c>
      <c r="C7074" s="1" t="n">
        <v>45911</v>
      </c>
      <c r="D7074" t="inlineStr">
        <is>
          <t>GÄVLEBORGS LÄN</t>
        </is>
      </c>
      <c r="E7074" t="inlineStr">
        <is>
          <t>HUDIKSVALL</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29862-2023</t>
        </is>
      </c>
      <c r="B7075" s="1" t="n">
        <v>45107.60888888889</v>
      </c>
      <c r="C7075" s="1" t="n">
        <v>45911</v>
      </c>
      <c r="D7075" t="inlineStr">
        <is>
          <t>GÄVLEBORGS LÄN</t>
        </is>
      </c>
      <c r="E7075" t="inlineStr">
        <is>
          <t>GÄVLE</t>
        </is>
      </c>
      <c r="G7075" t="n">
        <v>4.2</v>
      </c>
      <c r="H7075" t="n">
        <v>0</v>
      </c>
      <c r="I7075" t="n">
        <v>0</v>
      </c>
      <c r="J7075" t="n">
        <v>0</v>
      </c>
      <c r="K7075" t="n">
        <v>0</v>
      </c>
      <c r="L7075" t="n">
        <v>0</v>
      </c>
      <c r="M7075" t="n">
        <v>0</v>
      </c>
      <c r="N7075" t="n">
        <v>0</v>
      </c>
      <c r="O7075" t="n">
        <v>0</v>
      </c>
      <c r="P7075" t="n">
        <v>0</v>
      </c>
      <c r="Q7075" t="n">
        <v>0</v>
      </c>
      <c r="R7075" s="2" t="inlineStr"/>
    </row>
    <row r="7076" ht="15" customHeight="1">
      <c r="A7076" t="inlineStr">
        <is>
          <t>A 10161-2023</t>
        </is>
      </c>
      <c r="B7076" s="1" t="n">
        <v>44986</v>
      </c>
      <c r="C7076" s="1" t="n">
        <v>45911</v>
      </c>
      <c r="D7076" t="inlineStr">
        <is>
          <t>GÄVLEBORGS LÄN</t>
        </is>
      </c>
      <c r="E7076" t="inlineStr">
        <is>
          <t>HOFORS</t>
        </is>
      </c>
      <c r="F7076" t="inlineStr">
        <is>
          <t>Övriga statliga verk och myndigheter</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17372-2025</t>
        </is>
      </c>
      <c r="B7077" s="1" t="n">
        <v>45756.8629050926</v>
      </c>
      <c r="C7077" s="1" t="n">
        <v>45911</v>
      </c>
      <c r="D7077" t="inlineStr">
        <is>
          <t>GÄVLEBORGS LÄN</t>
        </is>
      </c>
      <c r="E7077" t="inlineStr">
        <is>
          <t>LJUSDAL</t>
        </is>
      </c>
      <c r="F7077" t="inlineStr">
        <is>
          <t>Bergvik skog väst AB</t>
        </is>
      </c>
      <c r="G7077" t="n">
        <v>3.3</v>
      </c>
      <c r="H7077" t="n">
        <v>0</v>
      </c>
      <c r="I7077" t="n">
        <v>0</v>
      </c>
      <c r="J7077" t="n">
        <v>0</v>
      </c>
      <c r="K7077" t="n">
        <v>0</v>
      </c>
      <c r="L7077" t="n">
        <v>0</v>
      </c>
      <c r="M7077" t="n">
        <v>0</v>
      </c>
      <c r="N7077" t="n">
        <v>0</v>
      </c>
      <c r="O7077" t="n">
        <v>0</v>
      </c>
      <c r="P7077" t="n">
        <v>0</v>
      </c>
      <c r="Q7077" t="n">
        <v>0</v>
      </c>
      <c r="R7077" s="2" t="inlineStr"/>
    </row>
    <row r="7078" ht="15" customHeight="1">
      <c r="A7078" t="inlineStr">
        <is>
          <t>A 21027-2024</t>
        </is>
      </c>
      <c r="B7078" s="1" t="n">
        <v>45439</v>
      </c>
      <c r="C7078" s="1" t="n">
        <v>45911</v>
      </c>
      <c r="D7078" t="inlineStr">
        <is>
          <t>GÄVLEBORGS LÄN</t>
        </is>
      </c>
      <c r="E7078" t="inlineStr">
        <is>
          <t>HOFORS</t>
        </is>
      </c>
      <c r="F7078" t="inlineStr">
        <is>
          <t>Sveaskog</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21028-2024</t>
        </is>
      </c>
      <c r="B7079" s="1" t="n">
        <v>45439</v>
      </c>
      <c r="C7079" s="1" t="n">
        <v>45911</v>
      </c>
      <c r="D7079" t="inlineStr">
        <is>
          <t>GÄVLEBORGS LÄN</t>
        </is>
      </c>
      <c r="E7079" t="inlineStr">
        <is>
          <t>HOFORS</t>
        </is>
      </c>
      <c r="F7079" t="inlineStr">
        <is>
          <t>Sveaskog</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17764-2025</t>
        </is>
      </c>
      <c r="B7080" s="1" t="n">
        <v>45758.50128472222</v>
      </c>
      <c r="C7080" s="1" t="n">
        <v>45911</v>
      </c>
      <c r="D7080" t="inlineStr">
        <is>
          <t>GÄVLEBORGS LÄN</t>
        </is>
      </c>
      <c r="E7080" t="inlineStr">
        <is>
          <t>HUDIKSVALL</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2612-2025</t>
        </is>
      </c>
      <c r="B7081" s="1" t="n">
        <v>45674</v>
      </c>
      <c r="C7081" s="1" t="n">
        <v>45911</v>
      </c>
      <c r="D7081" t="inlineStr">
        <is>
          <t>GÄVLEBORGS LÄN</t>
        </is>
      </c>
      <c r="E7081" t="inlineStr">
        <is>
          <t>HOFORS</t>
        </is>
      </c>
      <c r="G7081" t="n">
        <v>3.8</v>
      </c>
      <c r="H7081" t="n">
        <v>0</v>
      </c>
      <c r="I7081" t="n">
        <v>0</v>
      </c>
      <c r="J7081" t="n">
        <v>0</v>
      </c>
      <c r="K7081" t="n">
        <v>0</v>
      </c>
      <c r="L7081" t="n">
        <v>0</v>
      </c>
      <c r="M7081" t="n">
        <v>0</v>
      </c>
      <c r="N7081" t="n">
        <v>0</v>
      </c>
      <c r="O7081" t="n">
        <v>0</v>
      </c>
      <c r="P7081" t="n">
        <v>0</v>
      </c>
      <c r="Q7081" t="n">
        <v>0</v>
      </c>
      <c r="R7081" s="2" t="inlineStr"/>
    </row>
    <row r="7082" ht="15" customHeight="1">
      <c r="A7082" t="inlineStr">
        <is>
          <t>A 29380-2023</t>
        </is>
      </c>
      <c r="B7082" s="1" t="n">
        <v>45106.39375</v>
      </c>
      <c r="C7082" s="1" t="n">
        <v>45911</v>
      </c>
      <c r="D7082" t="inlineStr">
        <is>
          <t>GÄVLEBORGS LÄN</t>
        </is>
      </c>
      <c r="E7082" t="inlineStr">
        <is>
          <t>OVANÅKER</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2705-2025</t>
        </is>
      </c>
      <c r="B7083" s="1" t="n">
        <v>45677.41510416667</v>
      </c>
      <c r="C7083" s="1" t="n">
        <v>45911</v>
      </c>
      <c r="D7083" t="inlineStr">
        <is>
          <t>GÄVLEBORGS LÄN</t>
        </is>
      </c>
      <c r="E7083" t="inlineStr">
        <is>
          <t>NORDANSTIG</t>
        </is>
      </c>
      <c r="F7083" t="inlineStr">
        <is>
          <t>Holmen skog AB</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2724-2025</t>
        </is>
      </c>
      <c r="B7084" s="1" t="n">
        <v>45677.43975694444</v>
      </c>
      <c r="C7084" s="1" t="n">
        <v>45911</v>
      </c>
      <c r="D7084" t="inlineStr">
        <is>
          <t>GÄVLEBORGS LÄN</t>
        </is>
      </c>
      <c r="E7084" t="inlineStr">
        <is>
          <t>SÖDERHAMN</t>
        </is>
      </c>
      <c r="G7084" t="n">
        <v>6.6</v>
      </c>
      <c r="H7084" t="n">
        <v>0</v>
      </c>
      <c r="I7084" t="n">
        <v>0</v>
      </c>
      <c r="J7084" t="n">
        <v>0</v>
      </c>
      <c r="K7084" t="n">
        <v>0</v>
      </c>
      <c r="L7084" t="n">
        <v>0</v>
      </c>
      <c r="M7084" t="n">
        <v>0</v>
      </c>
      <c r="N7084" t="n">
        <v>0</v>
      </c>
      <c r="O7084" t="n">
        <v>0</v>
      </c>
      <c r="P7084" t="n">
        <v>0</v>
      </c>
      <c r="Q7084" t="n">
        <v>0</v>
      </c>
      <c r="R7084" s="2" t="inlineStr"/>
    </row>
    <row r="7085" ht="15" customHeight="1">
      <c r="A7085" t="inlineStr">
        <is>
          <t>A 30782-2024</t>
        </is>
      </c>
      <c r="B7085" s="1" t="n">
        <v>45496.95054398148</v>
      </c>
      <c r="C7085" s="1" t="n">
        <v>45911</v>
      </c>
      <c r="D7085" t="inlineStr">
        <is>
          <t>GÄVLEBORGS LÄN</t>
        </is>
      </c>
      <c r="E7085" t="inlineStr">
        <is>
          <t>LJUSDAL</t>
        </is>
      </c>
      <c r="F7085" t="inlineStr">
        <is>
          <t>SCA</t>
        </is>
      </c>
      <c r="G7085" t="n">
        <v>2.2</v>
      </c>
      <c r="H7085" t="n">
        <v>0</v>
      </c>
      <c r="I7085" t="n">
        <v>0</v>
      </c>
      <c r="J7085" t="n">
        <v>0</v>
      </c>
      <c r="K7085" t="n">
        <v>0</v>
      </c>
      <c r="L7085" t="n">
        <v>0</v>
      </c>
      <c r="M7085" t="n">
        <v>0</v>
      </c>
      <c r="N7085" t="n">
        <v>0</v>
      </c>
      <c r="O7085" t="n">
        <v>0</v>
      </c>
      <c r="P7085" t="n">
        <v>0</v>
      </c>
      <c r="Q7085" t="n">
        <v>0</v>
      </c>
      <c r="R7085" s="2" t="inlineStr"/>
    </row>
    <row r="7086" ht="15" customHeight="1">
      <c r="A7086" t="inlineStr">
        <is>
          <t>A 6058-2023</t>
        </is>
      </c>
      <c r="B7086" s="1" t="n">
        <v>44964</v>
      </c>
      <c r="C7086" s="1" t="n">
        <v>45911</v>
      </c>
      <c r="D7086" t="inlineStr">
        <is>
          <t>GÄVLEBORGS LÄN</t>
        </is>
      </c>
      <c r="E7086" t="inlineStr">
        <is>
          <t>OCKELBO</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6099-2023</t>
        </is>
      </c>
      <c r="B7087" s="1" t="n">
        <v>44964.58133101852</v>
      </c>
      <c r="C7087" s="1" t="n">
        <v>45911</v>
      </c>
      <c r="D7087" t="inlineStr">
        <is>
          <t>GÄVLEBORGS LÄN</t>
        </is>
      </c>
      <c r="E7087" t="inlineStr">
        <is>
          <t>NORDANSTIG</t>
        </is>
      </c>
      <c r="F7087" t="inlineStr">
        <is>
          <t>Holmen skog AB</t>
        </is>
      </c>
      <c r="G7087" t="n">
        <v>8.199999999999999</v>
      </c>
      <c r="H7087" t="n">
        <v>0</v>
      </c>
      <c r="I7087" t="n">
        <v>0</v>
      </c>
      <c r="J7087" t="n">
        <v>0</v>
      </c>
      <c r="K7087" t="n">
        <v>0</v>
      </c>
      <c r="L7087" t="n">
        <v>0</v>
      </c>
      <c r="M7087" t="n">
        <v>0</v>
      </c>
      <c r="N7087" t="n">
        <v>0</v>
      </c>
      <c r="O7087" t="n">
        <v>0</v>
      </c>
      <c r="P7087" t="n">
        <v>0</v>
      </c>
      <c r="Q7087" t="n">
        <v>0</v>
      </c>
      <c r="R7087" s="2" t="inlineStr"/>
    </row>
    <row r="7088" ht="15" customHeight="1">
      <c r="A7088" t="inlineStr">
        <is>
          <t>A 5440-2023</t>
        </is>
      </c>
      <c r="B7088" s="1" t="n">
        <v>44959.92410879629</v>
      </c>
      <c r="C7088" s="1" t="n">
        <v>45911</v>
      </c>
      <c r="D7088" t="inlineStr">
        <is>
          <t>GÄVLEBORGS LÄN</t>
        </is>
      </c>
      <c r="E7088" t="inlineStr">
        <is>
          <t>LJUSDAL</t>
        </is>
      </c>
      <c r="G7088" t="n">
        <v>2.5</v>
      </c>
      <c r="H7088" t="n">
        <v>0</v>
      </c>
      <c r="I7088" t="n">
        <v>0</v>
      </c>
      <c r="J7088" t="n">
        <v>0</v>
      </c>
      <c r="K7088" t="n">
        <v>0</v>
      </c>
      <c r="L7088" t="n">
        <v>0</v>
      </c>
      <c r="M7088" t="n">
        <v>0</v>
      </c>
      <c r="N7088" t="n">
        <v>0</v>
      </c>
      <c r="O7088" t="n">
        <v>0</v>
      </c>
      <c r="P7088" t="n">
        <v>0</v>
      </c>
      <c r="Q7088" t="n">
        <v>0</v>
      </c>
      <c r="R7088" s="2" t="inlineStr"/>
    </row>
    <row r="7089" ht="15" customHeight="1">
      <c r="A7089" t="inlineStr">
        <is>
          <t>A 48282-2023</t>
        </is>
      </c>
      <c r="B7089" s="1" t="n">
        <v>45205</v>
      </c>
      <c r="C7089" s="1" t="n">
        <v>45911</v>
      </c>
      <c r="D7089" t="inlineStr">
        <is>
          <t>GÄVLEBORGS LÄN</t>
        </is>
      </c>
      <c r="E7089" t="inlineStr">
        <is>
          <t>OVANÅKER</t>
        </is>
      </c>
      <c r="G7089" t="n">
        <v>0.4</v>
      </c>
      <c r="H7089" t="n">
        <v>0</v>
      </c>
      <c r="I7089" t="n">
        <v>0</v>
      </c>
      <c r="J7089" t="n">
        <v>0</v>
      </c>
      <c r="K7089" t="n">
        <v>0</v>
      </c>
      <c r="L7089" t="n">
        <v>0</v>
      </c>
      <c r="M7089" t="n">
        <v>0</v>
      </c>
      <c r="N7089" t="n">
        <v>0</v>
      </c>
      <c r="O7089" t="n">
        <v>0</v>
      </c>
      <c r="P7089" t="n">
        <v>0</v>
      </c>
      <c r="Q7089" t="n">
        <v>0</v>
      </c>
      <c r="R7089" s="2" t="inlineStr"/>
    </row>
    <row r="7090" ht="15" customHeight="1">
      <c r="A7090" t="inlineStr">
        <is>
          <t>A 18102-2025</t>
        </is>
      </c>
      <c r="B7090" s="1" t="n">
        <v>45761.55295138889</v>
      </c>
      <c r="C7090" s="1" t="n">
        <v>45911</v>
      </c>
      <c r="D7090" t="inlineStr">
        <is>
          <t>GÄVLEBORGS LÄN</t>
        </is>
      </c>
      <c r="E7090" t="inlineStr">
        <is>
          <t>LJUSDAL</t>
        </is>
      </c>
      <c r="G7090" t="n">
        <v>8.1</v>
      </c>
      <c r="H7090" t="n">
        <v>0</v>
      </c>
      <c r="I7090" t="n">
        <v>0</v>
      </c>
      <c r="J7090" t="n">
        <v>0</v>
      </c>
      <c r="K7090" t="n">
        <v>0</v>
      </c>
      <c r="L7090" t="n">
        <v>0</v>
      </c>
      <c r="M7090" t="n">
        <v>0</v>
      </c>
      <c r="N7090" t="n">
        <v>0</v>
      </c>
      <c r="O7090" t="n">
        <v>0</v>
      </c>
      <c r="P7090" t="n">
        <v>0</v>
      </c>
      <c r="Q7090" t="n">
        <v>0</v>
      </c>
      <c r="R7090" s="2" t="inlineStr"/>
    </row>
    <row r="7091" ht="15" customHeight="1">
      <c r="A7091" t="inlineStr">
        <is>
          <t>A 18250-2024</t>
        </is>
      </c>
      <c r="B7091" s="1" t="n">
        <v>45421.44064814815</v>
      </c>
      <c r="C7091" s="1" t="n">
        <v>45911</v>
      </c>
      <c r="D7091" t="inlineStr">
        <is>
          <t>GÄVLEBORGS LÄN</t>
        </is>
      </c>
      <c r="E7091" t="inlineStr">
        <is>
          <t>LJUSDAL</t>
        </is>
      </c>
      <c r="F7091" t="inlineStr">
        <is>
          <t>Sveaskog</t>
        </is>
      </c>
      <c r="G7091" t="n">
        <v>7.2</v>
      </c>
      <c r="H7091" t="n">
        <v>0</v>
      </c>
      <c r="I7091" t="n">
        <v>0</v>
      </c>
      <c r="J7091" t="n">
        <v>0</v>
      </c>
      <c r="K7091" t="n">
        <v>0</v>
      </c>
      <c r="L7091" t="n">
        <v>0</v>
      </c>
      <c r="M7091" t="n">
        <v>0</v>
      </c>
      <c r="N7091" t="n">
        <v>0</v>
      </c>
      <c r="O7091" t="n">
        <v>0</v>
      </c>
      <c r="P7091" t="n">
        <v>0</v>
      </c>
      <c r="Q7091" t="n">
        <v>0</v>
      </c>
      <c r="R7091" s="2" t="inlineStr"/>
    </row>
    <row r="7092" ht="15" customHeight="1">
      <c r="A7092" t="inlineStr">
        <is>
          <t>A 32635-2022</t>
        </is>
      </c>
      <c r="B7092" s="1" t="n">
        <v>44783</v>
      </c>
      <c r="C7092" s="1" t="n">
        <v>45911</v>
      </c>
      <c r="D7092" t="inlineStr">
        <is>
          <t>GÄVLEBORGS LÄN</t>
        </is>
      </c>
      <c r="E7092" t="inlineStr">
        <is>
          <t>NORDANSTIG</t>
        </is>
      </c>
      <c r="G7092" t="n">
        <v>10</v>
      </c>
      <c r="H7092" t="n">
        <v>0</v>
      </c>
      <c r="I7092" t="n">
        <v>0</v>
      </c>
      <c r="J7092" t="n">
        <v>0</v>
      </c>
      <c r="K7092" t="n">
        <v>0</v>
      </c>
      <c r="L7092" t="n">
        <v>0</v>
      </c>
      <c r="M7092" t="n">
        <v>0</v>
      </c>
      <c r="N7092" t="n">
        <v>0</v>
      </c>
      <c r="O7092" t="n">
        <v>0</v>
      </c>
      <c r="P7092" t="n">
        <v>0</v>
      </c>
      <c r="Q7092" t="n">
        <v>0</v>
      </c>
      <c r="R7092" s="2" t="inlineStr"/>
    </row>
    <row r="7093" ht="15" customHeight="1">
      <c r="A7093" t="inlineStr">
        <is>
          <t>A 15564-2024</t>
        </is>
      </c>
      <c r="B7093" s="1" t="n">
        <v>45401.65928240741</v>
      </c>
      <c r="C7093" s="1" t="n">
        <v>45911</v>
      </c>
      <c r="D7093" t="inlineStr">
        <is>
          <t>GÄVLEBORGS LÄN</t>
        </is>
      </c>
      <c r="E7093" t="inlineStr">
        <is>
          <t>OVANÅKER</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53818-2023</t>
        </is>
      </c>
      <c r="B7094" s="1" t="n">
        <v>45231</v>
      </c>
      <c r="C7094" s="1" t="n">
        <v>45911</v>
      </c>
      <c r="D7094" t="inlineStr">
        <is>
          <t>GÄVLEBORGS LÄN</t>
        </is>
      </c>
      <c r="E7094" t="inlineStr">
        <is>
          <t>OVANÅKER</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57776-2022</t>
        </is>
      </c>
      <c r="B7095" s="1" t="n">
        <v>44897</v>
      </c>
      <c r="C7095" s="1" t="n">
        <v>45911</v>
      </c>
      <c r="D7095" t="inlineStr">
        <is>
          <t>GÄVLEBORGS LÄN</t>
        </is>
      </c>
      <c r="E7095" t="inlineStr">
        <is>
          <t>OVANÅKER</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55781-2022</t>
        </is>
      </c>
      <c r="B7096" s="1" t="n">
        <v>44888</v>
      </c>
      <c r="C7096" s="1" t="n">
        <v>45911</v>
      </c>
      <c r="D7096" t="inlineStr">
        <is>
          <t>GÄVLEBORGS LÄN</t>
        </is>
      </c>
      <c r="E7096" t="inlineStr">
        <is>
          <t>LJUSDAL</t>
        </is>
      </c>
      <c r="F7096" t="inlineStr">
        <is>
          <t>Kommuner</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28680-2023</t>
        </is>
      </c>
      <c r="B7097" s="1" t="n">
        <v>45103.67951388889</v>
      </c>
      <c r="C7097" s="1" t="n">
        <v>45911</v>
      </c>
      <c r="D7097" t="inlineStr">
        <is>
          <t>GÄVLEBORGS LÄN</t>
        </is>
      </c>
      <c r="E7097" t="inlineStr">
        <is>
          <t>NORDANSTIG</t>
        </is>
      </c>
      <c r="F7097" t="inlineStr">
        <is>
          <t>Holmen skog AB</t>
        </is>
      </c>
      <c r="G7097" t="n">
        <v>3.3</v>
      </c>
      <c r="H7097" t="n">
        <v>0</v>
      </c>
      <c r="I7097" t="n">
        <v>0</v>
      </c>
      <c r="J7097" t="n">
        <v>0</v>
      </c>
      <c r="K7097" t="n">
        <v>0</v>
      </c>
      <c r="L7097" t="n">
        <v>0</v>
      </c>
      <c r="M7097" t="n">
        <v>0</v>
      </c>
      <c r="N7097" t="n">
        <v>0</v>
      </c>
      <c r="O7097" t="n">
        <v>0</v>
      </c>
      <c r="P7097" t="n">
        <v>0</v>
      </c>
      <c r="Q7097" t="n">
        <v>0</v>
      </c>
      <c r="R7097" s="2" t="inlineStr"/>
    </row>
    <row r="7098" ht="15" customHeight="1">
      <c r="A7098" t="inlineStr">
        <is>
          <t>A 55276-2024</t>
        </is>
      </c>
      <c r="B7098" s="1" t="n">
        <v>45621.62126157407</v>
      </c>
      <c r="C7098" s="1" t="n">
        <v>45911</v>
      </c>
      <c r="D7098" t="inlineStr">
        <is>
          <t>GÄVLEBORGS LÄN</t>
        </is>
      </c>
      <c r="E7098" t="inlineStr">
        <is>
          <t>NORDANSTIG</t>
        </is>
      </c>
      <c r="F7098" t="inlineStr">
        <is>
          <t>Holmen skog AB</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2999-2025</t>
        </is>
      </c>
      <c r="B7099" s="1" t="n">
        <v>45678.54983796296</v>
      </c>
      <c r="C7099" s="1" t="n">
        <v>45911</v>
      </c>
      <c r="D7099" t="inlineStr">
        <is>
          <t>GÄVLEBORGS LÄN</t>
        </is>
      </c>
      <c r="E7099" t="inlineStr">
        <is>
          <t>HUDIKSVALL</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9804-2025</t>
        </is>
      </c>
      <c r="B7100" s="1" t="n">
        <v>45716.55760416666</v>
      </c>
      <c r="C7100" s="1" t="n">
        <v>45911</v>
      </c>
      <c r="D7100" t="inlineStr">
        <is>
          <t>GÄVLEBORGS LÄN</t>
        </is>
      </c>
      <c r="E7100" t="inlineStr">
        <is>
          <t>HUDIKSVALL</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3034-2025</t>
        </is>
      </c>
      <c r="B7101" s="1" t="n">
        <v>45678.59506944445</v>
      </c>
      <c r="C7101" s="1" t="n">
        <v>45911</v>
      </c>
      <c r="D7101" t="inlineStr">
        <is>
          <t>GÄVLEBORGS LÄN</t>
        </is>
      </c>
      <c r="E7101" t="inlineStr">
        <is>
          <t>OCKELBO</t>
        </is>
      </c>
      <c r="G7101" t="n">
        <v>8.1</v>
      </c>
      <c r="H7101" t="n">
        <v>0</v>
      </c>
      <c r="I7101" t="n">
        <v>0</v>
      </c>
      <c r="J7101" t="n">
        <v>0</v>
      </c>
      <c r="K7101" t="n">
        <v>0</v>
      </c>
      <c r="L7101" t="n">
        <v>0</v>
      </c>
      <c r="M7101" t="n">
        <v>0</v>
      </c>
      <c r="N7101" t="n">
        <v>0</v>
      </c>
      <c r="O7101" t="n">
        <v>0</v>
      </c>
      <c r="P7101" t="n">
        <v>0</v>
      </c>
      <c r="Q7101" t="n">
        <v>0</v>
      </c>
      <c r="R7101" s="2" t="inlineStr"/>
    </row>
    <row r="7102" ht="15" customHeight="1">
      <c r="A7102" t="inlineStr">
        <is>
          <t>A 42864-2024</t>
        </is>
      </c>
      <c r="B7102" s="1" t="n">
        <v>45566</v>
      </c>
      <c r="C7102" s="1" t="n">
        <v>45911</v>
      </c>
      <c r="D7102" t="inlineStr">
        <is>
          <t>GÄVLEBORGS LÄN</t>
        </is>
      </c>
      <c r="E7102" t="inlineStr">
        <is>
          <t>SANDVIKEN</t>
        </is>
      </c>
      <c r="F7102" t="inlineStr">
        <is>
          <t>Sveaskog</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13027-2025</t>
        </is>
      </c>
      <c r="B7103" s="1" t="n">
        <v>45734.56173611111</v>
      </c>
      <c r="C7103" s="1" t="n">
        <v>45911</v>
      </c>
      <c r="D7103" t="inlineStr">
        <is>
          <t>GÄVLEBORGS LÄN</t>
        </is>
      </c>
      <c r="E7103" t="inlineStr">
        <is>
          <t>GÄVLE</t>
        </is>
      </c>
      <c r="F7103" t="inlineStr">
        <is>
          <t>Bergvik skog öst AB</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56741-2024</t>
        </is>
      </c>
      <c r="B7104" s="1" t="n">
        <v>45628.36787037037</v>
      </c>
      <c r="C7104" s="1" t="n">
        <v>45911</v>
      </c>
      <c r="D7104" t="inlineStr">
        <is>
          <t>GÄVLEBORGS LÄN</t>
        </is>
      </c>
      <c r="E7104" t="inlineStr">
        <is>
          <t>OCKELBO</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12550-2025</t>
        </is>
      </c>
      <c r="B7105" s="1" t="n">
        <v>45731.31880787037</v>
      </c>
      <c r="C7105" s="1" t="n">
        <v>45911</v>
      </c>
      <c r="D7105" t="inlineStr">
        <is>
          <t>GÄVLEBORGS LÄN</t>
        </is>
      </c>
      <c r="E7105" t="inlineStr">
        <is>
          <t>OVANÅKER</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6985-2025</t>
        </is>
      </c>
      <c r="B7106" s="1" t="n">
        <v>45701.56611111111</v>
      </c>
      <c r="C7106" s="1" t="n">
        <v>45911</v>
      </c>
      <c r="D7106" t="inlineStr">
        <is>
          <t>GÄVLEBORGS LÄN</t>
        </is>
      </c>
      <c r="E7106" t="inlineStr">
        <is>
          <t>HUDIKSVALL</t>
        </is>
      </c>
      <c r="G7106" t="n">
        <v>6.7</v>
      </c>
      <c r="H7106" t="n">
        <v>0</v>
      </c>
      <c r="I7106" t="n">
        <v>0</v>
      </c>
      <c r="J7106" t="n">
        <v>0</v>
      </c>
      <c r="K7106" t="n">
        <v>0</v>
      </c>
      <c r="L7106" t="n">
        <v>0</v>
      </c>
      <c r="M7106" t="n">
        <v>0</v>
      </c>
      <c r="N7106" t="n">
        <v>0</v>
      </c>
      <c r="O7106" t="n">
        <v>0</v>
      </c>
      <c r="P7106" t="n">
        <v>0</v>
      </c>
      <c r="Q7106" t="n">
        <v>0</v>
      </c>
      <c r="R7106" s="2" t="inlineStr"/>
    </row>
    <row r="7107" ht="15" customHeight="1">
      <c r="A7107" t="inlineStr">
        <is>
          <t>A 6987-2025</t>
        </is>
      </c>
      <c r="B7107" s="1" t="n">
        <v>45701</v>
      </c>
      <c r="C7107" s="1" t="n">
        <v>45911</v>
      </c>
      <c r="D7107" t="inlineStr">
        <is>
          <t>GÄVLEBORGS LÄN</t>
        </is>
      </c>
      <c r="E7107" t="inlineStr">
        <is>
          <t>LJUSDAL</t>
        </is>
      </c>
      <c r="G7107" t="n">
        <v>7.7</v>
      </c>
      <c r="H7107" t="n">
        <v>0</v>
      </c>
      <c r="I7107" t="n">
        <v>0</v>
      </c>
      <c r="J7107" t="n">
        <v>0</v>
      </c>
      <c r="K7107" t="n">
        <v>0</v>
      </c>
      <c r="L7107" t="n">
        <v>0</v>
      </c>
      <c r="M7107" t="n">
        <v>0</v>
      </c>
      <c r="N7107" t="n">
        <v>0</v>
      </c>
      <c r="O7107" t="n">
        <v>0</v>
      </c>
      <c r="P7107" t="n">
        <v>0</v>
      </c>
      <c r="Q7107" t="n">
        <v>0</v>
      </c>
      <c r="R7107" s="2" t="inlineStr"/>
    </row>
    <row r="7108" ht="15" customHeight="1">
      <c r="A7108" t="inlineStr">
        <is>
          <t>A 20356-2021</t>
        </is>
      </c>
      <c r="B7108" s="1" t="n">
        <v>44315.429375</v>
      </c>
      <c r="C7108" s="1" t="n">
        <v>45911</v>
      </c>
      <c r="D7108" t="inlineStr">
        <is>
          <t>GÄVLEBORGS LÄN</t>
        </is>
      </c>
      <c r="E7108" t="inlineStr">
        <is>
          <t>OVANÅKER</t>
        </is>
      </c>
      <c r="G7108" t="n">
        <v>4</v>
      </c>
      <c r="H7108" t="n">
        <v>0</v>
      </c>
      <c r="I7108" t="n">
        <v>0</v>
      </c>
      <c r="J7108" t="n">
        <v>0</v>
      </c>
      <c r="K7108" t="n">
        <v>0</v>
      </c>
      <c r="L7108" t="n">
        <v>0</v>
      </c>
      <c r="M7108" t="n">
        <v>0</v>
      </c>
      <c r="N7108" t="n">
        <v>0</v>
      </c>
      <c r="O7108" t="n">
        <v>0</v>
      </c>
      <c r="P7108" t="n">
        <v>0</v>
      </c>
      <c r="Q7108" t="n">
        <v>0</v>
      </c>
      <c r="R7108" s="2" t="inlineStr"/>
    </row>
    <row r="7109" ht="15" customHeight="1">
      <c r="A7109" t="inlineStr">
        <is>
          <t>A 37202-2023</t>
        </is>
      </c>
      <c r="B7109" s="1" t="n">
        <v>45155</v>
      </c>
      <c r="C7109" s="1" t="n">
        <v>45911</v>
      </c>
      <c r="D7109" t="inlineStr">
        <is>
          <t>GÄVLEBORGS LÄN</t>
        </is>
      </c>
      <c r="E7109" t="inlineStr">
        <is>
          <t>LJUSDAL</t>
        </is>
      </c>
      <c r="F7109" t="inlineStr">
        <is>
          <t>Sveaskog</t>
        </is>
      </c>
      <c r="G7109" t="n">
        <v>7.1</v>
      </c>
      <c r="H7109" t="n">
        <v>0</v>
      </c>
      <c r="I7109" t="n">
        <v>0</v>
      </c>
      <c r="J7109" t="n">
        <v>0</v>
      </c>
      <c r="K7109" t="n">
        <v>0</v>
      </c>
      <c r="L7109" t="n">
        <v>0</v>
      </c>
      <c r="M7109" t="n">
        <v>0</v>
      </c>
      <c r="N7109" t="n">
        <v>0</v>
      </c>
      <c r="O7109" t="n">
        <v>0</v>
      </c>
      <c r="P7109" t="n">
        <v>0</v>
      </c>
      <c r="Q7109" t="n">
        <v>0</v>
      </c>
      <c r="R7109" s="2" t="inlineStr"/>
    </row>
    <row r="7110" ht="15" customHeight="1">
      <c r="A7110" t="inlineStr">
        <is>
          <t>A 19963-2025</t>
        </is>
      </c>
      <c r="B7110" s="1" t="n">
        <v>45771.67196759259</v>
      </c>
      <c r="C7110" s="1" t="n">
        <v>45911</v>
      </c>
      <c r="D7110" t="inlineStr">
        <is>
          <t>GÄVLEBORGS LÄN</t>
        </is>
      </c>
      <c r="E7110" t="inlineStr">
        <is>
          <t>OVANÅKER</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45221-2023</t>
        </is>
      </c>
      <c r="B7111" s="1" t="n">
        <v>45191.57886574074</v>
      </c>
      <c r="C7111" s="1" t="n">
        <v>45911</v>
      </c>
      <c r="D7111" t="inlineStr">
        <is>
          <t>GÄVLEBORGS LÄN</t>
        </is>
      </c>
      <c r="E7111" t="inlineStr">
        <is>
          <t>HUDIKSVALL</t>
        </is>
      </c>
      <c r="F7111" t="inlineStr">
        <is>
          <t>Holmen skog AB</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19190-2025</t>
        </is>
      </c>
      <c r="B7112" s="1" t="n">
        <v>45767</v>
      </c>
      <c r="C7112" s="1" t="n">
        <v>45911</v>
      </c>
      <c r="D7112" t="inlineStr">
        <is>
          <t>GÄVLEBORGS LÄN</t>
        </is>
      </c>
      <c r="E7112" t="inlineStr">
        <is>
          <t>HUDIKSVALL</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32980-2023</t>
        </is>
      </c>
      <c r="B7113" s="1" t="n">
        <v>45125.59980324074</v>
      </c>
      <c r="C7113" s="1" t="n">
        <v>45911</v>
      </c>
      <c r="D7113" t="inlineStr">
        <is>
          <t>GÄVLEBORGS LÄN</t>
        </is>
      </c>
      <c r="E7113" t="inlineStr">
        <is>
          <t>HOFORS</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473-2024</t>
        </is>
      </c>
      <c r="B7114" s="1" t="n">
        <v>45297</v>
      </c>
      <c r="C7114" s="1" t="n">
        <v>45911</v>
      </c>
      <c r="D7114" t="inlineStr">
        <is>
          <t>GÄVLEBORGS LÄN</t>
        </is>
      </c>
      <c r="E7114" t="inlineStr">
        <is>
          <t>HUDIKSVALL</t>
        </is>
      </c>
      <c r="F7114" t="inlineStr">
        <is>
          <t>Holmen skog AB</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6339-2025</t>
        </is>
      </c>
      <c r="B7115" s="1" t="n">
        <v>45699</v>
      </c>
      <c r="C7115" s="1" t="n">
        <v>45911</v>
      </c>
      <c r="D7115" t="inlineStr">
        <is>
          <t>GÄVLEBORGS LÄN</t>
        </is>
      </c>
      <c r="E7115" t="inlineStr">
        <is>
          <t>LJUSDAL</t>
        </is>
      </c>
      <c r="G7115" t="n">
        <v>3</v>
      </c>
      <c r="H7115" t="n">
        <v>0</v>
      </c>
      <c r="I7115" t="n">
        <v>0</v>
      </c>
      <c r="J7115" t="n">
        <v>0</v>
      </c>
      <c r="K7115" t="n">
        <v>0</v>
      </c>
      <c r="L7115" t="n">
        <v>0</v>
      </c>
      <c r="M7115" t="n">
        <v>0</v>
      </c>
      <c r="N7115" t="n">
        <v>0</v>
      </c>
      <c r="O7115" t="n">
        <v>0</v>
      </c>
      <c r="P7115" t="n">
        <v>0</v>
      </c>
      <c r="Q7115" t="n">
        <v>0</v>
      </c>
      <c r="R7115" s="2" t="inlineStr"/>
    </row>
    <row r="7116" ht="15" customHeight="1">
      <c r="A7116" t="inlineStr">
        <is>
          <t>A 40363-2023</t>
        </is>
      </c>
      <c r="B7116" s="1" t="n">
        <v>45169.66825231481</v>
      </c>
      <c r="C7116" s="1" t="n">
        <v>45911</v>
      </c>
      <c r="D7116" t="inlineStr">
        <is>
          <t>GÄVLEBORGS LÄN</t>
        </is>
      </c>
      <c r="E7116" t="inlineStr">
        <is>
          <t>SANDVIKEN</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300-2024</t>
        </is>
      </c>
      <c r="B7117" s="1" t="n">
        <v>45295.47097222223</v>
      </c>
      <c r="C7117" s="1" t="n">
        <v>45911</v>
      </c>
      <c r="D7117" t="inlineStr">
        <is>
          <t>GÄVLEBORGS LÄN</t>
        </is>
      </c>
      <c r="E7117" t="inlineStr">
        <is>
          <t>SÖDERHAMN</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333-2024</t>
        </is>
      </c>
      <c r="B7118" s="1" t="n">
        <v>45295.59415509259</v>
      </c>
      <c r="C7118" s="1" t="n">
        <v>45911</v>
      </c>
      <c r="D7118" t="inlineStr">
        <is>
          <t>GÄVLEBORGS LÄN</t>
        </is>
      </c>
      <c r="E7118" t="inlineStr">
        <is>
          <t>HUDIKSVALL</t>
        </is>
      </c>
      <c r="F7118" t="inlineStr">
        <is>
          <t>Holmen skog AB</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17965-2025</t>
        </is>
      </c>
      <c r="B7119" s="1" t="n">
        <v>45761.34359953704</v>
      </c>
      <c r="C7119" s="1" t="n">
        <v>45911</v>
      </c>
      <c r="D7119" t="inlineStr">
        <is>
          <t>GÄVLEBORGS LÄN</t>
        </is>
      </c>
      <c r="E7119" t="inlineStr">
        <is>
          <t>OVANÅKER</t>
        </is>
      </c>
      <c r="F7119" t="inlineStr">
        <is>
          <t>Bergvik skog öst AB</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17966-2025</t>
        </is>
      </c>
      <c r="B7120" s="1" t="n">
        <v>45761.34462962963</v>
      </c>
      <c r="C7120" s="1" t="n">
        <v>45911</v>
      </c>
      <c r="D7120" t="inlineStr">
        <is>
          <t>GÄVLEBORGS LÄN</t>
        </is>
      </c>
      <c r="E7120" t="inlineStr">
        <is>
          <t>BOLLNÄS</t>
        </is>
      </c>
      <c r="F7120" t="inlineStr">
        <is>
          <t>Bergvik skog väst AB</t>
        </is>
      </c>
      <c r="G7120" t="n">
        <v>9.5</v>
      </c>
      <c r="H7120" t="n">
        <v>0</v>
      </c>
      <c r="I7120" t="n">
        <v>0</v>
      </c>
      <c r="J7120" t="n">
        <v>0</v>
      </c>
      <c r="K7120" t="n">
        <v>0</v>
      </c>
      <c r="L7120" t="n">
        <v>0</v>
      </c>
      <c r="M7120" t="n">
        <v>0</v>
      </c>
      <c r="N7120" t="n">
        <v>0</v>
      </c>
      <c r="O7120" t="n">
        <v>0</v>
      </c>
      <c r="P7120" t="n">
        <v>0</v>
      </c>
      <c r="Q7120" t="n">
        <v>0</v>
      </c>
      <c r="R7120" s="2" t="inlineStr"/>
    </row>
    <row r="7121" ht="15" customHeight="1">
      <c r="A7121" t="inlineStr">
        <is>
          <t>A 3233-2025</t>
        </is>
      </c>
      <c r="B7121" s="1" t="n">
        <v>45679.49009259259</v>
      </c>
      <c r="C7121" s="1" t="n">
        <v>45911</v>
      </c>
      <c r="D7121" t="inlineStr">
        <is>
          <t>GÄVLEBORGS LÄN</t>
        </is>
      </c>
      <c r="E7121" t="inlineStr">
        <is>
          <t>LJUSDAL</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2215-2023</t>
        </is>
      </c>
      <c r="B7122" s="1" t="n">
        <v>44942.41722222222</v>
      </c>
      <c r="C7122" s="1" t="n">
        <v>45911</v>
      </c>
      <c r="D7122" t="inlineStr">
        <is>
          <t>GÄVLEBORGS LÄN</t>
        </is>
      </c>
      <c r="E7122" t="inlineStr">
        <is>
          <t>HUDIKSVALL</t>
        </is>
      </c>
      <c r="F7122" t="inlineStr">
        <is>
          <t>Holmen skog AB</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45703-2023</t>
        </is>
      </c>
      <c r="B7123" s="1" t="n">
        <v>45195</v>
      </c>
      <c r="C7123" s="1" t="n">
        <v>45911</v>
      </c>
      <c r="D7123" t="inlineStr">
        <is>
          <t>GÄVLEBORGS LÄN</t>
        </is>
      </c>
      <c r="E7123" t="inlineStr">
        <is>
          <t>LJUSDAL</t>
        </is>
      </c>
      <c r="F7123" t="inlineStr">
        <is>
          <t>Holmen skog AB</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45709-2023</t>
        </is>
      </c>
      <c r="B7124" s="1" t="n">
        <v>45195</v>
      </c>
      <c r="C7124" s="1" t="n">
        <v>45911</v>
      </c>
      <c r="D7124" t="inlineStr">
        <is>
          <t>GÄVLEBORGS LÄN</t>
        </is>
      </c>
      <c r="E7124" t="inlineStr">
        <is>
          <t>LJUSDAL</t>
        </is>
      </c>
      <c r="F7124" t="inlineStr">
        <is>
          <t>Holmen skog AB</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56138-2023</t>
        </is>
      </c>
      <c r="B7125" s="1" t="n">
        <v>45240.59244212963</v>
      </c>
      <c r="C7125" s="1" t="n">
        <v>45911</v>
      </c>
      <c r="D7125" t="inlineStr">
        <is>
          <t>GÄVLEBORGS LÄN</t>
        </is>
      </c>
      <c r="E7125" t="inlineStr">
        <is>
          <t>GÄVLE</t>
        </is>
      </c>
      <c r="G7125" t="n">
        <v>2.9</v>
      </c>
      <c r="H7125" t="n">
        <v>0</v>
      </c>
      <c r="I7125" t="n">
        <v>0</v>
      </c>
      <c r="J7125" t="n">
        <v>0</v>
      </c>
      <c r="K7125" t="n">
        <v>0</v>
      </c>
      <c r="L7125" t="n">
        <v>0</v>
      </c>
      <c r="M7125" t="n">
        <v>0</v>
      </c>
      <c r="N7125" t="n">
        <v>0</v>
      </c>
      <c r="O7125" t="n">
        <v>0</v>
      </c>
      <c r="P7125" t="n">
        <v>0</v>
      </c>
      <c r="Q7125" t="n">
        <v>0</v>
      </c>
      <c r="R7125" s="2" t="inlineStr"/>
    </row>
    <row r="7126" ht="15" customHeight="1">
      <c r="A7126" t="inlineStr">
        <is>
          <t>A 55146-2024</t>
        </is>
      </c>
      <c r="B7126" s="1" t="n">
        <v>45621.48976851852</v>
      </c>
      <c r="C7126" s="1" t="n">
        <v>45911</v>
      </c>
      <c r="D7126" t="inlineStr">
        <is>
          <t>GÄVLEBORGS LÄN</t>
        </is>
      </c>
      <c r="E7126" t="inlineStr">
        <is>
          <t>OCKELBO</t>
        </is>
      </c>
      <c r="F7126" t="inlineStr">
        <is>
          <t>Bergvik skog väst AB</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49704-2023</t>
        </is>
      </c>
      <c r="B7127" s="1" t="n">
        <v>45212</v>
      </c>
      <c r="C7127" s="1" t="n">
        <v>45911</v>
      </c>
      <c r="D7127" t="inlineStr">
        <is>
          <t>GÄVLEBORGS LÄN</t>
        </is>
      </c>
      <c r="E7127" t="inlineStr">
        <is>
          <t>SANDVIKEN</t>
        </is>
      </c>
      <c r="F7127" t="inlineStr">
        <is>
          <t>Sveaskog</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53857-2023</t>
        </is>
      </c>
      <c r="B7128" s="1" t="n">
        <v>45231.46946759259</v>
      </c>
      <c r="C7128" s="1" t="n">
        <v>45911</v>
      </c>
      <c r="D7128" t="inlineStr">
        <is>
          <t>GÄVLEBORGS LÄN</t>
        </is>
      </c>
      <c r="E7128" t="inlineStr">
        <is>
          <t>LJUSDAL</t>
        </is>
      </c>
      <c r="G7128" t="n">
        <v>3</v>
      </c>
      <c r="H7128" t="n">
        <v>0</v>
      </c>
      <c r="I7128" t="n">
        <v>0</v>
      </c>
      <c r="J7128" t="n">
        <v>0</v>
      </c>
      <c r="K7128" t="n">
        <v>0</v>
      </c>
      <c r="L7128" t="n">
        <v>0</v>
      </c>
      <c r="M7128" t="n">
        <v>0</v>
      </c>
      <c r="N7128" t="n">
        <v>0</v>
      </c>
      <c r="O7128" t="n">
        <v>0</v>
      </c>
      <c r="P7128" t="n">
        <v>0</v>
      </c>
      <c r="Q7128" t="n">
        <v>0</v>
      </c>
      <c r="R7128" s="2" t="inlineStr"/>
    </row>
    <row r="7129" ht="15" customHeight="1">
      <c r="A7129" t="inlineStr">
        <is>
          <t>A 2206-2025</t>
        </is>
      </c>
      <c r="B7129" s="1" t="n">
        <v>45673.42638888889</v>
      </c>
      <c r="C7129" s="1" t="n">
        <v>45911</v>
      </c>
      <c r="D7129" t="inlineStr">
        <is>
          <t>GÄVLEBORGS LÄN</t>
        </is>
      </c>
      <c r="E7129" t="inlineStr">
        <is>
          <t>BOLLNÄS</t>
        </is>
      </c>
      <c r="G7129" t="n">
        <v>4.6</v>
      </c>
      <c r="H7129" t="n">
        <v>0</v>
      </c>
      <c r="I7129" t="n">
        <v>0</v>
      </c>
      <c r="J7129" t="n">
        <v>0</v>
      </c>
      <c r="K7129" t="n">
        <v>0</v>
      </c>
      <c r="L7129" t="n">
        <v>0</v>
      </c>
      <c r="M7129" t="n">
        <v>0</v>
      </c>
      <c r="N7129" t="n">
        <v>0</v>
      </c>
      <c r="O7129" t="n">
        <v>0</v>
      </c>
      <c r="P7129" t="n">
        <v>0</v>
      </c>
      <c r="Q7129" t="n">
        <v>0</v>
      </c>
      <c r="R7129" s="2" t="inlineStr"/>
    </row>
    <row r="7130" ht="15" customHeight="1">
      <c r="A7130" t="inlineStr">
        <is>
          <t>A 2211-2025</t>
        </is>
      </c>
      <c r="B7130" s="1" t="n">
        <v>45673.43484953704</v>
      </c>
      <c r="C7130" s="1" t="n">
        <v>45911</v>
      </c>
      <c r="D7130" t="inlineStr">
        <is>
          <t>GÄVLEBORGS LÄN</t>
        </is>
      </c>
      <c r="E7130" t="inlineStr">
        <is>
          <t>BOLLNÄS</t>
        </is>
      </c>
      <c r="G7130" t="n">
        <v>3.9</v>
      </c>
      <c r="H7130" t="n">
        <v>0</v>
      </c>
      <c r="I7130" t="n">
        <v>0</v>
      </c>
      <c r="J7130" t="n">
        <v>0</v>
      </c>
      <c r="K7130" t="n">
        <v>0</v>
      </c>
      <c r="L7130" t="n">
        <v>0</v>
      </c>
      <c r="M7130" t="n">
        <v>0</v>
      </c>
      <c r="N7130" t="n">
        <v>0</v>
      </c>
      <c r="O7130" t="n">
        <v>0</v>
      </c>
      <c r="P7130" t="n">
        <v>0</v>
      </c>
      <c r="Q7130" t="n">
        <v>0</v>
      </c>
      <c r="R7130" s="2" t="inlineStr"/>
    </row>
    <row r="7131" ht="15" customHeight="1">
      <c r="A7131" t="inlineStr">
        <is>
          <t>A 2268-2025</t>
        </is>
      </c>
      <c r="B7131" s="1" t="n">
        <v>45673.53710648148</v>
      </c>
      <c r="C7131" s="1" t="n">
        <v>45911</v>
      </c>
      <c r="D7131" t="inlineStr">
        <is>
          <t>GÄVLEBORGS LÄN</t>
        </is>
      </c>
      <c r="E7131" t="inlineStr">
        <is>
          <t>SÖDERHAMN</t>
        </is>
      </c>
      <c r="G7131" t="n">
        <v>4.2</v>
      </c>
      <c r="H7131" t="n">
        <v>0</v>
      </c>
      <c r="I7131" t="n">
        <v>0</v>
      </c>
      <c r="J7131" t="n">
        <v>0</v>
      </c>
      <c r="K7131" t="n">
        <v>0</v>
      </c>
      <c r="L7131" t="n">
        <v>0</v>
      </c>
      <c r="M7131" t="n">
        <v>0</v>
      </c>
      <c r="N7131" t="n">
        <v>0</v>
      </c>
      <c r="O7131" t="n">
        <v>0</v>
      </c>
      <c r="P7131" t="n">
        <v>0</v>
      </c>
      <c r="Q7131" t="n">
        <v>0</v>
      </c>
      <c r="R7131" s="2" t="inlineStr"/>
    </row>
    <row r="7132" ht="15" customHeight="1">
      <c r="A7132" t="inlineStr">
        <is>
          <t>A 22745-2022</t>
        </is>
      </c>
      <c r="B7132" s="1" t="n">
        <v>44714.71814814815</v>
      </c>
      <c r="C7132" s="1" t="n">
        <v>45911</v>
      </c>
      <c r="D7132" t="inlineStr">
        <is>
          <t>GÄVLEBORGS LÄN</t>
        </is>
      </c>
      <c r="E7132" t="inlineStr">
        <is>
          <t>BOLLNÄS</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20288-2024</t>
        </is>
      </c>
      <c r="B7133" s="1" t="n">
        <v>45435</v>
      </c>
      <c r="C7133" s="1" t="n">
        <v>45911</v>
      </c>
      <c r="D7133" t="inlineStr">
        <is>
          <t>GÄVLEBORGS LÄN</t>
        </is>
      </c>
      <c r="E7133" t="inlineStr">
        <is>
          <t>LJUSDAL</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25768-2022</t>
        </is>
      </c>
      <c r="B7134" s="1" t="n">
        <v>44733.45824074074</v>
      </c>
      <c r="C7134" s="1" t="n">
        <v>45911</v>
      </c>
      <c r="D7134" t="inlineStr">
        <is>
          <t>GÄVLEBORGS LÄN</t>
        </is>
      </c>
      <c r="E7134" t="inlineStr">
        <is>
          <t>GÄVLE</t>
        </is>
      </c>
      <c r="F7134" t="inlineStr">
        <is>
          <t>Bergvik skog öst AB</t>
        </is>
      </c>
      <c r="G7134" t="n">
        <v>3</v>
      </c>
      <c r="H7134" t="n">
        <v>0</v>
      </c>
      <c r="I7134" t="n">
        <v>0</v>
      </c>
      <c r="J7134" t="n">
        <v>0</v>
      </c>
      <c r="K7134" t="n">
        <v>0</v>
      </c>
      <c r="L7134" t="n">
        <v>0</v>
      </c>
      <c r="M7134" t="n">
        <v>0</v>
      </c>
      <c r="N7134" t="n">
        <v>0</v>
      </c>
      <c r="O7134" t="n">
        <v>0</v>
      </c>
      <c r="P7134" t="n">
        <v>0</v>
      </c>
      <c r="Q7134" t="n">
        <v>0</v>
      </c>
      <c r="R7134" s="2" t="inlineStr"/>
    </row>
    <row r="7135" ht="15" customHeight="1">
      <c r="A7135" t="inlineStr">
        <is>
          <t>A 28853-2024</t>
        </is>
      </c>
      <c r="B7135" s="1" t="n">
        <v>45478.82053240741</v>
      </c>
      <c r="C7135" s="1" t="n">
        <v>45911</v>
      </c>
      <c r="D7135" t="inlineStr">
        <is>
          <t>GÄVLEBORGS LÄN</t>
        </is>
      </c>
      <c r="E7135" t="inlineStr">
        <is>
          <t>HUDIKSVALL</t>
        </is>
      </c>
      <c r="F7135" t="inlineStr">
        <is>
          <t>Holmen skog AB</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4062-2025</t>
        </is>
      </c>
      <c r="B7136" s="1" t="n">
        <v>45684.63040509259</v>
      </c>
      <c r="C7136" s="1" t="n">
        <v>45911</v>
      </c>
      <c r="D7136" t="inlineStr">
        <is>
          <t>GÄVLEBORGS LÄN</t>
        </is>
      </c>
      <c r="E7136" t="inlineStr">
        <is>
          <t>HUDIKSVALL</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43883-2021</t>
        </is>
      </c>
      <c r="B7137" s="1" t="n">
        <v>44434.33675925926</v>
      </c>
      <c r="C7137" s="1" t="n">
        <v>45911</v>
      </c>
      <c r="D7137" t="inlineStr">
        <is>
          <t>GÄVLEBORGS LÄN</t>
        </is>
      </c>
      <c r="E7137" t="inlineStr">
        <is>
          <t>NORDANSTIG</t>
        </is>
      </c>
      <c r="F7137" t="inlineStr">
        <is>
          <t>Holmen skog AB</t>
        </is>
      </c>
      <c r="G7137" t="n">
        <v>3</v>
      </c>
      <c r="H7137" t="n">
        <v>0</v>
      </c>
      <c r="I7137" t="n">
        <v>0</v>
      </c>
      <c r="J7137" t="n">
        <v>0</v>
      </c>
      <c r="K7137" t="n">
        <v>0</v>
      </c>
      <c r="L7137" t="n">
        <v>0</v>
      </c>
      <c r="M7137" t="n">
        <v>0</v>
      </c>
      <c r="N7137" t="n">
        <v>0</v>
      </c>
      <c r="O7137" t="n">
        <v>0</v>
      </c>
      <c r="P7137" t="n">
        <v>0</v>
      </c>
      <c r="Q7137" t="n">
        <v>0</v>
      </c>
      <c r="R7137" s="2" t="inlineStr"/>
    </row>
    <row r="7138" ht="15" customHeight="1">
      <c r="A7138" t="inlineStr">
        <is>
          <t>A 49448-2023</t>
        </is>
      </c>
      <c r="B7138" s="1" t="n">
        <v>45211</v>
      </c>
      <c r="C7138" s="1" t="n">
        <v>45911</v>
      </c>
      <c r="D7138" t="inlineStr">
        <is>
          <t>GÄVLEBORGS LÄN</t>
        </is>
      </c>
      <c r="E7138" t="inlineStr">
        <is>
          <t>OCKELBO</t>
        </is>
      </c>
      <c r="F7138" t="inlineStr">
        <is>
          <t>Bergvik skog väst AB</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5557-2021</t>
        </is>
      </c>
      <c r="B7139" s="1" t="n">
        <v>44230</v>
      </c>
      <c r="C7139" s="1" t="n">
        <v>45911</v>
      </c>
      <c r="D7139" t="inlineStr">
        <is>
          <t>GÄVLEBORGS LÄN</t>
        </is>
      </c>
      <c r="E7139" t="inlineStr">
        <is>
          <t>HOFORS</t>
        </is>
      </c>
      <c r="G7139" t="n">
        <v>4</v>
      </c>
      <c r="H7139" t="n">
        <v>0</v>
      </c>
      <c r="I7139" t="n">
        <v>0</v>
      </c>
      <c r="J7139" t="n">
        <v>0</v>
      </c>
      <c r="K7139" t="n">
        <v>0</v>
      </c>
      <c r="L7139" t="n">
        <v>0</v>
      </c>
      <c r="M7139" t="n">
        <v>0</v>
      </c>
      <c r="N7139" t="n">
        <v>0</v>
      </c>
      <c r="O7139" t="n">
        <v>0</v>
      </c>
      <c r="P7139" t="n">
        <v>0</v>
      </c>
      <c r="Q7139" t="n">
        <v>0</v>
      </c>
      <c r="R7139" s="2" t="inlineStr"/>
    </row>
    <row r="7140" ht="15" customHeight="1">
      <c r="A7140" t="inlineStr">
        <is>
          <t>A 41249-2024</t>
        </is>
      </c>
      <c r="B7140" s="1" t="n">
        <v>45559.57722222222</v>
      </c>
      <c r="C7140" s="1" t="n">
        <v>45911</v>
      </c>
      <c r="D7140" t="inlineStr">
        <is>
          <t>GÄVLEBORGS LÄN</t>
        </is>
      </c>
      <c r="E7140" t="inlineStr">
        <is>
          <t>HUDIKSVALL</t>
        </is>
      </c>
      <c r="F7140" t="inlineStr">
        <is>
          <t>Holmen skog AB</t>
        </is>
      </c>
      <c r="G7140" t="n">
        <v>16.3</v>
      </c>
      <c r="H7140" t="n">
        <v>0</v>
      </c>
      <c r="I7140" t="n">
        <v>0</v>
      </c>
      <c r="J7140" t="n">
        <v>0</v>
      </c>
      <c r="K7140" t="n">
        <v>0</v>
      </c>
      <c r="L7140" t="n">
        <v>0</v>
      </c>
      <c r="M7140" t="n">
        <v>0</v>
      </c>
      <c r="N7140" t="n">
        <v>0</v>
      </c>
      <c r="O7140" t="n">
        <v>0</v>
      </c>
      <c r="P7140" t="n">
        <v>0</v>
      </c>
      <c r="Q7140" t="n">
        <v>0</v>
      </c>
      <c r="R7140" s="2" t="inlineStr"/>
    </row>
    <row r="7141" ht="15" customHeight="1">
      <c r="A7141" t="inlineStr">
        <is>
          <t>A 41258-2024</t>
        </is>
      </c>
      <c r="B7141" s="1" t="n">
        <v>45559.58393518518</v>
      </c>
      <c r="C7141" s="1" t="n">
        <v>45911</v>
      </c>
      <c r="D7141" t="inlineStr">
        <is>
          <t>GÄVLEBORGS LÄN</t>
        </is>
      </c>
      <c r="E7141" t="inlineStr">
        <is>
          <t>HUDIKSVALL</t>
        </is>
      </c>
      <c r="F7141" t="inlineStr">
        <is>
          <t>Holmen skog AB</t>
        </is>
      </c>
      <c r="G7141" t="n">
        <v>8.4</v>
      </c>
      <c r="H7141" t="n">
        <v>0</v>
      </c>
      <c r="I7141" t="n">
        <v>0</v>
      </c>
      <c r="J7141" t="n">
        <v>0</v>
      </c>
      <c r="K7141" t="n">
        <v>0</v>
      </c>
      <c r="L7141" t="n">
        <v>0</v>
      </c>
      <c r="M7141" t="n">
        <v>0</v>
      </c>
      <c r="N7141" t="n">
        <v>0</v>
      </c>
      <c r="O7141" t="n">
        <v>0</v>
      </c>
      <c r="P7141" t="n">
        <v>0</v>
      </c>
      <c r="Q7141" t="n">
        <v>0</v>
      </c>
      <c r="R7141" s="2" t="inlineStr"/>
    </row>
    <row r="7142" ht="15" customHeight="1">
      <c r="A7142" t="inlineStr">
        <is>
          <t>A 29238-2023</t>
        </is>
      </c>
      <c r="B7142" s="1" t="n">
        <v>45105</v>
      </c>
      <c r="C7142" s="1" t="n">
        <v>45911</v>
      </c>
      <c r="D7142" t="inlineStr">
        <is>
          <t>GÄVLEBORGS LÄN</t>
        </is>
      </c>
      <c r="E7142" t="inlineStr">
        <is>
          <t>LJUSDAL</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16431-2025</t>
        </is>
      </c>
      <c r="B7143" s="1" t="n">
        <v>45751.47953703703</v>
      </c>
      <c r="C7143" s="1" t="n">
        <v>45911</v>
      </c>
      <c r="D7143" t="inlineStr">
        <is>
          <t>GÄVLEBORGS LÄN</t>
        </is>
      </c>
      <c r="E7143" t="inlineStr">
        <is>
          <t>OVANÅKER</t>
        </is>
      </c>
      <c r="F7143" t="inlineStr">
        <is>
          <t>Bergvik skog öst AB</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14144-2025</t>
        </is>
      </c>
      <c r="B7144" s="1" t="n">
        <v>45740.48634259259</v>
      </c>
      <c r="C7144" s="1" t="n">
        <v>45911</v>
      </c>
      <c r="D7144" t="inlineStr">
        <is>
          <t>GÄVLEBORGS LÄN</t>
        </is>
      </c>
      <c r="E7144" t="inlineStr">
        <is>
          <t>SANDVIKEN</t>
        </is>
      </c>
      <c r="F7144" t="inlineStr">
        <is>
          <t>Bergvik skog öst AB</t>
        </is>
      </c>
      <c r="G7144" t="n">
        <v>2.6</v>
      </c>
      <c r="H7144" t="n">
        <v>0</v>
      </c>
      <c r="I7144" t="n">
        <v>0</v>
      </c>
      <c r="J7144" t="n">
        <v>0</v>
      </c>
      <c r="K7144" t="n">
        <v>0</v>
      </c>
      <c r="L7144" t="n">
        <v>0</v>
      </c>
      <c r="M7144" t="n">
        <v>0</v>
      </c>
      <c r="N7144" t="n">
        <v>0</v>
      </c>
      <c r="O7144" t="n">
        <v>0</v>
      </c>
      <c r="P7144" t="n">
        <v>0</v>
      </c>
      <c r="Q7144" t="n">
        <v>0</v>
      </c>
      <c r="R7144" s="2" t="inlineStr"/>
    </row>
    <row r="7145" ht="15" customHeight="1">
      <c r="A7145" t="inlineStr">
        <is>
          <t>A 14145-2025</t>
        </is>
      </c>
      <c r="B7145" s="1" t="n">
        <v>45740.48784722222</v>
      </c>
      <c r="C7145" s="1" t="n">
        <v>45911</v>
      </c>
      <c r="D7145" t="inlineStr">
        <is>
          <t>GÄVLEBORGS LÄN</t>
        </is>
      </c>
      <c r="E7145" t="inlineStr">
        <is>
          <t>GÄVLE</t>
        </is>
      </c>
      <c r="F7145" t="inlineStr">
        <is>
          <t>Bergvik skog öst AB</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45725-2023</t>
        </is>
      </c>
      <c r="B7146" s="1" t="n">
        <v>45195</v>
      </c>
      <c r="C7146" s="1" t="n">
        <v>45911</v>
      </c>
      <c r="D7146" t="inlineStr">
        <is>
          <t>GÄVLEBORGS LÄN</t>
        </is>
      </c>
      <c r="E7146" t="inlineStr">
        <is>
          <t>HUDIKSVALL</t>
        </is>
      </c>
      <c r="F7146" t="inlineStr">
        <is>
          <t>Holmen skog AB</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16497-2025</t>
        </is>
      </c>
      <c r="B7147" s="1" t="n">
        <v>45751.59929398148</v>
      </c>
      <c r="C7147" s="1" t="n">
        <v>45911</v>
      </c>
      <c r="D7147" t="inlineStr">
        <is>
          <t>GÄVLEBORGS LÄN</t>
        </is>
      </c>
      <c r="E7147" t="inlineStr">
        <is>
          <t>HUDIKSVALL</t>
        </is>
      </c>
      <c r="F7147" t="inlineStr">
        <is>
          <t>Holmen skog AB</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59048-2024</t>
        </is>
      </c>
      <c r="B7148" s="1" t="n">
        <v>45636</v>
      </c>
      <c r="C7148" s="1" t="n">
        <v>45911</v>
      </c>
      <c r="D7148" t="inlineStr">
        <is>
          <t>GÄVLEBORGS LÄN</t>
        </is>
      </c>
      <c r="E7148" t="inlineStr">
        <is>
          <t>SÖDERHAMN</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58749-2024</t>
        </is>
      </c>
      <c r="B7149" s="1" t="n">
        <v>45635.71554398148</v>
      </c>
      <c r="C7149" s="1" t="n">
        <v>45911</v>
      </c>
      <c r="D7149" t="inlineStr">
        <is>
          <t>GÄVLEBORGS LÄN</t>
        </is>
      </c>
      <c r="E7149" t="inlineStr">
        <is>
          <t>NORDANSTIG</t>
        </is>
      </c>
      <c r="F7149" t="inlineStr">
        <is>
          <t>Holmen skog AB</t>
        </is>
      </c>
      <c r="G7149" t="n">
        <v>8</v>
      </c>
      <c r="H7149" t="n">
        <v>0</v>
      </c>
      <c r="I7149" t="n">
        <v>0</v>
      </c>
      <c r="J7149" t="n">
        <v>0</v>
      </c>
      <c r="K7149" t="n">
        <v>0</v>
      </c>
      <c r="L7149" t="n">
        <v>0</v>
      </c>
      <c r="M7149" t="n">
        <v>0</v>
      </c>
      <c r="N7149" t="n">
        <v>0</v>
      </c>
      <c r="O7149" t="n">
        <v>0</v>
      </c>
      <c r="P7149" t="n">
        <v>0</v>
      </c>
      <c r="Q7149" t="n">
        <v>0</v>
      </c>
      <c r="R7149" s="2" t="inlineStr"/>
    </row>
    <row r="7150" ht="15" customHeight="1">
      <c r="A7150" t="inlineStr">
        <is>
          <t>A 18800-2025</t>
        </is>
      </c>
      <c r="B7150" s="1" t="n">
        <v>45764.34707175926</v>
      </c>
      <c r="C7150" s="1" t="n">
        <v>45911</v>
      </c>
      <c r="D7150" t="inlineStr">
        <is>
          <t>GÄVLEBORGS LÄN</t>
        </is>
      </c>
      <c r="E7150" t="inlineStr">
        <is>
          <t>LJUSDAL</t>
        </is>
      </c>
      <c r="F7150" t="inlineStr">
        <is>
          <t>Sveaskog</t>
        </is>
      </c>
      <c r="G7150" t="n">
        <v>2.5</v>
      </c>
      <c r="H7150" t="n">
        <v>0</v>
      </c>
      <c r="I7150" t="n">
        <v>0</v>
      </c>
      <c r="J7150" t="n">
        <v>0</v>
      </c>
      <c r="K7150" t="n">
        <v>0</v>
      </c>
      <c r="L7150" t="n">
        <v>0</v>
      </c>
      <c r="M7150" t="n">
        <v>0</v>
      </c>
      <c r="N7150" t="n">
        <v>0</v>
      </c>
      <c r="O7150" t="n">
        <v>0</v>
      </c>
      <c r="P7150" t="n">
        <v>0</v>
      </c>
      <c r="Q7150" t="n">
        <v>0</v>
      </c>
      <c r="R7150" s="2" t="inlineStr"/>
    </row>
    <row r="7151" ht="15" customHeight="1">
      <c r="A7151" t="inlineStr">
        <is>
          <t>A 49300-2024</t>
        </is>
      </c>
      <c r="B7151" s="1" t="n">
        <v>45595.54486111111</v>
      </c>
      <c r="C7151" s="1" t="n">
        <v>45911</v>
      </c>
      <c r="D7151" t="inlineStr">
        <is>
          <t>GÄVLEBORGS LÄN</t>
        </is>
      </c>
      <c r="E7151" t="inlineStr">
        <is>
          <t>NORDANSTIG</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14783-2025</t>
        </is>
      </c>
      <c r="B7152" s="1" t="n">
        <v>45742.73994212963</v>
      </c>
      <c r="C7152" s="1" t="n">
        <v>45911</v>
      </c>
      <c r="D7152" t="inlineStr">
        <is>
          <t>GÄVLEBORGS LÄN</t>
        </is>
      </c>
      <c r="E7152" t="inlineStr">
        <is>
          <t>GÄVLE</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16384-2025</t>
        </is>
      </c>
      <c r="B7153" s="1" t="n">
        <v>45751.42317129629</v>
      </c>
      <c r="C7153" s="1" t="n">
        <v>45911</v>
      </c>
      <c r="D7153" t="inlineStr">
        <is>
          <t>GÄVLEBORGS LÄN</t>
        </is>
      </c>
      <c r="E7153" t="inlineStr">
        <is>
          <t>GÄVLE</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58166-2024</t>
        </is>
      </c>
      <c r="B7154" s="1" t="n">
        <v>45632.45820601852</v>
      </c>
      <c r="C7154" s="1" t="n">
        <v>45911</v>
      </c>
      <c r="D7154" t="inlineStr">
        <is>
          <t>GÄVLEBORGS LÄN</t>
        </is>
      </c>
      <c r="E7154" t="inlineStr">
        <is>
          <t>SÖDERHAMN</t>
        </is>
      </c>
      <c r="F7154" t="inlineStr">
        <is>
          <t>Bergvik skog väst AB</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19277-2025</t>
        </is>
      </c>
      <c r="B7155" s="1" t="n">
        <v>45769.53167824074</v>
      </c>
      <c r="C7155" s="1" t="n">
        <v>45911</v>
      </c>
      <c r="D7155" t="inlineStr">
        <is>
          <t>GÄVLEBORGS LÄN</t>
        </is>
      </c>
      <c r="E7155" t="inlineStr">
        <is>
          <t>LJUSDAL</t>
        </is>
      </c>
      <c r="F7155" t="inlineStr">
        <is>
          <t>SCA</t>
        </is>
      </c>
      <c r="G7155" t="n">
        <v>7.6</v>
      </c>
      <c r="H7155" t="n">
        <v>0</v>
      </c>
      <c r="I7155" t="n">
        <v>0</v>
      </c>
      <c r="J7155" t="n">
        <v>0</v>
      </c>
      <c r="K7155" t="n">
        <v>0</v>
      </c>
      <c r="L7155" t="n">
        <v>0</v>
      </c>
      <c r="M7155" t="n">
        <v>0</v>
      </c>
      <c r="N7155" t="n">
        <v>0</v>
      </c>
      <c r="O7155" t="n">
        <v>0</v>
      </c>
      <c r="P7155" t="n">
        <v>0</v>
      </c>
      <c r="Q7155" t="n">
        <v>0</v>
      </c>
      <c r="R7155" s="2" t="inlineStr"/>
    </row>
    <row r="7156" ht="15" customHeight="1">
      <c r="A7156" t="inlineStr">
        <is>
          <t>A 50582-2023</t>
        </is>
      </c>
      <c r="B7156" s="1" t="n">
        <v>45217.39167824074</v>
      </c>
      <c r="C7156" s="1" t="n">
        <v>45911</v>
      </c>
      <c r="D7156" t="inlineStr">
        <is>
          <t>GÄVLEBORGS LÄN</t>
        </is>
      </c>
      <c r="E7156" t="inlineStr">
        <is>
          <t>GÄVLE</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17384-2023</t>
        </is>
      </c>
      <c r="B7157" s="1" t="n">
        <v>45035</v>
      </c>
      <c r="C7157" s="1" t="n">
        <v>45911</v>
      </c>
      <c r="D7157" t="inlineStr">
        <is>
          <t>GÄVLEBORGS LÄN</t>
        </is>
      </c>
      <c r="E7157" t="inlineStr">
        <is>
          <t>OVANÅKER</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41790-2024</t>
        </is>
      </c>
      <c r="B7158" s="1" t="n">
        <v>45561.35392361111</v>
      </c>
      <c r="C7158" s="1" t="n">
        <v>45911</v>
      </c>
      <c r="D7158" t="inlineStr">
        <is>
          <t>GÄVLEBORGS LÄN</t>
        </is>
      </c>
      <c r="E7158" t="inlineStr">
        <is>
          <t>SANDVIKEN</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58544-2023</t>
        </is>
      </c>
      <c r="B7159" s="1" t="n">
        <v>45251</v>
      </c>
      <c r="C7159" s="1" t="n">
        <v>45911</v>
      </c>
      <c r="D7159" t="inlineStr">
        <is>
          <t>GÄVLEBORGS LÄN</t>
        </is>
      </c>
      <c r="E7159" t="inlineStr">
        <is>
          <t>SÖDERHAMN</t>
        </is>
      </c>
      <c r="F7159" t="inlineStr">
        <is>
          <t>Bergvik skog väst AB</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47438-2023</t>
        </is>
      </c>
      <c r="B7160" s="1" t="n">
        <v>45202</v>
      </c>
      <c r="C7160" s="1" t="n">
        <v>45911</v>
      </c>
      <c r="D7160" t="inlineStr">
        <is>
          <t>GÄVLEBORGS LÄN</t>
        </is>
      </c>
      <c r="E7160" t="inlineStr">
        <is>
          <t>BOLLNÄS</t>
        </is>
      </c>
      <c r="G7160" t="n">
        <v>9.1</v>
      </c>
      <c r="H7160" t="n">
        <v>0</v>
      </c>
      <c r="I7160" t="n">
        <v>0</v>
      </c>
      <c r="J7160" t="n">
        <v>0</v>
      </c>
      <c r="K7160" t="n">
        <v>0</v>
      </c>
      <c r="L7160" t="n">
        <v>0</v>
      </c>
      <c r="M7160" t="n">
        <v>0</v>
      </c>
      <c r="N7160" t="n">
        <v>0</v>
      </c>
      <c r="O7160" t="n">
        <v>0</v>
      </c>
      <c r="P7160" t="n">
        <v>0</v>
      </c>
      <c r="Q7160" t="n">
        <v>0</v>
      </c>
      <c r="R7160" s="2" t="inlineStr"/>
    </row>
    <row r="7161" ht="15" customHeight="1">
      <c r="A7161" t="inlineStr">
        <is>
          <t>A 60736-2023</t>
        </is>
      </c>
      <c r="B7161" s="1" t="n">
        <v>45260.55894675926</v>
      </c>
      <c r="C7161" s="1" t="n">
        <v>45911</v>
      </c>
      <c r="D7161" t="inlineStr">
        <is>
          <t>GÄVLEBORGS LÄN</t>
        </is>
      </c>
      <c r="E7161" t="inlineStr">
        <is>
          <t>HUDIKSVALL</t>
        </is>
      </c>
      <c r="F7161" t="inlineStr">
        <is>
          <t>Holmen skog AB</t>
        </is>
      </c>
      <c r="G7161" t="n">
        <v>3.1</v>
      </c>
      <c r="H7161" t="n">
        <v>0</v>
      </c>
      <c r="I7161" t="n">
        <v>0</v>
      </c>
      <c r="J7161" t="n">
        <v>0</v>
      </c>
      <c r="K7161" t="n">
        <v>0</v>
      </c>
      <c r="L7161" t="n">
        <v>0</v>
      </c>
      <c r="M7161" t="n">
        <v>0</v>
      </c>
      <c r="N7161" t="n">
        <v>0</v>
      </c>
      <c r="O7161" t="n">
        <v>0</v>
      </c>
      <c r="P7161" t="n">
        <v>0</v>
      </c>
      <c r="Q7161" t="n">
        <v>0</v>
      </c>
      <c r="R7161" s="2" t="inlineStr"/>
    </row>
    <row r="7162" ht="15" customHeight="1">
      <c r="A7162" t="inlineStr">
        <is>
          <t>A 46459-2024</t>
        </is>
      </c>
      <c r="B7162" s="1" t="n">
        <v>45582.52916666667</v>
      </c>
      <c r="C7162" s="1" t="n">
        <v>45911</v>
      </c>
      <c r="D7162" t="inlineStr">
        <is>
          <t>GÄVLEBORGS LÄN</t>
        </is>
      </c>
      <c r="E7162" t="inlineStr">
        <is>
          <t>NORDANSTIG</t>
        </is>
      </c>
      <c r="F7162" t="inlineStr">
        <is>
          <t>Holmen skog AB</t>
        </is>
      </c>
      <c r="G7162" t="n">
        <v>5.5</v>
      </c>
      <c r="H7162" t="n">
        <v>0</v>
      </c>
      <c r="I7162" t="n">
        <v>0</v>
      </c>
      <c r="J7162" t="n">
        <v>0</v>
      </c>
      <c r="K7162" t="n">
        <v>0</v>
      </c>
      <c r="L7162" t="n">
        <v>0</v>
      </c>
      <c r="M7162" t="n">
        <v>0</v>
      </c>
      <c r="N7162" t="n">
        <v>0</v>
      </c>
      <c r="O7162" t="n">
        <v>0</v>
      </c>
      <c r="P7162" t="n">
        <v>0</v>
      </c>
      <c r="Q7162" t="n">
        <v>0</v>
      </c>
      <c r="R7162" s="2" t="inlineStr"/>
    </row>
    <row r="7163" ht="15" customHeight="1">
      <c r="A7163" t="inlineStr">
        <is>
          <t>A 16185-2025</t>
        </is>
      </c>
      <c r="B7163" s="1" t="n">
        <v>45750.58597222222</v>
      </c>
      <c r="C7163" s="1" t="n">
        <v>45911</v>
      </c>
      <c r="D7163" t="inlineStr">
        <is>
          <t>GÄVLEBORGS LÄN</t>
        </is>
      </c>
      <c r="E7163" t="inlineStr">
        <is>
          <t>SÖDERHAMN</t>
        </is>
      </c>
      <c r="F7163" t="inlineStr">
        <is>
          <t>Kommuner</t>
        </is>
      </c>
      <c r="G7163" t="n">
        <v>3.5</v>
      </c>
      <c r="H7163" t="n">
        <v>0</v>
      </c>
      <c r="I7163" t="n">
        <v>0</v>
      </c>
      <c r="J7163" t="n">
        <v>0</v>
      </c>
      <c r="K7163" t="n">
        <v>0</v>
      </c>
      <c r="L7163" t="n">
        <v>0</v>
      </c>
      <c r="M7163" t="n">
        <v>0</v>
      </c>
      <c r="N7163" t="n">
        <v>0</v>
      </c>
      <c r="O7163" t="n">
        <v>0</v>
      </c>
      <c r="P7163" t="n">
        <v>0</v>
      </c>
      <c r="Q7163" t="n">
        <v>0</v>
      </c>
      <c r="R7163" s="2" t="inlineStr"/>
    </row>
    <row r="7164" ht="15" customHeight="1">
      <c r="A7164" t="inlineStr">
        <is>
          <t>A 21880-2023</t>
        </is>
      </c>
      <c r="B7164" s="1" t="n">
        <v>45068</v>
      </c>
      <c r="C7164" s="1" t="n">
        <v>45911</v>
      </c>
      <c r="D7164" t="inlineStr">
        <is>
          <t>GÄVLEBORGS LÄN</t>
        </is>
      </c>
      <c r="E7164" t="inlineStr">
        <is>
          <t>HUDIKSVALL</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61408-2023</t>
        </is>
      </c>
      <c r="B7165" s="1" t="n">
        <v>45264.66268518518</v>
      </c>
      <c r="C7165" s="1" t="n">
        <v>45911</v>
      </c>
      <c r="D7165" t="inlineStr">
        <is>
          <t>GÄVLEBORGS LÄN</t>
        </is>
      </c>
      <c r="E7165" t="inlineStr">
        <is>
          <t>SÖDERHAMN</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48834-2024</t>
        </is>
      </c>
      <c r="B7166" s="1" t="n">
        <v>45593.71982638889</v>
      </c>
      <c r="C7166" s="1" t="n">
        <v>45911</v>
      </c>
      <c r="D7166" t="inlineStr">
        <is>
          <t>GÄVLEBORGS LÄN</t>
        </is>
      </c>
      <c r="E7166" t="inlineStr">
        <is>
          <t>GÄVLE</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51869-2024</t>
        </is>
      </c>
      <c r="B7167" s="1" t="n">
        <v>45607.553125</v>
      </c>
      <c r="C7167" s="1" t="n">
        <v>45911</v>
      </c>
      <c r="D7167" t="inlineStr">
        <is>
          <t>GÄVLEBORGS LÄN</t>
        </is>
      </c>
      <c r="E7167" t="inlineStr">
        <is>
          <t>LJUSDAL</t>
        </is>
      </c>
      <c r="F7167" t="inlineStr">
        <is>
          <t>Naturvårdsverket</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15015-2023</t>
        </is>
      </c>
      <c r="B7168" s="1" t="n">
        <v>45015.61263888889</v>
      </c>
      <c r="C7168" s="1" t="n">
        <v>45911</v>
      </c>
      <c r="D7168" t="inlineStr">
        <is>
          <t>GÄVLEBORGS LÄN</t>
        </is>
      </c>
      <c r="E7168" t="inlineStr">
        <is>
          <t>LJUSDAL</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19772-2025</t>
        </is>
      </c>
      <c r="B7169" s="1" t="n">
        <v>45771.4179050926</v>
      </c>
      <c r="C7169" s="1" t="n">
        <v>45911</v>
      </c>
      <c r="D7169" t="inlineStr">
        <is>
          <t>GÄVLEBORGS LÄN</t>
        </is>
      </c>
      <c r="E7169" t="inlineStr">
        <is>
          <t>OCKELBO</t>
        </is>
      </c>
      <c r="F7169" t="inlineStr">
        <is>
          <t>Bergvik skog väst AB</t>
        </is>
      </c>
      <c r="G7169" t="n">
        <v>4.8</v>
      </c>
      <c r="H7169" t="n">
        <v>0</v>
      </c>
      <c r="I7169" t="n">
        <v>0</v>
      </c>
      <c r="J7169" t="n">
        <v>0</v>
      </c>
      <c r="K7169" t="n">
        <v>0</v>
      </c>
      <c r="L7169" t="n">
        <v>0</v>
      </c>
      <c r="M7169" t="n">
        <v>0</v>
      </c>
      <c r="N7169" t="n">
        <v>0</v>
      </c>
      <c r="O7169" t="n">
        <v>0</v>
      </c>
      <c r="P7169" t="n">
        <v>0</v>
      </c>
      <c r="Q7169" t="n">
        <v>0</v>
      </c>
      <c r="R7169" s="2" t="inlineStr"/>
    </row>
    <row r="7170" ht="15" customHeight="1">
      <c r="A7170" t="inlineStr">
        <is>
          <t>A 19774-2025</t>
        </is>
      </c>
      <c r="B7170" s="1" t="n">
        <v>45771.42100694445</v>
      </c>
      <c r="C7170" s="1" t="n">
        <v>45911</v>
      </c>
      <c r="D7170" t="inlineStr">
        <is>
          <t>GÄVLEBORGS LÄN</t>
        </is>
      </c>
      <c r="E7170" t="inlineStr">
        <is>
          <t>OCKELBO</t>
        </is>
      </c>
      <c r="F7170" t="inlineStr">
        <is>
          <t>Bergvik skog väst AB</t>
        </is>
      </c>
      <c r="G7170" t="n">
        <v>5.3</v>
      </c>
      <c r="H7170" t="n">
        <v>0</v>
      </c>
      <c r="I7170" t="n">
        <v>0</v>
      </c>
      <c r="J7170" t="n">
        <v>0</v>
      </c>
      <c r="K7170" t="n">
        <v>0</v>
      </c>
      <c r="L7170" t="n">
        <v>0</v>
      </c>
      <c r="M7170" t="n">
        <v>0</v>
      </c>
      <c r="N7170" t="n">
        <v>0</v>
      </c>
      <c r="O7170" t="n">
        <v>0</v>
      </c>
      <c r="P7170" t="n">
        <v>0</v>
      </c>
      <c r="Q7170" t="n">
        <v>0</v>
      </c>
      <c r="R7170" s="2" t="inlineStr"/>
    </row>
    <row r="7171" ht="15" customHeight="1">
      <c r="A7171" t="inlineStr">
        <is>
          <t>A 19782-2025</t>
        </is>
      </c>
      <c r="B7171" s="1" t="n">
        <v>45771.43126157407</v>
      </c>
      <c r="C7171" s="1" t="n">
        <v>45911</v>
      </c>
      <c r="D7171" t="inlineStr">
        <is>
          <t>GÄVLEBORGS LÄN</t>
        </is>
      </c>
      <c r="E7171" t="inlineStr">
        <is>
          <t>SÖDERHAMN</t>
        </is>
      </c>
      <c r="G7171" t="n">
        <v>6.4</v>
      </c>
      <c r="H7171" t="n">
        <v>0</v>
      </c>
      <c r="I7171" t="n">
        <v>0</v>
      </c>
      <c r="J7171" t="n">
        <v>0</v>
      </c>
      <c r="K7171" t="n">
        <v>0</v>
      </c>
      <c r="L7171" t="n">
        <v>0</v>
      </c>
      <c r="M7171" t="n">
        <v>0</v>
      </c>
      <c r="N7171" t="n">
        <v>0</v>
      </c>
      <c r="O7171" t="n">
        <v>0</v>
      </c>
      <c r="P7171" t="n">
        <v>0</v>
      </c>
      <c r="Q7171" t="n">
        <v>0</v>
      </c>
      <c r="R7171" s="2" t="inlineStr"/>
    </row>
    <row r="7172" ht="15" customHeight="1">
      <c r="A7172" t="inlineStr">
        <is>
          <t>A 50999-2024</t>
        </is>
      </c>
      <c r="B7172" s="1" t="n">
        <v>45603</v>
      </c>
      <c r="C7172" s="1" t="n">
        <v>45911</v>
      </c>
      <c r="D7172" t="inlineStr">
        <is>
          <t>GÄVLEBORGS LÄN</t>
        </is>
      </c>
      <c r="E7172" t="inlineStr">
        <is>
          <t>HUDIKSVALL</t>
        </is>
      </c>
      <c r="G7172" t="n">
        <v>2.4</v>
      </c>
      <c r="H7172" t="n">
        <v>0</v>
      </c>
      <c r="I7172" t="n">
        <v>0</v>
      </c>
      <c r="J7172" t="n">
        <v>0</v>
      </c>
      <c r="K7172" t="n">
        <v>0</v>
      </c>
      <c r="L7172" t="n">
        <v>0</v>
      </c>
      <c r="M7172" t="n">
        <v>0</v>
      </c>
      <c r="N7172" t="n">
        <v>0</v>
      </c>
      <c r="O7172" t="n">
        <v>0</v>
      </c>
      <c r="P7172" t="n">
        <v>0</v>
      </c>
      <c r="Q7172" t="n">
        <v>0</v>
      </c>
      <c r="R7172" s="2" t="inlineStr"/>
    </row>
    <row r="7173" ht="15" customHeight="1">
      <c r="A7173" t="inlineStr">
        <is>
          <t>A 19064-2025</t>
        </is>
      </c>
      <c r="B7173" s="1" t="n">
        <v>45765.40659722222</v>
      </c>
      <c r="C7173" s="1" t="n">
        <v>45911</v>
      </c>
      <c r="D7173" t="inlineStr">
        <is>
          <t>GÄVLEBORGS LÄN</t>
        </is>
      </c>
      <c r="E7173" t="inlineStr">
        <is>
          <t>LJUSDAL</t>
        </is>
      </c>
      <c r="F7173" t="inlineStr">
        <is>
          <t>SCA</t>
        </is>
      </c>
      <c r="G7173" t="n">
        <v>6.9</v>
      </c>
      <c r="H7173" t="n">
        <v>0</v>
      </c>
      <c r="I7173" t="n">
        <v>0</v>
      </c>
      <c r="J7173" t="n">
        <v>0</v>
      </c>
      <c r="K7173" t="n">
        <v>0</v>
      </c>
      <c r="L7173" t="n">
        <v>0</v>
      </c>
      <c r="M7173" t="n">
        <v>0</v>
      </c>
      <c r="N7173" t="n">
        <v>0</v>
      </c>
      <c r="O7173" t="n">
        <v>0</v>
      </c>
      <c r="P7173" t="n">
        <v>0</v>
      </c>
      <c r="Q7173" t="n">
        <v>0</v>
      </c>
      <c r="R7173" s="2" t="inlineStr"/>
    </row>
    <row r="7174" ht="15" customHeight="1">
      <c r="A7174" t="inlineStr">
        <is>
          <t>A 11075-2023</t>
        </is>
      </c>
      <c r="B7174" s="1" t="n">
        <v>44992</v>
      </c>
      <c r="C7174" s="1" t="n">
        <v>45911</v>
      </c>
      <c r="D7174" t="inlineStr">
        <is>
          <t>GÄVLEBORGS LÄN</t>
        </is>
      </c>
      <c r="E7174" t="inlineStr">
        <is>
          <t>SÖDERHAMN</t>
        </is>
      </c>
      <c r="G7174" t="n">
        <v>0.4</v>
      </c>
      <c r="H7174" t="n">
        <v>0</v>
      </c>
      <c r="I7174" t="n">
        <v>0</v>
      </c>
      <c r="J7174" t="n">
        <v>0</v>
      </c>
      <c r="K7174" t="n">
        <v>0</v>
      </c>
      <c r="L7174" t="n">
        <v>0</v>
      </c>
      <c r="M7174" t="n">
        <v>0</v>
      </c>
      <c r="N7174" t="n">
        <v>0</v>
      </c>
      <c r="O7174" t="n">
        <v>0</v>
      </c>
      <c r="P7174" t="n">
        <v>0</v>
      </c>
      <c r="Q7174" t="n">
        <v>0</v>
      </c>
      <c r="R7174" s="2" t="inlineStr"/>
    </row>
    <row r="7175" ht="15" customHeight="1">
      <c r="A7175" t="inlineStr">
        <is>
          <t>A 11082-2023</t>
        </is>
      </c>
      <c r="B7175" s="1" t="n">
        <v>44992</v>
      </c>
      <c r="C7175" s="1" t="n">
        <v>45911</v>
      </c>
      <c r="D7175" t="inlineStr">
        <is>
          <t>GÄVLEBORGS LÄN</t>
        </is>
      </c>
      <c r="E7175" t="inlineStr">
        <is>
          <t>HUDIKSVALL</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58192-2024</t>
        </is>
      </c>
      <c r="B7176" s="1" t="n">
        <v>45632.47849537037</v>
      </c>
      <c r="C7176" s="1" t="n">
        <v>45911</v>
      </c>
      <c r="D7176" t="inlineStr">
        <is>
          <t>GÄVLEBORGS LÄN</t>
        </is>
      </c>
      <c r="E7176" t="inlineStr">
        <is>
          <t>GÄVLE</t>
        </is>
      </c>
      <c r="G7176" t="n">
        <v>4.4</v>
      </c>
      <c r="H7176" t="n">
        <v>0</v>
      </c>
      <c r="I7176" t="n">
        <v>0</v>
      </c>
      <c r="J7176" t="n">
        <v>0</v>
      </c>
      <c r="K7176" t="n">
        <v>0</v>
      </c>
      <c r="L7176" t="n">
        <v>0</v>
      </c>
      <c r="M7176" t="n">
        <v>0</v>
      </c>
      <c r="N7176" t="n">
        <v>0</v>
      </c>
      <c r="O7176" t="n">
        <v>0</v>
      </c>
      <c r="P7176" t="n">
        <v>0</v>
      </c>
      <c r="Q7176" t="n">
        <v>0</v>
      </c>
      <c r="R7176" s="2" t="inlineStr"/>
    </row>
    <row r="7177" ht="15" customHeight="1">
      <c r="A7177" t="inlineStr">
        <is>
          <t>A 58173-2024</t>
        </is>
      </c>
      <c r="B7177" s="1" t="n">
        <v>45632.46581018518</v>
      </c>
      <c r="C7177" s="1" t="n">
        <v>45911</v>
      </c>
      <c r="D7177" t="inlineStr">
        <is>
          <t>GÄVLEBORGS LÄN</t>
        </is>
      </c>
      <c r="E7177" t="inlineStr">
        <is>
          <t>LJUSDAL</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46074-2024</t>
        </is>
      </c>
      <c r="B7178" s="1" t="n">
        <v>45581</v>
      </c>
      <c r="C7178" s="1" t="n">
        <v>45911</v>
      </c>
      <c r="D7178" t="inlineStr">
        <is>
          <t>GÄVLEBORGS LÄN</t>
        </is>
      </c>
      <c r="E7178" t="inlineStr">
        <is>
          <t>OCKELBO</t>
        </is>
      </c>
      <c r="F7178" t="inlineStr">
        <is>
          <t>Bergvik skog väst AB</t>
        </is>
      </c>
      <c r="G7178" t="n">
        <v>3.6</v>
      </c>
      <c r="H7178" t="n">
        <v>0</v>
      </c>
      <c r="I7178" t="n">
        <v>0</v>
      </c>
      <c r="J7178" t="n">
        <v>0</v>
      </c>
      <c r="K7178" t="n">
        <v>0</v>
      </c>
      <c r="L7178" t="n">
        <v>0</v>
      </c>
      <c r="M7178" t="n">
        <v>0</v>
      </c>
      <c r="N7178" t="n">
        <v>0</v>
      </c>
      <c r="O7178" t="n">
        <v>0</v>
      </c>
      <c r="P7178" t="n">
        <v>0</v>
      </c>
      <c r="Q7178" t="n">
        <v>0</v>
      </c>
      <c r="R7178" s="2" t="inlineStr"/>
    </row>
    <row r="7179" ht="15" customHeight="1">
      <c r="A7179" t="inlineStr">
        <is>
          <t>A 61822-2024</t>
        </is>
      </c>
      <c r="B7179" s="1" t="n">
        <v>45649</v>
      </c>
      <c r="C7179" s="1" t="n">
        <v>45911</v>
      </c>
      <c r="D7179" t="inlineStr">
        <is>
          <t>GÄVLEBORGS LÄN</t>
        </is>
      </c>
      <c r="E7179" t="inlineStr">
        <is>
          <t>SANDVIKEN</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19346-2023</t>
        </is>
      </c>
      <c r="B7180" s="1" t="n">
        <v>45049.58680555555</v>
      </c>
      <c r="C7180" s="1" t="n">
        <v>45911</v>
      </c>
      <c r="D7180" t="inlineStr">
        <is>
          <t>GÄVLEBORGS LÄN</t>
        </is>
      </c>
      <c r="E7180" t="inlineStr">
        <is>
          <t>SANDVIKEN</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34600-2024</t>
        </is>
      </c>
      <c r="B7181" s="1" t="n">
        <v>45526.39949074074</v>
      </c>
      <c r="C7181" s="1" t="n">
        <v>45911</v>
      </c>
      <c r="D7181" t="inlineStr">
        <is>
          <t>GÄVLEBORGS LÄN</t>
        </is>
      </c>
      <c r="E7181" t="inlineStr">
        <is>
          <t>GÄVLE</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34613-2024</t>
        </is>
      </c>
      <c r="B7182" s="1" t="n">
        <v>45526.41092592593</v>
      </c>
      <c r="C7182" s="1" t="n">
        <v>45911</v>
      </c>
      <c r="D7182" t="inlineStr">
        <is>
          <t>GÄVLEBORGS LÄN</t>
        </is>
      </c>
      <c r="E7182" t="inlineStr">
        <is>
          <t>BOLLNÄS</t>
        </is>
      </c>
      <c r="F7182" t="inlineStr">
        <is>
          <t>Sveaskog</t>
        </is>
      </c>
      <c r="G7182" t="n">
        <v>0.4</v>
      </c>
      <c r="H7182" t="n">
        <v>0</v>
      </c>
      <c r="I7182" t="n">
        <v>0</v>
      </c>
      <c r="J7182" t="n">
        <v>0</v>
      </c>
      <c r="K7182" t="n">
        <v>0</v>
      </c>
      <c r="L7182" t="n">
        <v>0</v>
      </c>
      <c r="M7182" t="n">
        <v>0</v>
      </c>
      <c r="N7182" t="n">
        <v>0</v>
      </c>
      <c r="O7182" t="n">
        <v>0</v>
      </c>
      <c r="P7182" t="n">
        <v>0</v>
      </c>
      <c r="Q7182" t="n">
        <v>0</v>
      </c>
      <c r="R7182" s="2" t="inlineStr"/>
    </row>
    <row r="7183" ht="15" customHeight="1">
      <c r="A7183" t="inlineStr">
        <is>
          <t>A 16073-2023</t>
        </is>
      </c>
      <c r="B7183" s="1" t="n">
        <v>45027.45347222222</v>
      </c>
      <c r="C7183" s="1" t="n">
        <v>45911</v>
      </c>
      <c r="D7183" t="inlineStr">
        <is>
          <t>GÄVLEBORGS LÄN</t>
        </is>
      </c>
      <c r="E7183" t="inlineStr">
        <is>
          <t>HUDIKSVALL</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59476-2022</t>
        </is>
      </c>
      <c r="B7184" s="1" t="n">
        <v>44907.44679398148</v>
      </c>
      <c r="C7184" s="1" t="n">
        <v>45911</v>
      </c>
      <c r="D7184" t="inlineStr">
        <is>
          <t>GÄVLEBORGS LÄN</t>
        </is>
      </c>
      <c r="E7184" t="inlineStr">
        <is>
          <t>SÖDERHAMN</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40332-2024</t>
        </is>
      </c>
      <c r="B7185" s="1" t="n">
        <v>45555.31811342593</v>
      </c>
      <c r="C7185" s="1" t="n">
        <v>45911</v>
      </c>
      <c r="D7185" t="inlineStr">
        <is>
          <t>GÄVLEBORGS LÄN</t>
        </is>
      </c>
      <c r="E7185" t="inlineStr">
        <is>
          <t>HUDIKSVALL</t>
        </is>
      </c>
      <c r="F7185" t="inlineStr">
        <is>
          <t>Naturvårdsverket</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61694-2021</t>
        </is>
      </c>
      <c r="B7186" s="1" t="n">
        <v>44501.58199074074</v>
      </c>
      <c r="C7186" s="1" t="n">
        <v>45911</v>
      </c>
      <c r="D7186" t="inlineStr">
        <is>
          <t>GÄVLEBORGS LÄN</t>
        </is>
      </c>
      <c r="E7186" t="inlineStr">
        <is>
          <t>SANDVIKEN</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21878-2023</t>
        </is>
      </c>
      <c r="B7187" s="1" t="n">
        <v>45068.47928240741</v>
      </c>
      <c r="C7187" s="1" t="n">
        <v>45911</v>
      </c>
      <c r="D7187" t="inlineStr">
        <is>
          <t>GÄVLEBORGS LÄN</t>
        </is>
      </c>
      <c r="E7187" t="inlineStr">
        <is>
          <t>OCKELBO</t>
        </is>
      </c>
      <c r="F7187" t="inlineStr">
        <is>
          <t>Bergvik skog väst AB</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24512-2024</t>
        </is>
      </c>
      <c r="B7188" s="1" t="n">
        <v>45460.34677083333</v>
      </c>
      <c r="C7188" s="1" t="n">
        <v>45911</v>
      </c>
      <c r="D7188" t="inlineStr">
        <is>
          <t>GÄVLEBORGS LÄN</t>
        </is>
      </c>
      <c r="E7188" t="inlineStr">
        <is>
          <t>LJUSDAL</t>
        </is>
      </c>
      <c r="G7188" t="n">
        <v>13.7</v>
      </c>
      <c r="H7188" t="n">
        <v>0</v>
      </c>
      <c r="I7188" t="n">
        <v>0</v>
      </c>
      <c r="J7188" t="n">
        <v>0</v>
      </c>
      <c r="K7188" t="n">
        <v>0</v>
      </c>
      <c r="L7188" t="n">
        <v>0</v>
      </c>
      <c r="M7188" t="n">
        <v>0</v>
      </c>
      <c r="N7188" t="n">
        <v>0</v>
      </c>
      <c r="O7188" t="n">
        <v>0</v>
      </c>
      <c r="P7188" t="n">
        <v>0</v>
      </c>
      <c r="Q7188" t="n">
        <v>0</v>
      </c>
      <c r="R7188" s="2" t="inlineStr"/>
    </row>
    <row r="7189" ht="15" customHeight="1">
      <c r="A7189" t="inlineStr">
        <is>
          <t>A 42876-2023</t>
        </is>
      </c>
      <c r="B7189" s="1" t="n">
        <v>45182</v>
      </c>
      <c r="C7189" s="1" t="n">
        <v>45911</v>
      </c>
      <c r="D7189" t="inlineStr">
        <is>
          <t>GÄVLEBORGS LÄN</t>
        </is>
      </c>
      <c r="E7189" t="inlineStr">
        <is>
          <t>GÄVLE</t>
        </is>
      </c>
      <c r="F7189" t="inlineStr">
        <is>
          <t>Bergvik skog väst AB</t>
        </is>
      </c>
      <c r="G7189" t="n">
        <v>22.7</v>
      </c>
      <c r="H7189" t="n">
        <v>0</v>
      </c>
      <c r="I7189" t="n">
        <v>0</v>
      </c>
      <c r="J7189" t="n">
        <v>0</v>
      </c>
      <c r="K7189" t="n">
        <v>0</v>
      </c>
      <c r="L7189" t="n">
        <v>0</v>
      </c>
      <c r="M7189" t="n">
        <v>0</v>
      </c>
      <c r="N7189" t="n">
        <v>0</v>
      </c>
      <c r="O7189" t="n">
        <v>0</v>
      </c>
      <c r="P7189" t="n">
        <v>0</v>
      </c>
      <c r="Q7189" t="n">
        <v>0</v>
      </c>
      <c r="R7189" s="2" t="inlineStr"/>
    </row>
    <row r="7190" ht="15" customHeight="1">
      <c r="A7190" t="inlineStr">
        <is>
          <t>A 6073-2024</t>
        </is>
      </c>
      <c r="B7190" s="1" t="n">
        <v>45336</v>
      </c>
      <c r="C7190" s="1" t="n">
        <v>45911</v>
      </c>
      <c r="D7190" t="inlineStr">
        <is>
          <t>GÄVLEBORGS LÄN</t>
        </is>
      </c>
      <c r="E7190" t="inlineStr">
        <is>
          <t>LJUSDAL</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38295-2024</t>
        </is>
      </c>
      <c r="B7191" s="1" t="n">
        <v>45545.6265625</v>
      </c>
      <c r="C7191" s="1" t="n">
        <v>45911</v>
      </c>
      <c r="D7191" t="inlineStr">
        <is>
          <t>GÄVLEBORGS LÄN</t>
        </is>
      </c>
      <c r="E7191" t="inlineStr">
        <is>
          <t>HUDIKSVALL</t>
        </is>
      </c>
      <c r="F7191" t="inlineStr">
        <is>
          <t>Holmen skog AB</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9378-2025</t>
        </is>
      </c>
      <c r="B7192" s="1" t="n">
        <v>45715.34081018518</v>
      </c>
      <c r="C7192" s="1" t="n">
        <v>45911</v>
      </c>
      <c r="D7192" t="inlineStr">
        <is>
          <t>GÄVLEBORGS LÄN</t>
        </is>
      </c>
      <c r="E7192" t="inlineStr">
        <is>
          <t>GÄVLE</t>
        </is>
      </c>
      <c r="F7192" t="inlineStr">
        <is>
          <t>Kyrkan</t>
        </is>
      </c>
      <c r="G7192" t="n">
        <v>8.1</v>
      </c>
      <c r="H7192" t="n">
        <v>0</v>
      </c>
      <c r="I7192" t="n">
        <v>0</v>
      </c>
      <c r="J7192" t="n">
        <v>0</v>
      </c>
      <c r="K7192" t="n">
        <v>0</v>
      </c>
      <c r="L7192" t="n">
        <v>0</v>
      </c>
      <c r="M7192" t="n">
        <v>0</v>
      </c>
      <c r="N7192" t="n">
        <v>0</v>
      </c>
      <c r="O7192" t="n">
        <v>0</v>
      </c>
      <c r="P7192" t="n">
        <v>0</v>
      </c>
      <c r="Q7192" t="n">
        <v>0</v>
      </c>
      <c r="R7192" s="2" t="inlineStr"/>
    </row>
    <row r="7193" ht="15" customHeight="1">
      <c r="A7193" t="inlineStr">
        <is>
          <t>A 42930-2023</t>
        </is>
      </c>
      <c r="B7193" s="1" t="n">
        <v>45177</v>
      </c>
      <c r="C7193" s="1" t="n">
        <v>45911</v>
      </c>
      <c r="D7193" t="inlineStr">
        <is>
          <t>GÄVLEBORGS LÄN</t>
        </is>
      </c>
      <c r="E7193" t="inlineStr">
        <is>
          <t>SANDVIKEN</t>
        </is>
      </c>
      <c r="F7193" t="inlineStr">
        <is>
          <t>Bergvik skog väst AB</t>
        </is>
      </c>
      <c r="G7193" t="n">
        <v>20.6</v>
      </c>
      <c r="H7193" t="n">
        <v>0</v>
      </c>
      <c r="I7193" t="n">
        <v>0</v>
      </c>
      <c r="J7193" t="n">
        <v>0</v>
      </c>
      <c r="K7193" t="n">
        <v>0</v>
      </c>
      <c r="L7193" t="n">
        <v>0</v>
      </c>
      <c r="M7193" t="n">
        <v>0</v>
      </c>
      <c r="N7193" t="n">
        <v>0</v>
      </c>
      <c r="O7193" t="n">
        <v>0</v>
      </c>
      <c r="P7193" t="n">
        <v>0</v>
      </c>
      <c r="Q7193" t="n">
        <v>0</v>
      </c>
      <c r="R7193" s="2" t="inlineStr"/>
    </row>
    <row r="7194" ht="15" customHeight="1">
      <c r="A7194" t="inlineStr">
        <is>
          <t>A 10577-2025</t>
        </is>
      </c>
      <c r="B7194" s="1" t="n">
        <v>45721.54620370371</v>
      </c>
      <c r="C7194" s="1" t="n">
        <v>45911</v>
      </c>
      <c r="D7194" t="inlineStr">
        <is>
          <t>GÄVLEBORGS LÄN</t>
        </is>
      </c>
      <c r="E7194" t="inlineStr">
        <is>
          <t>SANDVIKEN</t>
        </is>
      </c>
      <c r="F7194" t="inlineStr">
        <is>
          <t>Sveaskog</t>
        </is>
      </c>
      <c r="G7194" t="n">
        <v>10.9</v>
      </c>
      <c r="H7194" t="n">
        <v>0</v>
      </c>
      <c r="I7194" t="n">
        <v>0</v>
      </c>
      <c r="J7194" t="n">
        <v>0</v>
      </c>
      <c r="K7194" t="n">
        <v>0</v>
      </c>
      <c r="L7194" t="n">
        <v>0</v>
      </c>
      <c r="M7194" t="n">
        <v>0</v>
      </c>
      <c r="N7194" t="n">
        <v>0</v>
      </c>
      <c r="O7194" t="n">
        <v>0</v>
      </c>
      <c r="P7194" t="n">
        <v>0</v>
      </c>
      <c r="Q7194" t="n">
        <v>0</v>
      </c>
      <c r="R7194" s="2" t="inlineStr"/>
    </row>
    <row r="7195" ht="15" customHeight="1">
      <c r="A7195" t="inlineStr">
        <is>
          <t>A 25631-2023</t>
        </is>
      </c>
      <c r="B7195" s="1" t="n">
        <v>45089.71152777778</v>
      </c>
      <c r="C7195" s="1" t="n">
        <v>45911</v>
      </c>
      <c r="D7195" t="inlineStr">
        <is>
          <t>GÄVLEBORGS LÄN</t>
        </is>
      </c>
      <c r="E7195" t="inlineStr">
        <is>
          <t>NORDANSTIG</t>
        </is>
      </c>
      <c r="G7195" t="n">
        <v>2.8</v>
      </c>
      <c r="H7195" t="n">
        <v>0</v>
      </c>
      <c r="I7195" t="n">
        <v>0</v>
      </c>
      <c r="J7195" t="n">
        <v>0</v>
      </c>
      <c r="K7195" t="n">
        <v>0</v>
      </c>
      <c r="L7195" t="n">
        <v>0</v>
      </c>
      <c r="M7195" t="n">
        <v>0</v>
      </c>
      <c r="N7195" t="n">
        <v>0</v>
      </c>
      <c r="O7195" t="n">
        <v>0</v>
      </c>
      <c r="P7195" t="n">
        <v>0</v>
      </c>
      <c r="Q7195" t="n">
        <v>0</v>
      </c>
      <c r="R7195" s="2" t="inlineStr"/>
    </row>
    <row r="7196" ht="15" customHeight="1">
      <c r="A7196" t="inlineStr">
        <is>
          <t>A 12686-2025</t>
        </is>
      </c>
      <c r="B7196" s="1" t="n">
        <v>45733</v>
      </c>
      <c r="C7196" s="1" t="n">
        <v>45911</v>
      </c>
      <c r="D7196" t="inlineStr">
        <is>
          <t>GÄVLEBORGS LÄN</t>
        </is>
      </c>
      <c r="E7196" t="inlineStr">
        <is>
          <t>BOLLNÄS</t>
        </is>
      </c>
      <c r="G7196" t="n">
        <v>2.7</v>
      </c>
      <c r="H7196" t="n">
        <v>0</v>
      </c>
      <c r="I7196" t="n">
        <v>0</v>
      </c>
      <c r="J7196" t="n">
        <v>0</v>
      </c>
      <c r="K7196" t="n">
        <v>0</v>
      </c>
      <c r="L7196" t="n">
        <v>0</v>
      </c>
      <c r="M7196" t="n">
        <v>0</v>
      </c>
      <c r="N7196" t="n">
        <v>0</v>
      </c>
      <c r="O7196" t="n">
        <v>0</v>
      </c>
      <c r="P7196" t="n">
        <v>0</v>
      </c>
      <c r="Q7196" t="n">
        <v>0</v>
      </c>
      <c r="R7196" s="2" t="inlineStr"/>
    </row>
    <row r="7197" ht="15" customHeight="1">
      <c r="A7197" t="inlineStr">
        <is>
          <t>A 43152-2023</t>
        </is>
      </c>
      <c r="B7197" s="1" t="n">
        <v>45183.32864583333</v>
      </c>
      <c r="C7197" s="1" t="n">
        <v>45911</v>
      </c>
      <c r="D7197" t="inlineStr">
        <is>
          <t>GÄVLEBORGS LÄN</t>
        </is>
      </c>
      <c r="E7197" t="inlineStr">
        <is>
          <t>BOLLNÄS</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46151-2024</t>
        </is>
      </c>
      <c r="B7198" s="1" t="n">
        <v>45581.45340277778</v>
      </c>
      <c r="C7198" s="1" t="n">
        <v>45911</v>
      </c>
      <c r="D7198" t="inlineStr">
        <is>
          <t>GÄVLEBORGS LÄN</t>
        </is>
      </c>
      <c r="E7198" t="inlineStr">
        <is>
          <t>BOLLNÄS</t>
        </is>
      </c>
      <c r="G7198" t="n">
        <v>0.5</v>
      </c>
      <c r="H7198" t="n">
        <v>0</v>
      </c>
      <c r="I7198" t="n">
        <v>0</v>
      </c>
      <c r="J7198" t="n">
        <v>0</v>
      </c>
      <c r="K7198" t="n">
        <v>0</v>
      </c>
      <c r="L7198" t="n">
        <v>0</v>
      </c>
      <c r="M7198" t="n">
        <v>0</v>
      </c>
      <c r="N7198" t="n">
        <v>0</v>
      </c>
      <c r="O7198" t="n">
        <v>0</v>
      </c>
      <c r="P7198" t="n">
        <v>0</v>
      </c>
      <c r="Q7198" t="n">
        <v>0</v>
      </c>
      <c r="R7198" s="2" t="inlineStr"/>
    </row>
    <row r="7199" ht="15" customHeight="1">
      <c r="A7199" t="inlineStr">
        <is>
          <t>A 37643-2024</t>
        </is>
      </c>
      <c r="B7199" s="1" t="n">
        <v>45541</v>
      </c>
      <c r="C7199" s="1" t="n">
        <v>45911</v>
      </c>
      <c r="D7199" t="inlineStr">
        <is>
          <t>GÄVLEBORGS LÄN</t>
        </is>
      </c>
      <c r="E7199" t="inlineStr">
        <is>
          <t>SANDVIKEN</t>
        </is>
      </c>
      <c r="F7199" t="inlineStr">
        <is>
          <t>Sveaskog</t>
        </is>
      </c>
      <c r="G7199" t="n">
        <v>4.1</v>
      </c>
      <c r="H7199" t="n">
        <v>0</v>
      </c>
      <c r="I7199" t="n">
        <v>0</v>
      </c>
      <c r="J7199" t="n">
        <v>0</v>
      </c>
      <c r="K7199" t="n">
        <v>0</v>
      </c>
      <c r="L7199" t="n">
        <v>0</v>
      </c>
      <c r="M7199" t="n">
        <v>0</v>
      </c>
      <c r="N7199" t="n">
        <v>0</v>
      </c>
      <c r="O7199" t="n">
        <v>0</v>
      </c>
      <c r="P7199" t="n">
        <v>0</v>
      </c>
      <c r="Q7199" t="n">
        <v>0</v>
      </c>
      <c r="R7199" s="2" t="inlineStr"/>
    </row>
    <row r="7200" ht="15" customHeight="1">
      <c r="A7200" t="inlineStr">
        <is>
          <t>A 7992-2024</t>
        </is>
      </c>
      <c r="B7200" s="1" t="n">
        <v>45350.63182870371</v>
      </c>
      <c r="C7200" s="1" t="n">
        <v>45911</v>
      </c>
      <c r="D7200" t="inlineStr">
        <is>
          <t>GÄVLEBORGS LÄN</t>
        </is>
      </c>
      <c r="E7200" t="inlineStr">
        <is>
          <t>HUDIKSVALL</t>
        </is>
      </c>
      <c r="F7200" t="inlineStr">
        <is>
          <t>Holmen skog AB</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29712-2023</t>
        </is>
      </c>
      <c r="B7201" s="1" t="n">
        <v>45107</v>
      </c>
      <c r="C7201" s="1" t="n">
        <v>45911</v>
      </c>
      <c r="D7201" t="inlineStr">
        <is>
          <t>GÄVLEBORGS LÄN</t>
        </is>
      </c>
      <c r="E7201" t="inlineStr">
        <is>
          <t>BOLLNÄS</t>
        </is>
      </c>
      <c r="F7201" t="inlineStr">
        <is>
          <t>Sveaskog</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61603-2022</t>
        </is>
      </c>
      <c r="B7202" s="1" t="n">
        <v>44916</v>
      </c>
      <c r="C7202" s="1" t="n">
        <v>45911</v>
      </c>
      <c r="D7202" t="inlineStr">
        <is>
          <t>GÄVLEBORGS LÄN</t>
        </is>
      </c>
      <c r="E7202" t="inlineStr">
        <is>
          <t>LJUSDAL</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18363-2025</t>
        </is>
      </c>
      <c r="B7203" s="1" t="n">
        <v>45762.56040509259</v>
      </c>
      <c r="C7203" s="1" t="n">
        <v>45911</v>
      </c>
      <c r="D7203" t="inlineStr">
        <is>
          <t>GÄVLEBORGS LÄN</t>
        </is>
      </c>
      <c r="E7203" t="inlineStr">
        <is>
          <t>OVANÅKER</t>
        </is>
      </c>
      <c r="G7203" t="n">
        <v>3.6</v>
      </c>
      <c r="H7203" t="n">
        <v>0</v>
      </c>
      <c r="I7203" t="n">
        <v>0</v>
      </c>
      <c r="J7203" t="n">
        <v>0</v>
      </c>
      <c r="K7203" t="n">
        <v>0</v>
      </c>
      <c r="L7203" t="n">
        <v>0</v>
      </c>
      <c r="M7203" t="n">
        <v>0</v>
      </c>
      <c r="N7203" t="n">
        <v>0</v>
      </c>
      <c r="O7203" t="n">
        <v>0</v>
      </c>
      <c r="P7203" t="n">
        <v>0</v>
      </c>
      <c r="Q7203" t="n">
        <v>0</v>
      </c>
      <c r="R7203" s="2" t="inlineStr"/>
    </row>
    <row r="7204" ht="15" customHeight="1">
      <c r="A7204" t="inlineStr">
        <is>
          <t>A 56356-2024</t>
        </is>
      </c>
      <c r="B7204" s="1" t="n">
        <v>45624.93702546296</v>
      </c>
      <c r="C7204" s="1" t="n">
        <v>45911</v>
      </c>
      <c r="D7204" t="inlineStr">
        <is>
          <t>GÄVLEBORGS LÄN</t>
        </is>
      </c>
      <c r="E7204" t="inlineStr">
        <is>
          <t>LJUSDAL</t>
        </is>
      </c>
      <c r="G7204" t="n">
        <v>3.5</v>
      </c>
      <c r="H7204" t="n">
        <v>0</v>
      </c>
      <c r="I7204" t="n">
        <v>0</v>
      </c>
      <c r="J7204" t="n">
        <v>0</v>
      </c>
      <c r="K7204" t="n">
        <v>0</v>
      </c>
      <c r="L7204" t="n">
        <v>0</v>
      </c>
      <c r="M7204" t="n">
        <v>0</v>
      </c>
      <c r="N7204" t="n">
        <v>0</v>
      </c>
      <c r="O7204" t="n">
        <v>0</v>
      </c>
      <c r="P7204" t="n">
        <v>0</v>
      </c>
      <c r="Q7204" t="n">
        <v>0</v>
      </c>
      <c r="R7204" s="2" t="inlineStr"/>
    </row>
    <row r="7205" ht="15" customHeight="1">
      <c r="A7205" t="inlineStr">
        <is>
          <t>A 56366-2024</t>
        </is>
      </c>
      <c r="B7205" s="1" t="n">
        <v>45625</v>
      </c>
      <c r="C7205" s="1" t="n">
        <v>45911</v>
      </c>
      <c r="D7205" t="inlineStr">
        <is>
          <t>GÄVLEBORGS LÄN</t>
        </is>
      </c>
      <c r="E7205" t="inlineStr">
        <is>
          <t>HUDIKSVALL</t>
        </is>
      </c>
      <c r="G7205" t="n">
        <v>5.7</v>
      </c>
      <c r="H7205" t="n">
        <v>0</v>
      </c>
      <c r="I7205" t="n">
        <v>0</v>
      </c>
      <c r="J7205" t="n">
        <v>0</v>
      </c>
      <c r="K7205" t="n">
        <v>0</v>
      </c>
      <c r="L7205" t="n">
        <v>0</v>
      </c>
      <c r="M7205" t="n">
        <v>0</v>
      </c>
      <c r="N7205" t="n">
        <v>0</v>
      </c>
      <c r="O7205" t="n">
        <v>0</v>
      </c>
      <c r="P7205" t="n">
        <v>0</v>
      </c>
      <c r="Q7205" t="n">
        <v>0</v>
      </c>
      <c r="R7205" s="2" t="inlineStr"/>
    </row>
    <row r="7206" ht="15" customHeight="1">
      <c r="A7206" t="inlineStr">
        <is>
          <t>A 38144-2023</t>
        </is>
      </c>
      <c r="B7206" s="1" t="n">
        <v>45161.37980324074</v>
      </c>
      <c r="C7206" s="1" t="n">
        <v>45911</v>
      </c>
      <c r="D7206" t="inlineStr">
        <is>
          <t>GÄVLEBORGS LÄN</t>
        </is>
      </c>
      <c r="E7206" t="inlineStr">
        <is>
          <t>OVANÅKER</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30562-2023</t>
        </is>
      </c>
      <c r="B7207" s="1" t="n">
        <v>45111</v>
      </c>
      <c r="C7207" s="1" t="n">
        <v>45911</v>
      </c>
      <c r="D7207" t="inlineStr">
        <is>
          <t>GÄVLEBORGS LÄN</t>
        </is>
      </c>
      <c r="E7207" t="inlineStr">
        <is>
          <t>HUDIKSVALL</t>
        </is>
      </c>
      <c r="G7207" t="n">
        <v>11.5</v>
      </c>
      <c r="H7207" t="n">
        <v>0</v>
      </c>
      <c r="I7207" t="n">
        <v>0</v>
      </c>
      <c r="J7207" t="n">
        <v>0</v>
      </c>
      <c r="K7207" t="n">
        <v>0</v>
      </c>
      <c r="L7207" t="n">
        <v>0</v>
      </c>
      <c r="M7207" t="n">
        <v>0</v>
      </c>
      <c r="N7207" t="n">
        <v>0</v>
      </c>
      <c r="O7207" t="n">
        <v>0</v>
      </c>
      <c r="P7207" t="n">
        <v>0</v>
      </c>
      <c r="Q7207" t="n">
        <v>0</v>
      </c>
      <c r="R7207" s="2" t="inlineStr"/>
    </row>
    <row r="7208" ht="15" customHeight="1">
      <c r="A7208" t="inlineStr">
        <is>
          <t>A 69620-2021</t>
        </is>
      </c>
      <c r="B7208" s="1" t="n">
        <v>44532.40591435185</v>
      </c>
      <c r="C7208" s="1" t="n">
        <v>45911</v>
      </c>
      <c r="D7208" t="inlineStr">
        <is>
          <t>GÄVLEBORGS LÄN</t>
        </is>
      </c>
      <c r="E7208" t="inlineStr">
        <is>
          <t>BOLLNÄS</t>
        </is>
      </c>
      <c r="F7208" t="inlineStr">
        <is>
          <t>Bergvik skog väst AB</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22678-2023</t>
        </is>
      </c>
      <c r="B7209" s="1" t="n">
        <v>45071</v>
      </c>
      <c r="C7209" s="1" t="n">
        <v>45911</v>
      </c>
      <c r="D7209" t="inlineStr">
        <is>
          <t>GÄVLEBORGS LÄN</t>
        </is>
      </c>
      <c r="E7209" t="inlineStr">
        <is>
          <t>LJUSDAL</t>
        </is>
      </c>
      <c r="G7209" t="n">
        <v>0.1</v>
      </c>
      <c r="H7209" t="n">
        <v>0</v>
      </c>
      <c r="I7209" t="n">
        <v>0</v>
      </c>
      <c r="J7209" t="n">
        <v>0</v>
      </c>
      <c r="K7209" t="n">
        <v>0</v>
      </c>
      <c r="L7209" t="n">
        <v>0</v>
      </c>
      <c r="M7209" t="n">
        <v>0</v>
      </c>
      <c r="N7209" t="n">
        <v>0</v>
      </c>
      <c r="O7209" t="n">
        <v>0</v>
      </c>
      <c r="P7209" t="n">
        <v>0</v>
      </c>
      <c r="Q7209" t="n">
        <v>0</v>
      </c>
      <c r="R7209" s="2" t="inlineStr"/>
    </row>
    <row r="7210" ht="15" customHeight="1">
      <c r="A7210" t="inlineStr">
        <is>
          <t>A 25479-2023</t>
        </is>
      </c>
      <c r="B7210" s="1" t="n">
        <v>45089</v>
      </c>
      <c r="C7210" s="1" t="n">
        <v>45911</v>
      </c>
      <c r="D7210" t="inlineStr">
        <is>
          <t>GÄVLEBORGS LÄN</t>
        </is>
      </c>
      <c r="E7210" t="inlineStr">
        <is>
          <t>SANDVIKEN</t>
        </is>
      </c>
      <c r="G7210" t="n">
        <v>4.1</v>
      </c>
      <c r="H7210" t="n">
        <v>0</v>
      </c>
      <c r="I7210" t="n">
        <v>0</v>
      </c>
      <c r="J7210" t="n">
        <v>0</v>
      </c>
      <c r="K7210" t="n">
        <v>0</v>
      </c>
      <c r="L7210" t="n">
        <v>0</v>
      </c>
      <c r="M7210" t="n">
        <v>0</v>
      </c>
      <c r="N7210" t="n">
        <v>0</v>
      </c>
      <c r="O7210" t="n">
        <v>0</v>
      </c>
      <c r="P7210" t="n">
        <v>0</v>
      </c>
      <c r="Q7210" t="n">
        <v>0</v>
      </c>
      <c r="R7210" s="2" t="inlineStr"/>
    </row>
    <row r="7211" ht="15" customHeight="1">
      <c r="A7211" t="inlineStr">
        <is>
          <t>A 39540-2024</t>
        </is>
      </c>
      <c r="B7211" s="1" t="n">
        <v>45551.92954861111</v>
      </c>
      <c r="C7211" s="1" t="n">
        <v>45911</v>
      </c>
      <c r="D7211" t="inlineStr">
        <is>
          <t>GÄVLEBORGS LÄN</t>
        </is>
      </c>
      <c r="E7211" t="inlineStr">
        <is>
          <t>OVANÅKER</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29004-2024</t>
        </is>
      </c>
      <c r="B7212" s="1" t="n">
        <v>45481.53094907408</v>
      </c>
      <c r="C7212" s="1" t="n">
        <v>45911</v>
      </c>
      <c r="D7212" t="inlineStr">
        <is>
          <t>GÄVLEBORGS LÄN</t>
        </is>
      </c>
      <c r="E7212" t="inlineStr">
        <is>
          <t>HUDIKSVALL</t>
        </is>
      </c>
      <c r="F7212" t="inlineStr">
        <is>
          <t>Holmen skog AB</t>
        </is>
      </c>
      <c r="G7212" t="n">
        <v>4.6</v>
      </c>
      <c r="H7212" t="n">
        <v>0</v>
      </c>
      <c r="I7212" t="n">
        <v>0</v>
      </c>
      <c r="J7212" t="n">
        <v>0</v>
      </c>
      <c r="K7212" t="n">
        <v>0</v>
      </c>
      <c r="L7212" t="n">
        <v>0</v>
      </c>
      <c r="M7212" t="n">
        <v>0</v>
      </c>
      <c r="N7212" t="n">
        <v>0</v>
      </c>
      <c r="O7212" t="n">
        <v>0</v>
      </c>
      <c r="P7212" t="n">
        <v>0</v>
      </c>
      <c r="Q7212" t="n">
        <v>0</v>
      </c>
      <c r="R7212" s="2" t="inlineStr"/>
    </row>
    <row r="7213" ht="15" customHeight="1">
      <c r="A7213" t="inlineStr">
        <is>
          <t>A 39430-2024</t>
        </is>
      </c>
      <c r="B7213" s="1" t="n">
        <v>45551.59668981482</v>
      </c>
      <c r="C7213" s="1" t="n">
        <v>45911</v>
      </c>
      <c r="D7213" t="inlineStr">
        <is>
          <t>GÄVLEBORGS LÄN</t>
        </is>
      </c>
      <c r="E7213" t="inlineStr">
        <is>
          <t>OCKELBO</t>
        </is>
      </c>
      <c r="G7213" t="n">
        <v>2.1</v>
      </c>
      <c r="H7213" t="n">
        <v>0</v>
      </c>
      <c r="I7213" t="n">
        <v>0</v>
      </c>
      <c r="J7213" t="n">
        <v>0</v>
      </c>
      <c r="K7213" t="n">
        <v>0</v>
      </c>
      <c r="L7213" t="n">
        <v>0</v>
      </c>
      <c r="M7213" t="n">
        <v>0</v>
      </c>
      <c r="N7213" t="n">
        <v>0</v>
      </c>
      <c r="O7213" t="n">
        <v>0</v>
      </c>
      <c r="P7213" t="n">
        <v>0</v>
      </c>
      <c r="Q7213" t="n">
        <v>0</v>
      </c>
      <c r="R7213" s="2" t="inlineStr"/>
    </row>
    <row r="7214" ht="15" customHeight="1">
      <c r="A7214" t="inlineStr">
        <is>
          <t>A 13094-2023</t>
        </is>
      </c>
      <c r="B7214" s="1" t="n">
        <v>45002.43677083333</v>
      </c>
      <c r="C7214" s="1" t="n">
        <v>45911</v>
      </c>
      <c r="D7214" t="inlineStr">
        <is>
          <t>GÄVLEBORGS LÄN</t>
        </is>
      </c>
      <c r="E7214" t="inlineStr">
        <is>
          <t>LJUSDAL</t>
        </is>
      </c>
      <c r="F7214" t="inlineStr">
        <is>
          <t>Holmen skog AB</t>
        </is>
      </c>
      <c r="G7214" t="n">
        <v>3.4</v>
      </c>
      <c r="H7214" t="n">
        <v>0</v>
      </c>
      <c r="I7214" t="n">
        <v>0</v>
      </c>
      <c r="J7214" t="n">
        <v>0</v>
      </c>
      <c r="K7214" t="n">
        <v>0</v>
      </c>
      <c r="L7214" t="n">
        <v>0</v>
      </c>
      <c r="M7214" t="n">
        <v>0</v>
      </c>
      <c r="N7214" t="n">
        <v>0</v>
      </c>
      <c r="O7214" t="n">
        <v>0</v>
      </c>
      <c r="P7214" t="n">
        <v>0</v>
      </c>
      <c r="Q7214" t="n">
        <v>0</v>
      </c>
      <c r="R7214" s="2" t="inlineStr"/>
    </row>
    <row r="7215" ht="15" customHeight="1">
      <c r="A7215" t="inlineStr">
        <is>
          <t>A 20109-2025</t>
        </is>
      </c>
      <c r="B7215" s="1" t="n">
        <v>45772.47123842593</v>
      </c>
      <c r="C7215" s="1" t="n">
        <v>45911</v>
      </c>
      <c r="D7215" t="inlineStr">
        <is>
          <t>GÄVLEBORGS LÄN</t>
        </is>
      </c>
      <c r="E7215" t="inlineStr">
        <is>
          <t>LJUSDAL</t>
        </is>
      </c>
      <c r="F7215" t="inlineStr">
        <is>
          <t>Sveaskog</t>
        </is>
      </c>
      <c r="G7215" t="n">
        <v>6.8</v>
      </c>
      <c r="H7215" t="n">
        <v>0</v>
      </c>
      <c r="I7215" t="n">
        <v>0</v>
      </c>
      <c r="J7215" t="n">
        <v>0</v>
      </c>
      <c r="K7215" t="n">
        <v>0</v>
      </c>
      <c r="L7215" t="n">
        <v>0</v>
      </c>
      <c r="M7215" t="n">
        <v>0</v>
      </c>
      <c r="N7215" t="n">
        <v>0</v>
      </c>
      <c r="O7215" t="n">
        <v>0</v>
      </c>
      <c r="P7215" t="n">
        <v>0</v>
      </c>
      <c r="Q7215" t="n">
        <v>0</v>
      </c>
      <c r="R7215" s="2" t="inlineStr"/>
    </row>
    <row r="7216" ht="15" customHeight="1">
      <c r="A7216" t="inlineStr">
        <is>
          <t>A 52656-2024</t>
        </is>
      </c>
      <c r="B7216" s="1" t="n">
        <v>45610.35722222222</v>
      </c>
      <c r="C7216" s="1" t="n">
        <v>45911</v>
      </c>
      <c r="D7216" t="inlineStr">
        <is>
          <t>GÄVLEBORGS LÄN</t>
        </is>
      </c>
      <c r="E7216" t="inlineStr">
        <is>
          <t>HUDIKSVALL</t>
        </is>
      </c>
      <c r="G7216" t="n">
        <v>15.6</v>
      </c>
      <c r="H7216" t="n">
        <v>0</v>
      </c>
      <c r="I7216" t="n">
        <v>0</v>
      </c>
      <c r="J7216" t="n">
        <v>0</v>
      </c>
      <c r="K7216" t="n">
        <v>0</v>
      </c>
      <c r="L7216" t="n">
        <v>0</v>
      </c>
      <c r="M7216" t="n">
        <v>0</v>
      </c>
      <c r="N7216" t="n">
        <v>0</v>
      </c>
      <c r="O7216" t="n">
        <v>0</v>
      </c>
      <c r="P7216" t="n">
        <v>0</v>
      </c>
      <c r="Q7216" t="n">
        <v>0</v>
      </c>
      <c r="R7216" s="2" t="inlineStr"/>
    </row>
    <row r="7217" ht="15" customHeight="1">
      <c r="A7217" t="inlineStr">
        <is>
          <t>A 13014-2023</t>
        </is>
      </c>
      <c r="B7217" s="1" t="n">
        <v>45002</v>
      </c>
      <c r="C7217" s="1" t="n">
        <v>45911</v>
      </c>
      <c r="D7217" t="inlineStr">
        <is>
          <t>GÄVLEBORGS LÄN</t>
        </is>
      </c>
      <c r="E7217" t="inlineStr">
        <is>
          <t>OVANÅKER</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33710-2024</t>
        </is>
      </c>
      <c r="B7218" s="1" t="n">
        <v>45520</v>
      </c>
      <c r="C7218" s="1" t="n">
        <v>45911</v>
      </c>
      <c r="D7218" t="inlineStr">
        <is>
          <t>GÄVLEBORGS LÄN</t>
        </is>
      </c>
      <c r="E7218" t="inlineStr">
        <is>
          <t>HOFORS</t>
        </is>
      </c>
      <c r="F7218" t="inlineStr">
        <is>
          <t>Sveaskog</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62152-2024</t>
        </is>
      </c>
      <c r="B7219" s="1" t="n">
        <v>45656</v>
      </c>
      <c r="C7219" s="1" t="n">
        <v>45911</v>
      </c>
      <c r="D7219" t="inlineStr">
        <is>
          <t>GÄVLEBORGS LÄN</t>
        </is>
      </c>
      <c r="E7219" t="inlineStr">
        <is>
          <t>OVANÅKER</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60869-2024</t>
        </is>
      </c>
      <c r="B7220" s="1" t="n">
        <v>45644.70296296296</v>
      </c>
      <c r="C7220" s="1" t="n">
        <v>45911</v>
      </c>
      <c r="D7220" t="inlineStr">
        <is>
          <t>GÄVLEBORGS LÄN</t>
        </is>
      </c>
      <c r="E7220" t="inlineStr">
        <is>
          <t>NORDANSTIG</t>
        </is>
      </c>
      <c r="F7220" t="inlineStr">
        <is>
          <t>Holmen skog AB</t>
        </is>
      </c>
      <c r="G7220" t="n">
        <v>3.5</v>
      </c>
      <c r="H7220" t="n">
        <v>0</v>
      </c>
      <c r="I7220" t="n">
        <v>0</v>
      </c>
      <c r="J7220" t="n">
        <v>0</v>
      </c>
      <c r="K7220" t="n">
        <v>0</v>
      </c>
      <c r="L7220" t="n">
        <v>0</v>
      </c>
      <c r="M7220" t="n">
        <v>0</v>
      </c>
      <c r="N7220" t="n">
        <v>0</v>
      </c>
      <c r="O7220" t="n">
        <v>0</v>
      </c>
      <c r="P7220" t="n">
        <v>0</v>
      </c>
      <c r="Q7220" t="n">
        <v>0</v>
      </c>
      <c r="R7220" s="2" t="inlineStr"/>
    </row>
    <row r="7221" ht="15" customHeight="1">
      <c r="A7221" t="inlineStr">
        <is>
          <t>A 35185-2022</t>
        </is>
      </c>
      <c r="B7221" s="1" t="n">
        <v>44797.63806712963</v>
      </c>
      <c r="C7221" s="1" t="n">
        <v>45911</v>
      </c>
      <c r="D7221" t="inlineStr">
        <is>
          <t>GÄVLEBORGS LÄN</t>
        </is>
      </c>
      <c r="E7221" t="inlineStr">
        <is>
          <t>SANDVIKEN</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44346-2023</t>
        </is>
      </c>
      <c r="B7222" s="1" t="n">
        <v>45188</v>
      </c>
      <c r="C7222" s="1" t="n">
        <v>45911</v>
      </c>
      <c r="D7222" t="inlineStr">
        <is>
          <t>GÄVLEBORGS LÄN</t>
        </is>
      </c>
      <c r="E7222" t="inlineStr">
        <is>
          <t>OVANÅKER</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32609-2023</t>
        </is>
      </c>
      <c r="B7223" s="1" t="n">
        <v>45121.54181712963</v>
      </c>
      <c r="C7223" s="1" t="n">
        <v>45911</v>
      </c>
      <c r="D7223" t="inlineStr">
        <is>
          <t>GÄVLEBORGS LÄN</t>
        </is>
      </c>
      <c r="E7223" t="inlineStr">
        <is>
          <t>SANDVIKEN</t>
        </is>
      </c>
      <c r="G7223" t="n">
        <v>3.7</v>
      </c>
      <c r="H7223" t="n">
        <v>0</v>
      </c>
      <c r="I7223" t="n">
        <v>0</v>
      </c>
      <c r="J7223" t="n">
        <v>0</v>
      </c>
      <c r="K7223" t="n">
        <v>0</v>
      </c>
      <c r="L7223" t="n">
        <v>0</v>
      </c>
      <c r="M7223" t="n">
        <v>0</v>
      </c>
      <c r="N7223" t="n">
        <v>0</v>
      </c>
      <c r="O7223" t="n">
        <v>0</v>
      </c>
      <c r="P7223" t="n">
        <v>0</v>
      </c>
      <c r="Q7223" t="n">
        <v>0</v>
      </c>
      <c r="R7223" s="2" t="inlineStr"/>
    </row>
    <row r="7224" ht="15" customHeight="1">
      <c r="A7224" t="inlineStr">
        <is>
          <t>A 34986-2024</t>
        </is>
      </c>
      <c r="B7224" s="1" t="n">
        <v>45527</v>
      </c>
      <c r="C7224" s="1" t="n">
        <v>45911</v>
      </c>
      <c r="D7224" t="inlineStr">
        <is>
          <t>GÄVLEBORGS LÄN</t>
        </is>
      </c>
      <c r="E7224" t="inlineStr">
        <is>
          <t>LJUSDAL</t>
        </is>
      </c>
      <c r="F7224" t="inlineStr">
        <is>
          <t>Sveaskog</t>
        </is>
      </c>
      <c r="G7224" t="n">
        <v>8.5</v>
      </c>
      <c r="H7224" t="n">
        <v>0</v>
      </c>
      <c r="I7224" t="n">
        <v>0</v>
      </c>
      <c r="J7224" t="n">
        <v>0</v>
      </c>
      <c r="K7224" t="n">
        <v>0</v>
      </c>
      <c r="L7224" t="n">
        <v>0</v>
      </c>
      <c r="M7224" t="n">
        <v>0</v>
      </c>
      <c r="N7224" t="n">
        <v>0</v>
      </c>
      <c r="O7224" t="n">
        <v>0</v>
      </c>
      <c r="P7224" t="n">
        <v>0</v>
      </c>
      <c r="Q7224" t="n">
        <v>0</v>
      </c>
      <c r="R7224" s="2" t="inlineStr"/>
    </row>
    <row r="7225" ht="15" customHeight="1">
      <c r="A7225" t="inlineStr">
        <is>
          <t>A 10606-2024</t>
        </is>
      </c>
      <c r="B7225" s="1" t="n">
        <v>45366.96065972222</v>
      </c>
      <c r="C7225" s="1" t="n">
        <v>45911</v>
      </c>
      <c r="D7225" t="inlineStr">
        <is>
          <t>GÄVLEBORGS LÄN</t>
        </is>
      </c>
      <c r="E7225" t="inlineStr">
        <is>
          <t>BOLLNÄS</t>
        </is>
      </c>
      <c r="G7225" t="n">
        <v>2.6</v>
      </c>
      <c r="H7225" t="n">
        <v>0</v>
      </c>
      <c r="I7225" t="n">
        <v>0</v>
      </c>
      <c r="J7225" t="n">
        <v>0</v>
      </c>
      <c r="K7225" t="n">
        <v>0</v>
      </c>
      <c r="L7225" t="n">
        <v>0</v>
      </c>
      <c r="M7225" t="n">
        <v>0</v>
      </c>
      <c r="N7225" t="n">
        <v>0</v>
      </c>
      <c r="O7225" t="n">
        <v>0</v>
      </c>
      <c r="P7225" t="n">
        <v>0</v>
      </c>
      <c r="Q7225" t="n">
        <v>0</v>
      </c>
      <c r="R7225" s="2" t="inlineStr"/>
    </row>
    <row r="7226" ht="15" customHeight="1">
      <c r="A7226" t="inlineStr">
        <is>
          <t>A 62047-2022</t>
        </is>
      </c>
      <c r="B7226" s="1" t="n">
        <v>44918</v>
      </c>
      <c r="C7226" s="1" t="n">
        <v>45911</v>
      </c>
      <c r="D7226" t="inlineStr">
        <is>
          <t>GÄVLEBORGS LÄN</t>
        </is>
      </c>
      <c r="E7226" t="inlineStr">
        <is>
          <t>SANDVIKEN</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11385-2023</t>
        </is>
      </c>
      <c r="B7227" s="1" t="n">
        <v>44988</v>
      </c>
      <c r="C7227" s="1" t="n">
        <v>45911</v>
      </c>
      <c r="D7227" t="inlineStr">
        <is>
          <t>GÄVLEBORGS LÄN</t>
        </is>
      </c>
      <c r="E7227" t="inlineStr">
        <is>
          <t>SANDVIKEN</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2738-2025</t>
        </is>
      </c>
      <c r="B7228" s="1" t="n">
        <v>45677.45362268519</v>
      </c>
      <c r="C7228" s="1" t="n">
        <v>45911</v>
      </c>
      <c r="D7228" t="inlineStr">
        <is>
          <t>GÄVLEBORGS LÄN</t>
        </is>
      </c>
      <c r="E7228" t="inlineStr">
        <is>
          <t>HUDIKSVALL</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2740-2025</t>
        </is>
      </c>
      <c r="B7229" s="1" t="n">
        <v>45677.45729166667</v>
      </c>
      <c r="C7229" s="1" t="n">
        <v>45911</v>
      </c>
      <c r="D7229" t="inlineStr">
        <is>
          <t>GÄVLEBORGS LÄN</t>
        </is>
      </c>
      <c r="E7229" t="inlineStr">
        <is>
          <t>HUDIKSVALL</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5059-2023</t>
        </is>
      </c>
      <c r="B7230" s="1" t="n">
        <v>44958</v>
      </c>
      <c r="C7230" s="1" t="n">
        <v>45911</v>
      </c>
      <c r="D7230" t="inlineStr">
        <is>
          <t>GÄVLEBORGS LÄN</t>
        </is>
      </c>
      <c r="E7230" t="inlineStr">
        <is>
          <t>OVANÅKER</t>
        </is>
      </c>
      <c r="G7230" t="n">
        <v>0.2</v>
      </c>
      <c r="H7230" t="n">
        <v>0</v>
      </c>
      <c r="I7230" t="n">
        <v>0</v>
      </c>
      <c r="J7230" t="n">
        <v>0</v>
      </c>
      <c r="K7230" t="n">
        <v>0</v>
      </c>
      <c r="L7230" t="n">
        <v>0</v>
      </c>
      <c r="M7230" t="n">
        <v>0</v>
      </c>
      <c r="N7230" t="n">
        <v>0</v>
      </c>
      <c r="O7230" t="n">
        <v>0</v>
      </c>
      <c r="P7230" t="n">
        <v>0</v>
      </c>
      <c r="Q7230" t="n">
        <v>0</v>
      </c>
      <c r="R7230" s="2" t="inlineStr"/>
    </row>
    <row r="7231" ht="15" customHeight="1">
      <c r="A7231" t="inlineStr">
        <is>
          <t>A 27862-2023</t>
        </is>
      </c>
      <c r="B7231" s="1" t="n">
        <v>45098</v>
      </c>
      <c r="C7231" s="1" t="n">
        <v>45911</v>
      </c>
      <c r="D7231" t="inlineStr">
        <is>
          <t>GÄVLEBORGS LÄN</t>
        </is>
      </c>
      <c r="E7231" t="inlineStr">
        <is>
          <t>SÖDERHAMN</t>
        </is>
      </c>
      <c r="G7231" t="n">
        <v>2.1</v>
      </c>
      <c r="H7231" t="n">
        <v>0</v>
      </c>
      <c r="I7231" t="n">
        <v>0</v>
      </c>
      <c r="J7231" t="n">
        <v>0</v>
      </c>
      <c r="K7231" t="n">
        <v>0</v>
      </c>
      <c r="L7231" t="n">
        <v>0</v>
      </c>
      <c r="M7231" t="n">
        <v>0</v>
      </c>
      <c r="N7231" t="n">
        <v>0</v>
      </c>
      <c r="O7231" t="n">
        <v>0</v>
      </c>
      <c r="P7231" t="n">
        <v>0</v>
      </c>
      <c r="Q7231" t="n">
        <v>0</v>
      </c>
      <c r="R7231" s="2" t="inlineStr"/>
    </row>
    <row r="7232" ht="15" customHeight="1">
      <c r="A7232" t="inlineStr">
        <is>
          <t>A 5230-2024</t>
        </is>
      </c>
      <c r="B7232" s="1" t="n">
        <v>45330</v>
      </c>
      <c r="C7232" s="1" t="n">
        <v>45911</v>
      </c>
      <c r="D7232" t="inlineStr">
        <is>
          <t>GÄVLEBORGS LÄN</t>
        </is>
      </c>
      <c r="E7232" t="inlineStr">
        <is>
          <t>HUDIKSVALL</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53005-2024</t>
        </is>
      </c>
      <c r="B7233" s="1" t="n">
        <v>45611.38907407408</v>
      </c>
      <c r="C7233" s="1" t="n">
        <v>45911</v>
      </c>
      <c r="D7233" t="inlineStr">
        <is>
          <t>GÄVLEBORGS LÄN</t>
        </is>
      </c>
      <c r="E7233" t="inlineStr">
        <is>
          <t>SANDVIKEN</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56215-2024</t>
        </is>
      </c>
      <c r="B7234" s="1" t="n">
        <v>45624</v>
      </c>
      <c r="C7234" s="1" t="n">
        <v>45911</v>
      </c>
      <c r="D7234" t="inlineStr">
        <is>
          <t>GÄVLEBORGS LÄN</t>
        </is>
      </c>
      <c r="E7234" t="inlineStr">
        <is>
          <t>HUDIKSVALL</t>
        </is>
      </c>
      <c r="F7234" t="inlineStr">
        <is>
          <t>Holmen skog AB</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22067-2024</t>
        </is>
      </c>
      <c r="B7235" s="1" t="n">
        <v>45443.63162037037</v>
      </c>
      <c r="C7235" s="1" t="n">
        <v>45911</v>
      </c>
      <c r="D7235" t="inlineStr">
        <is>
          <t>GÄVLEBORGS LÄN</t>
        </is>
      </c>
      <c r="E7235" t="inlineStr">
        <is>
          <t>LJUSDAL</t>
        </is>
      </c>
      <c r="F7235" t="inlineStr">
        <is>
          <t>Sveaskog</t>
        </is>
      </c>
      <c r="G7235" t="n">
        <v>2.9</v>
      </c>
      <c r="H7235" t="n">
        <v>0</v>
      </c>
      <c r="I7235" t="n">
        <v>0</v>
      </c>
      <c r="J7235" t="n">
        <v>0</v>
      </c>
      <c r="K7235" t="n">
        <v>0</v>
      </c>
      <c r="L7235" t="n">
        <v>0</v>
      </c>
      <c r="M7235" t="n">
        <v>0</v>
      </c>
      <c r="N7235" t="n">
        <v>0</v>
      </c>
      <c r="O7235" t="n">
        <v>0</v>
      </c>
      <c r="P7235" t="n">
        <v>0</v>
      </c>
      <c r="Q7235" t="n">
        <v>0</v>
      </c>
      <c r="R7235" s="2" t="inlineStr"/>
    </row>
    <row r="7236" ht="15" customHeight="1">
      <c r="A7236" t="inlineStr">
        <is>
          <t>A 44576-2023</t>
        </is>
      </c>
      <c r="B7236" s="1" t="n">
        <v>45183</v>
      </c>
      <c r="C7236" s="1" t="n">
        <v>45911</v>
      </c>
      <c r="D7236" t="inlineStr">
        <is>
          <t>GÄVLEBORGS LÄN</t>
        </is>
      </c>
      <c r="E7236" t="inlineStr">
        <is>
          <t>BOLLNÄS</t>
        </is>
      </c>
      <c r="G7236" t="n">
        <v>3.1</v>
      </c>
      <c r="H7236" t="n">
        <v>0</v>
      </c>
      <c r="I7236" t="n">
        <v>0</v>
      </c>
      <c r="J7236" t="n">
        <v>0</v>
      </c>
      <c r="K7236" t="n">
        <v>0</v>
      </c>
      <c r="L7236" t="n">
        <v>0</v>
      </c>
      <c r="M7236" t="n">
        <v>0</v>
      </c>
      <c r="N7236" t="n">
        <v>0</v>
      </c>
      <c r="O7236" t="n">
        <v>0</v>
      </c>
      <c r="P7236" t="n">
        <v>0</v>
      </c>
      <c r="Q7236" t="n">
        <v>0</v>
      </c>
      <c r="R7236" s="2" t="inlineStr"/>
    </row>
    <row r="7237" ht="15" customHeight="1">
      <c r="A7237" t="inlineStr">
        <is>
          <t>A 57189-2024</t>
        </is>
      </c>
      <c r="B7237" s="1" t="n">
        <v>45629</v>
      </c>
      <c r="C7237" s="1" t="n">
        <v>45911</v>
      </c>
      <c r="D7237" t="inlineStr">
        <is>
          <t>GÄVLEBORGS LÄN</t>
        </is>
      </c>
      <c r="E7237" t="inlineStr">
        <is>
          <t>LJUSDAL</t>
        </is>
      </c>
      <c r="F7237" t="inlineStr">
        <is>
          <t>Holmen skog AB</t>
        </is>
      </c>
      <c r="G7237" t="n">
        <v>0.3</v>
      </c>
      <c r="H7237" t="n">
        <v>0</v>
      </c>
      <c r="I7237" t="n">
        <v>0</v>
      </c>
      <c r="J7237" t="n">
        <v>0</v>
      </c>
      <c r="K7237" t="n">
        <v>0</v>
      </c>
      <c r="L7237" t="n">
        <v>0</v>
      </c>
      <c r="M7237" t="n">
        <v>0</v>
      </c>
      <c r="N7237" t="n">
        <v>0</v>
      </c>
      <c r="O7237" t="n">
        <v>0</v>
      </c>
      <c r="P7237" t="n">
        <v>0</v>
      </c>
      <c r="Q7237" t="n">
        <v>0</v>
      </c>
      <c r="R7237" s="2" t="inlineStr"/>
    </row>
    <row r="7238" ht="15" customHeight="1">
      <c r="A7238" t="inlineStr">
        <is>
          <t>A 64835-2021</t>
        </is>
      </c>
      <c r="B7238" s="1" t="n">
        <v>44512.56263888889</v>
      </c>
      <c r="C7238" s="1" t="n">
        <v>45911</v>
      </c>
      <c r="D7238" t="inlineStr">
        <is>
          <t>GÄVLEBORGS LÄN</t>
        </is>
      </c>
      <c r="E7238" t="inlineStr">
        <is>
          <t>NORDANSTIG</t>
        </is>
      </c>
      <c r="F7238" t="inlineStr">
        <is>
          <t>Holmen skog AB</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24766-2023</t>
        </is>
      </c>
      <c r="B7239" s="1" t="n">
        <v>45084</v>
      </c>
      <c r="C7239" s="1" t="n">
        <v>45911</v>
      </c>
      <c r="D7239" t="inlineStr">
        <is>
          <t>GÄVLEBORGS LÄN</t>
        </is>
      </c>
      <c r="E7239" t="inlineStr">
        <is>
          <t>SÖDERHAMN</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31673-2024</t>
        </is>
      </c>
      <c r="B7240" s="1" t="n">
        <v>45506.94846064815</v>
      </c>
      <c r="C7240" s="1" t="n">
        <v>45911</v>
      </c>
      <c r="D7240" t="inlineStr">
        <is>
          <t>GÄVLEBORGS LÄN</t>
        </is>
      </c>
      <c r="E7240" t="inlineStr">
        <is>
          <t>LJUSDAL</t>
        </is>
      </c>
      <c r="F7240" t="inlineStr">
        <is>
          <t>SCA</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33819-2023</t>
        </is>
      </c>
      <c r="B7241" s="1" t="n">
        <v>45133.6052662037</v>
      </c>
      <c r="C7241" s="1" t="n">
        <v>45911</v>
      </c>
      <c r="D7241" t="inlineStr">
        <is>
          <t>GÄVLEBORGS LÄN</t>
        </is>
      </c>
      <c r="E7241" t="inlineStr">
        <is>
          <t>LJUSDAL</t>
        </is>
      </c>
      <c r="F7241" t="inlineStr">
        <is>
          <t>Holmen skog AB</t>
        </is>
      </c>
      <c r="G7241" t="n">
        <v>8</v>
      </c>
      <c r="H7241" t="n">
        <v>0</v>
      </c>
      <c r="I7241" t="n">
        <v>0</v>
      </c>
      <c r="J7241" t="n">
        <v>0</v>
      </c>
      <c r="K7241" t="n">
        <v>0</v>
      </c>
      <c r="L7241" t="n">
        <v>0</v>
      </c>
      <c r="M7241" t="n">
        <v>0</v>
      </c>
      <c r="N7241" t="n">
        <v>0</v>
      </c>
      <c r="O7241" t="n">
        <v>0</v>
      </c>
      <c r="P7241" t="n">
        <v>0</v>
      </c>
      <c r="Q7241" t="n">
        <v>0</v>
      </c>
      <c r="R7241" s="2" t="inlineStr"/>
    </row>
    <row r="7242" ht="15" customHeight="1">
      <c r="A7242" t="inlineStr">
        <is>
          <t>A 46383-2024</t>
        </is>
      </c>
      <c r="B7242" s="1" t="n">
        <v>45582.39152777778</v>
      </c>
      <c r="C7242" s="1" t="n">
        <v>45911</v>
      </c>
      <c r="D7242" t="inlineStr">
        <is>
          <t>GÄVLEBORGS LÄN</t>
        </is>
      </c>
      <c r="E7242" t="inlineStr">
        <is>
          <t>BOLLNÄS</t>
        </is>
      </c>
      <c r="G7242" t="n">
        <v>1.8</v>
      </c>
      <c r="H7242" t="n">
        <v>0</v>
      </c>
      <c r="I7242" t="n">
        <v>0</v>
      </c>
      <c r="J7242" t="n">
        <v>0</v>
      </c>
      <c r="K7242" t="n">
        <v>0</v>
      </c>
      <c r="L7242" t="n">
        <v>0</v>
      </c>
      <c r="M7242" t="n">
        <v>0</v>
      </c>
      <c r="N7242" t="n">
        <v>0</v>
      </c>
      <c r="O7242" t="n">
        <v>0</v>
      </c>
      <c r="P7242" t="n">
        <v>0</v>
      </c>
      <c r="Q7242" t="n">
        <v>0</v>
      </c>
      <c r="R7242" s="2" t="inlineStr"/>
    </row>
    <row r="7243" ht="15" customHeight="1">
      <c r="A7243" t="inlineStr">
        <is>
          <t>A 13486-2024</t>
        </is>
      </c>
      <c r="B7243" s="1" t="n">
        <v>45387.61106481482</v>
      </c>
      <c r="C7243" s="1" t="n">
        <v>45911</v>
      </c>
      <c r="D7243" t="inlineStr">
        <is>
          <t>GÄVLEBORGS LÄN</t>
        </is>
      </c>
      <c r="E7243" t="inlineStr">
        <is>
          <t>OVANÅKER</t>
        </is>
      </c>
      <c r="G7243" t="n">
        <v>2.1</v>
      </c>
      <c r="H7243" t="n">
        <v>0</v>
      </c>
      <c r="I7243" t="n">
        <v>0</v>
      </c>
      <c r="J7243" t="n">
        <v>0</v>
      </c>
      <c r="K7243" t="n">
        <v>0</v>
      </c>
      <c r="L7243" t="n">
        <v>0</v>
      </c>
      <c r="M7243" t="n">
        <v>0</v>
      </c>
      <c r="N7243" t="n">
        <v>0</v>
      </c>
      <c r="O7243" t="n">
        <v>0</v>
      </c>
      <c r="P7243" t="n">
        <v>0</v>
      </c>
      <c r="Q7243" t="n">
        <v>0</v>
      </c>
      <c r="R7243" s="2" t="inlineStr"/>
    </row>
    <row r="7244" ht="15" customHeight="1">
      <c r="A7244" t="inlineStr">
        <is>
          <t>A 64601-2021</t>
        </is>
      </c>
      <c r="B7244" s="1" t="n">
        <v>44511</v>
      </c>
      <c r="C7244" s="1" t="n">
        <v>45911</v>
      </c>
      <c r="D7244" t="inlineStr">
        <is>
          <t>GÄVLEBORGS LÄN</t>
        </is>
      </c>
      <c r="E7244" t="inlineStr">
        <is>
          <t>LJUSDAL</t>
        </is>
      </c>
      <c r="F7244" t="inlineStr">
        <is>
          <t>Kommuner</t>
        </is>
      </c>
      <c r="G7244" t="n">
        <v>4.2</v>
      </c>
      <c r="H7244" t="n">
        <v>0</v>
      </c>
      <c r="I7244" t="n">
        <v>0</v>
      </c>
      <c r="J7244" t="n">
        <v>0</v>
      </c>
      <c r="K7244" t="n">
        <v>0</v>
      </c>
      <c r="L7244" t="n">
        <v>0</v>
      </c>
      <c r="M7244" t="n">
        <v>0</v>
      </c>
      <c r="N7244" t="n">
        <v>0</v>
      </c>
      <c r="O7244" t="n">
        <v>0</v>
      </c>
      <c r="P7244" t="n">
        <v>0</v>
      </c>
      <c r="Q7244" t="n">
        <v>0</v>
      </c>
      <c r="R7244" s="2" t="inlineStr"/>
    </row>
    <row r="7245" ht="15" customHeight="1">
      <c r="A7245" t="inlineStr">
        <is>
          <t>A 57798-2021</t>
        </is>
      </c>
      <c r="B7245" s="1" t="n">
        <v>44484</v>
      </c>
      <c r="C7245" s="1" t="n">
        <v>45911</v>
      </c>
      <c r="D7245" t="inlineStr">
        <is>
          <t>GÄVLEBORGS LÄN</t>
        </is>
      </c>
      <c r="E7245" t="inlineStr">
        <is>
          <t>OVANÅKER</t>
        </is>
      </c>
      <c r="G7245" t="n">
        <v>13.4</v>
      </c>
      <c r="H7245" t="n">
        <v>0</v>
      </c>
      <c r="I7245" t="n">
        <v>0</v>
      </c>
      <c r="J7245" t="n">
        <v>0</v>
      </c>
      <c r="K7245" t="n">
        <v>0</v>
      </c>
      <c r="L7245" t="n">
        <v>0</v>
      </c>
      <c r="M7245" t="n">
        <v>0</v>
      </c>
      <c r="N7245" t="n">
        <v>0</v>
      </c>
      <c r="O7245" t="n">
        <v>0</v>
      </c>
      <c r="P7245" t="n">
        <v>0</v>
      </c>
      <c r="Q7245" t="n">
        <v>0</v>
      </c>
      <c r="R7245" s="2" t="inlineStr"/>
    </row>
    <row r="7246" ht="15" customHeight="1">
      <c r="A7246" t="inlineStr">
        <is>
          <t>A 6761-2024</t>
        </is>
      </c>
      <c r="B7246" s="1" t="n">
        <v>45342</v>
      </c>
      <c r="C7246" s="1" t="n">
        <v>45911</v>
      </c>
      <c r="D7246" t="inlineStr">
        <is>
          <t>GÄVLEBORGS LÄN</t>
        </is>
      </c>
      <c r="E7246" t="inlineStr">
        <is>
          <t>OVANÅKER</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12057-2021</t>
        </is>
      </c>
      <c r="B7247" s="1" t="n">
        <v>44266</v>
      </c>
      <c r="C7247" s="1" t="n">
        <v>45911</v>
      </c>
      <c r="D7247" t="inlineStr">
        <is>
          <t>GÄVLEBORGS LÄN</t>
        </is>
      </c>
      <c r="E7247" t="inlineStr">
        <is>
          <t>HOFORS</t>
        </is>
      </c>
      <c r="G7247" t="n">
        <v>2.6</v>
      </c>
      <c r="H7247" t="n">
        <v>0</v>
      </c>
      <c r="I7247" t="n">
        <v>0</v>
      </c>
      <c r="J7247" t="n">
        <v>0</v>
      </c>
      <c r="K7247" t="n">
        <v>0</v>
      </c>
      <c r="L7247" t="n">
        <v>0</v>
      </c>
      <c r="M7247" t="n">
        <v>0</v>
      </c>
      <c r="N7247" t="n">
        <v>0</v>
      </c>
      <c r="O7247" t="n">
        <v>0</v>
      </c>
      <c r="P7247" t="n">
        <v>0</v>
      </c>
      <c r="Q7247" t="n">
        <v>0</v>
      </c>
      <c r="R7247" s="2" t="inlineStr"/>
    </row>
    <row r="7248" ht="15" customHeight="1">
      <c r="A7248" t="inlineStr">
        <is>
          <t>A 23375-2024</t>
        </is>
      </c>
      <c r="B7248" s="1" t="n">
        <v>45453.55662037037</v>
      </c>
      <c r="C7248" s="1" t="n">
        <v>45911</v>
      </c>
      <c r="D7248" t="inlineStr">
        <is>
          <t>GÄVLEBORGS LÄN</t>
        </is>
      </c>
      <c r="E7248" t="inlineStr">
        <is>
          <t>BOLLNÄS</t>
        </is>
      </c>
      <c r="G7248" t="n">
        <v>3.5</v>
      </c>
      <c r="H7248" t="n">
        <v>0</v>
      </c>
      <c r="I7248" t="n">
        <v>0</v>
      </c>
      <c r="J7248" t="n">
        <v>0</v>
      </c>
      <c r="K7248" t="n">
        <v>0</v>
      </c>
      <c r="L7248" t="n">
        <v>0</v>
      </c>
      <c r="M7248" t="n">
        <v>0</v>
      </c>
      <c r="N7248" t="n">
        <v>0</v>
      </c>
      <c r="O7248" t="n">
        <v>0</v>
      </c>
      <c r="P7248" t="n">
        <v>0</v>
      </c>
      <c r="Q7248" t="n">
        <v>0</v>
      </c>
      <c r="R7248" s="2" t="inlineStr"/>
    </row>
    <row r="7249" ht="15" customHeight="1">
      <c r="A7249" t="inlineStr">
        <is>
          <t>A 23394-2024</t>
        </is>
      </c>
      <c r="B7249" s="1" t="n">
        <v>45453</v>
      </c>
      <c r="C7249" s="1" t="n">
        <v>45911</v>
      </c>
      <c r="D7249" t="inlineStr">
        <is>
          <t>GÄVLEBORGS LÄN</t>
        </is>
      </c>
      <c r="E7249" t="inlineStr">
        <is>
          <t>LJUSDAL</t>
        </is>
      </c>
      <c r="G7249" t="n">
        <v>3.3</v>
      </c>
      <c r="H7249" t="n">
        <v>0</v>
      </c>
      <c r="I7249" t="n">
        <v>0</v>
      </c>
      <c r="J7249" t="n">
        <v>0</v>
      </c>
      <c r="K7249" t="n">
        <v>0</v>
      </c>
      <c r="L7249" t="n">
        <v>0</v>
      </c>
      <c r="M7249" t="n">
        <v>0</v>
      </c>
      <c r="N7249" t="n">
        <v>0</v>
      </c>
      <c r="O7249" t="n">
        <v>0</v>
      </c>
      <c r="P7249" t="n">
        <v>0</v>
      </c>
      <c r="Q7249" t="n">
        <v>0</v>
      </c>
      <c r="R7249" s="2" t="inlineStr"/>
    </row>
    <row r="7250" ht="15" customHeight="1">
      <c r="A7250" t="inlineStr">
        <is>
          <t>A 14498-2021</t>
        </is>
      </c>
      <c r="B7250" s="1" t="n">
        <v>44279.61847222222</v>
      </c>
      <c r="C7250" s="1" t="n">
        <v>45911</v>
      </c>
      <c r="D7250" t="inlineStr">
        <is>
          <t>GÄVLEBORGS LÄN</t>
        </is>
      </c>
      <c r="E7250" t="inlineStr">
        <is>
          <t>SANDVIKEN</t>
        </is>
      </c>
      <c r="G7250" t="n">
        <v>2.2</v>
      </c>
      <c r="H7250" t="n">
        <v>0</v>
      </c>
      <c r="I7250" t="n">
        <v>0</v>
      </c>
      <c r="J7250" t="n">
        <v>0</v>
      </c>
      <c r="K7250" t="n">
        <v>0</v>
      </c>
      <c r="L7250" t="n">
        <v>0</v>
      </c>
      <c r="M7250" t="n">
        <v>0</v>
      </c>
      <c r="N7250" t="n">
        <v>0</v>
      </c>
      <c r="O7250" t="n">
        <v>0</v>
      </c>
      <c r="P7250" t="n">
        <v>0</v>
      </c>
      <c r="Q7250" t="n">
        <v>0</v>
      </c>
      <c r="R7250" s="2" t="inlineStr"/>
    </row>
    <row r="7251" ht="15" customHeight="1">
      <c r="A7251" t="inlineStr">
        <is>
          <t>A 6274-2025</t>
        </is>
      </c>
      <c r="B7251" s="1" t="n">
        <v>45698.61483796296</v>
      </c>
      <c r="C7251" s="1" t="n">
        <v>45911</v>
      </c>
      <c r="D7251" t="inlineStr">
        <is>
          <t>GÄVLEBORGS LÄN</t>
        </is>
      </c>
      <c r="E7251" t="inlineStr">
        <is>
          <t>HUDIKSVALL</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52057-2023</t>
        </is>
      </c>
      <c r="B7252" s="1" t="n">
        <v>45223.65407407407</v>
      </c>
      <c r="C7252" s="1" t="n">
        <v>45911</v>
      </c>
      <c r="D7252" t="inlineStr">
        <is>
          <t>GÄVLEBORGS LÄN</t>
        </is>
      </c>
      <c r="E7252" t="inlineStr">
        <is>
          <t>LJUSDAL</t>
        </is>
      </c>
      <c r="G7252" t="n">
        <v>4.7</v>
      </c>
      <c r="H7252" t="n">
        <v>0</v>
      </c>
      <c r="I7252" t="n">
        <v>0</v>
      </c>
      <c r="J7252" t="n">
        <v>0</v>
      </c>
      <c r="K7252" t="n">
        <v>0</v>
      </c>
      <c r="L7252" t="n">
        <v>0</v>
      </c>
      <c r="M7252" t="n">
        <v>0</v>
      </c>
      <c r="N7252" t="n">
        <v>0</v>
      </c>
      <c r="O7252" t="n">
        <v>0</v>
      </c>
      <c r="P7252" t="n">
        <v>0</v>
      </c>
      <c r="Q7252" t="n">
        <v>0</v>
      </c>
      <c r="R7252" s="2" t="inlineStr"/>
    </row>
    <row r="7253" ht="15" customHeight="1">
      <c r="A7253" t="inlineStr">
        <is>
          <t>A 17236-2021</t>
        </is>
      </c>
      <c r="B7253" s="1" t="n">
        <v>44298.51025462963</v>
      </c>
      <c r="C7253" s="1" t="n">
        <v>45911</v>
      </c>
      <c r="D7253" t="inlineStr">
        <is>
          <t>GÄVLEBORGS LÄN</t>
        </is>
      </c>
      <c r="E7253" t="inlineStr">
        <is>
          <t>BOLLNÄS</t>
        </is>
      </c>
      <c r="G7253" t="n">
        <v>0.4</v>
      </c>
      <c r="H7253" t="n">
        <v>0</v>
      </c>
      <c r="I7253" t="n">
        <v>0</v>
      </c>
      <c r="J7253" t="n">
        <v>0</v>
      </c>
      <c r="K7253" t="n">
        <v>0</v>
      </c>
      <c r="L7253" t="n">
        <v>0</v>
      </c>
      <c r="M7253" t="n">
        <v>0</v>
      </c>
      <c r="N7253" t="n">
        <v>0</v>
      </c>
      <c r="O7253" t="n">
        <v>0</v>
      </c>
      <c r="P7253" t="n">
        <v>0</v>
      </c>
      <c r="Q7253" t="n">
        <v>0</v>
      </c>
      <c r="R7253" s="2" t="inlineStr"/>
    </row>
    <row r="7254" ht="15" customHeight="1">
      <c r="A7254" t="inlineStr">
        <is>
          <t>A 2131-2025</t>
        </is>
      </c>
      <c r="B7254" s="1" t="n">
        <v>45672.65636574074</v>
      </c>
      <c r="C7254" s="1" t="n">
        <v>45911</v>
      </c>
      <c r="D7254" t="inlineStr">
        <is>
          <t>GÄVLEBORGS LÄN</t>
        </is>
      </c>
      <c r="E7254" t="inlineStr">
        <is>
          <t>SANDVIKEN</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29769-2023</t>
        </is>
      </c>
      <c r="B7255" s="1" t="n">
        <v>45107</v>
      </c>
      <c r="C7255" s="1" t="n">
        <v>45911</v>
      </c>
      <c r="D7255" t="inlineStr">
        <is>
          <t>GÄVLEBORGS LÄN</t>
        </is>
      </c>
      <c r="E7255" t="inlineStr">
        <is>
          <t>BOLLNÄS</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29818-2023</t>
        </is>
      </c>
      <c r="B7256" s="1" t="n">
        <v>45107.55921296297</v>
      </c>
      <c r="C7256" s="1" t="n">
        <v>45911</v>
      </c>
      <c r="D7256" t="inlineStr">
        <is>
          <t>GÄVLEBORGS LÄN</t>
        </is>
      </c>
      <c r="E7256" t="inlineStr">
        <is>
          <t>SÖDERHAMN</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29845-2023</t>
        </is>
      </c>
      <c r="B7257" s="1" t="n">
        <v>45099</v>
      </c>
      <c r="C7257" s="1" t="n">
        <v>45911</v>
      </c>
      <c r="D7257" t="inlineStr">
        <is>
          <t>GÄVLEBORGS LÄN</t>
        </is>
      </c>
      <c r="E7257" t="inlineStr">
        <is>
          <t>LJUSDAL</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41649-2024</t>
        </is>
      </c>
      <c r="B7258" s="1" t="n">
        <v>45560.63702546297</v>
      </c>
      <c r="C7258" s="1" t="n">
        <v>45911</v>
      </c>
      <c r="D7258" t="inlineStr">
        <is>
          <t>GÄVLEBORGS LÄN</t>
        </is>
      </c>
      <c r="E7258" t="inlineStr">
        <is>
          <t>SÖDERHAMN</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41650-2024</t>
        </is>
      </c>
      <c r="B7259" s="1" t="n">
        <v>45560.63703703704</v>
      </c>
      <c r="C7259" s="1" t="n">
        <v>45911</v>
      </c>
      <c r="D7259" t="inlineStr">
        <is>
          <t>GÄVLEBORGS LÄN</t>
        </is>
      </c>
      <c r="E7259" t="inlineStr">
        <is>
          <t>SÖDERHAMN</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46800-2021</t>
        </is>
      </c>
      <c r="B7260" s="1" t="n">
        <v>44446.30126157407</v>
      </c>
      <c r="C7260" s="1" t="n">
        <v>45911</v>
      </c>
      <c r="D7260" t="inlineStr">
        <is>
          <t>GÄVLEBORGS LÄN</t>
        </is>
      </c>
      <c r="E7260" t="inlineStr">
        <is>
          <t>GÄVLE</t>
        </is>
      </c>
      <c r="F7260" t="inlineStr">
        <is>
          <t>Bergvik skog väst AB</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14866-2024</t>
        </is>
      </c>
      <c r="B7261" s="1" t="n">
        <v>45397</v>
      </c>
      <c r="C7261" s="1" t="n">
        <v>45911</v>
      </c>
      <c r="D7261" t="inlineStr">
        <is>
          <t>GÄVLEBORGS LÄN</t>
        </is>
      </c>
      <c r="E7261" t="inlineStr">
        <is>
          <t>NORDANSTIG</t>
        </is>
      </c>
      <c r="G7261" t="n">
        <v>0.3</v>
      </c>
      <c r="H7261" t="n">
        <v>0</v>
      </c>
      <c r="I7261" t="n">
        <v>0</v>
      </c>
      <c r="J7261" t="n">
        <v>0</v>
      </c>
      <c r="K7261" t="n">
        <v>0</v>
      </c>
      <c r="L7261" t="n">
        <v>0</v>
      </c>
      <c r="M7261" t="n">
        <v>0</v>
      </c>
      <c r="N7261" t="n">
        <v>0</v>
      </c>
      <c r="O7261" t="n">
        <v>0</v>
      </c>
      <c r="P7261" t="n">
        <v>0</v>
      </c>
      <c r="Q7261" t="n">
        <v>0</v>
      </c>
      <c r="R7261" s="2" t="inlineStr"/>
    </row>
    <row r="7262" ht="15" customHeight="1">
      <c r="A7262" t="inlineStr">
        <is>
          <t>A 28979-2022</t>
        </is>
      </c>
      <c r="B7262" s="1" t="n">
        <v>44749.65016203704</v>
      </c>
      <c r="C7262" s="1" t="n">
        <v>45911</v>
      </c>
      <c r="D7262" t="inlineStr">
        <is>
          <t>GÄVLEBORGS LÄN</t>
        </is>
      </c>
      <c r="E7262" t="inlineStr">
        <is>
          <t>BOLLNÄS</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406-2025</t>
        </is>
      </c>
      <c r="B7263" s="1" t="n">
        <v>45663.63243055555</v>
      </c>
      <c r="C7263" s="1" t="n">
        <v>45911</v>
      </c>
      <c r="D7263" t="inlineStr">
        <is>
          <t>GÄVLEBORGS LÄN</t>
        </is>
      </c>
      <c r="E7263" t="inlineStr">
        <is>
          <t>HUDIKSVALL</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21272-2023</t>
        </is>
      </c>
      <c r="B7264" s="1" t="n">
        <v>45062.62559027778</v>
      </c>
      <c r="C7264" s="1" t="n">
        <v>45911</v>
      </c>
      <c r="D7264" t="inlineStr">
        <is>
          <t>GÄVLEBORGS LÄN</t>
        </is>
      </c>
      <c r="E7264" t="inlineStr">
        <is>
          <t>SÖDERHAMN</t>
        </is>
      </c>
      <c r="G7264" t="n">
        <v>3.8</v>
      </c>
      <c r="H7264" t="n">
        <v>0</v>
      </c>
      <c r="I7264" t="n">
        <v>0</v>
      </c>
      <c r="J7264" t="n">
        <v>0</v>
      </c>
      <c r="K7264" t="n">
        <v>0</v>
      </c>
      <c r="L7264" t="n">
        <v>0</v>
      </c>
      <c r="M7264" t="n">
        <v>0</v>
      </c>
      <c r="N7264" t="n">
        <v>0</v>
      </c>
      <c r="O7264" t="n">
        <v>0</v>
      </c>
      <c r="P7264" t="n">
        <v>0</v>
      </c>
      <c r="Q7264" t="n">
        <v>0</v>
      </c>
      <c r="R7264" s="2" t="inlineStr"/>
    </row>
    <row r="7265" ht="15" customHeight="1">
      <c r="A7265" t="inlineStr">
        <is>
          <t>A 54236-2023</t>
        </is>
      </c>
      <c r="B7265" s="1" t="n">
        <v>45232.61173611111</v>
      </c>
      <c r="C7265" s="1" t="n">
        <v>45911</v>
      </c>
      <c r="D7265" t="inlineStr">
        <is>
          <t>GÄVLEBORGS LÄN</t>
        </is>
      </c>
      <c r="E7265" t="inlineStr">
        <is>
          <t>BOLLNÄS</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41221-2022</t>
        </is>
      </c>
      <c r="B7266" s="1" t="n">
        <v>44826</v>
      </c>
      <c r="C7266" s="1" t="n">
        <v>45911</v>
      </c>
      <c r="D7266" t="inlineStr">
        <is>
          <t>GÄVLEBORGS LÄN</t>
        </is>
      </c>
      <c r="E7266" t="inlineStr">
        <is>
          <t>SÖDERHAMN</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18084-2021</t>
        </is>
      </c>
      <c r="B7267" s="1" t="n">
        <v>44302.45947916667</v>
      </c>
      <c r="C7267" s="1" t="n">
        <v>45911</v>
      </c>
      <c r="D7267" t="inlineStr">
        <is>
          <t>GÄVLEBORGS LÄN</t>
        </is>
      </c>
      <c r="E7267" t="inlineStr">
        <is>
          <t>HUDIKSVALL</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56208-2023</t>
        </is>
      </c>
      <c r="B7268" s="1" t="n">
        <v>45240</v>
      </c>
      <c r="C7268" s="1" t="n">
        <v>45911</v>
      </c>
      <c r="D7268" t="inlineStr">
        <is>
          <t>GÄVLEBORGS LÄN</t>
        </is>
      </c>
      <c r="E7268" t="inlineStr">
        <is>
          <t>BOLLNÄS</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56217-2023</t>
        </is>
      </c>
      <c r="B7269" s="1" t="n">
        <v>45240</v>
      </c>
      <c r="C7269" s="1" t="n">
        <v>45911</v>
      </c>
      <c r="D7269" t="inlineStr">
        <is>
          <t>GÄVLEBORGS LÄN</t>
        </is>
      </c>
      <c r="E7269" t="inlineStr">
        <is>
          <t>SANDVIKEN</t>
        </is>
      </c>
      <c r="F7269" t="inlineStr">
        <is>
          <t>Sveaskog</t>
        </is>
      </c>
      <c r="G7269" t="n">
        <v>10.6</v>
      </c>
      <c r="H7269" t="n">
        <v>0</v>
      </c>
      <c r="I7269" t="n">
        <v>0</v>
      </c>
      <c r="J7269" t="n">
        <v>0</v>
      </c>
      <c r="K7269" t="n">
        <v>0</v>
      </c>
      <c r="L7269" t="n">
        <v>0</v>
      </c>
      <c r="M7269" t="n">
        <v>0</v>
      </c>
      <c r="N7269" t="n">
        <v>0</v>
      </c>
      <c r="O7269" t="n">
        <v>0</v>
      </c>
      <c r="P7269" t="n">
        <v>0</v>
      </c>
      <c r="Q7269" t="n">
        <v>0</v>
      </c>
      <c r="R7269" s="2" t="inlineStr"/>
    </row>
    <row r="7270" ht="15" customHeight="1">
      <c r="A7270" t="inlineStr">
        <is>
          <t>A 13519-2021</t>
        </is>
      </c>
      <c r="B7270" s="1" t="n">
        <v>44273</v>
      </c>
      <c r="C7270" s="1" t="n">
        <v>45911</v>
      </c>
      <c r="D7270" t="inlineStr">
        <is>
          <t>GÄVLEBORGS LÄN</t>
        </is>
      </c>
      <c r="E7270" t="inlineStr">
        <is>
          <t>LJUSDAL</t>
        </is>
      </c>
      <c r="F7270" t="inlineStr">
        <is>
          <t>Sveaskog</t>
        </is>
      </c>
      <c r="G7270" t="n">
        <v>17.2</v>
      </c>
      <c r="H7270" t="n">
        <v>0</v>
      </c>
      <c r="I7270" t="n">
        <v>0</v>
      </c>
      <c r="J7270" t="n">
        <v>0</v>
      </c>
      <c r="K7270" t="n">
        <v>0</v>
      </c>
      <c r="L7270" t="n">
        <v>0</v>
      </c>
      <c r="M7270" t="n">
        <v>0</v>
      </c>
      <c r="N7270" t="n">
        <v>0</v>
      </c>
      <c r="O7270" t="n">
        <v>0</v>
      </c>
      <c r="P7270" t="n">
        <v>0</v>
      </c>
      <c r="Q7270" t="n">
        <v>0</v>
      </c>
      <c r="R7270" s="2" t="inlineStr"/>
    </row>
    <row r="7271" ht="15" customHeight="1">
      <c r="A7271" t="inlineStr">
        <is>
          <t>A 5788-2025</t>
        </is>
      </c>
      <c r="B7271" s="1" t="n">
        <v>45694</v>
      </c>
      <c r="C7271" s="1" t="n">
        <v>45911</v>
      </c>
      <c r="D7271" t="inlineStr">
        <is>
          <t>GÄVLEBORGS LÄN</t>
        </is>
      </c>
      <c r="E7271" t="inlineStr">
        <is>
          <t>HUDIKSVALL</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7031-2025</t>
        </is>
      </c>
      <c r="B7272" s="1" t="n">
        <v>45701.63361111111</v>
      </c>
      <c r="C7272" s="1" t="n">
        <v>45911</v>
      </c>
      <c r="D7272" t="inlineStr">
        <is>
          <t>GÄVLEBORGS LÄN</t>
        </is>
      </c>
      <c r="E7272" t="inlineStr">
        <is>
          <t>SANDVIKEN</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44070-2023</t>
        </is>
      </c>
      <c r="B7273" s="1" t="n">
        <v>45188</v>
      </c>
      <c r="C7273" s="1" t="n">
        <v>45911</v>
      </c>
      <c r="D7273" t="inlineStr">
        <is>
          <t>GÄVLEBORGS LÄN</t>
        </is>
      </c>
      <c r="E7273" t="inlineStr">
        <is>
          <t>HUDIKSVALL</t>
        </is>
      </c>
      <c r="F7273" t="inlineStr">
        <is>
          <t>Holmen skog AB</t>
        </is>
      </c>
      <c r="G7273" t="n">
        <v>11.6</v>
      </c>
      <c r="H7273" t="n">
        <v>0</v>
      </c>
      <c r="I7273" t="n">
        <v>0</v>
      </c>
      <c r="J7273" t="n">
        <v>0</v>
      </c>
      <c r="K7273" t="n">
        <v>0</v>
      </c>
      <c r="L7273" t="n">
        <v>0</v>
      </c>
      <c r="M7273" t="n">
        <v>0</v>
      </c>
      <c r="N7273" t="n">
        <v>0</v>
      </c>
      <c r="O7273" t="n">
        <v>0</v>
      </c>
      <c r="P7273" t="n">
        <v>0</v>
      </c>
      <c r="Q7273" t="n">
        <v>0</v>
      </c>
      <c r="R7273" s="2" t="inlineStr"/>
    </row>
    <row r="7274" ht="15" customHeight="1">
      <c r="A7274" t="inlineStr">
        <is>
          <t>A 47794-2024</t>
        </is>
      </c>
      <c r="B7274" s="1" t="n">
        <v>45588.59930555556</v>
      </c>
      <c r="C7274" s="1" t="n">
        <v>45911</v>
      </c>
      <c r="D7274" t="inlineStr">
        <is>
          <t>GÄVLEBORGS LÄN</t>
        </is>
      </c>
      <c r="E7274" t="inlineStr">
        <is>
          <t>SÖDERHAMN</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22976-2024</t>
        </is>
      </c>
      <c r="B7275" s="1" t="n">
        <v>45449.8512962963</v>
      </c>
      <c r="C7275" s="1" t="n">
        <v>45911</v>
      </c>
      <c r="D7275" t="inlineStr">
        <is>
          <t>GÄVLEBORGS LÄN</t>
        </is>
      </c>
      <c r="E7275" t="inlineStr">
        <is>
          <t>HUDIKSVALL</t>
        </is>
      </c>
      <c r="F7275" t="inlineStr">
        <is>
          <t>Holmen skog AB</t>
        </is>
      </c>
      <c r="G7275" t="n">
        <v>5.9</v>
      </c>
      <c r="H7275" t="n">
        <v>0</v>
      </c>
      <c r="I7275" t="n">
        <v>0</v>
      </c>
      <c r="J7275" t="n">
        <v>0</v>
      </c>
      <c r="K7275" t="n">
        <v>0</v>
      </c>
      <c r="L7275" t="n">
        <v>0</v>
      </c>
      <c r="M7275" t="n">
        <v>0</v>
      </c>
      <c r="N7275" t="n">
        <v>0</v>
      </c>
      <c r="O7275" t="n">
        <v>0</v>
      </c>
      <c r="P7275" t="n">
        <v>0</v>
      </c>
      <c r="Q7275" t="n">
        <v>0</v>
      </c>
      <c r="R7275" s="2" t="inlineStr"/>
    </row>
    <row r="7276" ht="15" customHeight="1">
      <c r="A7276" t="inlineStr">
        <is>
          <t>A 42331-2024</t>
        </is>
      </c>
      <c r="B7276" s="1" t="n">
        <v>45562.65523148148</v>
      </c>
      <c r="C7276" s="1" t="n">
        <v>45911</v>
      </c>
      <c r="D7276" t="inlineStr">
        <is>
          <t>GÄVLEBORGS LÄN</t>
        </is>
      </c>
      <c r="E7276" t="inlineStr">
        <is>
          <t>OVANÅKER</t>
        </is>
      </c>
      <c r="G7276" t="n">
        <v>0.1</v>
      </c>
      <c r="H7276" t="n">
        <v>0</v>
      </c>
      <c r="I7276" t="n">
        <v>0</v>
      </c>
      <c r="J7276" t="n">
        <v>0</v>
      </c>
      <c r="K7276" t="n">
        <v>0</v>
      </c>
      <c r="L7276" t="n">
        <v>0</v>
      </c>
      <c r="M7276" t="n">
        <v>0</v>
      </c>
      <c r="N7276" t="n">
        <v>0</v>
      </c>
      <c r="O7276" t="n">
        <v>0</v>
      </c>
      <c r="P7276" t="n">
        <v>0</v>
      </c>
      <c r="Q7276" t="n">
        <v>0</v>
      </c>
      <c r="R7276" s="2" t="inlineStr"/>
    </row>
    <row r="7277" ht="15" customHeight="1">
      <c r="A7277" t="inlineStr">
        <is>
          <t>A 46006-2024</t>
        </is>
      </c>
      <c r="B7277" s="1" t="n">
        <v>45580</v>
      </c>
      <c r="C7277" s="1" t="n">
        <v>45911</v>
      </c>
      <c r="D7277" t="inlineStr">
        <is>
          <t>GÄVLEBORGS LÄN</t>
        </is>
      </c>
      <c r="E7277" t="inlineStr">
        <is>
          <t>SÖDERHAMN</t>
        </is>
      </c>
      <c r="G7277" t="n">
        <v>0.4</v>
      </c>
      <c r="H7277" t="n">
        <v>0</v>
      </c>
      <c r="I7277" t="n">
        <v>0</v>
      </c>
      <c r="J7277" t="n">
        <v>0</v>
      </c>
      <c r="K7277" t="n">
        <v>0</v>
      </c>
      <c r="L7277" t="n">
        <v>0</v>
      </c>
      <c r="M7277" t="n">
        <v>0</v>
      </c>
      <c r="N7277" t="n">
        <v>0</v>
      </c>
      <c r="O7277" t="n">
        <v>0</v>
      </c>
      <c r="P7277" t="n">
        <v>0</v>
      </c>
      <c r="Q7277" t="n">
        <v>0</v>
      </c>
      <c r="R7277" s="2" t="inlineStr"/>
    </row>
    <row r="7278" ht="15" customHeight="1">
      <c r="A7278" t="inlineStr">
        <is>
          <t>A 59000-2023</t>
        </is>
      </c>
      <c r="B7278" s="1" t="n">
        <v>45252.63642361111</v>
      </c>
      <c r="C7278" s="1" t="n">
        <v>45911</v>
      </c>
      <c r="D7278" t="inlineStr">
        <is>
          <t>GÄVLEBORGS LÄN</t>
        </is>
      </c>
      <c r="E7278" t="inlineStr">
        <is>
          <t>SÖDERHAMN</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57673-2024</t>
        </is>
      </c>
      <c r="B7279" s="1" t="n">
        <v>45630.62938657407</v>
      </c>
      <c r="C7279" s="1" t="n">
        <v>45911</v>
      </c>
      <c r="D7279" t="inlineStr">
        <is>
          <t>GÄVLEBORGS LÄN</t>
        </is>
      </c>
      <c r="E7279" t="inlineStr">
        <is>
          <t>LJUSDAL</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17402-2025</t>
        </is>
      </c>
      <c r="B7280" s="1" t="n">
        <v>45757</v>
      </c>
      <c r="C7280" s="1" t="n">
        <v>45911</v>
      </c>
      <c r="D7280" t="inlineStr">
        <is>
          <t>GÄVLEBORGS LÄN</t>
        </is>
      </c>
      <c r="E7280" t="inlineStr">
        <is>
          <t>OCKELBO</t>
        </is>
      </c>
      <c r="F7280" t="inlineStr">
        <is>
          <t>Bergvik skog väst AB</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55070-2023</t>
        </is>
      </c>
      <c r="B7281" s="1" t="n">
        <v>45237</v>
      </c>
      <c r="C7281" s="1" t="n">
        <v>45911</v>
      </c>
      <c r="D7281" t="inlineStr">
        <is>
          <t>GÄVLEBORGS LÄN</t>
        </is>
      </c>
      <c r="E7281" t="inlineStr">
        <is>
          <t>OCKELBO</t>
        </is>
      </c>
      <c r="G7281" t="n">
        <v>3.2</v>
      </c>
      <c r="H7281" t="n">
        <v>0</v>
      </c>
      <c r="I7281" t="n">
        <v>0</v>
      </c>
      <c r="J7281" t="n">
        <v>0</v>
      </c>
      <c r="K7281" t="n">
        <v>0</v>
      </c>
      <c r="L7281" t="n">
        <v>0</v>
      </c>
      <c r="M7281" t="n">
        <v>0</v>
      </c>
      <c r="N7281" t="n">
        <v>0</v>
      </c>
      <c r="O7281" t="n">
        <v>0</v>
      </c>
      <c r="P7281" t="n">
        <v>0</v>
      </c>
      <c r="Q7281" t="n">
        <v>0</v>
      </c>
      <c r="R7281" s="2" t="inlineStr"/>
    </row>
    <row r="7282" ht="15" customHeight="1">
      <c r="A7282" t="inlineStr">
        <is>
          <t>A 6587-2021</t>
        </is>
      </c>
      <c r="B7282" s="1" t="n">
        <v>44236</v>
      </c>
      <c r="C7282" s="1" t="n">
        <v>45911</v>
      </c>
      <c r="D7282" t="inlineStr">
        <is>
          <t>GÄVLEBORGS LÄN</t>
        </is>
      </c>
      <c r="E7282" t="inlineStr">
        <is>
          <t>LJUSDAL</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20756-2022</t>
        </is>
      </c>
      <c r="B7283" s="1" t="n">
        <v>44701.33546296296</v>
      </c>
      <c r="C7283" s="1" t="n">
        <v>45911</v>
      </c>
      <c r="D7283" t="inlineStr">
        <is>
          <t>GÄVLEBORGS LÄN</t>
        </is>
      </c>
      <c r="E7283" t="inlineStr">
        <is>
          <t>LJUSDAL</t>
        </is>
      </c>
      <c r="F7283" t="inlineStr">
        <is>
          <t>Sveaskog</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15292-2021</t>
        </is>
      </c>
      <c r="B7284" s="1" t="n">
        <v>44284</v>
      </c>
      <c r="C7284" s="1" t="n">
        <v>45911</v>
      </c>
      <c r="D7284" t="inlineStr">
        <is>
          <t>GÄVLEBORGS LÄN</t>
        </is>
      </c>
      <c r="E7284" t="inlineStr">
        <is>
          <t>NORDANSTIG</t>
        </is>
      </c>
      <c r="G7284" t="n">
        <v>7</v>
      </c>
      <c r="H7284" t="n">
        <v>0</v>
      </c>
      <c r="I7284" t="n">
        <v>0</v>
      </c>
      <c r="J7284" t="n">
        <v>0</v>
      </c>
      <c r="K7284" t="n">
        <v>0</v>
      </c>
      <c r="L7284" t="n">
        <v>0</v>
      </c>
      <c r="M7284" t="n">
        <v>0</v>
      </c>
      <c r="N7284" t="n">
        <v>0</v>
      </c>
      <c r="O7284" t="n">
        <v>0</v>
      </c>
      <c r="P7284" t="n">
        <v>0</v>
      </c>
      <c r="Q7284" t="n">
        <v>0</v>
      </c>
      <c r="R7284" s="2" t="inlineStr"/>
    </row>
    <row r="7285" ht="15" customHeight="1">
      <c r="A7285" t="inlineStr">
        <is>
          <t>A 33138-2022</t>
        </is>
      </c>
      <c r="B7285" s="1" t="n">
        <v>44785.54732638889</v>
      </c>
      <c r="C7285" s="1" t="n">
        <v>45911</v>
      </c>
      <c r="D7285" t="inlineStr">
        <is>
          <t>GÄVLEBORGS LÄN</t>
        </is>
      </c>
      <c r="E7285" t="inlineStr">
        <is>
          <t>HUDIKSVALL</t>
        </is>
      </c>
      <c r="F7285" t="inlineStr">
        <is>
          <t>Holmen skog AB</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10514-2024</t>
        </is>
      </c>
      <c r="B7286" s="1" t="n">
        <v>45366</v>
      </c>
      <c r="C7286" s="1" t="n">
        <v>45911</v>
      </c>
      <c r="D7286" t="inlineStr">
        <is>
          <t>GÄVLEBORGS LÄN</t>
        </is>
      </c>
      <c r="E7286" t="inlineStr">
        <is>
          <t>LJUSDAL</t>
        </is>
      </c>
      <c r="G7286" t="n">
        <v>3.3</v>
      </c>
      <c r="H7286" t="n">
        <v>0</v>
      </c>
      <c r="I7286" t="n">
        <v>0</v>
      </c>
      <c r="J7286" t="n">
        <v>0</v>
      </c>
      <c r="K7286" t="n">
        <v>0</v>
      </c>
      <c r="L7286" t="n">
        <v>0</v>
      </c>
      <c r="M7286" t="n">
        <v>0</v>
      </c>
      <c r="N7286" t="n">
        <v>0</v>
      </c>
      <c r="O7286" t="n">
        <v>0</v>
      </c>
      <c r="P7286" t="n">
        <v>0</v>
      </c>
      <c r="Q7286" t="n">
        <v>0</v>
      </c>
      <c r="R7286" s="2" t="inlineStr"/>
    </row>
    <row r="7287" ht="15" customHeight="1">
      <c r="A7287" t="inlineStr">
        <is>
          <t>A 51842-2024</t>
        </is>
      </c>
      <c r="B7287" s="1" t="n">
        <v>45607.52349537037</v>
      </c>
      <c r="C7287" s="1" t="n">
        <v>45911</v>
      </c>
      <c r="D7287" t="inlineStr">
        <is>
          <t>GÄVLEBORGS LÄN</t>
        </is>
      </c>
      <c r="E7287" t="inlineStr">
        <is>
          <t>NORDANSTIG</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31611-2023</t>
        </is>
      </c>
      <c r="B7288" s="1" t="n">
        <v>45117</v>
      </c>
      <c r="C7288" s="1" t="n">
        <v>45911</v>
      </c>
      <c r="D7288" t="inlineStr">
        <is>
          <t>GÄVLEBORGS LÄN</t>
        </is>
      </c>
      <c r="E7288" t="inlineStr">
        <is>
          <t>HOFORS</t>
        </is>
      </c>
      <c r="G7288" t="n">
        <v>4.4</v>
      </c>
      <c r="H7288" t="n">
        <v>0</v>
      </c>
      <c r="I7288" t="n">
        <v>0</v>
      </c>
      <c r="J7288" t="n">
        <v>0</v>
      </c>
      <c r="K7288" t="n">
        <v>0</v>
      </c>
      <c r="L7288" t="n">
        <v>0</v>
      </c>
      <c r="M7288" t="n">
        <v>0</v>
      </c>
      <c r="N7288" t="n">
        <v>0</v>
      </c>
      <c r="O7288" t="n">
        <v>0</v>
      </c>
      <c r="P7288" t="n">
        <v>0</v>
      </c>
      <c r="Q7288" t="n">
        <v>0</v>
      </c>
      <c r="R7288" s="2" t="inlineStr"/>
    </row>
    <row r="7289" ht="15" customHeight="1">
      <c r="A7289" t="inlineStr">
        <is>
          <t>A 65039-2023</t>
        </is>
      </c>
      <c r="B7289" s="1" t="n">
        <v>45287.48986111111</v>
      </c>
      <c r="C7289" s="1" t="n">
        <v>45911</v>
      </c>
      <c r="D7289" t="inlineStr">
        <is>
          <t>GÄVLEBORGS LÄN</t>
        </is>
      </c>
      <c r="E7289" t="inlineStr">
        <is>
          <t>NORDANSTIG</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60914-2024</t>
        </is>
      </c>
      <c r="B7290" s="1" t="n">
        <v>45645.3344212963</v>
      </c>
      <c r="C7290" s="1" t="n">
        <v>45911</v>
      </c>
      <c r="D7290" t="inlineStr">
        <is>
          <t>GÄVLEBORGS LÄN</t>
        </is>
      </c>
      <c r="E7290" t="inlineStr">
        <is>
          <t>LJUSDAL</t>
        </is>
      </c>
      <c r="G7290" t="n">
        <v>6.9</v>
      </c>
      <c r="H7290" t="n">
        <v>0</v>
      </c>
      <c r="I7290" t="n">
        <v>0</v>
      </c>
      <c r="J7290" t="n">
        <v>0</v>
      </c>
      <c r="K7290" t="n">
        <v>0</v>
      </c>
      <c r="L7290" t="n">
        <v>0</v>
      </c>
      <c r="M7290" t="n">
        <v>0</v>
      </c>
      <c r="N7290" t="n">
        <v>0</v>
      </c>
      <c r="O7290" t="n">
        <v>0</v>
      </c>
      <c r="P7290" t="n">
        <v>0</v>
      </c>
      <c r="Q7290" t="n">
        <v>0</v>
      </c>
      <c r="R7290" s="2" t="inlineStr"/>
    </row>
    <row r="7291" ht="15" customHeight="1">
      <c r="A7291" t="inlineStr">
        <is>
          <t>A 60934-2024</t>
        </is>
      </c>
      <c r="B7291" s="1" t="n">
        <v>45645.36635416667</v>
      </c>
      <c r="C7291" s="1" t="n">
        <v>45911</v>
      </c>
      <c r="D7291" t="inlineStr">
        <is>
          <t>GÄVLEBORGS LÄN</t>
        </is>
      </c>
      <c r="E7291" t="inlineStr">
        <is>
          <t>NORDANSTIG</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61016-2024</t>
        </is>
      </c>
      <c r="B7292" s="1" t="n">
        <v>45645.45041666667</v>
      </c>
      <c r="C7292" s="1" t="n">
        <v>45911</v>
      </c>
      <c r="D7292" t="inlineStr">
        <is>
          <t>GÄVLEBORGS LÄN</t>
        </is>
      </c>
      <c r="E7292" t="inlineStr">
        <is>
          <t>GÄVLE</t>
        </is>
      </c>
      <c r="F7292" t="inlineStr">
        <is>
          <t>Bergvik skog öst AB</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1969-2025</t>
        </is>
      </c>
      <c r="B7293" s="1" t="n">
        <v>45672.38815972222</v>
      </c>
      <c r="C7293" s="1" t="n">
        <v>45911</v>
      </c>
      <c r="D7293" t="inlineStr">
        <is>
          <t>GÄVLEBORGS LÄN</t>
        </is>
      </c>
      <c r="E7293" t="inlineStr">
        <is>
          <t>GÄVLE</t>
        </is>
      </c>
      <c r="F7293" t="inlineStr">
        <is>
          <t>Kyrkan</t>
        </is>
      </c>
      <c r="G7293" t="n">
        <v>6.7</v>
      </c>
      <c r="H7293" t="n">
        <v>0</v>
      </c>
      <c r="I7293" t="n">
        <v>0</v>
      </c>
      <c r="J7293" t="n">
        <v>0</v>
      </c>
      <c r="K7293" t="n">
        <v>0</v>
      </c>
      <c r="L7293" t="n">
        <v>0</v>
      </c>
      <c r="M7293" t="n">
        <v>0</v>
      </c>
      <c r="N7293" t="n">
        <v>0</v>
      </c>
      <c r="O7293" t="n">
        <v>0</v>
      </c>
      <c r="P7293" t="n">
        <v>0</v>
      </c>
      <c r="Q7293" t="n">
        <v>0</v>
      </c>
      <c r="R7293" s="2" t="inlineStr"/>
    </row>
    <row r="7294" ht="15" customHeight="1">
      <c r="A7294" t="inlineStr">
        <is>
          <t>A 4021-2023</t>
        </is>
      </c>
      <c r="B7294" s="1" t="n">
        <v>44952</v>
      </c>
      <c r="C7294" s="1" t="n">
        <v>45911</v>
      </c>
      <c r="D7294" t="inlineStr">
        <is>
          <t>GÄVLEBORGS LÄN</t>
        </is>
      </c>
      <c r="E7294" t="inlineStr">
        <is>
          <t>NORDANSTIG</t>
        </is>
      </c>
      <c r="F7294" t="inlineStr">
        <is>
          <t>Holmen skog AB</t>
        </is>
      </c>
      <c r="G7294" t="n">
        <v>3.4</v>
      </c>
      <c r="H7294" t="n">
        <v>0</v>
      </c>
      <c r="I7294" t="n">
        <v>0</v>
      </c>
      <c r="J7294" t="n">
        <v>0</v>
      </c>
      <c r="K7294" t="n">
        <v>0</v>
      </c>
      <c r="L7294" t="n">
        <v>0</v>
      </c>
      <c r="M7294" t="n">
        <v>0</v>
      </c>
      <c r="N7294" t="n">
        <v>0</v>
      </c>
      <c r="O7294" t="n">
        <v>0</v>
      </c>
      <c r="P7294" t="n">
        <v>0</v>
      </c>
      <c r="Q7294" t="n">
        <v>0</v>
      </c>
      <c r="R7294" s="2" t="inlineStr"/>
    </row>
    <row r="7295" ht="15" customHeight="1">
      <c r="A7295" t="inlineStr">
        <is>
          <t>A 1996-2025</t>
        </is>
      </c>
      <c r="B7295" s="1" t="n">
        <v>45672.4428125</v>
      </c>
      <c r="C7295" s="1" t="n">
        <v>45911</v>
      </c>
      <c r="D7295" t="inlineStr">
        <is>
          <t>GÄVLEBORGS LÄN</t>
        </is>
      </c>
      <c r="E7295" t="inlineStr">
        <is>
          <t>BOLLNÄS</t>
        </is>
      </c>
      <c r="G7295" t="n">
        <v>3.3</v>
      </c>
      <c r="H7295" t="n">
        <v>0</v>
      </c>
      <c r="I7295" t="n">
        <v>0</v>
      </c>
      <c r="J7295" t="n">
        <v>0</v>
      </c>
      <c r="K7295" t="n">
        <v>0</v>
      </c>
      <c r="L7295" t="n">
        <v>0</v>
      </c>
      <c r="M7295" t="n">
        <v>0</v>
      </c>
      <c r="N7295" t="n">
        <v>0</v>
      </c>
      <c r="O7295" t="n">
        <v>0</v>
      </c>
      <c r="P7295" t="n">
        <v>0</v>
      </c>
      <c r="Q7295" t="n">
        <v>0</v>
      </c>
      <c r="R7295" s="2" t="inlineStr"/>
    </row>
    <row r="7296" ht="15" customHeight="1">
      <c r="A7296" t="inlineStr">
        <is>
          <t>A 73331-2021</t>
        </is>
      </c>
      <c r="B7296" s="1" t="n">
        <v>44551.36337962963</v>
      </c>
      <c r="C7296" s="1" t="n">
        <v>45911</v>
      </c>
      <c r="D7296" t="inlineStr">
        <is>
          <t>GÄVLEBORGS LÄN</t>
        </is>
      </c>
      <c r="E7296" t="inlineStr">
        <is>
          <t>SANDVIKEN</t>
        </is>
      </c>
      <c r="F7296" t="inlineStr">
        <is>
          <t>Bergvik skog öst AB</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257-2025</t>
        </is>
      </c>
      <c r="B7297" s="1" t="n">
        <v>45660</v>
      </c>
      <c r="C7297" s="1" t="n">
        <v>45911</v>
      </c>
      <c r="D7297" t="inlineStr">
        <is>
          <t>GÄVLEBORGS LÄN</t>
        </is>
      </c>
      <c r="E7297" t="inlineStr">
        <is>
          <t>GÄVLE</t>
        </is>
      </c>
      <c r="G7297" t="n">
        <v>2.9</v>
      </c>
      <c r="H7297" t="n">
        <v>0</v>
      </c>
      <c r="I7297" t="n">
        <v>0</v>
      </c>
      <c r="J7297" t="n">
        <v>0</v>
      </c>
      <c r="K7297" t="n">
        <v>0</v>
      </c>
      <c r="L7297" t="n">
        <v>0</v>
      </c>
      <c r="M7297" t="n">
        <v>0</v>
      </c>
      <c r="N7297" t="n">
        <v>0</v>
      </c>
      <c r="O7297" t="n">
        <v>0</v>
      </c>
      <c r="P7297" t="n">
        <v>0</v>
      </c>
      <c r="Q7297" t="n">
        <v>0</v>
      </c>
      <c r="R7297" s="2" t="inlineStr"/>
    </row>
    <row r="7298" ht="15" customHeight="1">
      <c r="A7298" t="inlineStr">
        <is>
          <t>A 259-2025</t>
        </is>
      </c>
      <c r="B7298" s="1" t="n">
        <v>45660.44798611111</v>
      </c>
      <c r="C7298" s="1" t="n">
        <v>45911</v>
      </c>
      <c r="D7298" t="inlineStr">
        <is>
          <t>GÄVLEBORGS LÄN</t>
        </is>
      </c>
      <c r="E7298" t="inlineStr">
        <is>
          <t>GÄVLE</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54401-2024</t>
        </is>
      </c>
      <c r="B7299" s="1" t="n">
        <v>45617.46939814815</v>
      </c>
      <c r="C7299" s="1" t="n">
        <v>45911</v>
      </c>
      <c r="D7299" t="inlineStr">
        <is>
          <t>GÄVLEBORGS LÄN</t>
        </is>
      </c>
      <c r="E7299" t="inlineStr">
        <is>
          <t>NORDANSTIG</t>
        </is>
      </c>
      <c r="F7299" t="inlineStr">
        <is>
          <t>Holmen skog AB</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17618-2025</t>
        </is>
      </c>
      <c r="B7300" s="1" t="n">
        <v>45757.8506712963</v>
      </c>
      <c r="C7300" s="1" t="n">
        <v>45911</v>
      </c>
      <c r="D7300" t="inlineStr">
        <is>
          <t>GÄVLEBORGS LÄN</t>
        </is>
      </c>
      <c r="E7300" t="inlineStr">
        <is>
          <t>OVANÅKER</t>
        </is>
      </c>
      <c r="F7300" t="inlineStr">
        <is>
          <t>Holmen skog AB</t>
        </is>
      </c>
      <c r="G7300" t="n">
        <v>5.8</v>
      </c>
      <c r="H7300" t="n">
        <v>0</v>
      </c>
      <c r="I7300" t="n">
        <v>0</v>
      </c>
      <c r="J7300" t="n">
        <v>0</v>
      </c>
      <c r="K7300" t="n">
        <v>0</v>
      </c>
      <c r="L7300" t="n">
        <v>0</v>
      </c>
      <c r="M7300" t="n">
        <v>0</v>
      </c>
      <c r="N7300" t="n">
        <v>0</v>
      </c>
      <c r="O7300" t="n">
        <v>0</v>
      </c>
      <c r="P7300" t="n">
        <v>0</v>
      </c>
      <c r="Q7300" t="n">
        <v>0</v>
      </c>
      <c r="R7300" s="2" t="inlineStr"/>
    </row>
    <row r="7301" ht="15" customHeight="1">
      <c r="A7301" t="inlineStr">
        <is>
          <t>A 17641-2025</t>
        </is>
      </c>
      <c r="B7301" s="1" t="n">
        <v>45758.32194444445</v>
      </c>
      <c r="C7301" s="1" t="n">
        <v>45911</v>
      </c>
      <c r="D7301" t="inlineStr">
        <is>
          <t>GÄVLEBORGS LÄN</t>
        </is>
      </c>
      <c r="E7301" t="inlineStr">
        <is>
          <t>NORDANSTIG</t>
        </is>
      </c>
      <c r="G7301" t="n">
        <v>4.7</v>
      </c>
      <c r="H7301" t="n">
        <v>0</v>
      </c>
      <c r="I7301" t="n">
        <v>0</v>
      </c>
      <c r="J7301" t="n">
        <v>0</v>
      </c>
      <c r="K7301" t="n">
        <v>0</v>
      </c>
      <c r="L7301" t="n">
        <v>0</v>
      </c>
      <c r="M7301" t="n">
        <v>0</v>
      </c>
      <c r="N7301" t="n">
        <v>0</v>
      </c>
      <c r="O7301" t="n">
        <v>0</v>
      </c>
      <c r="P7301" t="n">
        <v>0</v>
      </c>
      <c r="Q7301" t="n">
        <v>0</v>
      </c>
      <c r="R7301" s="2" t="inlineStr"/>
    </row>
    <row r="7302" ht="15" customHeight="1">
      <c r="A7302" t="inlineStr">
        <is>
          <t>A 55983-2024</t>
        </is>
      </c>
      <c r="B7302" s="1" t="n">
        <v>45623.66719907407</v>
      </c>
      <c r="C7302" s="1" t="n">
        <v>45911</v>
      </c>
      <c r="D7302" t="inlineStr">
        <is>
          <t>GÄVLEBORGS LÄN</t>
        </is>
      </c>
      <c r="E7302" t="inlineStr">
        <is>
          <t>LJUSDAL</t>
        </is>
      </c>
      <c r="F7302" t="inlineStr">
        <is>
          <t>Holmen skog AB</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54565-2021</t>
        </is>
      </c>
      <c r="B7303" s="1" t="n">
        <v>44473.57090277778</v>
      </c>
      <c r="C7303" s="1" t="n">
        <v>45911</v>
      </c>
      <c r="D7303" t="inlineStr">
        <is>
          <t>GÄVLEBORGS LÄN</t>
        </is>
      </c>
      <c r="E7303" t="inlineStr">
        <is>
          <t>HUDIKSVALL</t>
        </is>
      </c>
      <c r="F7303" t="inlineStr">
        <is>
          <t>Holmen skog AB</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48765-2021</t>
        </is>
      </c>
      <c r="B7304" s="1" t="n">
        <v>44452.65006944445</v>
      </c>
      <c r="C7304" s="1" t="n">
        <v>45911</v>
      </c>
      <c r="D7304" t="inlineStr">
        <is>
          <t>GÄVLEBORGS LÄN</t>
        </is>
      </c>
      <c r="E7304" t="inlineStr">
        <is>
          <t>SANDVIKEN</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55694-2024</t>
        </is>
      </c>
      <c r="B7305" s="1" t="n">
        <v>45622.68012731482</v>
      </c>
      <c r="C7305" s="1" t="n">
        <v>45911</v>
      </c>
      <c r="D7305" t="inlineStr">
        <is>
          <t>GÄVLEBORGS LÄN</t>
        </is>
      </c>
      <c r="E7305" t="inlineStr">
        <is>
          <t>NORDANSTIG</t>
        </is>
      </c>
      <c r="F7305" t="inlineStr">
        <is>
          <t>Holmen skog AB</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37249-2021</t>
        </is>
      </c>
      <c r="B7306" s="1" t="n">
        <v>44397</v>
      </c>
      <c r="C7306" s="1" t="n">
        <v>45911</v>
      </c>
      <c r="D7306" t="inlineStr">
        <is>
          <t>GÄVLEBORGS LÄN</t>
        </is>
      </c>
      <c r="E7306" t="inlineStr">
        <is>
          <t>LJUSDAL</t>
        </is>
      </c>
      <c r="F7306" t="inlineStr">
        <is>
          <t>Sveaskog</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26936-2023</t>
        </is>
      </c>
      <c r="B7307" s="1" t="n">
        <v>45093.62740740741</v>
      </c>
      <c r="C7307" s="1" t="n">
        <v>45911</v>
      </c>
      <c r="D7307" t="inlineStr">
        <is>
          <t>GÄVLEBORGS LÄN</t>
        </is>
      </c>
      <c r="E7307" t="inlineStr">
        <is>
          <t>SÖDERHAMN</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31544-2023</t>
        </is>
      </c>
      <c r="B7308" s="1" t="n">
        <v>45117</v>
      </c>
      <c r="C7308" s="1" t="n">
        <v>45911</v>
      </c>
      <c r="D7308" t="inlineStr">
        <is>
          <t>GÄVLEBORGS LÄN</t>
        </is>
      </c>
      <c r="E7308" t="inlineStr">
        <is>
          <t>GÄVLE</t>
        </is>
      </c>
      <c r="F7308" t="inlineStr">
        <is>
          <t>Bergvik skog väst AB</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64225-2021</t>
        </is>
      </c>
      <c r="B7309" s="1" t="n">
        <v>44510.63287037037</v>
      </c>
      <c r="C7309" s="1" t="n">
        <v>45911</v>
      </c>
      <c r="D7309" t="inlineStr">
        <is>
          <t>GÄVLEBORGS LÄN</t>
        </is>
      </c>
      <c r="E7309" t="inlineStr">
        <is>
          <t>SANDVIKEN</t>
        </is>
      </c>
      <c r="G7309" t="n">
        <v>3.2</v>
      </c>
      <c r="H7309" t="n">
        <v>0</v>
      </c>
      <c r="I7309" t="n">
        <v>0</v>
      </c>
      <c r="J7309" t="n">
        <v>0</v>
      </c>
      <c r="K7309" t="n">
        <v>0</v>
      </c>
      <c r="L7309" t="n">
        <v>0</v>
      </c>
      <c r="M7309" t="n">
        <v>0</v>
      </c>
      <c r="N7309" t="n">
        <v>0</v>
      </c>
      <c r="O7309" t="n">
        <v>0</v>
      </c>
      <c r="P7309" t="n">
        <v>0</v>
      </c>
      <c r="Q7309" t="n">
        <v>0</v>
      </c>
      <c r="R7309" s="2" t="inlineStr"/>
    </row>
    <row r="7310" ht="15" customHeight="1">
      <c r="A7310" t="inlineStr">
        <is>
          <t>A 12526-2024</t>
        </is>
      </c>
      <c r="B7310" s="1" t="n">
        <v>45379.61818287037</v>
      </c>
      <c r="C7310" s="1" t="n">
        <v>45911</v>
      </c>
      <c r="D7310" t="inlineStr">
        <is>
          <t>GÄVLEBORGS LÄN</t>
        </is>
      </c>
      <c r="E7310" t="inlineStr">
        <is>
          <t>HUDIKSVALL</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12545-2024</t>
        </is>
      </c>
      <c r="B7311" s="1" t="n">
        <v>45379</v>
      </c>
      <c r="C7311" s="1" t="n">
        <v>45911</v>
      </c>
      <c r="D7311" t="inlineStr">
        <is>
          <t>GÄVLEBORGS LÄN</t>
        </is>
      </c>
      <c r="E7311" t="inlineStr">
        <is>
          <t>HUDIKSVALL</t>
        </is>
      </c>
      <c r="G7311" t="n">
        <v>2.6</v>
      </c>
      <c r="H7311" t="n">
        <v>0</v>
      </c>
      <c r="I7311" t="n">
        <v>0</v>
      </c>
      <c r="J7311" t="n">
        <v>0</v>
      </c>
      <c r="K7311" t="n">
        <v>0</v>
      </c>
      <c r="L7311" t="n">
        <v>0</v>
      </c>
      <c r="M7311" t="n">
        <v>0</v>
      </c>
      <c r="N7311" t="n">
        <v>0</v>
      </c>
      <c r="O7311" t="n">
        <v>0</v>
      </c>
      <c r="P7311" t="n">
        <v>0</v>
      </c>
      <c r="Q7311" t="n">
        <v>0</v>
      </c>
      <c r="R7311" s="2" t="inlineStr"/>
    </row>
    <row r="7312" ht="15" customHeight="1">
      <c r="A7312" t="inlineStr">
        <is>
          <t>A 54167-2023</t>
        </is>
      </c>
      <c r="B7312" s="1" t="n">
        <v>45232</v>
      </c>
      <c r="C7312" s="1" t="n">
        <v>45911</v>
      </c>
      <c r="D7312" t="inlineStr">
        <is>
          <t>GÄVLEBORGS LÄN</t>
        </is>
      </c>
      <c r="E7312" t="inlineStr">
        <is>
          <t>LJUSDAL</t>
        </is>
      </c>
      <c r="F7312" t="inlineStr">
        <is>
          <t>Sveaskog</t>
        </is>
      </c>
      <c r="G7312" t="n">
        <v>20.5</v>
      </c>
      <c r="H7312" t="n">
        <v>0</v>
      </c>
      <c r="I7312" t="n">
        <v>0</v>
      </c>
      <c r="J7312" t="n">
        <v>0</v>
      </c>
      <c r="K7312" t="n">
        <v>0</v>
      </c>
      <c r="L7312" t="n">
        <v>0</v>
      </c>
      <c r="M7312" t="n">
        <v>0</v>
      </c>
      <c r="N7312" t="n">
        <v>0</v>
      </c>
      <c r="O7312" t="n">
        <v>0</v>
      </c>
      <c r="P7312" t="n">
        <v>0</v>
      </c>
      <c r="Q7312" t="n">
        <v>0</v>
      </c>
      <c r="R7312" s="2" t="inlineStr"/>
    </row>
    <row r="7313" ht="15" customHeight="1">
      <c r="A7313" t="inlineStr">
        <is>
          <t>A 4043-2024</t>
        </is>
      </c>
      <c r="B7313" s="1" t="n">
        <v>45323</v>
      </c>
      <c r="C7313" s="1" t="n">
        <v>45911</v>
      </c>
      <c r="D7313" t="inlineStr">
        <is>
          <t>GÄVLEBORGS LÄN</t>
        </is>
      </c>
      <c r="E7313" t="inlineStr">
        <is>
          <t>LJUSDAL</t>
        </is>
      </c>
      <c r="G7313" t="n">
        <v>9.9</v>
      </c>
      <c r="H7313" t="n">
        <v>0</v>
      </c>
      <c r="I7313" t="n">
        <v>0</v>
      </c>
      <c r="J7313" t="n">
        <v>0</v>
      </c>
      <c r="K7313" t="n">
        <v>0</v>
      </c>
      <c r="L7313" t="n">
        <v>0</v>
      </c>
      <c r="M7313" t="n">
        <v>0</v>
      </c>
      <c r="N7313" t="n">
        <v>0</v>
      </c>
      <c r="O7313" t="n">
        <v>0</v>
      </c>
      <c r="P7313" t="n">
        <v>0</v>
      </c>
      <c r="Q7313" t="n">
        <v>0</v>
      </c>
      <c r="R7313" s="2" t="inlineStr"/>
    </row>
    <row r="7314" ht="15" customHeight="1">
      <c r="A7314" t="inlineStr">
        <is>
          <t>A 14172-2024</t>
        </is>
      </c>
      <c r="B7314" s="1" t="n">
        <v>45392</v>
      </c>
      <c r="C7314" s="1" t="n">
        <v>45911</v>
      </c>
      <c r="D7314" t="inlineStr">
        <is>
          <t>GÄVLEBORGS LÄN</t>
        </is>
      </c>
      <c r="E7314" t="inlineStr">
        <is>
          <t>NORDANSTIG</t>
        </is>
      </c>
      <c r="F7314" t="inlineStr">
        <is>
          <t>SCA</t>
        </is>
      </c>
      <c r="G7314" t="n">
        <v>4.2</v>
      </c>
      <c r="H7314" t="n">
        <v>0</v>
      </c>
      <c r="I7314" t="n">
        <v>0</v>
      </c>
      <c r="J7314" t="n">
        <v>0</v>
      </c>
      <c r="K7314" t="n">
        <v>0</v>
      </c>
      <c r="L7314" t="n">
        <v>0</v>
      </c>
      <c r="M7314" t="n">
        <v>0</v>
      </c>
      <c r="N7314" t="n">
        <v>0</v>
      </c>
      <c r="O7314" t="n">
        <v>0</v>
      </c>
      <c r="P7314" t="n">
        <v>0</v>
      </c>
      <c r="Q7314" t="n">
        <v>0</v>
      </c>
      <c r="R7314" s="2" t="inlineStr"/>
    </row>
    <row r="7315" ht="15" customHeight="1">
      <c r="A7315" t="inlineStr">
        <is>
          <t>A 553-2025</t>
        </is>
      </c>
      <c r="B7315" s="1" t="n">
        <v>45664</v>
      </c>
      <c r="C7315" s="1" t="n">
        <v>45911</v>
      </c>
      <c r="D7315" t="inlineStr">
        <is>
          <t>GÄVLEBORGS LÄN</t>
        </is>
      </c>
      <c r="E7315" t="inlineStr">
        <is>
          <t>HUDIKSVALL</t>
        </is>
      </c>
      <c r="G7315" t="n">
        <v>2.4</v>
      </c>
      <c r="H7315" t="n">
        <v>0</v>
      </c>
      <c r="I7315" t="n">
        <v>0</v>
      </c>
      <c r="J7315" t="n">
        <v>0</v>
      </c>
      <c r="K7315" t="n">
        <v>0</v>
      </c>
      <c r="L7315" t="n">
        <v>0</v>
      </c>
      <c r="M7315" t="n">
        <v>0</v>
      </c>
      <c r="N7315" t="n">
        <v>0</v>
      </c>
      <c r="O7315" t="n">
        <v>0</v>
      </c>
      <c r="P7315" t="n">
        <v>0</v>
      </c>
      <c r="Q7315" t="n">
        <v>0</v>
      </c>
      <c r="R7315" s="2" t="inlineStr"/>
    </row>
    <row r="7316" ht="15" customHeight="1">
      <c r="A7316" t="inlineStr">
        <is>
          <t>A 595-2025</t>
        </is>
      </c>
      <c r="B7316" s="1" t="n">
        <v>45664.58971064815</v>
      </c>
      <c r="C7316" s="1" t="n">
        <v>45911</v>
      </c>
      <c r="D7316" t="inlineStr">
        <is>
          <t>GÄVLEBORGS LÄN</t>
        </is>
      </c>
      <c r="E7316" t="inlineStr">
        <is>
          <t>BOLLNÄS</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989-2023</t>
        </is>
      </c>
      <c r="B7317" s="1" t="n">
        <v>44935.38945601852</v>
      </c>
      <c r="C7317" s="1" t="n">
        <v>45911</v>
      </c>
      <c r="D7317" t="inlineStr">
        <is>
          <t>GÄVLEBORGS LÄN</t>
        </is>
      </c>
      <c r="E7317" t="inlineStr">
        <is>
          <t>GÄVLE</t>
        </is>
      </c>
      <c r="G7317" t="n">
        <v>3.7</v>
      </c>
      <c r="H7317" t="n">
        <v>0</v>
      </c>
      <c r="I7317" t="n">
        <v>0</v>
      </c>
      <c r="J7317" t="n">
        <v>0</v>
      </c>
      <c r="K7317" t="n">
        <v>0</v>
      </c>
      <c r="L7317" t="n">
        <v>0</v>
      </c>
      <c r="M7317" t="n">
        <v>0</v>
      </c>
      <c r="N7317" t="n">
        <v>0</v>
      </c>
      <c r="O7317" t="n">
        <v>0</v>
      </c>
      <c r="P7317" t="n">
        <v>0</v>
      </c>
      <c r="Q7317" t="n">
        <v>0</v>
      </c>
      <c r="R7317" s="2" t="inlineStr"/>
    </row>
    <row r="7318" ht="15" customHeight="1">
      <c r="A7318" t="inlineStr">
        <is>
          <t>A 39417-2024</t>
        </is>
      </c>
      <c r="B7318" s="1" t="n">
        <v>45551</v>
      </c>
      <c r="C7318" s="1" t="n">
        <v>45911</v>
      </c>
      <c r="D7318" t="inlineStr">
        <is>
          <t>GÄVLEBORGS LÄN</t>
        </is>
      </c>
      <c r="E7318" t="inlineStr">
        <is>
          <t>LJUSDAL</t>
        </is>
      </c>
      <c r="G7318" t="n">
        <v>0.1</v>
      </c>
      <c r="H7318" t="n">
        <v>0</v>
      </c>
      <c r="I7318" t="n">
        <v>0</v>
      </c>
      <c r="J7318" t="n">
        <v>0</v>
      </c>
      <c r="K7318" t="n">
        <v>0</v>
      </c>
      <c r="L7318" t="n">
        <v>0</v>
      </c>
      <c r="M7318" t="n">
        <v>0</v>
      </c>
      <c r="N7318" t="n">
        <v>0</v>
      </c>
      <c r="O7318" t="n">
        <v>0</v>
      </c>
      <c r="P7318" t="n">
        <v>0</v>
      </c>
      <c r="Q7318" t="n">
        <v>0</v>
      </c>
      <c r="R7318" s="2" t="inlineStr"/>
    </row>
    <row r="7319" ht="15" customHeight="1">
      <c r="A7319" t="inlineStr">
        <is>
          <t>A 35590-2023</t>
        </is>
      </c>
      <c r="B7319" s="1" t="n">
        <v>45147</v>
      </c>
      <c r="C7319" s="1" t="n">
        <v>45911</v>
      </c>
      <c r="D7319" t="inlineStr">
        <is>
          <t>GÄVLEBORGS LÄN</t>
        </is>
      </c>
      <c r="E7319" t="inlineStr">
        <is>
          <t>HUDIKSVALL</t>
        </is>
      </c>
      <c r="F7319" t="inlineStr">
        <is>
          <t>Holmen skog AB</t>
        </is>
      </c>
      <c r="G7319" t="n">
        <v>3.3</v>
      </c>
      <c r="H7319" t="n">
        <v>0</v>
      </c>
      <c r="I7319" t="n">
        <v>0</v>
      </c>
      <c r="J7319" t="n">
        <v>0</v>
      </c>
      <c r="K7319" t="n">
        <v>0</v>
      </c>
      <c r="L7319" t="n">
        <v>0</v>
      </c>
      <c r="M7319" t="n">
        <v>0</v>
      </c>
      <c r="N7319" t="n">
        <v>0</v>
      </c>
      <c r="O7319" t="n">
        <v>0</v>
      </c>
      <c r="P7319" t="n">
        <v>0</v>
      </c>
      <c r="Q7319" t="n">
        <v>0</v>
      </c>
      <c r="R7319" s="2" t="inlineStr"/>
    </row>
    <row r="7320" ht="15" customHeight="1">
      <c r="A7320" t="inlineStr">
        <is>
          <t>A 23770-2024</t>
        </is>
      </c>
      <c r="B7320" s="1" t="n">
        <v>45455.38045138889</v>
      </c>
      <c r="C7320" s="1" t="n">
        <v>45911</v>
      </c>
      <c r="D7320" t="inlineStr">
        <is>
          <t>GÄVLEBORGS LÄN</t>
        </is>
      </c>
      <c r="E7320" t="inlineStr">
        <is>
          <t>NORDANSTIG</t>
        </is>
      </c>
      <c r="F7320" t="inlineStr">
        <is>
          <t>Holmen skog AB</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58916-2023</t>
        </is>
      </c>
      <c r="B7321" s="1" t="n">
        <v>45252.53457175926</v>
      </c>
      <c r="C7321" s="1" t="n">
        <v>45911</v>
      </c>
      <c r="D7321" t="inlineStr">
        <is>
          <t>GÄVLEBORGS LÄN</t>
        </is>
      </c>
      <c r="E7321" t="inlineStr">
        <is>
          <t>SANDVIKEN</t>
        </is>
      </c>
      <c r="F7321" t="inlineStr">
        <is>
          <t>Bergvik skog öst AB</t>
        </is>
      </c>
      <c r="G7321" t="n">
        <v>0.4</v>
      </c>
      <c r="H7321" t="n">
        <v>0</v>
      </c>
      <c r="I7321" t="n">
        <v>0</v>
      </c>
      <c r="J7321" t="n">
        <v>0</v>
      </c>
      <c r="K7321" t="n">
        <v>0</v>
      </c>
      <c r="L7321" t="n">
        <v>0</v>
      </c>
      <c r="M7321" t="n">
        <v>0</v>
      </c>
      <c r="N7321" t="n">
        <v>0</v>
      </c>
      <c r="O7321" t="n">
        <v>0</v>
      </c>
      <c r="P7321" t="n">
        <v>0</v>
      </c>
      <c r="Q7321" t="n">
        <v>0</v>
      </c>
      <c r="R7321" s="2" t="inlineStr"/>
    </row>
    <row r="7322" ht="15" customHeight="1">
      <c r="A7322" t="inlineStr">
        <is>
          <t>A 58929-2023</t>
        </is>
      </c>
      <c r="B7322" s="1" t="n">
        <v>45252.5525462963</v>
      </c>
      <c r="C7322" s="1" t="n">
        <v>45911</v>
      </c>
      <c r="D7322" t="inlineStr">
        <is>
          <t>GÄVLEBORGS LÄN</t>
        </is>
      </c>
      <c r="E7322" t="inlineStr">
        <is>
          <t>BOLLNÄS</t>
        </is>
      </c>
      <c r="F7322" t="inlineStr">
        <is>
          <t>Holmen skog AB</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14263-2024</t>
        </is>
      </c>
      <c r="B7323" s="1" t="n">
        <v>45393.55355324074</v>
      </c>
      <c r="C7323" s="1" t="n">
        <v>45911</v>
      </c>
      <c r="D7323" t="inlineStr">
        <is>
          <t>GÄVLEBORGS LÄN</t>
        </is>
      </c>
      <c r="E7323" t="inlineStr">
        <is>
          <t>LJUSDAL</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11084-2025</t>
        </is>
      </c>
      <c r="B7324" s="1" t="n">
        <v>45723.56917824074</v>
      </c>
      <c r="C7324" s="1" t="n">
        <v>45911</v>
      </c>
      <c r="D7324" t="inlineStr">
        <is>
          <t>GÄVLEBORGS LÄN</t>
        </is>
      </c>
      <c r="E7324" t="inlineStr">
        <is>
          <t>GÄVLE</t>
        </is>
      </c>
      <c r="G7324" t="n">
        <v>6.8</v>
      </c>
      <c r="H7324" t="n">
        <v>0</v>
      </c>
      <c r="I7324" t="n">
        <v>0</v>
      </c>
      <c r="J7324" t="n">
        <v>0</v>
      </c>
      <c r="K7324" t="n">
        <v>0</v>
      </c>
      <c r="L7324" t="n">
        <v>0</v>
      </c>
      <c r="M7324" t="n">
        <v>0</v>
      </c>
      <c r="N7324" t="n">
        <v>0</v>
      </c>
      <c r="O7324" t="n">
        <v>0</v>
      </c>
      <c r="P7324" t="n">
        <v>0</v>
      </c>
      <c r="Q7324" t="n">
        <v>0</v>
      </c>
      <c r="R7324" s="2" t="inlineStr"/>
    </row>
    <row r="7325" ht="15" customHeight="1">
      <c r="A7325" t="inlineStr">
        <is>
          <t>A 35683-2023</t>
        </is>
      </c>
      <c r="B7325" s="1" t="n">
        <v>45147</v>
      </c>
      <c r="C7325" s="1" t="n">
        <v>45911</v>
      </c>
      <c r="D7325" t="inlineStr">
        <is>
          <t>GÄVLEBORGS LÄN</t>
        </is>
      </c>
      <c r="E7325" t="inlineStr">
        <is>
          <t>LJUSDAL</t>
        </is>
      </c>
      <c r="G7325" t="n">
        <v>2.9</v>
      </c>
      <c r="H7325" t="n">
        <v>0</v>
      </c>
      <c r="I7325" t="n">
        <v>0</v>
      </c>
      <c r="J7325" t="n">
        <v>0</v>
      </c>
      <c r="K7325" t="n">
        <v>0</v>
      </c>
      <c r="L7325" t="n">
        <v>0</v>
      </c>
      <c r="M7325" t="n">
        <v>0</v>
      </c>
      <c r="N7325" t="n">
        <v>0</v>
      </c>
      <c r="O7325" t="n">
        <v>0</v>
      </c>
      <c r="P7325" t="n">
        <v>0</v>
      </c>
      <c r="Q7325" t="n">
        <v>0</v>
      </c>
      <c r="R7325" s="2" t="inlineStr"/>
    </row>
    <row r="7326" ht="15" customHeight="1">
      <c r="A7326" t="inlineStr">
        <is>
          <t>A 1570-2024</t>
        </is>
      </c>
      <c r="B7326" s="1" t="n">
        <v>45306</v>
      </c>
      <c r="C7326" s="1" t="n">
        <v>45911</v>
      </c>
      <c r="D7326" t="inlineStr">
        <is>
          <t>GÄVLEBORGS LÄN</t>
        </is>
      </c>
      <c r="E7326" t="inlineStr">
        <is>
          <t>OVANÅKER</t>
        </is>
      </c>
      <c r="G7326" t="n">
        <v>2.7</v>
      </c>
      <c r="H7326" t="n">
        <v>0</v>
      </c>
      <c r="I7326" t="n">
        <v>0</v>
      </c>
      <c r="J7326" t="n">
        <v>0</v>
      </c>
      <c r="K7326" t="n">
        <v>0</v>
      </c>
      <c r="L7326" t="n">
        <v>0</v>
      </c>
      <c r="M7326" t="n">
        <v>0</v>
      </c>
      <c r="N7326" t="n">
        <v>0</v>
      </c>
      <c r="O7326" t="n">
        <v>0</v>
      </c>
      <c r="P7326" t="n">
        <v>0</v>
      </c>
      <c r="Q7326" t="n">
        <v>0</v>
      </c>
      <c r="R7326" s="2" t="inlineStr"/>
    </row>
    <row r="7327" ht="15" customHeight="1">
      <c r="A7327" t="inlineStr">
        <is>
          <t>A 60030-2023</t>
        </is>
      </c>
      <c r="B7327" s="1" t="n">
        <v>45258</v>
      </c>
      <c r="C7327" s="1" t="n">
        <v>45911</v>
      </c>
      <c r="D7327" t="inlineStr">
        <is>
          <t>GÄVLEBORGS LÄN</t>
        </is>
      </c>
      <c r="E7327" t="inlineStr">
        <is>
          <t>HUDIKSVALL</t>
        </is>
      </c>
      <c r="F7327" t="inlineStr">
        <is>
          <t>Holmen skog AB</t>
        </is>
      </c>
      <c r="G7327" t="n">
        <v>3.7</v>
      </c>
      <c r="H7327" t="n">
        <v>0</v>
      </c>
      <c r="I7327" t="n">
        <v>0</v>
      </c>
      <c r="J7327" t="n">
        <v>0</v>
      </c>
      <c r="K7327" t="n">
        <v>0</v>
      </c>
      <c r="L7327" t="n">
        <v>0</v>
      </c>
      <c r="M7327" t="n">
        <v>0</v>
      </c>
      <c r="N7327" t="n">
        <v>0</v>
      </c>
      <c r="O7327" t="n">
        <v>0</v>
      </c>
      <c r="P7327" t="n">
        <v>0</v>
      </c>
      <c r="Q7327" t="n">
        <v>0</v>
      </c>
      <c r="R7327" s="2" t="inlineStr"/>
    </row>
    <row r="7328" ht="15" customHeight="1">
      <c r="A7328" t="inlineStr">
        <is>
          <t>A 35073-2023</t>
        </is>
      </c>
      <c r="B7328" s="1" t="n">
        <v>45145.42378472222</v>
      </c>
      <c r="C7328" s="1" t="n">
        <v>45911</v>
      </c>
      <c r="D7328" t="inlineStr">
        <is>
          <t>GÄVLEBORGS LÄN</t>
        </is>
      </c>
      <c r="E7328" t="inlineStr">
        <is>
          <t>BOLLNÄS</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8434-2024</t>
        </is>
      </c>
      <c r="B7329" s="1" t="n">
        <v>45353</v>
      </c>
      <c r="C7329" s="1" t="n">
        <v>45911</v>
      </c>
      <c r="D7329" t="inlineStr">
        <is>
          <t>GÄVLEBORGS LÄN</t>
        </is>
      </c>
      <c r="E7329" t="inlineStr">
        <is>
          <t>HUDIKSVALL</t>
        </is>
      </c>
      <c r="F7329" t="inlineStr">
        <is>
          <t>Holmen skog AB</t>
        </is>
      </c>
      <c r="G7329" t="n">
        <v>10.1</v>
      </c>
      <c r="H7329" t="n">
        <v>0</v>
      </c>
      <c r="I7329" t="n">
        <v>0</v>
      </c>
      <c r="J7329" t="n">
        <v>0</v>
      </c>
      <c r="K7329" t="n">
        <v>0</v>
      </c>
      <c r="L7329" t="n">
        <v>0</v>
      </c>
      <c r="M7329" t="n">
        <v>0</v>
      </c>
      <c r="N7329" t="n">
        <v>0</v>
      </c>
      <c r="O7329" t="n">
        <v>0</v>
      </c>
      <c r="P7329" t="n">
        <v>0</v>
      </c>
      <c r="Q7329" t="n">
        <v>0</v>
      </c>
      <c r="R7329" s="2" t="inlineStr"/>
    </row>
    <row r="7330" ht="15" customHeight="1">
      <c r="A7330" t="inlineStr">
        <is>
          <t>A 17875-2025</t>
        </is>
      </c>
      <c r="B7330" s="1" t="n">
        <v>45758.64366898148</v>
      </c>
      <c r="C7330" s="1" t="n">
        <v>45911</v>
      </c>
      <c r="D7330" t="inlineStr">
        <is>
          <t>GÄVLEBORGS LÄN</t>
        </is>
      </c>
      <c r="E7330" t="inlineStr">
        <is>
          <t>SÖDERHAMN</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62095-2023</t>
        </is>
      </c>
      <c r="B7331" s="1" t="n">
        <v>45266</v>
      </c>
      <c r="C7331" s="1" t="n">
        <v>45911</v>
      </c>
      <c r="D7331" t="inlineStr">
        <is>
          <t>GÄVLEBORGS LÄN</t>
        </is>
      </c>
      <c r="E7331" t="inlineStr">
        <is>
          <t>LJUSDAL</t>
        </is>
      </c>
      <c r="G7331" t="n">
        <v>0.2</v>
      </c>
      <c r="H7331" t="n">
        <v>0</v>
      </c>
      <c r="I7331" t="n">
        <v>0</v>
      </c>
      <c r="J7331" t="n">
        <v>0</v>
      </c>
      <c r="K7331" t="n">
        <v>0</v>
      </c>
      <c r="L7331" t="n">
        <v>0</v>
      </c>
      <c r="M7331" t="n">
        <v>0</v>
      </c>
      <c r="N7331" t="n">
        <v>0</v>
      </c>
      <c r="O7331" t="n">
        <v>0</v>
      </c>
      <c r="P7331" t="n">
        <v>0</v>
      </c>
      <c r="Q7331" t="n">
        <v>0</v>
      </c>
      <c r="R7331" s="2" t="inlineStr"/>
    </row>
    <row r="7332" ht="15" customHeight="1">
      <c r="A7332" t="inlineStr">
        <is>
          <t>A 16426-2025</t>
        </is>
      </c>
      <c r="B7332" s="1" t="n">
        <v>45751.47662037037</v>
      </c>
      <c r="C7332" s="1" t="n">
        <v>45911</v>
      </c>
      <c r="D7332" t="inlineStr">
        <is>
          <t>GÄVLEBORGS LÄN</t>
        </is>
      </c>
      <c r="E7332" t="inlineStr">
        <is>
          <t>OVANÅKER</t>
        </is>
      </c>
      <c r="F7332" t="inlineStr">
        <is>
          <t>Bergvik skog öst AB</t>
        </is>
      </c>
      <c r="G7332" t="n">
        <v>0.4</v>
      </c>
      <c r="H7332" t="n">
        <v>0</v>
      </c>
      <c r="I7332" t="n">
        <v>0</v>
      </c>
      <c r="J7332" t="n">
        <v>0</v>
      </c>
      <c r="K7332" t="n">
        <v>0</v>
      </c>
      <c r="L7332" t="n">
        <v>0</v>
      </c>
      <c r="M7332" t="n">
        <v>0</v>
      </c>
      <c r="N7332" t="n">
        <v>0</v>
      </c>
      <c r="O7332" t="n">
        <v>0</v>
      </c>
      <c r="P7332" t="n">
        <v>0</v>
      </c>
      <c r="Q7332" t="n">
        <v>0</v>
      </c>
      <c r="R7332" s="2" t="inlineStr"/>
    </row>
    <row r="7333" ht="15" customHeight="1">
      <c r="A7333" t="inlineStr">
        <is>
          <t>A 64112-2023</t>
        </is>
      </c>
      <c r="B7333" s="1" t="n">
        <v>45279.47818287037</v>
      </c>
      <c r="C7333" s="1" t="n">
        <v>45911</v>
      </c>
      <c r="D7333" t="inlineStr">
        <is>
          <t>GÄVLEBORGS LÄN</t>
        </is>
      </c>
      <c r="E7333" t="inlineStr">
        <is>
          <t>SANDVIKEN</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50066-2023</t>
        </is>
      </c>
      <c r="B7334" s="1" t="n">
        <v>45215</v>
      </c>
      <c r="C7334" s="1" t="n">
        <v>45911</v>
      </c>
      <c r="D7334" t="inlineStr">
        <is>
          <t>GÄVLEBORGS LÄN</t>
        </is>
      </c>
      <c r="E7334" t="inlineStr">
        <is>
          <t>SÖDERHAMN</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1392-2025</t>
        </is>
      </c>
      <c r="B7335" s="1" t="n">
        <v>45667</v>
      </c>
      <c r="C7335" s="1" t="n">
        <v>45911</v>
      </c>
      <c r="D7335" t="inlineStr">
        <is>
          <t>GÄVLEBORGS LÄN</t>
        </is>
      </c>
      <c r="E7335" t="inlineStr">
        <is>
          <t>NORDANSTIG</t>
        </is>
      </c>
      <c r="G7335" t="n">
        <v>4</v>
      </c>
      <c r="H7335" t="n">
        <v>0</v>
      </c>
      <c r="I7335" t="n">
        <v>0</v>
      </c>
      <c r="J7335" t="n">
        <v>0</v>
      </c>
      <c r="K7335" t="n">
        <v>0</v>
      </c>
      <c r="L7335" t="n">
        <v>0</v>
      </c>
      <c r="M7335" t="n">
        <v>0</v>
      </c>
      <c r="N7335" t="n">
        <v>0</v>
      </c>
      <c r="O7335" t="n">
        <v>0</v>
      </c>
      <c r="P7335" t="n">
        <v>0</v>
      </c>
      <c r="Q7335" t="n">
        <v>0</v>
      </c>
      <c r="R7335" s="2" t="inlineStr"/>
    </row>
    <row r="7336" ht="15" customHeight="1">
      <c r="A7336" t="inlineStr">
        <is>
          <t>A 61319-2024</t>
        </is>
      </c>
      <c r="B7336" s="1" t="n">
        <v>45646.33236111111</v>
      </c>
      <c r="C7336" s="1" t="n">
        <v>45911</v>
      </c>
      <c r="D7336" t="inlineStr">
        <is>
          <t>GÄVLEBORGS LÄN</t>
        </is>
      </c>
      <c r="E7336" t="inlineStr">
        <is>
          <t>OCKELBO</t>
        </is>
      </c>
      <c r="G7336" t="n">
        <v>3.5</v>
      </c>
      <c r="H7336" t="n">
        <v>0</v>
      </c>
      <c r="I7336" t="n">
        <v>0</v>
      </c>
      <c r="J7336" t="n">
        <v>0</v>
      </c>
      <c r="K7336" t="n">
        <v>0</v>
      </c>
      <c r="L7336" t="n">
        <v>0</v>
      </c>
      <c r="M7336" t="n">
        <v>0</v>
      </c>
      <c r="N7336" t="n">
        <v>0</v>
      </c>
      <c r="O7336" t="n">
        <v>0</v>
      </c>
      <c r="P7336" t="n">
        <v>0</v>
      </c>
      <c r="Q7336" t="n">
        <v>0</v>
      </c>
      <c r="R7336" s="2" t="inlineStr"/>
    </row>
    <row r="7337" ht="15" customHeight="1">
      <c r="A7337" t="inlineStr">
        <is>
          <t>A 44681-2024</t>
        </is>
      </c>
      <c r="B7337" s="1" t="n">
        <v>45574.54585648148</v>
      </c>
      <c r="C7337" s="1" t="n">
        <v>45911</v>
      </c>
      <c r="D7337" t="inlineStr">
        <is>
          <t>GÄVLEBORGS LÄN</t>
        </is>
      </c>
      <c r="E7337" t="inlineStr">
        <is>
          <t>SÖDERHAMN</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44682-2024</t>
        </is>
      </c>
      <c r="B7338" s="1" t="n">
        <v>45574.54673611111</v>
      </c>
      <c r="C7338" s="1" t="n">
        <v>45911</v>
      </c>
      <c r="D7338" t="inlineStr">
        <is>
          <t>GÄVLEBORGS LÄN</t>
        </is>
      </c>
      <c r="E7338" t="inlineStr">
        <is>
          <t>BOLLNÄS</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39373-2024</t>
        </is>
      </c>
      <c r="B7339" s="1" t="n">
        <v>45551.48148148148</v>
      </c>
      <c r="C7339" s="1" t="n">
        <v>45911</v>
      </c>
      <c r="D7339" t="inlineStr">
        <is>
          <t>GÄVLEBORGS LÄN</t>
        </is>
      </c>
      <c r="E7339" t="inlineStr">
        <is>
          <t>OVANÅKER</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19718-2025</t>
        </is>
      </c>
      <c r="B7340" s="1" t="n">
        <v>45771.35664351852</v>
      </c>
      <c r="C7340" s="1" t="n">
        <v>45911</v>
      </c>
      <c r="D7340" t="inlineStr">
        <is>
          <t>GÄVLEBORGS LÄN</t>
        </is>
      </c>
      <c r="E7340" t="inlineStr">
        <is>
          <t>LJUSDAL</t>
        </is>
      </c>
      <c r="G7340" t="n">
        <v>2.8</v>
      </c>
      <c r="H7340" t="n">
        <v>0</v>
      </c>
      <c r="I7340" t="n">
        <v>0</v>
      </c>
      <c r="J7340" t="n">
        <v>0</v>
      </c>
      <c r="K7340" t="n">
        <v>0</v>
      </c>
      <c r="L7340" t="n">
        <v>0</v>
      </c>
      <c r="M7340" t="n">
        <v>0</v>
      </c>
      <c r="N7340" t="n">
        <v>0</v>
      </c>
      <c r="O7340" t="n">
        <v>0</v>
      </c>
      <c r="P7340" t="n">
        <v>0</v>
      </c>
      <c r="Q7340" t="n">
        <v>0</v>
      </c>
      <c r="R7340" s="2" t="inlineStr"/>
    </row>
    <row r="7341" ht="15" customHeight="1">
      <c r="A7341" t="inlineStr">
        <is>
          <t>A 31011-2023</t>
        </is>
      </c>
      <c r="B7341" s="1" t="n">
        <v>45113</v>
      </c>
      <c r="C7341" s="1" t="n">
        <v>45911</v>
      </c>
      <c r="D7341" t="inlineStr">
        <is>
          <t>GÄVLEBORGS LÄN</t>
        </is>
      </c>
      <c r="E7341" t="inlineStr">
        <is>
          <t>GÄVLE</t>
        </is>
      </c>
      <c r="G7341" t="n">
        <v>5.2</v>
      </c>
      <c r="H7341" t="n">
        <v>0</v>
      </c>
      <c r="I7341" t="n">
        <v>0</v>
      </c>
      <c r="J7341" t="n">
        <v>0</v>
      </c>
      <c r="K7341" t="n">
        <v>0</v>
      </c>
      <c r="L7341" t="n">
        <v>0</v>
      </c>
      <c r="M7341" t="n">
        <v>0</v>
      </c>
      <c r="N7341" t="n">
        <v>0</v>
      </c>
      <c r="O7341" t="n">
        <v>0</v>
      </c>
      <c r="P7341" t="n">
        <v>0</v>
      </c>
      <c r="Q7341" t="n">
        <v>0</v>
      </c>
      <c r="R7341" s="2" t="inlineStr"/>
    </row>
    <row r="7342" ht="15" customHeight="1">
      <c r="A7342" t="inlineStr">
        <is>
          <t>A 514-2025</t>
        </is>
      </c>
      <c r="B7342" s="1" t="n">
        <v>45664</v>
      </c>
      <c r="C7342" s="1" t="n">
        <v>45911</v>
      </c>
      <c r="D7342" t="inlineStr">
        <is>
          <t>GÄVLEBORGS LÄN</t>
        </is>
      </c>
      <c r="E7342" t="inlineStr">
        <is>
          <t>NORDANSTIG</t>
        </is>
      </c>
      <c r="G7342" t="n">
        <v>4.5</v>
      </c>
      <c r="H7342" t="n">
        <v>0</v>
      </c>
      <c r="I7342" t="n">
        <v>0</v>
      </c>
      <c r="J7342" t="n">
        <v>0</v>
      </c>
      <c r="K7342" t="n">
        <v>0</v>
      </c>
      <c r="L7342" t="n">
        <v>0</v>
      </c>
      <c r="M7342" t="n">
        <v>0</v>
      </c>
      <c r="N7342" t="n">
        <v>0</v>
      </c>
      <c r="O7342" t="n">
        <v>0</v>
      </c>
      <c r="P7342" t="n">
        <v>0</v>
      </c>
      <c r="Q7342" t="n">
        <v>0</v>
      </c>
      <c r="R7342" s="2" t="inlineStr"/>
    </row>
    <row r="7343" ht="15" customHeight="1">
      <c r="A7343" t="inlineStr">
        <is>
          <t>A 50345-2022</t>
        </is>
      </c>
      <c r="B7343" s="1" t="n">
        <v>44866.26518518518</v>
      </c>
      <c r="C7343" s="1" t="n">
        <v>45911</v>
      </c>
      <c r="D7343" t="inlineStr">
        <is>
          <t>GÄVLEBORGS LÄN</t>
        </is>
      </c>
      <c r="E7343" t="inlineStr">
        <is>
          <t>LJUSDAL</t>
        </is>
      </c>
      <c r="F7343" t="inlineStr">
        <is>
          <t>Holmen skog AB</t>
        </is>
      </c>
      <c r="G7343" t="n">
        <v>10.1</v>
      </c>
      <c r="H7343" t="n">
        <v>0</v>
      </c>
      <c r="I7343" t="n">
        <v>0</v>
      </c>
      <c r="J7343" t="n">
        <v>0</v>
      </c>
      <c r="K7343" t="n">
        <v>0</v>
      </c>
      <c r="L7343" t="n">
        <v>0</v>
      </c>
      <c r="M7343" t="n">
        <v>0</v>
      </c>
      <c r="N7343" t="n">
        <v>0</v>
      </c>
      <c r="O7343" t="n">
        <v>0</v>
      </c>
      <c r="P7343" t="n">
        <v>0</v>
      </c>
      <c r="Q7343" t="n">
        <v>0</v>
      </c>
      <c r="R7343" s="2" t="inlineStr"/>
    </row>
    <row r="7344" ht="15" customHeight="1">
      <c r="A7344" t="inlineStr">
        <is>
          <t>A 35029-2024</t>
        </is>
      </c>
      <c r="B7344" s="1" t="n">
        <v>45527.6052662037</v>
      </c>
      <c r="C7344" s="1" t="n">
        <v>45911</v>
      </c>
      <c r="D7344" t="inlineStr">
        <is>
          <t>GÄVLEBORGS LÄN</t>
        </is>
      </c>
      <c r="E7344" t="inlineStr">
        <is>
          <t>LJUSDAL</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8308-2024</t>
        </is>
      </c>
      <c r="B7345" s="1" t="n">
        <v>45352</v>
      </c>
      <c r="C7345" s="1" t="n">
        <v>45911</v>
      </c>
      <c r="D7345" t="inlineStr">
        <is>
          <t>GÄVLEBORGS LÄN</t>
        </is>
      </c>
      <c r="E7345" t="inlineStr">
        <is>
          <t>BOLLNÄS</t>
        </is>
      </c>
      <c r="G7345" t="n">
        <v>3.3</v>
      </c>
      <c r="H7345" t="n">
        <v>0</v>
      </c>
      <c r="I7345" t="n">
        <v>0</v>
      </c>
      <c r="J7345" t="n">
        <v>0</v>
      </c>
      <c r="K7345" t="n">
        <v>0</v>
      </c>
      <c r="L7345" t="n">
        <v>0</v>
      </c>
      <c r="M7345" t="n">
        <v>0</v>
      </c>
      <c r="N7345" t="n">
        <v>0</v>
      </c>
      <c r="O7345" t="n">
        <v>0</v>
      </c>
      <c r="P7345" t="n">
        <v>0</v>
      </c>
      <c r="Q7345" t="n">
        <v>0</v>
      </c>
      <c r="R7345" s="2" t="inlineStr"/>
    </row>
    <row r="7346" ht="15" customHeight="1">
      <c r="A7346" t="inlineStr">
        <is>
          <t>A 61769-2024</t>
        </is>
      </c>
      <c r="B7346" s="1" t="n">
        <v>45649.45278935185</v>
      </c>
      <c r="C7346" s="1" t="n">
        <v>45911</v>
      </c>
      <c r="D7346" t="inlineStr">
        <is>
          <t>GÄVLEBORGS LÄN</t>
        </is>
      </c>
      <c r="E7346" t="inlineStr">
        <is>
          <t>BOLLNÄS</t>
        </is>
      </c>
      <c r="G7346" t="n">
        <v>6.2</v>
      </c>
      <c r="H7346" t="n">
        <v>0</v>
      </c>
      <c r="I7346" t="n">
        <v>0</v>
      </c>
      <c r="J7346" t="n">
        <v>0</v>
      </c>
      <c r="K7346" t="n">
        <v>0</v>
      </c>
      <c r="L7346" t="n">
        <v>0</v>
      </c>
      <c r="M7346" t="n">
        <v>0</v>
      </c>
      <c r="N7346" t="n">
        <v>0</v>
      </c>
      <c r="O7346" t="n">
        <v>0</v>
      </c>
      <c r="P7346" t="n">
        <v>0</v>
      </c>
      <c r="Q7346" t="n">
        <v>0</v>
      </c>
      <c r="R7346" s="2" t="inlineStr"/>
    </row>
    <row r="7347" ht="15" customHeight="1">
      <c r="A7347" t="inlineStr">
        <is>
          <t>A 58797-2024</t>
        </is>
      </c>
      <c r="B7347" s="1" t="n">
        <v>45636.29861111111</v>
      </c>
      <c r="C7347" s="1" t="n">
        <v>45911</v>
      </c>
      <c r="D7347" t="inlineStr">
        <is>
          <t>GÄVLEBORGS LÄN</t>
        </is>
      </c>
      <c r="E7347" t="inlineStr">
        <is>
          <t>SANDVIKEN</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58802-2024</t>
        </is>
      </c>
      <c r="B7348" s="1" t="n">
        <v>45636.33385416667</v>
      </c>
      <c r="C7348" s="1" t="n">
        <v>45911</v>
      </c>
      <c r="D7348" t="inlineStr">
        <is>
          <t>GÄVLEBORGS LÄN</t>
        </is>
      </c>
      <c r="E7348" t="inlineStr">
        <is>
          <t>LJUSDAL</t>
        </is>
      </c>
      <c r="G7348" t="n">
        <v>2.4</v>
      </c>
      <c r="H7348" t="n">
        <v>0</v>
      </c>
      <c r="I7348" t="n">
        <v>0</v>
      </c>
      <c r="J7348" t="n">
        <v>0</v>
      </c>
      <c r="K7348" t="n">
        <v>0</v>
      </c>
      <c r="L7348" t="n">
        <v>0</v>
      </c>
      <c r="M7348" t="n">
        <v>0</v>
      </c>
      <c r="N7348" t="n">
        <v>0</v>
      </c>
      <c r="O7348" t="n">
        <v>0</v>
      </c>
      <c r="P7348" t="n">
        <v>0</v>
      </c>
      <c r="Q7348" t="n">
        <v>0</v>
      </c>
      <c r="R7348" s="2" t="inlineStr"/>
    </row>
    <row r="7349" ht="15" customHeight="1">
      <c r="A7349" t="inlineStr">
        <is>
          <t>A 61786-2024</t>
        </is>
      </c>
      <c r="B7349" s="1" t="n">
        <v>45649</v>
      </c>
      <c r="C7349" s="1" t="n">
        <v>45911</v>
      </c>
      <c r="D7349" t="inlineStr">
        <is>
          <t>GÄVLEBORGS LÄN</t>
        </is>
      </c>
      <c r="E7349" t="inlineStr">
        <is>
          <t>GÄVLE</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16594-2024</t>
        </is>
      </c>
      <c r="B7350" s="1" t="n">
        <v>45408.51733796296</v>
      </c>
      <c r="C7350" s="1" t="n">
        <v>45911</v>
      </c>
      <c r="D7350" t="inlineStr">
        <is>
          <t>GÄVLEBORGS LÄN</t>
        </is>
      </c>
      <c r="E7350" t="inlineStr">
        <is>
          <t>HUDIKSVALL</t>
        </is>
      </c>
      <c r="G7350" t="n">
        <v>11.8</v>
      </c>
      <c r="H7350" t="n">
        <v>0</v>
      </c>
      <c r="I7350" t="n">
        <v>0</v>
      </c>
      <c r="J7350" t="n">
        <v>0</v>
      </c>
      <c r="K7350" t="n">
        <v>0</v>
      </c>
      <c r="L7350" t="n">
        <v>0</v>
      </c>
      <c r="M7350" t="n">
        <v>0</v>
      </c>
      <c r="N7350" t="n">
        <v>0</v>
      </c>
      <c r="O7350" t="n">
        <v>0</v>
      </c>
      <c r="P7350" t="n">
        <v>0</v>
      </c>
      <c r="Q7350" t="n">
        <v>0</v>
      </c>
      <c r="R7350" s="2" t="inlineStr"/>
    </row>
    <row r="7351" ht="15" customHeight="1">
      <c r="A7351" t="inlineStr">
        <is>
          <t>A 55281-2023</t>
        </is>
      </c>
      <c r="B7351" s="1" t="n">
        <v>45237.71347222223</v>
      </c>
      <c r="C7351" s="1" t="n">
        <v>45911</v>
      </c>
      <c r="D7351" t="inlineStr">
        <is>
          <t>GÄVLEBORGS LÄN</t>
        </is>
      </c>
      <c r="E7351" t="inlineStr">
        <is>
          <t>OVANÅKER</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36378-2023</t>
        </is>
      </c>
      <c r="B7352" s="1" t="n">
        <v>45152.51251157407</v>
      </c>
      <c r="C7352" s="1" t="n">
        <v>45911</v>
      </c>
      <c r="D7352" t="inlineStr">
        <is>
          <t>GÄVLEBORGS LÄN</t>
        </is>
      </c>
      <c r="E7352" t="inlineStr">
        <is>
          <t>LJUSDAL</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29979-2023</t>
        </is>
      </c>
      <c r="B7353" s="1" t="n">
        <v>45108</v>
      </c>
      <c r="C7353" s="1" t="n">
        <v>45911</v>
      </c>
      <c r="D7353" t="inlineStr">
        <is>
          <t>GÄVLEBORGS LÄN</t>
        </is>
      </c>
      <c r="E7353" t="inlineStr">
        <is>
          <t>SÖDERHAMN</t>
        </is>
      </c>
      <c r="G7353" t="n">
        <v>1.9</v>
      </c>
      <c r="H7353" t="n">
        <v>0</v>
      </c>
      <c r="I7353" t="n">
        <v>0</v>
      </c>
      <c r="J7353" t="n">
        <v>0</v>
      </c>
      <c r="K7353" t="n">
        <v>0</v>
      </c>
      <c r="L7353" t="n">
        <v>0</v>
      </c>
      <c r="M7353" t="n">
        <v>0</v>
      </c>
      <c r="N7353" t="n">
        <v>0</v>
      </c>
      <c r="O7353" t="n">
        <v>0</v>
      </c>
      <c r="P7353" t="n">
        <v>0</v>
      </c>
      <c r="Q7353" t="n">
        <v>0</v>
      </c>
      <c r="R7353" s="2" t="inlineStr"/>
    </row>
    <row r="7354" ht="15" customHeight="1">
      <c r="A7354" t="inlineStr">
        <is>
          <t>A 60190-2023</t>
        </is>
      </c>
      <c r="B7354" s="1" t="n">
        <v>45258.57988425926</v>
      </c>
      <c r="C7354" s="1" t="n">
        <v>45911</v>
      </c>
      <c r="D7354" t="inlineStr">
        <is>
          <t>GÄVLEBORGS LÄN</t>
        </is>
      </c>
      <c r="E7354" t="inlineStr">
        <is>
          <t>HUDIKSVALL</t>
        </is>
      </c>
      <c r="F7354" t="inlineStr">
        <is>
          <t>Holmen skog AB</t>
        </is>
      </c>
      <c r="G7354" t="n">
        <v>0.3</v>
      </c>
      <c r="H7354" t="n">
        <v>0</v>
      </c>
      <c r="I7354" t="n">
        <v>0</v>
      </c>
      <c r="J7354" t="n">
        <v>0</v>
      </c>
      <c r="K7354" t="n">
        <v>0</v>
      </c>
      <c r="L7354" t="n">
        <v>0</v>
      </c>
      <c r="M7354" t="n">
        <v>0</v>
      </c>
      <c r="N7354" t="n">
        <v>0</v>
      </c>
      <c r="O7354" t="n">
        <v>0</v>
      </c>
      <c r="P7354" t="n">
        <v>0</v>
      </c>
      <c r="Q7354" t="n">
        <v>0</v>
      </c>
      <c r="R7354" s="2" t="inlineStr"/>
    </row>
    <row r="7355" ht="15" customHeight="1">
      <c r="A7355" t="inlineStr">
        <is>
          <t>A 60192-2023</t>
        </is>
      </c>
      <c r="B7355" s="1" t="n">
        <v>45258</v>
      </c>
      <c r="C7355" s="1" t="n">
        <v>45911</v>
      </c>
      <c r="D7355" t="inlineStr">
        <is>
          <t>GÄVLEBORGS LÄN</t>
        </is>
      </c>
      <c r="E7355" t="inlineStr">
        <is>
          <t>HUDIKSVALL</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57949-2023</t>
        </is>
      </c>
      <c r="B7356" s="1" t="n">
        <v>45244</v>
      </c>
      <c r="C7356" s="1" t="n">
        <v>45911</v>
      </c>
      <c r="D7356" t="inlineStr">
        <is>
          <t>GÄVLEBORGS LÄN</t>
        </is>
      </c>
      <c r="E7356" t="inlineStr">
        <is>
          <t>HUDIKSVALL</t>
        </is>
      </c>
      <c r="G7356" t="n">
        <v>3.9</v>
      </c>
      <c r="H7356" t="n">
        <v>0</v>
      </c>
      <c r="I7356" t="n">
        <v>0</v>
      </c>
      <c r="J7356" t="n">
        <v>0</v>
      </c>
      <c r="K7356" t="n">
        <v>0</v>
      </c>
      <c r="L7356" t="n">
        <v>0</v>
      </c>
      <c r="M7356" t="n">
        <v>0</v>
      </c>
      <c r="N7356" t="n">
        <v>0</v>
      </c>
      <c r="O7356" t="n">
        <v>0</v>
      </c>
      <c r="P7356" t="n">
        <v>0</v>
      </c>
      <c r="Q7356" t="n">
        <v>0</v>
      </c>
      <c r="R7356" s="2" t="inlineStr"/>
    </row>
    <row r="7357" ht="15" customHeight="1">
      <c r="A7357" t="inlineStr">
        <is>
          <t>A 50968-2024</t>
        </is>
      </c>
      <c r="B7357" s="1" t="n">
        <v>45603.33167824074</v>
      </c>
      <c r="C7357" s="1" t="n">
        <v>45911</v>
      </c>
      <c r="D7357" t="inlineStr">
        <is>
          <t>GÄVLEBORGS LÄN</t>
        </is>
      </c>
      <c r="E7357" t="inlineStr">
        <is>
          <t>OCKELBO</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61300-2024</t>
        </is>
      </c>
      <c r="B7358" s="1" t="n">
        <v>45645.90335648148</v>
      </c>
      <c r="C7358" s="1" t="n">
        <v>45911</v>
      </c>
      <c r="D7358" t="inlineStr">
        <is>
          <t>GÄVLEBORGS LÄN</t>
        </is>
      </c>
      <c r="E7358" t="inlineStr">
        <is>
          <t>GÄVLE</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701-2025</t>
        </is>
      </c>
      <c r="B7359" s="1" t="n">
        <v>45665</v>
      </c>
      <c r="C7359" s="1" t="n">
        <v>45911</v>
      </c>
      <c r="D7359" t="inlineStr">
        <is>
          <t>GÄVLEBORGS LÄN</t>
        </is>
      </c>
      <c r="E7359" t="inlineStr">
        <is>
          <t>GÄVLE</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60425-2024</t>
        </is>
      </c>
      <c r="B7360" s="1" t="n">
        <v>45643.5507175926</v>
      </c>
      <c r="C7360" s="1" t="n">
        <v>45911</v>
      </c>
      <c r="D7360" t="inlineStr">
        <is>
          <t>GÄVLEBORGS LÄN</t>
        </is>
      </c>
      <c r="E7360" t="inlineStr">
        <is>
          <t>BOLLNÄS</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54106-2023</t>
        </is>
      </c>
      <c r="B7361" s="1" t="n">
        <v>45232</v>
      </c>
      <c r="C7361" s="1" t="n">
        <v>45911</v>
      </c>
      <c r="D7361" t="inlineStr">
        <is>
          <t>GÄVLEBORGS LÄN</t>
        </is>
      </c>
      <c r="E7361" t="inlineStr">
        <is>
          <t>SANDVIKEN</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54200-2023</t>
        </is>
      </c>
      <c r="B7362" s="1" t="n">
        <v>45232.55104166667</v>
      </c>
      <c r="C7362" s="1" t="n">
        <v>45911</v>
      </c>
      <c r="D7362" t="inlineStr">
        <is>
          <t>GÄVLEBORGS LÄN</t>
        </is>
      </c>
      <c r="E7362" t="inlineStr">
        <is>
          <t>NORDANSTIG</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59043-2024</t>
        </is>
      </c>
      <c r="B7363" s="1" t="n">
        <v>45636</v>
      </c>
      <c r="C7363" s="1" t="n">
        <v>45911</v>
      </c>
      <c r="D7363" t="inlineStr">
        <is>
          <t>GÄVLEBORGS LÄN</t>
        </is>
      </c>
      <c r="E7363" t="inlineStr">
        <is>
          <t>NORDANSTIG</t>
        </is>
      </c>
      <c r="G7363" t="n">
        <v>2.7</v>
      </c>
      <c r="H7363" t="n">
        <v>0</v>
      </c>
      <c r="I7363" t="n">
        <v>0</v>
      </c>
      <c r="J7363" t="n">
        <v>0</v>
      </c>
      <c r="K7363" t="n">
        <v>0</v>
      </c>
      <c r="L7363" t="n">
        <v>0</v>
      </c>
      <c r="M7363" t="n">
        <v>0</v>
      </c>
      <c r="N7363" t="n">
        <v>0</v>
      </c>
      <c r="O7363" t="n">
        <v>0</v>
      </c>
      <c r="P7363" t="n">
        <v>0</v>
      </c>
      <c r="Q7363" t="n">
        <v>0</v>
      </c>
      <c r="R7363" s="2" t="inlineStr"/>
    </row>
    <row r="7364" ht="15" customHeight="1">
      <c r="A7364" t="inlineStr">
        <is>
          <t>A 37741-2023</t>
        </is>
      </c>
      <c r="B7364" s="1" t="n">
        <v>45159.62744212963</v>
      </c>
      <c r="C7364" s="1" t="n">
        <v>45911</v>
      </c>
      <c r="D7364" t="inlineStr">
        <is>
          <t>GÄVLEBORGS LÄN</t>
        </is>
      </c>
      <c r="E7364" t="inlineStr">
        <is>
          <t>SANDVIKEN</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44905-2024</t>
        </is>
      </c>
      <c r="B7365" s="1" t="n">
        <v>45575.38402777778</v>
      </c>
      <c r="C7365" s="1" t="n">
        <v>45911</v>
      </c>
      <c r="D7365" t="inlineStr">
        <is>
          <t>GÄVLEBORGS LÄN</t>
        </is>
      </c>
      <c r="E7365" t="inlineStr">
        <is>
          <t>OVANÅKER</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11346-2025</t>
        </is>
      </c>
      <c r="B7366" s="1" t="n">
        <v>45726.50033564815</v>
      </c>
      <c r="C7366" s="1" t="n">
        <v>45911</v>
      </c>
      <c r="D7366" t="inlineStr">
        <is>
          <t>GÄVLEBORGS LÄN</t>
        </is>
      </c>
      <c r="E7366" t="inlineStr">
        <is>
          <t>GÄVLE</t>
        </is>
      </c>
      <c r="F7366" t="inlineStr">
        <is>
          <t>Bergvik skog öst AB</t>
        </is>
      </c>
      <c r="G7366" t="n">
        <v>2.9</v>
      </c>
      <c r="H7366" t="n">
        <v>0</v>
      </c>
      <c r="I7366" t="n">
        <v>0</v>
      </c>
      <c r="J7366" t="n">
        <v>0</v>
      </c>
      <c r="K7366" t="n">
        <v>0</v>
      </c>
      <c r="L7366" t="n">
        <v>0</v>
      </c>
      <c r="M7366" t="n">
        <v>0</v>
      </c>
      <c r="N7366" t="n">
        <v>0</v>
      </c>
      <c r="O7366" t="n">
        <v>0</v>
      </c>
      <c r="P7366" t="n">
        <v>0</v>
      </c>
      <c r="Q7366" t="n">
        <v>0</v>
      </c>
      <c r="R7366" s="2" t="inlineStr"/>
    </row>
    <row r="7367" ht="15" customHeight="1">
      <c r="A7367" t="inlineStr">
        <is>
          <t>A 29813-2023</t>
        </is>
      </c>
      <c r="B7367" s="1" t="n">
        <v>45107.55283564814</v>
      </c>
      <c r="C7367" s="1" t="n">
        <v>45911</v>
      </c>
      <c r="D7367" t="inlineStr">
        <is>
          <t>GÄVLEBORGS LÄN</t>
        </is>
      </c>
      <c r="E7367" t="inlineStr">
        <is>
          <t>SÖDERHAMN</t>
        </is>
      </c>
      <c r="G7367" t="n">
        <v>0.4</v>
      </c>
      <c r="H7367" t="n">
        <v>0</v>
      </c>
      <c r="I7367" t="n">
        <v>0</v>
      </c>
      <c r="J7367" t="n">
        <v>0</v>
      </c>
      <c r="K7367" t="n">
        <v>0</v>
      </c>
      <c r="L7367" t="n">
        <v>0</v>
      </c>
      <c r="M7367" t="n">
        <v>0</v>
      </c>
      <c r="N7367" t="n">
        <v>0</v>
      </c>
      <c r="O7367" t="n">
        <v>0</v>
      </c>
      <c r="P7367" t="n">
        <v>0</v>
      </c>
      <c r="Q7367" t="n">
        <v>0</v>
      </c>
      <c r="R7367" s="2" t="inlineStr"/>
    </row>
    <row r="7368" ht="15" customHeight="1">
      <c r="A7368" t="inlineStr">
        <is>
          <t>A 58423-2022</t>
        </is>
      </c>
      <c r="B7368" s="1" t="n">
        <v>44901.92490740741</v>
      </c>
      <c r="C7368" s="1" t="n">
        <v>45911</v>
      </c>
      <c r="D7368" t="inlineStr">
        <is>
          <t>GÄVLEBORGS LÄN</t>
        </is>
      </c>
      <c r="E7368" t="inlineStr">
        <is>
          <t>HUDIKSVALL</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24106-2023</t>
        </is>
      </c>
      <c r="B7369" s="1" t="n">
        <v>45079.46560185185</v>
      </c>
      <c r="C7369" s="1" t="n">
        <v>45911</v>
      </c>
      <c r="D7369" t="inlineStr">
        <is>
          <t>GÄVLEBORGS LÄN</t>
        </is>
      </c>
      <c r="E7369" t="inlineStr">
        <is>
          <t>NORDANSTIG</t>
        </is>
      </c>
      <c r="F7369" t="inlineStr">
        <is>
          <t>Holmen skog AB</t>
        </is>
      </c>
      <c r="G7369" t="n">
        <v>2.6</v>
      </c>
      <c r="H7369" t="n">
        <v>0</v>
      </c>
      <c r="I7369" t="n">
        <v>0</v>
      </c>
      <c r="J7369" t="n">
        <v>0</v>
      </c>
      <c r="K7369" t="n">
        <v>0</v>
      </c>
      <c r="L7369" t="n">
        <v>0</v>
      </c>
      <c r="M7369" t="n">
        <v>0</v>
      </c>
      <c r="N7369" t="n">
        <v>0</v>
      </c>
      <c r="O7369" t="n">
        <v>0</v>
      </c>
      <c r="P7369" t="n">
        <v>0</v>
      </c>
      <c r="Q7369" t="n">
        <v>0</v>
      </c>
      <c r="R7369" s="2" t="inlineStr"/>
    </row>
    <row r="7370" ht="15" customHeight="1">
      <c r="A7370" t="inlineStr">
        <is>
          <t>A 10069-2025</t>
        </is>
      </c>
      <c r="B7370" s="1" t="n">
        <v>45719.54538194444</v>
      </c>
      <c r="C7370" s="1" t="n">
        <v>45911</v>
      </c>
      <c r="D7370" t="inlineStr">
        <is>
          <t>GÄVLEBORGS LÄN</t>
        </is>
      </c>
      <c r="E7370" t="inlineStr">
        <is>
          <t>NORDANSTIG</t>
        </is>
      </c>
      <c r="F7370" t="inlineStr">
        <is>
          <t>Holmen skog AB</t>
        </is>
      </c>
      <c r="G7370" t="n">
        <v>4.6</v>
      </c>
      <c r="H7370" t="n">
        <v>0</v>
      </c>
      <c r="I7370" t="n">
        <v>0</v>
      </c>
      <c r="J7370" t="n">
        <v>0</v>
      </c>
      <c r="K7370" t="n">
        <v>0</v>
      </c>
      <c r="L7370" t="n">
        <v>0</v>
      </c>
      <c r="M7370" t="n">
        <v>0</v>
      </c>
      <c r="N7370" t="n">
        <v>0</v>
      </c>
      <c r="O7370" t="n">
        <v>0</v>
      </c>
      <c r="P7370" t="n">
        <v>0</v>
      </c>
      <c r="Q7370" t="n">
        <v>0</v>
      </c>
      <c r="R7370" s="2" t="inlineStr"/>
    </row>
    <row r="7371" ht="15" customHeight="1">
      <c r="A7371" t="inlineStr">
        <is>
          <t>A 31404-2023</t>
        </is>
      </c>
      <c r="B7371" s="1" t="n">
        <v>45114.58046296296</v>
      </c>
      <c r="C7371" s="1" t="n">
        <v>45911</v>
      </c>
      <c r="D7371" t="inlineStr">
        <is>
          <t>GÄVLEBORGS LÄN</t>
        </is>
      </c>
      <c r="E7371" t="inlineStr">
        <is>
          <t>OVANÅKER</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50752-2023</t>
        </is>
      </c>
      <c r="B7372" s="1" t="n">
        <v>45217.6034375</v>
      </c>
      <c r="C7372" s="1" t="n">
        <v>45911</v>
      </c>
      <c r="D7372" t="inlineStr">
        <is>
          <t>GÄVLEBORGS LÄN</t>
        </is>
      </c>
      <c r="E7372" t="inlineStr">
        <is>
          <t>OVANÅKER</t>
        </is>
      </c>
      <c r="F7372" t="inlineStr">
        <is>
          <t>Bergvik skog väst AB</t>
        </is>
      </c>
      <c r="G7372" t="n">
        <v>3.3</v>
      </c>
      <c r="H7372" t="n">
        <v>0</v>
      </c>
      <c r="I7372" t="n">
        <v>0</v>
      </c>
      <c r="J7372" t="n">
        <v>0</v>
      </c>
      <c r="K7372" t="n">
        <v>0</v>
      </c>
      <c r="L7372" t="n">
        <v>0</v>
      </c>
      <c r="M7372" t="n">
        <v>0</v>
      </c>
      <c r="N7372" t="n">
        <v>0</v>
      </c>
      <c r="O7372" t="n">
        <v>0</v>
      </c>
      <c r="P7372" t="n">
        <v>0</v>
      </c>
      <c r="Q7372" t="n">
        <v>0</v>
      </c>
      <c r="R7372" s="2" t="inlineStr"/>
    </row>
    <row r="7373" ht="15" customHeight="1">
      <c r="A7373" t="inlineStr">
        <is>
          <t>A 2120-2024</t>
        </is>
      </c>
      <c r="B7373" s="1" t="n">
        <v>45309.50126157407</v>
      </c>
      <c r="C7373" s="1" t="n">
        <v>45911</v>
      </c>
      <c r="D7373" t="inlineStr">
        <is>
          <t>GÄVLEBORGS LÄN</t>
        </is>
      </c>
      <c r="E7373" t="inlineStr">
        <is>
          <t>HUDIKSVALL</t>
        </is>
      </c>
      <c r="F7373" t="inlineStr">
        <is>
          <t>Holmen skog AB</t>
        </is>
      </c>
      <c r="G7373" t="n">
        <v>10.9</v>
      </c>
      <c r="H7373" t="n">
        <v>0</v>
      </c>
      <c r="I7373" t="n">
        <v>0</v>
      </c>
      <c r="J7373" t="n">
        <v>0</v>
      </c>
      <c r="K7373" t="n">
        <v>0</v>
      </c>
      <c r="L7373" t="n">
        <v>0</v>
      </c>
      <c r="M7373" t="n">
        <v>0</v>
      </c>
      <c r="N7373" t="n">
        <v>0</v>
      </c>
      <c r="O7373" t="n">
        <v>0</v>
      </c>
      <c r="P7373" t="n">
        <v>0</v>
      </c>
      <c r="Q7373" t="n">
        <v>0</v>
      </c>
      <c r="R7373" s="2" t="inlineStr"/>
    </row>
    <row r="7374" ht="15" customHeight="1">
      <c r="A7374" t="inlineStr">
        <is>
          <t>A 14002-2025</t>
        </is>
      </c>
      <c r="B7374" s="1" t="n">
        <v>45740.28945601852</v>
      </c>
      <c r="C7374" s="1" t="n">
        <v>45911</v>
      </c>
      <c r="D7374" t="inlineStr">
        <is>
          <t>GÄVLEBORGS LÄN</t>
        </is>
      </c>
      <c r="E7374" t="inlineStr">
        <is>
          <t>LJUSDAL</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50336-2023</t>
        </is>
      </c>
      <c r="B7375" s="1" t="n">
        <v>45216.56440972222</v>
      </c>
      <c r="C7375" s="1" t="n">
        <v>45911</v>
      </c>
      <c r="D7375" t="inlineStr">
        <is>
          <t>GÄVLEBORGS LÄN</t>
        </is>
      </c>
      <c r="E7375" t="inlineStr">
        <is>
          <t>NORDANSTIG</t>
        </is>
      </c>
      <c r="F7375" t="inlineStr">
        <is>
          <t>Holmen skog AB</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50385-2023</t>
        </is>
      </c>
      <c r="B7376" s="1" t="n">
        <v>45216.62857638889</v>
      </c>
      <c r="C7376" s="1" t="n">
        <v>45911</v>
      </c>
      <c r="D7376" t="inlineStr">
        <is>
          <t>GÄVLEBORGS LÄN</t>
        </is>
      </c>
      <c r="E7376" t="inlineStr">
        <is>
          <t>LJUSDAL</t>
        </is>
      </c>
      <c r="G7376" t="n">
        <v>4.3</v>
      </c>
      <c r="H7376" t="n">
        <v>0</v>
      </c>
      <c r="I7376" t="n">
        <v>0</v>
      </c>
      <c r="J7376" t="n">
        <v>0</v>
      </c>
      <c r="K7376" t="n">
        <v>0</v>
      </c>
      <c r="L7376" t="n">
        <v>0</v>
      </c>
      <c r="M7376" t="n">
        <v>0</v>
      </c>
      <c r="N7376" t="n">
        <v>0</v>
      </c>
      <c r="O7376" t="n">
        <v>0</v>
      </c>
      <c r="P7376" t="n">
        <v>0</v>
      </c>
      <c r="Q7376" t="n">
        <v>0</v>
      </c>
      <c r="R7376" s="2" t="inlineStr"/>
    </row>
    <row r="7377" ht="15" customHeight="1">
      <c r="A7377" t="inlineStr">
        <is>
          <t>A 43542-2024</t>
        </is>
      </c>
      <c r="B7377" s="1" t="n">
        <v>45569.36570601852</v>
      </c>
      <c r="C7377" s="1" t="n">
        <v>45911</v>
      </c>
      <c r="D7377" t="inlineStr">
        <is>
          <t>GÄVLEBORGS LÄN</t>
        </is>
      </c>
      <c r="E7377" t="inlineStr">
        <is>
          <t>OVANÅKER</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4221-2024</t>
        </is>
      </c>
      <c r="B7378" s="1" t="n">
        <v>45324</v>
      </c>
      <c r="C7378" s="1" t="n">
        <v>45911</v>
      </c>
      <c r="D7378" t="inlineStr">
        <is>
          <t>GÄVLEBORGS LÄN</t>
        </is>
      </c>
      <c r="E7378" t="inlineStr">
        <is>
          <t>LJUSDAL</t>
        </is>
      </c>
      <c r="G7378" t="n">
        <v>14.5</v>
      </c>
      <c r="H7378" t="n">
        <v>0</v>
      </c>
      <c r="I7378" t="n">
        <v>0</v>
      </c>
      <c r="J7378" t="n">
        <v>0</v>
      </c>
      <c r="K7378" t="n">
        <v>0</v>
      </c>
      <c r="L7378" t="n">
        <v>0</v>
      </c>
      <c r="M7378" t="n">
        <v>0</v>
      </c>
      <c r="N7378" t="n">
        <v>0</v>
      </c>
      <c r="O7378" t="n">
        <v>0</v>
      </c>
      <c r="P7378" t="n">
        <v>0</v>
      </c>
      <c r="Q7378" t="n">
        <v>0</v>
      </c>
      <c r="R7378" s="2" t="inlineStr"/>
    </row>
    <row r="7379" ht="15" customHeight="1">
      <c r="A7379" t="inlineStr">
        <is>
          <t>A 57344-2021</t>
        </is>
      </c>
      <c r="B7379" s="1" t="n">
        <v>44483.48961805556</v>
      </c>
      <c r="C7379" s="1" t="n">
        <v>45911</v>
      </c>
      <c r="D7379" t="inlineStr">
        <is>
          <t>GÄVLEBORGS LÄN</t>
        </is>
      </c>
      <c r="E7379" t="inlineStr">
        <is>
          <t>LJUSDAL</t>
        </is>
      </c>
      <c r="G7379" t="n">
        <v>2.7</v>
      </c>
      <c r="H7379" t="n">
        <v>0</v>
      </c>
      <c r="I7379" t="n">
        <v>0</v>
      </c>
      <c r="J7379" t="n">
        <v>0</v>
      </c>
      <c r="K7379" t="n">
        <v>0</v>
      </c>
      <c r="L7379" t="n">
        <v>0</v>
      </c>
      <c r="M7379" t="n">
        <v>0</v>
      </c>
      <c r="N7379" t="n">
        <v>0</v>
      </c>
      <c r="O7379" t="n">
        <v>0</v>
      </c>
      <c r="P7379" t="n">
        <v>0</v>
      </c>
      <c r="Q7379" t="n">
        <v>0</v>
      </c>
      <c r="R7379" s="2" t="inlineStr"/>
    </row>
    <row r="7380" ht="15" customHeight="1">
      <c r="A7380" t="inlineStr">
        <is>
          <t>A 32098-2023</t>
        </is>
      </c>
      <c r="B7380" s="1" t="n">
        <v>45119</v>
      </c>
      <c r="C7380" s="1" t="n">
        <v>45911</v>
      </c>
      <c r="D7380" t="inlineStr">
        <is>
          <t>GÄVLEBORGS LÄN</t>
        </is>
      </c>
      <c r="E7380" t="inlineStr">
        <is>
          <t>LJUSDAL</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9262-2024</t>
        </is>
      </c>
      <c r="B7381" s="1" t="n">
        <v>45358.60657407407</v>
      </c>
      <c r="C7381" s="1" t="n">
        <v>45911</v>
      </c>
      <c r="D7381" t="inlineStr">
        <is>
          <t>GÄVLEBORGS LÄN</t>
        </is>
      </c>
      <c r="E7381" t="inlineStr">
        <is>
          <t>BOLLNÄS</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19818-2025</t>
        </is>
      </c>
      <c r="B7382" s="1" t="n">
        <v>45771.4608912037</v>
      </c>
      <c r="C7382" s="1" t="n">
        <v>45911</v>
      </c>
      <c r="D7382" t="inlineStr">
        <is>
          <t>GÄVLEBORGS LÄN</t>
        </is>
      </c>
      <c r="E7382" t="inlineStr">
        <is>
          <t>OVANÅKER</t>
        </is>
      </c>
      <c r="G7382" t="n">
        <v>3.2</v>
      </c>
      <c r="H7382" t="n">
        <v>0</v>
      </c>
      <c r="I7382" t="n">
        <v>0</v>
      </c>
      <c r="J7382" t="n">
        <v>0</v>
      </c>
      <c r="K7382" t="n">
        <v>0</v>
      </c>
      <c r="L7382" t="n">
        <v>0</v>
      </c>
      <c r="M7382" t="n">
        <v>0</v>
      </c>
      <c r="N7382" t="n">
        <v>0</v>
      </c>
      <c r="O7382" t="n">
        <v>0</v>
      </c>
      <c r="P7382" t="n">
        <v>0</v>
      </c>
      <c r="Q7382" t="n">
        <v>0</v>
      </c>
      <c r="R7382" s="2" t="inlineStr"/>
    </row>
    <row r="7383" ht="15" customHeight="1">
      <c r="A7383" t="inlineStr">
        <is>
          <t>A 11199-2025</t>
        </is>
      </c>
      <c r="B7383" s="1" t="n">
        <v>45725.91207175926</v>
      </c>
      <c r="C7383" s="1" t="n">
        <v>45911</v>
      </c>
      <c r="D7383" t="inlineStr">
        <is>
          <t>GÄVLEBORGS LÄN</t>
        </is>
      </c>
      <c r="E7383" t="inlineStr">
        <is>
          <t>LJUSDAL</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10894-2025</t>
        </is>
      </c>
      <c r="B7384" s="1" t="n">
        <v>45722.68009259259</v>
      </c>
      <c r="C7384" s="1" t="n">
        <v>45911</v>
      </c>
      <c r="D7384" t="inlineStr">
        <is>
          <t>GÄVLEBORGS LÄN</t>
        </is>
      </c>
      <c r="E7384" t="inlineStr">
        <is>
          <t>SANDVIKEN</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62816-2023</t>
        </is>
      </c>
      <c r="B7385" s="1" t="n">
        <v>45271.92625</v>
      </c>
      <c r="C7385" s="1" t="n">
        <v>45911</v>
      </c>
      <c r="D7385" t="inlineStr">
        <is>
          <t>GÄVLEBORGS LÄN</t>
        </is>
      </c>
      <c r="E7385" t="inlineStr">
        <is>
          <t>NORDANSTIG</t>
        </is>
      </c>
      <c r="G7385" t="n">
        <v>3.5</v>
      </c>
      <c r="H7385" t="n">
        <v>0</v>
      </c>
      <c r="I7385" t="n">
        <v>0</v>
      </c>
      <c r="J7385" t="n">
        <v>0</v>
      </c>
      <c r="K7385" t="n">
        <v>0</v>
      </c>
      <c r="L7385" t="n">
        <v>0</v>
      </c>
      <c r="M7385" t="n">
        <v>0</v>
      </c>
      <c r="N7385" t="n">
        <v>0</v>
      </c>
      <c r="O7385" t="n">
        <v>0</v>
      </c>
      <c r="P7385" t="n">
        <v>0</v>
      </c>
      <c r="Q7385" t="n">
        <v>0</v>
      </c>
      <c r="R7385" s="2" t="inlineStr"/>
    </row>
    <row r="7386" ht="15" customHeight="1">
      <c r="A7386" t="inlineStr">
        <is>
          <t>A 40218-2023</t>
        </is>
      </c>
      <c r="B7386" s="1" t="n">
        <v>45169.45846064815</v>
      </c>
      <c r="C7386" s="1" t="n">
        <v>45911</v>
      </c>
      <c r="D7386" t="inlineStr">
        <is>
          <t>GÄVLEBORGS LÄN</t>
        </is>
      </c>
      <c r="E7386" t="inlineStr">
        <is>
          <t>OCKELBO</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40241-2023</t>
        </is>
      </c>
      <c r="B7387" s="1" t="n">
        <v>45169.48854166667</v>
      </c>
      <c r="C7387" s="1" t="n">
        <v>45911</v>
      </c>
      <c r="D7387" t="inlineStr">
        <is>
          <t>GÄVLEBORGS LÄN</t>
        </is>
      </c>
      <c r="E7387" t="inlineStr">
        <is>
          <t>NORDANSTIG</t>
        </is>
      </c>
      <c r="F7387" t="inlineStr">
        <is>
          <t>Holmen skog AB</t>
        </is>
      </c>
      <c r="G7387" t="n">
        <v>4.3</v>
      </c>
      <c r="H7387" t="n">
        <v>0</v>
      </c>
      <c r="I7387" t="n">
        <v>0</v>
      </c>
      <c r="J7387" t="n">
        <v>0</v>
      </c>
      <c r="K7387" t="n">
        <v>0</v>
      </c>
      <c r="L7387" t="n">
        <v>0</v>
      </c>
      <c r="M7387" t="n">
        <v>0</v>
      </c>
      <c r="N7387" t="n">
        <v>0</v>
      </c>
      <c r="O7387" t="n">
        <v>0</v>
      </c>
      <c r="P7387" t="n">
        <v>0</v>
      </c>
      <c r="Q7387" t="n">
        <v>0</v>
      </c>
      <c r="R7387" s="2" t="inlineStr"/>
    </row>
    <row r="7388" ht="15" customHeight="1">
      <c r="A7388" t="inlineStr">
        <is>
          <t>A 13822-2024</t>
        </is>
      </c>
      <c r="B7388" s="1" t="n">
        <v>45391.42918981481</v>
      </c>
      <c r="C7388" s="1" t="n">
        <v>45911</v>
      </c>
      <c r="D7388" t="inlineStr">
        <is>
          <t>GÄVLEBORGS LÄN</t>
        </is>
      </c>
      <c r="E7388" t="inlineStr">
        <is>
          <t>LJUSDAL</t>
        </is>
      </c>
      <c r="F7388" t="inlineStr">
        <is>
          <t>Kommuner</t>
        </is>
      </c>
      <c r="G7388" t="n">
        <v>3.8</v>
      </c>
      <c r="H7388" t="n">
        <v>0</v>
      </c>
      <c r="I7388" t="n">
        <v>0</v>
      </c>
      <c r="J7388" t="n">
        <v>0</v>
      </c>
      <c r="K7388" t="n">
        <v>0</v>
      </c>
      <c r="L7388" t="n">
        <v>0</v>
      </c>
      <c r="M7388" t="n">
        <v>0</v>
      </c>
      <c r="N7388" t="n">
        <v>0</v>
      </c>
      <c r="O7388" t="n">
        <v>0</v>
      </c>
      <c r="P7388" t="n">
        <v>0</v>
      </c>
      <c r="Q7388" t="n">
        <v>0</v>
      </c>
      <c r="R7388" s="2" t="inlineStr"/>
    </row>
    <row r="7389" ht="15" customHeight="1">
      <c r="A7389" t="inlineStr">
        <is>
          <t>A 15499-2025</t>
        </is>
      </c>
      <c r="B7389" s="1" t="n">
        <v>45747.58306712963</v>
      </c>
      <c r="C7389" s="1" t="n">
        <v>45911</v>
      </c>
      <c r="D7389" t="inlineStr">
        <is>
          <t>GÄVLEBORGS LÄN</t>
        </is>
      </c>
      <c r="E7389" t="inlineStr">
        <is>
          <t>SÖDERHAMN</t>
        </is>
      </c>
      <c r="G7389" t="n">
        <v>3.5</v>
      </c>
      <c r="H7389" t="n">
        <v>0</v>
      </c>
      <c r="I7389" t="n">
        <v>0</v>
      </c>
      <c r="J7389" t="n">
        <v>0</v>
      </c>
      <c r="K7389" t="n">
        <v>0</v>
      </c>
      <c r="L7389" t="n">
        <v>0</v>
      </c>
      <c r="M7389" t="n">
        <v>0</v>
      </c>
      <c r="N7389" t="n">
        <v>0</v>
      </c>
      <c r="O7389" t="n">
        <v>0</v>
      </c>
      <c r="P7389" t="n">
        <v>0</v>
      </c>
      <c r="Q7389" t="n">
        <v>0</v>
      </c>
      <c r="R7389" s="2" t="inlineStr"/>
    </row>
    <row r="7390" ht="15" customHeight="1">
      <c r="A7390" t="inlineStr">
        <is>
          <t>A 33489-2024</t>
        </is>
      </c>
      <c r="B7390" s="1" t="n">
        <v>45519.61517361111</v>
      </c>
      <c r="C7390" s="1" t="n">
        <v>45911</v>
      </c>
      <c r="D7390" t="inlineStr">
        <is>
          <t>GÄVLEBORGS LÄN</t>
        </is>
      </c>
      <c r="E7390" t="inlineStr">
        <is>
          <t>OVANÅKER</t>
        </is>
      </c>
      <c r="F7390" t="inlineStr">
        <is>
          <t>Bergvik skog öst AB</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4195-2023</t>
        </is>
      </c>
      <c r="B7391" s="1" t="n">
        <v>44953.43362268519</v>
      </c>
      <c r="C7391" s="1" t="n">
        <v>45911</v>
      </c>
      <c r="D7391" t="inlineStr">
        <is>
          <t>GÄVLEBORGS LÄN</t>
        </is>
      </c>
      <c r="E7391" t="inlineStr">
        <is>
          <t>LJUSDAL</t>
        </is>
      </c>
      <c r="F7391" t="inlineStr">
        <is>
          <t>Holmen skog AB</t>
        </is>
      </c>
      <c r="G7391" t="n">
        <v>3.3</v>
      </c>
      <c r="H7391" t="n">
        <v>0</v>
      </c>
      <c r="I7391" t="n">
        <v>0</v>
      </c>
      <c r="J7391" t="n">
        <v>0</v>
      </c>
      <c r="K7391" t="n">
        <v>0</v>
      </c>
      <c r="L7391" t="n">
        <v>0</v>
      </c>
      <c r="M7391" t="n">
        <v>0</v>
      </c>
      <c r="N7391" t="n">
        <v>0</v>
      </c>
      <c r="O7391" t="n">
        <v>0</v>
      </c>
      <c r="P7391" t="n">
        <v>0</v>
      </c>
      <c r="Q7391" t="n">
        <v>0</v>
      </c>
      <c r="R7391" s="2" t="inlineStr"/>
    </row>
    <row r="7392" ht="15" customHeight="1">
      <c r="A7392" t="inlineStr">
        <is>
          <t>A 27620-2024</t>
        </is>
      </c>
      <c r="B7392" s="1" t="n">
        <v>45474.88189814815</v>
      </c>
      <c r="C7392" s="1" t="n">
        <v>45911</v>
      </c>
      <c r="D7392" t="inlineStr">
        <is>
          <t>GÄVLEBORGS LÄN</t>
        </is>
      </c>
      <c r="E7392" t="inlineStr">
        <is>
          <t>HUDIKSVALL</t>
        </is>
      </c>
      <c r="F7392" t="inlineStr">
        <is>
          <t>Holmen skog AB</t>
        </is>
      </c>
      <c r="G7392" t="n">
        <v>11.7</v>
      </c>
      <c r="H7392" t="n">
        <v>0</v>
      </c>
      <c r="I7392" t="n">
        <v>0</v>
      </c>
      <c r="J7392" t="n">
        <v>0</v>
      </c>
      <c r="K7392" t="n">
        <v>0</v>
      </c>
      <c r="L7392" t="n">
        <v>0</v>
      </c>
      <c r="M7392" t="n">
        <v>0</v>
      </c>
      <c r="N7392" t="n">
        <v>0</v>
      </c>
      <c r="O7392" t="n">
        <v>0</v>
      </c>
      <c r="P7392" t="n">
        <v>0</v>
      </c>
      <c r="Q7392" t="n">
        <v>0</v>
      </c>
      <c r="R7392" s="2" t="inlineStr"/>
    </row>
    <row r="7393" ht="15" customHeight="1">
      <c r="A7393" t="inlineStr">
        <is>
          <t>A 49281-2024</t>
        </is>
      </c>
      <c r="B7393" s="1" t="n">
        <v>45595.50841435185</v>
      </c>
      <c r="C7393" s="1" t="n">
        <v>45911</v>
      </c>
      <c r="D7393" t="inlineStr">
        <is>
          <t>GÄVLEBORGS LÄN</t>
        </is>
      </c>
      <c r="E7393" t="inlineStr">
        <is>
          <t>SÖDERHAMN</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49282-2024</t>
        </is>
      </c>
      <c r="B7394" s="1" t="n">
        <v>45595.50844907408</v>
      </c>
      <c r="C7394" s="1" t="n">
        <v>45911</v>
      </c>
      <c r="D7394" t="inlineStr">
        <is>
          <t>GÄVLEBORGS LÄN</t>
        </is>
      </c>
      <c r="E7394" t="inlineStr">
        <is>
          <t>SÖDERHAMN</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38232-2024</t>
        </is>
      </c>
      <c r="B7395" s="1" t="n">
        <v>45545.55649305556</v>
      </c>
      <c r="C7395" s="1" t="n">
        <v>45911</v>
      </c>
      <c r="D7395" t="inlineStr">
        <is>
          <t>GÄVLEBORGS LÄN</t>
        </is>
      </c>
      <c r="E7395" t="inlineStr">
        <is>
          <t>LJUSDAL</t>
        </is>
      </c>
      <c r="F7395" t="inlineStr">
        <is>
          <t>Sveaskog</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38240-2024</t>
        </is>
      </c>
      <c r="B7396" s="1" t="n">
        <v>45545</v>
      </c>
      <c r="C7396" s="1" t="n">
        <v>45911</v>
      </c>
      <c r="D7396" t="inlineStr">
        <is>
          <t>GÄVLEBORGS LÄN</t>
        </is>
      </c>
      <c r="E7396" t="inlineStr">
        <is>
          <t>GÄVLE</t>
        </is>
      </c>
      <c r="F7396" t="inlineStr">
        <is>
          <t>Bergvik skog väst AB</t>
        </is>
      </c>
      <c r="G7396" t="n">
        <v>2.4</v>
      </c>
      <c r="H7396" t="n">
        <v>0</v>
      </c>
      <c r="I7396" t="n">
        <v>0</v>
      </c>
      <c r="J7396" t="n">
        <v>0</v>
      </c>
      <c r="K7396" t="n">
        <v>0</v>
      </c>
      <c r="L7396" t="n">
        <v>0</v>
      </c>
      <c r="M7396" t="n">
        <v>0</v>
      </c>
      <c r="N7396" t="n">
        <v>0</v>
      </c>
      <c r="O7396" t="n">
        <v>0</v>
      </c>
      <c r="P7396" t="n">
        <v>0</v>
      </c>
      <c r="Q7396" t="n">
        <v>0</v>
      </c>
      <c r="R7396" s="2" t="inlineStr"/>
    </row>
    <row r="7397" ht="15" customHeight="1">
      <c r="A7397" t="inlineStr">
        <is>
          <t>A 26367-2024</t>
        </is>
      </c>
      <c r="B7397" s="1" t="n">
        <v>45469.3924537037</v>
      </c>
      <c r="C7397" s="1" t="n">
        <v>45911</v>
      </c>
      <c r="D7397" t="inlineStr">
        <is>
          <t>GÄVLEBORGS LÄN</t>
        </is>
      </c>
      <c r="E7397" t="inlineStr">
        <is>
          <t>OCKELBO</t>
        </is>
      </c>
      <c r="G7397" t="n">
        <v>3.7</v>
      </c>
      <c r="H7397" t="n">
        <v>0</v>
      </c>
      <c r="I7397" t="n">
        <v>0</v>
      </c>
      <c r="J7397" t="n">
        <v>0</v>
      </c>
      <c r="K7397" t="n">
        <v>0</v>
      </c>
      <c r="L7397" t="n">
        <v>0</v>
      </c>
      <c r="M7397" t="n">
        <v>0</v>
      </c>
      <c r="N7397" t="n">
        <v>0</v>
      </c>
      <c r="O7397" t="n">
        <v>0</v>
      </c>
      <c r="P7397" t="n">
        <v>0</v>
      </c>
      <c r="Q7397" t="n">
        <v>0</v>
      </c>
      <c r="R7397" s="2" t="inlineStr"/>
    </row>
    <row r="7398" ht="15" customHeight="1">
      <c r="A7398" t="inlineStr">
        <is>
          <t>A 71408-2021</t>
        </is>
      </c>
      <c r="B7398" s="1" t="n">
        <v>44540.38681712963</v>
      </c>
      <c r="C7398" s="1" t="n">
        <v>45911</v>
      </c>
      <c r="D7398" t="inlineStr">
        <is>
          <t>GÄVLEBORGS LÄN</t>
        </is>
      </c>
      <c r="E7398" t="inlineStr">
        <is>
          <t>HUDIKSVALL</t>
        </is>
      </c>
      <c r="F7398" t="inlineStr">
        <is>
          <t>Holmen skog AB</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14472-2024</t>
        </is>
      </c>
      <c r="B7399" s="1" t="n">
        <v>45394.55886574074</v>
      </c>
      <c r="C7399" s="1" t="n">
        <v>45911</v>
      </c>
      <c r="D7399" t="inlineStr">
        <is>
          <t>GÄVLEBORGS LÄN</t>
        </is>
      </c>
      <c r="E7399" t="inlineStr">
        <is>
          <t>SÖDERHAMN</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1802-2023</t>
        </is>
      </c>
      <c r="B7400" s="1" t="n">
        <v>44938.64047453704</v>
      </c>
      <c r="C7400" s="1" t="n">
        <v>45911</v>
      </c>
      <c r="D7400" t="inlineStr">
        <is>
          <t>GÄVLEBORGS LÄN</t>
        </is>
      </c>
      <c r="E7400" t="inlineStr">
        <is>
          <t>NORDANSTIG</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43143-2024</t>
        </is>
      </c>
      <c r="B7401" s="1" t="n">
        <v>45567.62359953704</v>
      </c>
      <c r="C7401" s="1" t="n">
        <v>45911</v>
      </c>
      <c r="D7401" t="inlineStr">
        <is>
          <t>GÄVLEBORGS LÄN</t>
        </is>
      </c>
      <c r="E7401" t="inlineStr">
        <is>
          <t>HOFORS</t>
        </is>
      </c>
      <c r="G7401" t="n">
        <v>3.3</v>
      </c>
      <c r="H7401" t="n">
        <v>0</v>
      </c>
      <c r="I7401" t="n">
        <v>0</v>
      </c>
      <c r="J7401" t="n">
        <v>0</v>
      </c>
      <c r="K7401" t="n">
        <v>0</v>
      </c>
      <c r="L7401" t="n">
        <v>0</v>
      </c>
      <c r="M7401" t="n">
        <v>0</v>
      </c>
      <c r="N7401" t="n">
        <v>0</v>
      </c>
      <c r="O7401" t="n">
        <v>0</v>
      </c>
      <c r="P7401" t="n">
        <v>0</v>
      </c>
      <c r="Q7401" t="n">
        <v>0</v>
      </c>
      <c r="R7401" s="2" t="inlineStr"/>
    </row>
    <row r="7402" ht="15" customHeight="1">
      <c r="A7402" t="inlineStr">
        <is>
          <t>A 38495-2023</t>
        </is>
      </c>
      <c r="B7402" s="1" t="n">
        <v>45162</v>
      </c>
      <c r="C7402" s="1" t="n">
        <v>45911</v>
      </c>
      <c r="D7402" t="inlineStr">
        <is>
          <t>GÄVLEBORGS LÄN</t>
        </is>
      </c>
      <c r="E7402" t="inlineStr">
        <is>
          <t>GÄVLE</t>
        </is>
      </c>
      <c r="G7402" t="n">
        <v>1.6</v>
      </c>
      <c r="H7402" t="n">
        <v>0</v>
      </c>
      <c r="I7402" t="n">
        <v>0</v>
      </c>
      <c r="J7402" t="n">
        <v>0</v>
      </c>
      <c r="K7402" t="n">
        <v>0</v>
      </c>
      <c r="L7402" t="n">
        <v>0</v>
      </c>
      <c r="M7402" t="n">
        <v>0</v>
      </c>
      <c r="N7402" t="n">
        <v>0</v>
      </c>
      <c r="O7402" t="n">
        <v>0</v>
      </c>
      <c r="P7402" t="n">
        <v>0</v>
      </c>
      <c r="Q7402" t="n">
        <v>0</v>
      </c>
      <c r="R7402" s="2" t="inlineStr"/>
    </row>
    <row r="7403" ht="15" customHeight="1">
      <c r="A7403" t="inlineStr">
        <is>
          <t>A 36658-2024</t>
        </is>
      </c>
      <c r="B7403" s="1" t="n">
        <v>45537.62311342593</v>
      </c>
      <c r="C7403" s="1" t="n">
        <v>45911</v>
      </c>
      <c r="D7403" t="inlineStr">
        <is>
          <t>GÄVLEBORGS LÄN</t>
        </is>
      </c>
      <c r="E7403" t="inlineStr">
        <is>
          <t>LJUSDAL</t>
        </is>
      </c>
      <c r="F7403" t="inlineStr">
        <is>
          <t>Holmen skog AB</t>
        </is>
      </c>
      <c r="G7403" t="n">
        <v>2.8</v>
      </c>
      <c r="H7403" t="n">
        <v>0</v>
      </c>
      <c r="I7403" t="n">
        <v>0</v>
      </c>
      <c r="J7403" t="n">
        <v>0</v>
      </c>
      <c r="K7403" t="n">
        <v>0</v>
      </c>
      <c r="L7403" t="n">
        <v>0</v>
      </c>
      <c r="M7403" t="n">
        <v>0</v>
      </c>
      <c r="N7403" t="n">
        <v>0</v>
      </c>
      <c r="O7403" t="n">
        <v>0</v>
      </c>
      <c r="P7403" t="n">
        <v>0</v>
      </c>
      <c r="Q7403" t="n">
        <v>0</v>
      </c>
      <c r="R7403" s="2" t="inlineStr"/>
    </row>
    <row r="7404" ht="15" customHeight="1">
      <c r="A7404" t="inlineStr">
        <is>
          <t>A 45598-2024</t>
        </is>
      </c>
      <c r="B7404" s="1" t="n">
        <v>45579</v>
      </c>
      <c r="C7404" s="1" t="n">
        <v>45911</v>
      </c>
      <c r="D7404" t="inlineStr">
        <is>
          <t>GÄVLEBORGS LÄN</t>
        </is>
      </c>
      <c r="E7404" t="inlineStr">
        <is>
          <t>BOLLNÄS</t>
        </is>
      </c>
      <c r="F7404" t="inlineStr">
        <is>
          <t>Kommuner</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58467-2022</t>
        </is>
      </c>
      <c r="B7405" s="1" t="n">
        <v>44902</v>
      </c>
      <c r="C7405" s="1" t="n">
        <v>45911</v>
      </c>
      <c r="D7405" t="inlineStr">
        <is>
          <t>GÄVLEBORGS LÄN</t>
        </is>
      </c>
      <c r="E7405" t="inlineStr">
        <is>
          <t>OVANÅKER</t>
        </is>
      </c>
      <c r="F7405" t="inlineStr">
        <is>
          <t>Bergvik skog väst AB</t>
        </is>
      </c>
      <c r="G7405" t="n">
        <v>2.7</v>
      </c>
      <c r="H7405" t="n">
        <v>0</v>
      </c>
      <c r="I7405" t="n">
        <v>0</v>
      </c>
      <c r="J7405" t="n">
        <v>0</v>
      </c>
      <c r="K7405" t="n">
        <v>0</v>
      </c>
      <c r="L7405" t="n">
        <v>0</v>
      </c>
      <c r="M7405" t="n">
        <v>0</v>
      </c>
      <c r="N7405" t="n">
        <v>0</v>
      </c>
      <c r="O7405" t="n">
        <v>0</v>
      </c>
      <c r="P7405" t="n">
        <v>0</v>
      </c>
      <c r="Q7405" t="n">
        <v>0</v>
      </c>
      <c r="R7405" s="2" t="inlineStr"/>
    </row>
    <row r="7406" ht="15" customHeight="1">
      <c r="A7406" t="inlineStr">
        <is>
          <t>A 48307-2023</t>
        </is>
      </c>
      <c r="B7406" s="1" t="n">
        <v>45205.58381944444</v>
      </c>
      <c r="C7406" s="1" t="n">
        <v>45911</v>
      </c>
      <c r="D7406" t="inlineStr">
        <is>
          <t>GÄVLEBORGS LÄN</t>
        </is>
      </c>
      <c r="E7406" t="inlineStr">
        <is>
          <t>BOLLNÄS</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52099-2024</t>
        </is>
      </c>
      <c r="B7407" s="1" t="n">
        <v>45608</v>
      </c>
      <c r="C7407" s="1" t="n">
        <v>45911</v>
      </c>
      <c r="D7407" t="inlineStr">
        <is>
          <t>GÄVLEBORGS LÄN</t>
        </is>
      </c>
      <c r="E7407" t="inlineStr">
        <is>
          <t>LJUSDAL</t>
        </is>
      </c>
      <c r="G7407" t="n">
        <v>0.2</v>
      </c>
      <c r="H7407" t="n">
        <v>0</v>
      </c>
      <c r="I7407" t="n">
        <v>0</v>
      </c>
      <c r="J7407" t="n">
        <v>0</v>
      </c>
      <c r="K7407" t="n">
        <v>0</v>
      </c>
      <c r="L7407" t="n">
        <v>0</v>
      </c>
      <c r="M7407" t="n">
        <v>0</v>
      </c>
      <c r="N7407" t="n">
        <v>0</v>
      </c>
      <c r="O7407" t="n">
        <v>0</v>
      </c>
      <c r="P7407" t="n">
        <v>0</v>
      </c>
      <c r="Q7407" t="n">
        <v>0</v>
      </c>
      <c r="R7407" s="2" t="inlineStr"/>
    </row>
    <row r="7408" ht="15" customHeight="1">
      <c r="A7408" t="inlineStr">
        <is>
          <t>A 48907-2024</t>
        </is>
      </c>
      <c r="B7408" s="1" t="n">
        <v>45594.36177083333</v>
      </c>
      <c r="C7408" s="1" t="n">
        <v>45911</v>
      </c>
      <c r="D7408" t="inlineStr">
        <is>
          <t>GÄVLEBORGS LÄN</t>
        </is>
      </c>
      <c r="E7408" t="inlineStr">
        <is>
          <t>OVANÅKER</t>
        </is>
      </c>
      <c r="G7408" t="n">
        <v>3.7</v>
      </c>
      <c r="H7408" t="n">
        <v>0</v>
      </c>
      <c r="I7408" t="n">
        <v>0</v>
      </c>
      <c r="J7408" t="n">
        <v>0</v>
      </c>
      <c r="K7408" t="n">
        <v>0</v>
      </c>
      <c r="L7408" t="n">
        <v>0</v>
      </c>
      <c r="M7408" t="n">
        <v>0</v>
      </c>
      <c r="N7408" t="n">
        <v>0</v>
      </c>
      <c r="O7408" t="n">
        <v>0</v>
      </c>
      <c r="P7408" t="n">
        <v>0</v>
      </c>
      <c r="Q7408" t="n">
        <v>0</v>
      </c>
      <c r="R7408" s="2" t="inlineStr"/>
    </row>
    <row r="7409" ht="15" customHeight="1">
      <c r="A7409" t="inlineStr">
        <is>
          <t>A 11340-2025</t>
        </is>
      </c>
      <c r="B7409" s="1" t="n">
        <v>45726.49440972223</v>
      </c>
      <c r="C7409" s="1" t="n">
        <v>45911</v>
      </c>
      <c r="D7409" t="inlineStr">
        <is>
          <t>GÄVLEBORGS LÄN</t>
        </is>
      </c>
      <c r="E7409" t="inlineStr">
        <is>
          <t>GÄVLE</t>
        </is>
      </c>
      <c r="F7409" t="inlineStr">
        <is>
          <t>Bergvik skog öst AB</t>
        </is>
      </c>
      <c r="G7409" t="n">
        <v>4.4</v>
      </c>
      <c r="H7409" t="n">
        <v>0</v>
      </c>
      <c r="I7409" t="n">
        <v>0</v>
      </c>
      <c r="J7409" t="n">
        <v>0</v>
      </c>
      <c r="K7409" t="n">
        <v>0</v>
      </c>
      <c r="L7409" t="n">
        <v>0</v>
      </c>
      <c r="M7409" t="n">
        <v>0</v>
      </c>
      <c r="N7409" t="n">
        <v>0</v>
      </c>
      <c r="O7409" t="n">
        <v>0</v>
      </c>
      <c r="P7409" t="n">
        <v>0</v>
      </c>
      <c r="Q7409" t="n">
        <v>0</v>
      </c>
      <c r="R7409" s="2" t="inlineStr"/>
    </row>
    <row r="7410" ht="15" customHeight="1">
      <c r="A7410" t="inlineStr">
        <is>
          <t>A 36452-2023</t>
        </is>
      </c>
      <c r="B7410" s="1" t="n">
        <v>45152</v>
      </c>
      <c r="C7410" s="1" t="n">
        <v>45911</v>
      </c>
      <c r="D7410" t="inlineStr">
        <is>
          <t>GÄVLEBORGS LÄN</t>
        </is>
      </c>
      <c r="E7410" t="inlineStr">
        <is>
          <t>OVANÅKER</t>
        </is>
      </c>
      <c r="F7410" t="inlineStr">
        <is>
          <t>Sveaskog</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61938-2022</t>
        </is>
      </c>
      <c r="B7411" s="1" t="n">
        <v>44918.25254629629</v>
      </c>
      <c r="C7411" s="1" t="n">
        <v>45911</v>
      </c>
      <c r="D7411" t="inlineStr">
        <is>
          <t>GÄVLEBORGS LÄN</t>
        </is>
      </c>
      <c r="E7411" t="inlineStr">
        <is>
          <t>HUDIKSVALL</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11394-2025</t>
        </is>
      </c>
      <c r="B7412" s="1" t="n">
        <v>45726</v>
      </c>
      <c r="C7412" s="1" t="n">
        <v>45911</v>
      </c>
      <c r="D7412" t="inlineStr">
        <is>
          <t>GÄVLEBORGS LÄN</t>
        </is>
      </c>
      <c r="E7412" t="inlineStr">
        <is>
          <t>NORDANSTIG</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42265-2024</t>
        </is>
      </c>
      <c r="B7413" s="1" t="n">
        <v>45562.59310185185</v>
      </c>
      <c r="C7413" s="1" t="n">
        <v>45911</v>
      </c>
      <c r="D7413" t="inlineStr">
        <is>
          <t>GÄVLEBORGS LÄN</t>
        </is>
      </c>
      <c r="E7413" t="inlineStr">
        <is>
          <t>SÖDERHAMN</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43121-2024</t>
        </is>
      </c>
      <c r="B7414" s="1" t="n">
        <v>45567.57664351852</v>
      </c>
      <c r="C7414" s="1" t="n">
        <v>45911</v>
      </c>
      <c r="D7414" t="inlineStr">
        <is>
          <t>GÄVLEBORGS LÄN</t>
        </is>
      </c>
      <c r="E7414" t="inlineStr">
        <is>
          <t>SANDVIKEN</t>
        </is>
      </c>
      <c r="G7414" t="n">
        <v>4.3</v>
      </c>
      <c r="H7414" t="n">
        <v>0</v>
      </c>
      <c r="I7414" t="n">
        <v>0</v>
      </c>
      <c r="J7414" t="n">
        <v>0</v>
      </c>
      <c r="K7414" t="n">
        <v>0</v>
      </c>
      <c r="L7414" t="n">
        <v>0</v>
      </c>
      <c r="M7414" t="n">
        <v>0</v>
      </c>
      <c r="N7414" t="n">
        <v>0</v>
      </c>
      <c r="O7414" t="n">
        <v>0</v>
      </c>
      <c r="P7414" t="n">
        <v>0</v>
      </c>
      <c r="Q7414" t="n">
        <v>0</v>
      </c>
      <c r="R7414" s="2" t="inlineStr"/>
    </row>
    <row r="7415" ht="15" customHeight="1">
      <c r="A7415" t="inlineStr">
        <is>
          <t>A 27460-2023</t>
        </is>
      </c>
      <c r="B7415" s="1" t="n">
        <v>45097</v>
      </c>
      <c r="C7415" s="1" t="n">
        <v>45911</v>
      </c>
      <c r="D7415" t="inlineStr">
        <is>
          <t>GÄVLEBORGS LÄN</t>
        </is>
      </c>
      <c r="E7415" t="inlineStr">
        <is>
          <t>LJUSDAL</t>
        </is>
      </c>
      <c r="G7415" t="n">
        <v>3.7</v>
      </c>
      <c r="H7415" t="n">
        <v>0</v>
      </c>
      <c r="I7415" t="n">
        <v>0</v>
      </c>
      <c r="J7415" t="n">
        <v>0</v>
      </c>
      <c r="K7415" t="n">
        <v>0</v>
      </c>
      <c r="L7415" t="n">
        <v>0</v>
      </c>
      <c r="M7415" t="n">
        <v>0</v>
      </c>
      <c r="N7415" t="n">
        <v>0</v>
      </c>
      <c r="O7415" t="n">
        <v>0</v>
      </c>
      <c r="P7415" t="n">
        <v>0</v>
      </c>
      <c r="Q7415" t="n">
        <v>0</v>
      </c>
      <c r="R7415" s="2" t="inlineStr"/>
    </row>
    <row r="7416" ht="15" customHeight="1">
      <c r="A7416" t="inlineStr">
        <is>
          <t>A 21283-2023</t>
        </is>
      </c>
      <c r="B7416" s="1" t="n">
        <v>45062.64236111111</v>
      </c>
      <c r="C7416" s="1" t="n">
        <v>45911</v>
      </c>
      <c r="D7416" t="inlineStr">
        <is>
          <t>GÄVLEBORGS LÄN</t>
        </is>
      </c>
      <c r="E7416" t="inlineStr">
        <is>
          <t>SÖDERHAMN</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3451-2025</t>
        </is>
      </c>
      <c r="B7417" s="1" t="n">
        <v>45680</v>
      </c>
      <c r="C7417" s="1" t="n">
        <v>45911</v>
      </c>
      <c r="D7417" t="inlineStr">
        <is>
          <t>GÄVLEBORGS LÄN</t>
        </is>
      </c>
      <c r="E7417" t="inlineStr">
        <is>
          <t>BOLLNÄS</t>
        </is>
      </c>
      <c r="G7417" t="n">
        <v>4.2</v>
      </c>
      <c r="H7417" t="n">
        <v>0</v>
      </c>
      <c r="I7417" t="n">
        <v>0</v>
      </c>
      <c r="J7417" t="n">
        <v>0</v>
      </c>
      <c r="K7417" t="n">
        <v>0</v>
      </c>
      <c r="L7417" t="n">
        <v>0</v>
      </c>
      <c r="M7417" t="n">
        <v>0</v>
      </c>
      <c r="N7417" t="n">
        <v>0</v>
      </c>
      <c r="O7417" t="n">
        <v>0</v>
      </c>
      <c r="P7417" t="n">
        <v>0</v>
      </c>
      <c r="Q7417" t="n">
        <v>0</v>
      </c>
      <c r="R7417" s="2" t="inlineStr"/>
    </row>
    <row r="7418" ht="15" customHeight="1">
      <c r="A7418" t="inlineStr">
        <is>
          <t>A 6188-2024</t>
        </is>
      </c>
      <c r="B7418" s="1" t="n">
        <v>45337</v>
      </c>
      <c r="C7418" s="1" t="n">
        <v>45911</v>
      </c>
      <c r="D7418" t="inlineStr">
        <is>
          <t>GÄVLEBORGS LÄN</t>
        </is>
      </c>
      <c r="E7418" t="inlineStr">
        <is>
          <t>OVANÅKER</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33487-2024</t>
        </is>
      </c>
      <c r="B7419" s="1" t="n">
        <v>45519.61461805556</v>
      </c>
      <c r="C7419" s="1" t="n">
        <v>45911</v>
      </c>
      <c r="D7419" t="inlineStr">
        <is>
          <t>GÄVLEBORGS LÄN</t>
        </is>
      </c>
      <c r="E7419" t="inlineStr">
        <is>
          <t>SANDVIKEN</t>
        </is>
      </c>
      <c r="G7419" t="n">
        <v>1.9</v>
      </c>
      <c r="H7419" t="n">
        <v>0</v>
      </c>
      <c r="I7419" t="n">
        <v>0</v>
      </c>
      <c r="J7419" t="n">
        <v>0</v>
      </c>
      <c r="K7419" t="n">
        <v>0</v>
      </c>
      <c r="L7419" t="n">
        <v>0</v>
      </c>
      <c r="M7419" t="n">
        <v>0</v>
      </c>
      <c r="N7419" t="n">
        <v>0</v>
      </c>
      <c r="O7419" t="n">
        <v>0</v>
      </c>
      <c r="P7419" t="n">
        <v>0</v>
      </c>
      <c r="Q7419" t="n">
        <v>0</v>
      </c>
      <c r="R7419" s="2" t="inlineStr"/>
    </row>
    <row r="7420" ht="15" customHeight="1">
      <c r="A7420" t="inlineStr">
        <is>
          <t>A 55523-2024</t>
        </is>
      </c>
      <c r="B7420" s="1" t="n">
        <v>45622.47424768518</v>
      </c>
      <c r="C7420" s="1" t="n">
        <v>45911</v>
      </c>
      <c r="D7420" t="inlineStr">
        <is>
          <t>GÄVLEBORGS LÄN</t>
        </is>
      </c>
      <c r="E7420" t="inlineStr">
        <is>
          <t>NORDANSTIG</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50281-2024</t>
        </is>
      </c>
      <c r="B7421" s="1" t="n">
        <v>45600.61165509259</v>
      </c>
      <c r="C7421" s="1" t="n">
        <v>45911</v>
      </c>
      <c r="D7421" t="inlineStr">
        <is>
          <t>GÄVLEBORGS LÄN</t>
        </is>
      </c>
      <c r="E7421" t="inlineStr">
        <is>
          <t>SÖDERHAMN</t>
        </is>
      </c>
      <c r="G7421" t="n">
        <v>2.7</v>
      </c>
      <c r="H7421" t="n">
        <v>0</v>
      </c>
      <c r="I7421" t="n">
        <v>0</v>
      </c>
      <c r="J7421" t="n">
        <v>0</v>
      </c>
      <c r="K7421" t="n">
        <v>0</v>
      </c>
      <c r="L7421" t="n">
        <v>0</v>
      </c>
      <c r="M7421" t="n">
        <v>0</v>
      </c>
      <c r="N7421" t="n">
        <v>0</v>
      </c>
      <c r="O7421" t="n">
        <v>0</v>
      </c>
      <c r="P7421" t="n">
        <v>0</v>
      </c>
      <c r="Q7421" t="n">
        <v>0</v>
      </c>
      <c r="R7421" s="2" t="inlineStr"/>
    </row>
    <row r="7422" ht="15" customHeight="1">
      <c r="A7422" t="inlineStr">
        <is>
          <t>A 18538-2024</t>
        </is>
      </c>
      <c r="B7422" s="1" t="n">
        <v>45425.63649305556</v>
      </c>
      <c r="C7422" s="1" t="n">
        <v>45911</v>
      </c>
      <c r="D7422" t="inlineStr">
        <is>
          <t>GÄVLEBORGS LÄN</t>
        </is>
      </c>
      <c r="E7422" t="inlineStr">
        <is>
          <t>HUDIKSVALL</t>
        </is>
      </c>
      <c r="F7422" t="inlineStr">
        <is>
          <t>Holmen skog AB</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1405-2024</t>
        </is>
      </c>
      <c r="B7423" s="1" t="n">
        <v>45303</v>
      </c>
      <c r="C7423" s="1" t="n">
        <v>45911</v>
      </c>
      <c r="D7423" t="inlineStr">
        <is>
          <t>GÄVLEBORGS LÄN</t>
        </is>
      </c>
      <c r="E7423" t="inlineStr">
        <is>
          <t>OVANÅKER</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29773-2023</t>
        </is>
      </c>
      <c r="B7424" s="1" t="n">
        <v>45107.48931712963</v>
      </c>
      <c r="C7424" s="1" t="n">
        <v>45911</v>
      </c>
      <c r="D7424" t="inlineStr">
        <is>
          <t>GÄVLEBORGS LÄN</t>
        </is>
      </c>
      <c r="E7424" t="inlineStr">
        <is>
          <t>BOLLNÄS</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50314-2024</t>
        </is>
      </c>
      <c r="B7425" s="1" t="n">
        <v>45600.65686342592</v>
      </c>
      <c r="C7425" s="1" t="n">
        <v>45911</v>
      </c>
      <c r="D7425" t="inlineStr">
        <is>
          <t>GÄVLEBORGS LÄN</t>
        </is>
      </c>
      <c r="E7425" t="inlineStr">
        <is>
          <t>GÄVLE</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38200-2024</t>
        </is>
      </c>
      <c r="B7426" s="1" t="n">
        <v>45545</v>
      </c>
      <c r="C7426" s="1" t="n">
        <v>45911</v>
      </c>
      <c r="D7426" t="inlineStr">
        <is>
          <t>GÄVLEBORGS LÄN</t>
        </is>
      </c>
      <c r="E7426" t="inlineStr">
        <is>
          <t>SANDVIKEN</t>
        </is>
      </c>
      <c r="F7426" t="inlineStr">
        <is>
          <t>Sveaskog</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37438-2023</t>
        </is>
      </c>
      <c r="B7427" s="1" t="n">
        <v>45156</v>
      </c>
      <c r="C7427" s="1" t="n">
        <v>45911</v>
      </c>
      <c r="D7427" t="inlineStr">
        <is>
          <t>GÄVLEBORGS LÄN</t>
        </is>
      </c>
      <c r="E7427" t="inlineStr">
        <is>
          <t>OCKELBO</t>
        </is>
      </c>
      <c r="F7427" t="inlineStr">
        <is>
          <t>Bergvik skog väst AB</t>
        </is>
      </c>
      <c r="G7427" t="n">
        <v>3.4</v>
      </c>
      <c r="H7427" t="n">
        <v>0</v>
      </c>
      <c r="I7427" t="n">
        <v>0</v>
      </c>
      <c r="J7427" t="n">
        <v>0</v>
      </c>
      <c r="K7427" t="n">
        <v>0</v>
      </c>
      <c r="L7427" t="n">
        <v>0</v>
      </c>
      <c r="M7427" t="n">
        <v>0</v>
      </c>
      <c r="N7427" t="n">
        <v>0</v>
      </c>
      <c r="O7427" t="n">
        <v>0</v>
      </c>
      <c r="P7427" t="n">
        <v>0</v>
      </c>
      <c r="Q7427" t="n">
        <v>0</v>
      </c>
      <c r="R7427" s="2" t="inlineStr"/>
    </row>
    <row r="7428" ht="15" customHeight="1">
      <c r="A7428" t="inlineStr">
        <is>
          <t>A 3316-2023</t>
        </is>
      </c>
      <c r="B7428" s="1" t="n">
        <v>44949</v>
      </c>
      <c r="C7428" s="1" t="n">
        <v>45911</v>
      </c>
      <c r="D7428" t="inlineStr">
        <is>
          <t>GÄVLEBORGS LÄN</t>
        </is>
      </c>
      <c r="E7428" t="inlineStr">
        <is>
          <t>SANDVIKEN</t>
        </is>
      </c>
      <c r="G7428" t="n">
        <v>0.5</v>
      </c>
      <c r="H7428" t="n">
        <v>0</v>
      </c>
      <c r="I7428" t="n">
        <v>0</v>
      </c>
      <c r="J7428" t="n">
        <v>0</v>
      </c>
      <c r="K7428" t="n">
        <v>0</v>
      </c>
      <c r="L7428" t="n">
        <v>0</v>
      </c>
      <c r="M7428" t="n">
        <v>0</v>
      </c>
      <c r="N7428" t="n">
        <v>0</v>
      </c>
      <c r="O7428" t="n">
        <v>0</v>
      </c>
      <c r="P7428" t="n">
        <v>0</v>
      </c>
      <c r="Q7428" t="n">
        <v>0</v>
      </c>
      <c r="R7428" s="2" t="inlineStr"/>
    </row>
    <row r="7429" ht="15" customHeight="1">
      <c r="A7429" t="inlineStr">
        <is>
          <t>A 22042-2023</t>
        </is>
      </c>
      <c r="B7429" s="1" t="n">
        <v>45069</v>
      </c>
      <c r="C7429" s="1" t="n">
        <v>45911</v>
      </c>
      <c r="D7429" t="inlineStr">
        <is>
          <t>GÄVLEBORGS LÄN</t>
        </is>
      </c>
      <c r="E7429" t="inlineStr">
        <is>
          <t>SANDVIKEN</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35181-2023</t>
        </is>
      </c>
      <c r="B7430" s="1" t="n">
        <v>45145.59108796297</v>
      </c>
      <c r="C7430" s="1" t="n">
        <v>45911</v>
      </c>
      <c r="D7430" t="inlineStr">
        <is>
          <t>GÄVLEBORGS LÄN</t>
        </is>
      </c>
      <c r="E7430" t="inlineStr">
        <is>
          <t>BOLLNÄS</t>
        </is>
      </c>
      <c r="F7430" t="inlineStr">
        <is>
          <t>Holmen skog AB</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60750-2023</t>
        </is>
      </c>
      <c r="B7431" s="1" t="n">
        <v>45260.5928587963</v>
      </c>
      <c r="C7431" s="1" t="n">
        <v>45911</v>
      </c>
      <c r="D7431" t="inlineStr">
        <is>
          <t>GÄVLEBORGS LÄN</t>
        </is>
      </c>
      <c r="E7431" t="inlineStr">
        <is>
          <t>HUDIKSVALL</t>
        </is>
      </c>
      <c r="F7431" t="inlineStr">
        <is>
          <t>Holmen skog AB</t>
        </is>
      </c>
      <c r="G7431" t="n">
        <v>2.6</v>
      </c>
      <c r="H7431" t="n">
        <v>0</v>
      </c>
      <c r="I7431" t="n">
        <v>0</v>
      </c>
      <c r="J7431" t="n">
        <v>0</v>
      </c>
      <c r="K7431" t="n">
        <v>0</v>
      </c>
      <c r="L7431" t="n">
        <v>0</v>
      </c>
      <c r="M7431" t="n">
        <v>0</v>
      </c>
      <c r="N7431" t="n">
        <v>0</v>
      </c>
      <c r="O7431" t="n">
        <v>0</v>
      </c>
      <c r="P7431" t="n">
        <v>0</v>
      </c>
      <c r="Q7431" t="n">
        <v>0</v>
      </c>
      <c r="R7431" s="2" t="inlineStr"/>
    </row>
    <row r="7432" ht="15" customHeight="1">
      <c r="A7432" t="inlineStr">
        <is>
          <t>A 18906-2023</t>
        </is>
      </c>
      <c r="B7432" s="1" t="n">
        <v>45044.57915509259</v>
      </c>
      <c r="C7432" s="1" t="n">
        <v>45911</v>
      </c>
      <c r="D7432" t="inlineStr">
        <is>
          <t>GÄVLEBORGS LÄN</t>
        </is>
      </c>
      <c r="E7432" t="inlineStr">
        <is>
          <t>OVANÅKER</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2611-2022</t>
        </is>
      </c>
      <c r="B7433" s="1" t="n">
        <v>44580.4372337963</v>
      </c>
      <c r="C7433" s="1" t="n">
        <v>45911</v>
      </c>
      <c r="D7433" t="inlineStr">
        <is>
          <t>GÄVLEBORGS LÄN</t>
        </is>
      </c>
      <c r="E7433" t="inlineStr">
        <is>
          <t>BOLLNÄS</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10159-2025</t>
        </is>
      </c>
      <c r="B7434" s="1" t="n">
        <v>45719.64797453704</v>
      </c>
      <c r="C7434" s="1" t="n">
        <v>45911</v>
      </c>
      <c r="D7434" t="inlineStr">
        <is>
          <t>GÄVLEBORGS LÄN</t>
        </is>
      </c>
      <c r="E7434" t="inlineStr">
        <is>
          <t>HUDIKSVALL</t>
        </is>
      </c>
      <c r="F7434" t="inlineStr">
        <is>
          <t>Kommuner</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36369-2024</t>
        </is>
      </c>
      <c r="B7435" s="1" t="n">
        <v>45534.66434027778</v>
      </c>
      <c r="C7435" s="1" t="n">
        <v>45911</v>
      </c>
      <c r="D7435" t="inlineStr">
        <is>
          <t>GÄVLEBORGS LÄN</t>
        </is>
      </c>
      <c r="E7435" t="inlineStr">
        <is>
          <t>NORDANSTIG</t>
        </is>
      </c>
      <c r="F7435" t="inlineStr">
        <is>
          <t>Holmen skog AB</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19536-2025</t>
        </is>
      </c>
      <c r="B7436" s="1" t="n">
        <v>45770.47952546296</v>
      </c>
      <c r="C7436" s="1" t="n">
        <v>45911</v>
      </c>
      <c r="D7436" t="inlineStr">
        <is>
          <t>GÄVLEBORGS LÄN</t>
        </is>
      </c>
      <c r="E7436" t="inlineStr">
        <is>
          <t>SÖDERHAMN</t>
        </is>
      </c>
      <c r="G7436" t="n">
        <v>6.6</v>
      </c>
      <c r="H7436" t="n">
        <v>0</v>
      </c>
      <c r="I7436" t="n">
        <v>0</v>
      </c>
      <c r="J7436" t="n">
        <v>0</v>
      </c>
      <c r="K7436" t="n">
        <v>0</v>
      </c>
      <c r="L7436" t="n">
        <v>0</v>
      </c>
      <c r="M7436" t="n">
        <v>0</v>
      </c>
      <c r="N7436" t="n">
        <v>0</v>
      </c>
      <c r="O7436" t="n">
        <v>0</v>
      </c>
      <c r="P7436" t="n">
        <v>0</v>
      </c>
      <c r="Q7436" t="n">
        <v>0</v>
      </c>
      <c r="R7436" s="2" t="inlineStr"/>
    </row>
    <row r="7437" ht="15" customHeight="1">
      <c r="A7437" t="inlineStr">
        <is>
          <t>A 50858-2024</t>
        </is>
      </c>
      <c r="B7437" s="1" t="n">
        <v>45602.62476851852</v>
      </c>
      <c r="C7437" s="1" t="n">
        <v>45911</v>
      </c>
      <c r="D7437" t="inlineStr">
        <is>
          <t>GÄVLEBORGS LÄN</t>
        </is>
      </c>
      <c r="E7437" t="inlineStr">
        <is>
          <t>LJUSDAL</t>
        </is>
      </c>
      <c r="F7437" t="inlineStr">
        <is>
          <t>Bergvik skog väst AB</t>
        </is>
      </c>
      <c r="G7437" t="n">
        <v>6.9</v>
      </c>
      <c r="H7437" t="n">
        <v>0</v>
      </c>
      <c r="I7437" t="n">
        <v>0</v>
      </c>
      <c r="J7437" t="n">
        <v>0</v>
      </c>
      <c r="K7437" t="n">
        <v>0</v>
      </c>
      <c r="L7437" t="n">
        <v>0</v>
      </c>
      <c r="M7437" t="n">
        <v>0</v>
      </c>
      <c r="N7437" t="n">
        <v>0</v>
      </c>
      <c r="O7437" t="n">
        <v>0</v>
      </c>
      <c r="P7437" t="n">
        <v>0</v>
      </c>
      <c r="Q7437" t="n">
        <v>0</v>
      </c>
      <c r="R7437" s="2" t="inlineStr"/>
    </row>
    <row r="7438" ht="15" customHeight="1">
      <c r="A7438" t="inlineStr">
        <is>
          <t>A 18706-2024</t>
        </is>
      </c>
      <c r="B7438" s="1" t="n">
        <v>45426</v>
      </c>
      <c r="C7438" s="1" t="n">
        <v>45911</v>
      </c>
      <c r="D7438" t="inlineStr">
        <is>
          <t>GÄVLEBORGS LÄN</t>
        </is>
      </c>
      <c r="E7438" t="inlineStr">
        <is>
          <t>HUDIKSVALL</t>
        </is>
      </c>
      <c r="F7438" t="inlineStr">
        <is>
          <t>Holmen skog AB</t>
        </is>
      </c>
      <c r="G7438" t="n">
        <v>9.199999999999999</v>
      </c>
      <c r="H7438" t="n">
        <v>0</v>
      </c>
      <c r="I7438" t="n">
        <v>0</v>
      </c>
      <c r="J7438" t="n">
        <v>0</v>
      </c>
      <c r="K7438" t="n">
        <v>0</v>
      </c>
      <c r="L7438" t="n">
        <v>0</v>
      </c>
      <c r="M7438" t="n">
        <v>0</v>
      </c>
      <c r="N7438" t="n">
        <v>0</v>
      </c>
      <c r="O7438" t="n">
        <v>0</v>
      </c>
      <c r="P7438" t="n">
        <v>0</v>
      </c>
      <c r="Q7438" t="n">
        <v>0</v>
      </c>
      <c r="R7438" s="2" t="inlineStr"/>
    </row>
    <row r="7439" ht="15" customHeight="1">
      <c r="A7439" t="inlineStr">
        <is>
          <t>A 60617-2024</t>
        </is>
      </c>
      <c r="B7439" s="1" t="n">
        <v>45644.38703703704</v>
      </c>
      <c r="C7439" s="1" t="n">
        <v>45911</v>
      </c>
      <c r="D7439" t="inlineStr">
        <is>
          <t>GÄVLEBORGS LÄN</t>
        </is>
      </c>
      <c r="E7439" t="inlineStr">
        <is>
          <t>GÄVLE</t>
        </is>
      </c>
      <c r="F7439" t="inlineStr">
        <is>
          <t>Kyrkan</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12095-2023</t>
        </is>
      </c>
      <c r="B7440" s="1" t="n">
        <v>44998.3634375</v>
      </c>
      <c r="C7440" s="1" t="n">
        <v>45911</v>
      </c>
      <c r="D7440" t="inlineStr">
        <is>
          <t>GÄVLEBORGS LÄN</t>
        </is>
      </c>
      <c r="E7440" t="inlineStr">
        <is>
          <t>NORDANSTIG</t>
        </is>
      </c>
      <c r="G7440" t="n">
        <v>2.7</v>
      </c>
      <c r="H7440" t="n">
        <v>0</v>
      </c>
      <c r="I7440" t="n">
        <v>0</v>
      </c>
      <c r="J7440" t="n">
        <v>0</v>
      </c>
      <c r="K7440" t="n">
        <v>0</v>
      </c>
      <c r="L7440" t="n">
        <v>0</v>
      </c>
      <c r="M7440" t="n">
        <v>0</v>
      </c>
      <c r="N7440" t="n">
        <v>0</v>
      </c>
      <c r="O7440" t="n">
        <v>0</v>
      </c>
      <c r="P7440" t="n">
        <v>0</v>
      </c>
      <c r="Q7440" t="n">
        <v>0</v>
      </c>
      <c r="R7440" s="2" t="inlineStr"/>
    </row>
    <row r="7441" ht="15" customHeight="1">
      <c r="A7441" t="inlineStr">
        <is>
          <t>A 7496-2025</t>
        </is>
      </c>
      <c r="B7441" s="1" t="n">
        <v>45702</v>
      </c>
      <c r="C7441" s="1" t="n">
        <v>45911</v>
      </c>
      <c r="D7441" t="inlineStr">
        <is>
          <t>GÄVLEBORGS LÄN</t>
        </is>
      </c>
      <c r="E7441" t="inlineStr">
        <is>
          <t>HUDIKSVALL</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32350-2022</t>
        </is>
      </c>
      <c r="B7442" s="1" t="n">
        <v>44781.92569444444</v>
      </c>
      <c r="C7442" s="1" t="n">
        <v>45911</v>
      </c>
      <c r="D7442" t="inlineStr">
        <is>
          <t>GÄVLEBORGS LÄN</t>
        </is>
      </c>
      <c r="E7442" t="inlineStr">
        <is>
          <t>NORDANSTIG</t>
        </is>
      </c>
      <c r="G7442" t="n">
        <v>3.5</v>
      </c>
      <c r="H7442" t="n">
        <v>0</v>
      </c>
      <c r="I7442" t="n">
        <v>0</v>
      </c>
      <c r="J7442" t="n">
        <v>0</v>
      </c>
      <c r="K7442" t="n">
        <v>0</v>
      </c>
      <c r="L7442" t="n">
        <v>0</v>
      </c>
      <c r="M7442" t="n">
        <v>0</v>
      </c>
      <c r="N7442" t="n">
        <v>0</v>
      </c>
      <c r="O7442" t="n">
        <v>0</v>
      </c>
      <c r="P7442" t="n">
        <v>0</v>
      </c>
      <c r="Q7442" t="n">
        <v>0</v>
      </c>
      <c r="R7442" s="2" t="inlineStr"/>
    </row>
    <row r="7443" ht="15" customHeight="1">
      <c r="A7443" t="inlineStr">
        <is>
          <t>A 47143-2024</t>
        </is>
      </c>
      <c r="B7443" s="1" t="n">
        <v>45586.58848379629</v>
      </c>
      <c r="C7443" s="1" t="n">
        <v>45911</v>
      </c>
      <c r="D7443" t="inlineStr">
        <is>
          <t>GÄVLEBORGS LÄN</t>
        </is>
      </c>
      <c r="E7443" t="inlineStr">
        <is>
          <t>GÄVLE</t>
        </is>
      </c>
      <c r="F7443" t="inlineStr">
        <is>
          <t>Bergvik skog öst AB</t>
        </is>
      </c>
      <c r="G7443" t="n">
        <v>4.2</v>
      </c>
      <c r="H7443" t="n">
        <v>0</v>
      </c>
      <c r="I7443" t="n">
        <v>0</v>
      </c>
      <c r="J7443" t="n">
        <v>0</v>
      </c>
      <c r="K7443" t="n">
        <v>0</v>
      </c>
      <c r="L7443" t="n">
        <v>0</v>
      </c>
      <c r="M7443" t="n">
        <v>0</v>
      </c>
      <c r="N7443" t="n">
        <v>0</v>
      </c>
      <c r="O7443" t="n">
        <v>0</v>
      </c>
      <c r="P7443" t="n">
        <v>0</v>
      </c>
      <c r="Q7443" t="n">
        <v>0</v>
      </c>
      <c r="R7443" s="2" t="inlineStr"/>
    </row>
    <row r="7444" ht="15" customHeight="1">
      <c r="A7444" t="inlineStr">
        <is>
          <t>A 16188-2025</t>
        </is>
      </c>
      <c r="B7444" s="1" t="n">
        <v>45750.5878125</v>
      </c>
      <c r="C7444" s="1" t="n">
        <v>45911</v>
      </c>
      <c r="D7444" t="inlineStr">
        <is>
          <t>GÄVLEBORGS LÄN</t>
        </is>
      </c>
      <c r="E7444" t="inlineStr">
        <is>
          <t>SÖDERHAMN</t>
        </is>
      </c>
      <c r="F7444" t="inlineStr">
        <is>
          <t>Kommuner</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52145-2023</t>
        </is>
      </c>
      <c r="B7445" s="1" t="n">
        <v>45223.96797453704</v>
      </c>
      <c r="C7445" s="1" t="n">
        <v>45911</v>
      </c>
      <c r="D7445" t="inlineStr">
        <is>
          <t>GÄVLEBORGS LÄN</t>
        </is>
      </c>
      <c r="E7445" t="inlineStr">
        <is>
          <t>LJUSDAL</t>
        </is>
      </c>
      <c r="F7445" t="inlineStr">
        <is>
          <t>Naturvårdsverket</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46482-2023</t>
        </is>
      </c>
      <c r="B7446" s="1" t="n">
        <v>45197.63974537037</v>
      </c>
      <c r="C7446" s="1" t="n">
        <v>45911</v>
      </c>
      <c r="D7446" t="inlineStr">
        <is>
          <t>GÄVLEBORGS LÄN</t>
        </is>
      </c>
      <c r="E7446" t="inlineStr">
        <is>
          <t>SANDVIKEN</t>
        </is>
      </c>
      <c r="G7446" t="n">
        <v>4</v>
      </c>
      <c r="H7446" t="n">
        <v>0</v>
      </c>
      <c r="I7446" t="n">
        <v>0</v>
      </c>
      <c r="J7446" t="n">
        <v>0</v>
      </c>
      <c r="K7446" t="n">
        <v>0</v>
      </c>
      <c r="L7446" t="n">
        <v>0</v>
      </c>
      <c r="M7446" t="n">
        <v>0</v>
      </c>
      <c r="N7446" t="n">
        <v>0</v>
      </c>
      <c r="O7446" t="n">
        <v>0</v>
      </c>
      <c r="P7446" t="n">
        <v>0</v>
      </c>
      <c r="Q7446" t="n">
        <v>0</v>
      </c>
      <c r="R7446" s="2" t="inlineStr"/>
    </row>
    <row r="7447" ht="15" customHeight="1">
      <c r="A7447" t="inlineStr">
        <is>
          <t>A 39509-2022</t>
        </is>
      </c>
      <c r="B7447" s="1" t="n">
        <v>44818</v>
      </c>
      <c r="C7447" s="1" t="n">
        <v>45911</v>
      </c>
      <c r="D7447" t="inlineStr">
        <is>
          <t>GÄVLEBORGS LÄN</t>
        </is>
      </c>
      <c r="E7447" t="inlineStr">
        <is>
          <t>GÄVLE</t>
        </is>
      </c>
      <c r="G7447" t="n">
        <v>4.2</v>
      </c>
      <c r="H7447" t="n">
        <v>0</v>
      </c>
      <c r="I7447" t="n">
        <v>0</v>
      </c>
      <c r="J7447" t="n">
        <v>0</v>
      </c>
      <c r="K7447" t="n">
        <v>0</v>
      </c>
      <c r="L7447" t="n">
        <v>0</v>
      </c>
      <c r="M7447" t="n">
        <v>0</v>
      </c>
      <c r="N7447" t="n">
        <v>0</v>
      </c>
      <c r="O7447" t="n">
        <v>0</v>
      </c>
      <c r="P7447" t="n">
        <v>0</v>
      </c>
      <c r="Q7447" t="n">
        <v>0</v>
      </c>
      <c r="R7447" s="2" t="inlineStr"/>
    </row>
    <row r="7448" ht="15" customHeight="1">
      <c r="A7448" t="inlineStr">
        <is>
          <t>A 39528-2022</t>
        </is>
      </c>
      <c r="B7448" s="1" t="n">
        <v>44818</v>
      </c>
      <c r="C7448" s="1" t="n">
        <v>45911</v>
      </c>
      <c r="D7448" t="inlineStr">
        <is>
          <t>GÄVLEBORGS LÄN</t>
        </is>
      </c>
      <c r="E7448" t="inlineStr">
        <is>
          <t>BOLLNÄS</t>
        </is>
      </c>
      <c r="G7448" t="n">
        <v>7.5</v>
      </c>
      <c r="H7448" t="n">
        <v>0</v>
      </c>
      <c r="I7448" t="n">
        <v>0</v>
      </c>
      <c r="J7448" t="n">
        <v>0</v>
      </c>
      <c r="K7448" t="n">
        <v>0</v>
      </c>
      <c r="L7448" t="n">
        <v>0</v>
      </c>
      <c r="M7448" t="n">
        <v>0</v>
      </c>
      <c r="N7448" t="n">
        <v>0</v>
      </c>
      <c r="O7448" t="n">
        <v>0</v>
      </c>
      <c r="P7448" t="n">
        <v>0</v>
      </c>
      <c r="Q7448" t="n">
        <v>0</v>
      </c>
      <c r="R7448" s="2" t="inlineStr"/>
    </row>
    <row r="7449" ht="15" customHeight="1">
      <c r="A7449" t="inlineStr">
        <is>
          <t>A 65208-2023</t>
        </is>
      </c>
      <c r="B7449" s="1" t="n">
        <v>45289.46237268519</v>
      </c>
      <c r="C7449" s="1" t="n">
        <v>45911</v>
      </c>
      <c r="D7449" t="inlineStr">
        <is>
          <t>GÄVLEBORGS LÄN</t>
        </is>
      </c>
      <c r="E7449" t="inlineStr">
        <is>
          <t>NORDANSTIG</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13116-2023</t>
        </is>
      </c>
      <c r="B7450" s="1" t="n">
        <v>45002.47825231482</v>
      </c>
      <c r="C7450" s="1" t="n">
        <v>45911</v>
      </c>
      <c r="D7450" t="inlineStr">
        <is>
          <t>GÄVLEBORGS LÄN</t>
        </is>
      </c>
      <c r="E7450" t="inlineStr">
        <is>
          <t>LJUSDAL</t>
        </is>
      </c>
      <c r="F7450" t="inlineStr">
        <is>
          <t>Allmännings- och besparingsskogar</t>
        </is>
      </c>
      <c r="G7450" t="n">
        <v>8.800000000000001</v>
      </c>
      <c r="H7450" t="n">
        <v>0</v>
      </c>
      <c r="I7450" t="n">
        <v>0</v>
      </c>
      <c r="J7450" t="n">
        <v>0</v>
      </c>
      <c r="K7450" t="n">
        <v>0</v>
      </c>
      <c r="L7450" t="n">
        <v>0</v>
      </c>
      <c r="M7450" t="n">
        <v>0</v>
      </c>
      <c r="N7450" t="n">
        <v>0</v>
      </c>
      <c r="O7450" t="n">
        <v>0</v>
      </c>
      <c r="P7450" t="n">
        <v>0</v>
      </c>
      <c r="Q7450" t="n">
        <v>0</v>
      </c>
      <c r="R7450" s="2" t="inlineStr"/>
    </row>
    <row r="7451" ht="15" customHeight="1">
      <c r="A7451" t="inlineStr">
        <is>
          <t>A 33449-2024</t>
        </is>
      </c>
      <c r="B7451" s="1" t="n">
        <v>45519.56657407407</v>
      </c>
      <c r="C7451" s="1" t="n">
        <v>45911</v>
      </c>
      <c r="D7451" t="inlineStr">
        <is>
          <t>GÄVLEBORGS LÄN</t>
        </is>
      </c>
      <c r="E7451" t="inlineStr">
        <is>
          <t>GÄVLE</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36061-2023</t>
        </is>
      </c>
      <c r="B7452" s="1" t="n">
        <v>45149.46030092592</v>
      </c>
      <c r="C7452" s="1" t="n">
        <v>45911</v>
      </c>
      <c r="D7452" t="inlineStr">
        <is>
          <t>GÄVLEBORGS LÄN</t>
        </is>
      </c>
      <c r="E7452" t="inlineStr">
        <is>
          <t>BOLLNÄS</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67794-2021</t>
        </is>
      </c>
      <c r="B7453" s="1" t="n">
        <v>44525.42381944445</v>
      </c>
      <c r="C7453" s="1" t="n">
        <v>45911</v>
      </c>
      <c r="D7453" t="inlineStr">
        <is>
          <t>GÄVLEBORGS LÄN</t>
        </is>
      </c>
      <c r="E7453" t="inlineStr">
        <is>
          <t>LJUSDAL</t>
        </is>
      </c>
      <c r="F7453" t="inlineStr">
        <is>
          <t>Allmännings- och besparingsskogar</t>
        </is>
      </c>
      <c r="G7453" t="n">
        <v>3.1</v>
      </c>
      <c r="H7453" t="n">
        <v>0</v>
      </c>
      <c r="I7453" t="n">
        <v>0</v>
      </c>
      <c r="J7453" t="n">
        <v>0</v>
      </c>
      <c r="K7453" t="n">
        <v>0</v>
      </c>
      <c r="L7453" t="n">
        <v>0</v>
      </c>
      <c r="M7453" t="n">
        <v>0</v>
      </c>
      <c r="N7453" t="n">
        <v>0</v>
      </c>
      <c r="O7453" t="n">
        <v>0</v>
      </c>
      <c r="P7453" t="n">
        <v>0</v>
      </c>
      <c r="Q7453" t="n">
        <v>0</v>
      </c>
      <c r="R7453" s="2" t="inlineStr"/>
    </row>
    <row r="7454" ht="15" customHeight="1">
      <c r="A7454" t="inlineStr">
        <is>
          <t>A 37146-2024</t>
        </is>
      </c>
      <c r="B7454" s="1" t="n">
        <v>45539.6021875</v>
      </c>
      <c r="C7454" s="1" t="n">
        <v>45911</v>
      </c>
      <c r="D7454" t="inlineStr">
        <is>
          <t>GÄVLEBORGS LÄN</t>
        </is>
      </c>
      <c r="E7454" t="inlineStr">
        <is>
          <t>GÄVLE</t>
        </is>
      </c>
      <c r="G7454" t="n">
        <v>9.4</v>
      </c>
      <c r="H7454" t="n">
        <v>0</v>
      </c>
      <c r="I7454" t="n">
        <v>0</v>
      </c>
      <c r="J7454" t="n">
        <v>0</v>
      </c>
      <c r="K7454" t="n">
        <v>0</v>
      </c>
      <c r="L7454" t="n">
        <v>0</v>
      </c>
      <c r="M7454" t="n">
        <v>0</v>
      </c>
      <c r="N7454" t="n">
        <v>0</v>
      </c>
      <c r="O7454" t="n">
        <v>0</v>
      </c>
      <c r="P7454" t="n">
        <v>0</v>
      </c>
      <c r="Q7454" t="n">
        <v>0</v>
      </c>
      <c r="R7454" s="2" t="inlineStr"/>
    </row>
    <row r="7455" ht="15" customHeight="1">
      <c r="A7455" t="inlineStr">
        <is>
          <t>A 26396-2024</t>
        </is>
      </c>
      <c r="B7455" s="1" t="n">
        <v>45469.43953703704</v>
      </c>
      <c r="C7455" s="1" t="n">
        <v>45911</v>
      </c>
      <c r="D7455" t="inlineStr">
        <is>
          <t>GÄVLEBORGS LÄN</t>
        </is>
      </c>
      <c r="E7455" t="inlineStr">
        <is>
          <t>HUDIKSVALL</t>
        </is>
      </c>
      <c r="F7455" t="inlineStr">
        <is>
          <t>Holmen skog AB</t>
        </is>
      </c>
      <c r="G7455" t="n">
        <v>8.6</v>
      </c>
      <c r="H7455" t="n">
        <v>0</v>
      </c>
      <c r="I7455" t="n">
        <v>0</v>
      </c>
      <c r="J7455" t="n">
        <v>0</v>
      </c>
      <c r="K7455" t="n">
        <v>0</v>
      </c>
      <c r="L7455" t="n">
        <v>0</v>
      </c>
      <c r="M7455" t="n">
        <v>0</v>
      </c>
      <c r="N7455" t="n">
        <v>0</v>
      </c>
      <c r="O7455" t="n">
        <v>0</v>
      </c>
      <c r="P7455" t="n">
        <v>0</v>
      </c>
      <c r="Q7455" t="n">
        <v>0</v>
      </c>
      <c r="R7455" s="2" t="inlineStr"/>
    </row>
    <row r="7456" ht="15" customHeight="1">
      <c r="A7456" t="inlineStr">
        <is>
          <t>A 6128-2024</t>
        </is>
      </c>
      <c r="B7456" s="1" t="n">
        <v>45337</v>
      </c>
      <c r="C7456" s="1" t="n">
        <v>45911</v>
      </c>
      <c r="D7456" t="inlineStr">
        <is>
          <t>GÄVLEBORGS LÄN</t>
        </is>
      </c>
      <c r="E7456" t="inlineStr">
        <is>
          <t>OCKELBO</t>
        </is>
      </c>
      <c r="G7456" t="n">
        <v>2.9</v>
      </c>
      <c r="H7456" t="n">
        <v>0</v>
      </c>
      <c r="I7456" t="n">
        <v>0</v>
      </c>
      <c r="J7456" t="n">
        <v>0</v>
      </c>
      <c r="K7456" t="n">
        <v>0</v>
      </c>
      <c r="L7456" t="n">
        <v>0</v>
      </c>
      <c r="M7456" t="n">
        <v>0</v>
      </c>
      <c r="N7456" t="n">
        <v>0</v>
      </c>
      <c r="O7456" t="n">
        <v>0</v>
      </c>
      <c r="P7456" t="n">
        <v>0</v>
      </c>
      <c r="Q7456" t="n">
        <v>0</v>
      </c>
      <c r="R7456" s="2" t="inlineStr"/>
    </row>
    <row r="7457" ht="15" customHeight="1">
      <c r="A7457" t="inlineStr">
        <is>
          <t>A 38937-2023</t>
        </is>
      </c>
      <c r="B7457" s="1" t="n">
        <v>45163</v>
      </c>
      <c r="C7457" s="1" t="n">
        <v>45911</v>
      </c>
      <c r="D7457" t="inlineStr">
        <is>
          <t>GÄVLEBORGS LÄN</t>
        </is>
      </c>
      <c r="E7457" t="inlineStr">
        <is>
          <t>BOLLNÄS</t>
        </is>
      </c>
      <c r="G7457" t="n">
        <v>5.1</v>
      </c>
      <c r="H7457" t="n">
        <v>0</v>
      </c>
      <c r="I7457" t="n">
        <v>0</v>
      </c>
      <c r="J7457" t="n">
        <v>0</v>
      </c>
      <c r="K7457" t="n">
        <v>0</v>
      </c>
      <c r="L7457" t="n">
        <v>0</v>
      </c>
      <c r="M7457" t="n">
        <v>0</v>
      </c>
      <c r="N7457" t="n">
        <v>0</v>
      </c>
      <c r="O7457" t="n">
        <v>0</v>
      </c>
      <c r="P7457" t="n">
        <v>0</v>
      </c>
      <c r="Q7457" t="n">
        <v>0</v>
      </c>
      <c r="R7457" s="2" t="inlineStr"/>
    </row>
    <row r="7458" ht="15" customHeight="1">
      <c r="A7458" t="inlineStr">
        <is>
          <t>A 26456-2023</t>
        </is>
      </c>
      <c r="B7458" s="1" t="n">
        <v>45092.46173611111</v>
      </c>
      <c r="C7458" s="1" t="n">
        <v>45911</v>
      </c>
      <c r="D7458" t="inlineStr">
        <is>
          <t>GÄVLEBORGS LÄN</t>
        </is>
      </c>
      <c r="E7458" t="inlineStr">
        <is>
          <t>HUDIKSVALL</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50271-2023</t>
        </is>
      </c>
      <c r="B7459" s="1" t="n">
        <v>45216.39822916667</v>
      </c>
      <c r="C7459" s="1" t="n">
        <v>45911</v>
      </c>
      <c r="D7459" t="inlineStr">
        <is>
          <t>GÄVLEBORGS LÄN</t>
        </is>
      </c>
      <c r="E7459" t="inlineStr">
        <is>
          <t>LJUSDAL</t>
        </is>
      </c>
      <c r="G7459" t="n">
        <v>27.4</v>
      </c>
      <c r="H7459" t="n">
        <v>0</v>
      </c>
      <c r="I7459" t="n">
        <v>0</v>
      </c>
      <c r="J7459" t="n">
        <v>0</v>
      </c>
      <c r="K7459" t="n">
        <v>0</v>
      </c>
      <c r="L7459" t="n">
        <v>0</v>
      </c>
      <c r="M7459" t="n">
        <v>0</v>
      </c>
      <c r="N7459" t="n">
        <v>0</v>
      </c>
      <c r="O7459" t="n">
        <v>0</v>
      </c>
      <c r="P7459" t="n">
        <v>0</v>
      </c>
      <c r="Q7459" t="n">
        <v>0</v>
      </c>
      <c r="R7459" s="2" t="inlineStr"/>
    </row>
    <row r="7460" ht="15" customHeight="1">
      <c r="A7460" t="inlineStr">
        <is>
          <t>A 55948-2024</t>
        </is>
      </c>
      <c r="B7460" s="1" t="n">
        <v>45623</v>
      </c>
      <c r="C7460" s="1" t="n">
        <v>45911</v>
      </c>
      <c r="D7460" t="inlineStr">
        <is>
          <t>GÄVLEBORGS LÄN</t>
        </is>
      </c>
      <c r="E7460" t="inlineStr">
        <is>
          <t>NORDANSTIG</t>
        </is>
      </c>
      <c r="G7460" t="n">
        <v>0.4</v>
      </c>
      <c r="H7460" t="n">
        <v>0</v>
      </c>
      <c r="I7460" t="n">
        <v>0</v>
      </c>
      <c r="J7460" t="n">
        <v>0</v>
      </c>
      <c r="K7460" t="n">
        <v>0</v>
      </c>
      <c r="L7460" t="n">
        <v>0</v>
      </c>
      <c r="M7460" t="n">
        <v>0</v>
      </c>
      <c r="N7460" t="n">
        <v>0</v>
      </c>
      <c r="O7460" t="n">
        <v>0</v>
      </c>
      <c r="P7460" t="n">
        <v>0</v>
      </c>
      <c r="Q7460" t="n">
        <v>0</v>
      </c>
      <c r="R7460" s="2" t="inlineStr"/>
    </row>
    <row r="7461" ht="15" customHeight="1">
      <c r="A7461" t="inlineStr">
        <is>
          <t>A 47701-2023</t>
        </is>
      </c>
      <c r="B7461" s="1" t="n">
        <v>45203.64033564815</v>
      </c>
      <c r="C7461" s="1" t="n">
        <v>45911</v>
      </c>
      <c r="D7461" t="inlineStr">
        <is>
          <t>GÄVLEBORGS LÄN</t>
        </is>
      </c>
      <c r="E7461" t="inlineStr">
        <is>
          <t>BOLLNÄS</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19178-2023</t>
        </is>
      </c>
      <c r="B7462" s="1" t="n">
        <v>45048.62515046296</v>
      </c>
      <c r="C7462" s="1" t="n">
        <v>45911</v>
      </c>
      <c r="D7462" t="inlineStr">
        <is>
          <t>GÄVLEBORGS LÄN</t>
        </is>
      </c>
      <c r="E7462" t="inlineStr">
        <is>
          <t>OCKELBO</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31890-2023</t>
        </is>
      </c>
      <c r="B7463" s="1" t="n">
        <v>45118</v>
      </c>
      <c r="C7463" s="1" t="n">
        <v>45911</v>
      </c>
      <c r="D7463" t="inlineStr">
        <is>
          <t>GÄVLEBORGS LÄN</t>
        </is>
      </c>
      <c r="E7463" t="inlineStr">
        <is>
          <t>LJUSDAL</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13337-2024</t>
        </is>
      </c>
      <c r="B7464" s="1" t="n">
        <v>45386</v>
      </c>
      <c r="C7464" s="1" t="n">
        <v>45911</v>
      </c>
      <c r="D7464" t="inlineStr">
        <is>
          <t>GÄVLEBORGS LÄN</t>
        </is>
      </c>
      <c r="E7464" t="inlineStr">
        <is>
          <t>LJUSDAL</t>
        </is>
      </c>
      <c r="G7464" t="n">
        <v>0.4</v>
      </c>
      <c r="H7464" t="n">
        <v>0</v>
      </c>
      <c r="I7464" t="n">
        <v>0</v>
      </c>
      <c r="J7464" t="n">
        <v>0</v>
      </c>
      <c r="K7464" t="n">
        <v>0</v>
      </c>
      <c r="L7464" t="n">
        <v>0</v>
      </c>
      <c r="M7464" t="n">
        <v>0</v>
      </c>
      <c r="N7464" t="n">
        <v>0</v>
      </c>
      <c r="O7464" t="n">
        <v>0</v>
      </c>
      <c r="P7464" t="n">
        <v>0</v>
      </c>
      <c r="Q7464" t="n">
        <v>0</v>
      </c>
      <c r="R7464" s="2" t="inlineStr"/>
    </row>
    <row r="7465" ht="15" customHeight="1">
      <c r="A7465" t="inlineStr">
        <is>
          <t>A 51380-2024</t>
        </is>
      </c>
      <c r="B7465" s="1" t="n">
        <v>45604.38657407407</v>
      </c>
      <c r="C7465" s="1" t="n">
        <v>45911</v>
      </c>
      <c r="D7465" t="inlineStr">
        <is>
          <t>GÄVLEBORGS LÄN</t>
        </is>
      </c>
      <c r="E7465" t="inlineStr">
        <is>
          <t>NORDANSTIG</t>
        </is>
      </c>
      <c r="F7465" t="inlineStr">
        <is>
          <t>Holmen skog AB</t>
        </is>
      </c>
      <c r="G7465" t="n">
        <v>2.4</v>
      </c>
      <c r="H7465" t="n">
        <v>0</v>
      </c>
      <c r="I7465" t="n">
        <v>0</v>
      </c>
      <c r="J7465" t="n">
        <v>0</v>
      </c>
      <c r="K7465" t="n">
        <v>0</v>
      </c>
      <c r="L7465" t="n">
        <v>0</v>
      </c>
      <c r="M7465" t="n">
        <v>0</v>
      </c>
      <c r="N7465" t="n">
        <v>0</v>
      </c>
      <c r="O7465" t="n">
        <v>0</v>
      </c>
      <c r="P7465" t="n">
        <v>0</v>
      </c>
      <c r="Q7465" t="n">
        <v>0</v>
      </c>
      <c r="R7465" s="2" t="inlineStr"/>
    </row>
    <row r="7466" ht="15" customHeight="1">
      <c r="A7466" t="inlineStr">
        <is>
          <t>A 29885-2023</t>
        </is>
      </c>
      <c r="B7466" s="1" t="n">
        <v>45107.63166666667</v>
      </c>
      <c r="C7466" s="1" t="n">
        <v>45911</v>
      </c>
      <c r="D7466" t="inlineStr">
        <is>
          <t>GÄVLEBORGS LÄN</t>
        </is>
      </c>
      <c r="E7466" t="inlineStr">
        <is>
          <t>OCKELBO</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19185-2025</t>
        </is>
      </c>
      <c r="B7467" s="1" t="n">
        <v>45769.40646990741</v>
      </c>
      <c r="C7467" s="1" t="n">
        <v>45911</v>
      </c>
      <c r="D7467" t="inlineStr">
        <is>
          <t>GÄVLEBORGS LÄN</t>
        </is>
      </c>
      <c r="E7467" t="inlineStr">
        <is>
          <t>NORDANSTIG</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50842-2024</t>
        </is>
      </c>
      <c r="B7468" s="1" t="n">
        <v>45602.60487268519</v>
      </c>
      <c r="C7468" s="1" t="n">
        <v>45911</v>
      </c>
      <c r="D7468" t="inlineStr">
        <is>
          <t>GÄVLEBORGS LÄN</t>
        </is>
      </c>
      <c r="E7468" t="inlineStr">
        <is>
          <t>SÖDERHAMN</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27151-2023</t>
        </is>
      </c>
      <c r="B7469" s="1" t="n">
        <v>45096.47592592592</v>
      </c>
      <c r="C7469" s="1" t="n">
        <v>45911</v>
      </c>
      <c r="D7469" t="inlineStr">
        <is>
          <t>GÄVLEBORGS LÄN</t>
        </is>
      </c>
      <c r="E7469" t="inlineStr">
        <is>
          <t>SÖDERHAMN</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36250-2024</t>
        </is>
      </c>
      <c r="B7470" s="1" t="n">
        <v>45534</v>
      </c>
      <c r="C7470" s="1" t="n">
        <v>45911</v>
      </c>
      <c r="D7470" t="inlineStr">
        <is>
          <t>GÄVLEBORGS LÄN</t>
        </is>
      </c>
      <c r="E7470" t="inlineStr">
        <is>
          <t>NORDANSTIG</t>
        </is>
      </c>
      <c r="F7470" t="inlineStr">
        <is>
          <t>Holmen skog AB</t>
        </is>
      </c>
      <c r="G7470" t="n">
        <v>7.2</v>
      </c>
      <c r="H7470" t="n">
        <v>0</v>
      </c>
      <c r="I7470" t="n">
        <v>0</v>
      </c>
      <c r="J7470" t="n">
        <v>0</v>
      </c>
      <c r="K7470" t="n">
        <v>0</v>
      </c>
      <c r="L7470" t="n">
        <v>0</v>
      </c>
      <c r="M7470" t="n">
        <v>0</v>
      </c>
      <c r="N7470" t="n">
        <v>0</v>
      </c>
      <c r="O7470" t="n">
        <v>0</v>
      </c>
      <c r="P7470" t="n">
        <v>0</v>
      </c>
      <c r="Q7470" t="n">
        <v>0</v>
      </c>
      <c r="R7470" s="2" t="inlineStr"/>
    </row>
    <row r="7471" ht="15" customHeight="1">
      <c r="A7471" t="inlineStr">
        <is>
          <t>A 34983-2024</t>
        </is>
      </c>
      <c r="B7471" s="1" t="n">
        <v>45527.54850694445</v>
      </c>
      <c r="C7471" s="1" t="n">
        <v>45911</v>
      </c>
      <c r="D7471" t="inlineStr">
        <is>
          <t>GÄVLEBORGS LÄN</t>
        </is>
      </c>
      <c r="E7471" t="inlineStr">
        <is>
          <t>HUDIKSVALL</t>
        </is>
      </c>
      <c r="F7471" t="inlineStr">
        <is>
          <t>Holmen skog AB</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44837-2024</t>
        </is>
      </c>
      <c r="B7472" s="1" t="n">
        <v>45574</v>
      </c>
      <c r="C7472" s="1" t="n">
        <v>45911</v>
      </c>
      <c r="D7472" t="inlineStr">
        <is>
          <t>GÄVLEBORGS LÄN</t>
        </is>
      </c>
      <c r="E7472" t="inlineStr">
        <is>
          <t>NORDANSTIG</t>
        </is>
      </c>
      <c r="F7472" t="inlineStr">
        <is>
          <t>Holmen skog AB</t>
        </is>
      </c>
      <c r="G7472" t="n">
        <v>1.6</v>
      </c>
      <c r="H7472" t="n">
        <v>0</v>
      </c>
      <c r="I7472" t="n">
        <v>0</v>
      </c>
      <c r="J7472" t="n">
        <v>0</v>
      </c>
      <c r="K7472" t="n">
        <v>0</v>
      </c>
      <c r="L7472" t="n">
        <v>0</v>
      </c>
      <c r="M7472" t="n">
        <v>0</v>
      </c>
      <c r="N7472" t="n">
        <v>0</v>
      </c>
      <c r="O7472" t="n">
        <v>0</v>
      </c>
      <c r="P7472" t="n">
        <v>0</v>
      </c>
      <c r="Q7472" t="n">
        <v>0</v>
      </c>
      <c r="R7472" s="2" t="inlineStr"/>
      <c r="U7472">
        <f>HYPERLINK("https://klasma.github.io/Logging_2132/knärot/A 44837-2024 karta knärot.png", "A 44837-2024")</f>
        <v/>
      </c>
      <c r="V7472">
        <f>HYPERLINK("https://klasma.github.io/Logging_2132/klagomål/A 44837-2024 FSC-klagomål.docx", "A 44837-2024")</f>
        <v/>
      </c>
      <c r="W7472">
        <f>HYPERLINK("https://klasma.github.io/Logging_2132/klagomålsmail/A 44837-2024 FSC-klagomål mail.docx", "A 44837-2024")</f>
        <v/>
      </c>
      <c r="X7472">
        <f>HYPERLINK("https://klasma.github.io/Logging_2132/tillsyn/A 44837-2024 tillsynsbegäran.docx", "A 44837-2024")</f>
        <v/>
      </c>
      <c r="Y7472">
        <f>HYPERLINK("https://klasma.github.io/Logging_2132/tillsynsmail/A 44837-2024 tillsynsbegäran mail.docx", "A 44837-2024")</f>
        <v/>
      </c>
    </row>
    <row r="7473" ht="15" customHeight="1">
      <c r="A7473" t="inlineStr">
        <is>
          <t>A 60349-2022</t>
        </is>
      </c>
      <c r="B7473" s="1" t="n">
        <v>44910</v>
      </c>
      <c r="C7473" s="1" t="n">
        <v>45911</v>
      </c>
      <c r="D7473" t="inlineStr">
        <is>
          <t>GÄVLEBORGS LÄN</t>
        </is>
      </c>
      <c r="E7473" t="inlineStr">
        <is>
          <t>GÄVLE</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40091-2023</t>
        </is>
      </c>
      <c r="B7474" s="1" t="n">
        <v>45168.92969907408</v>
      </c>
      <c r="C7474" s="1" t="n">
        <v>45911</v>
      </c>
      <c r="D7474" t="inlineStr">
        <is>
          <t>GÄVLEBORGS LÄN</t>
        </is>
      </c>
      <c r="E7474" t="inlineStr">
        <is>
          <t>GÄVLE</t>
        </is>
      </c>
      <c r="F7474" t="inlineStr">
        <is>
          <t>Bergvik skog väst AB</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58322-2024</t>
        </is>
      </c>
      <c r="B7475" s="1" t="n">
        <v>45632.62454861111</v>
      </c>
      <c r="C7475" s="1" t="n">
        <v>45911</v>
      </c>
      <c r="D7475" t="inlineStr">
        <is>
          <t>GÄVLEBORGS LÄN</t>
        </is>
      </c>
      <c r="E7475" t="inlineStr">
        <is>
          <t>LJUSDAL</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58329-2024</t>
        </is>
      </c>
      <c r="B7476" s="1" t="n">
        <v>45632.62980324074</v>
      </c>
      <c r="C7476" s="1" t="n">
        <v>45911</v>
      </c>
      <c r="D7476" t="inlineStr">
        <is>
          <t>GÄVLEBORGS LÄN</t>
        </is>
      </c>
      <c r="E7476" t="inlineStr">
        <is>
          <t>BOLLNÄS</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39207-2024</t>
        </is>
      </c>
      <c r="B7477" s="1" t="n">
        <v>45548.82506944444</v>
      </c>
      <c r="C7477" s="1" t="n">
        <v>45911</v>
      </c>
      <c r="D7477" t="inlineStr">
        <is>
          <t>GÄVLEBORGS LÄN</t>
        </is>
      </c>
      <c r="E7477" t="inlineStr">
        <is>
          <t>SÖDERHAMN</t>
        </is>
      </c>
      <c r="G7477" t="n">
        <v>2.7</v>
      </c>
      <c r="H7477" t="n">
        <v>0</v>
      </c>
      <c r="I7477" t="n">
        <v>0</v>
      </c>
      <c r="J7477" t="n">
        <v>0</v>
      </c>
      <c r="K7477" t="n">
        <v>0</v>
      </c>
      <c r="L7477" t="n">
        <v>0</v>
      </c>
      <c r="M7477" t="n">
        <v>0</v>
      </c>
      <c r="N7477" t="n">
        <v>0</v>
      </c>
      <c r="O7477" t="n">
        <v>0</v>
      </c>
      <c r="P7477" t="n">
        <v>0</v>
      </c>
      <c r="Q7477" t="n">
        <v>0</v>
      </c>
      <c r="R7477" s="2" t="inlineStr"/>
    </row>
    <row r="7478" ht="15" customHeight="1">
      <c r="A7478" t="inlineStr">
        <is>
          <t>A 38167-2024</t>
        </is>
      </c>
      <c r="B7478" s="1" t="n">
        <v>45545.45190972222</v>
      </c>
      <c r="C7478" s="1" t="n">
        <v>45911</v>
      </c>
      <c r="D7478" t="inlineStr">
        <is>
          <t>GÄVLEBORGS LÄN</t>
        </is>
      </c>
      <c r="E7478" t="inlineStr">
        <is>
          <t>HUDIKSVALL</t>
        </is>
      </c>
      <c r="F7478" t="inlineStr">
        <is>
          <t>Holmen skog AB</t>
        </is>
      </c>
      <c r="G7478" t="n">
        <v>3.8</v>
      </c>
      <c r="H7478" t="n">
        <v>0</v>
      </c>
      <c r="I7478" t="n">
        <v>0</v>
      </c>
      <c r="J7478" t="n">
        <v>0</v>
      </c>
      <c r="K7478" t="n">
        <v>0</v>
      </c>
      <c r="L7478" t="n">
        <v>0</v>
      </c>
      <c r="M7478" t="n">
        <v>0</v>
      </c>
      <c r="N7478" t="n">
        <v>0</v>
      </c>
      <c r="O7478" t="n">
        <v>0</v>
      </c>
      <c r="P7478" t="n">
        <v>0</v>
      </c>
      <c r="Q7478" t="n">
        <v>0</v>
      </c>
      <c r="R7478" s="2" t="inlineStr"/>
    </row>
    <row r="7479" ht="15" customHeight="1">
      <c r="A7479" t="inlineStr">
        <is>
          <t>A 32827-2023</t>
        </is>
      </c>
      <c r="B7479" s="1" t="n">
        <v>45124.57927083333</v>
      </c>
      <c r="C7479" s="1" t="n">
        <v>45911</v>
      </c>
      <c r="D7479" t="inlineStr">
        <is>
          <t>GÄVLEBORGS LÄN</t>
        </is>
      </c>
      <c r="E7479" t="inlineStr">
        <is>
          <t>NORDANSTIG</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60396-2022</t>
        </is>
      </c>
      <c r="B7480" s="1" t="n">
        <v>44910</v>
      </c>
      <c r="C7480" s="1" t="n">
        <v>45911</v>
      </c>
      <c r="D7480" t="inlineStr">
        <is>
          <t>GÄVLEBORGS LÄN</t>
        </is>
      </c>
      <c r="E7480" t="inlineStr">
        <is>
          <t>GÄVLE</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60777-2024</t>
        </is>
      </c>
      <c r="B7481" s="1" t="n">
        <v>45644.58909722222</v>
      </c>
      <c r="C7481" s="1" t="n">
        <v>45911</v>
      </c>
      <c r="D7481" t="inlineStr">
        <is>
          <t>GÄVLEBORGS LÄN</t>
        </is>
      </c>
      <c r="E7481" t="inlineStr">
        <is>
          <t>HUDIKSVALL</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38040-2021</t>
        </is>
      </c>
      <c r="B7482" s="1" t="n">
        <v>44404</v>
      </c>
      <c r="C7482" s="1" t="n">
        <v>45911</v>
      </c>
      <c r="D7482" t="inlineStr">
        <is>
          <t>GÄVLEBORGS LÄN</t>
        </is>
      </c>
      <c r="E7482" t="inlineStr">
        <is>
          <t>LJUSDAL</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48149-2024</t>
        </is>
      </c>
      <c r="B7483" s="1" t="n">
        <v>45589.6787962963</v>
      </c>
      <c r="C7483" s="1" t="n">
        <v>45911</v>
      </c>
      <c r="D7483" t="inlineStr">
        <is>
          <t>GÄVLEBORGS LÄN</t>
        </is>
      </c>
      <c r="E7483" t="inlineStr">
        <is>
          <t>LJUSDAL</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38667-2023</t>
        </is>
      </c>
      <c r="B7484" s="1" t="n">
        <v>45162.91134259259</v>
      </c>
      <c r="C7484" s="1" t="n">
        <v>45911</v>
      </c>
      <c r="D7484" t="inlineStr">
        <is>
          <t>GÄVLEBORGS LÄN</t>
        </is>
      </c>
      <c r="E7484" t="inlineStr">
        <is>
          <t>HUDIKSVALL</t>
        </is>
      </c>
      <c r="G7484" t="n">
        <v>2.5</v>
      </c>
      <c r="H7484" t="n">
        <v>0</v>
      </c>
      <c r="I7484" t="n">
        <v>0</v>
      </c>
      <c r="J7484" t="n">
        <v>0</v>
      </c>
      <c r="K7484" t="n">
        <v>0</v>
      </c>
      <c r="L7484" t="n">
        <v>0</v>
      </c>
      <c r="M7484" t="n">
        <v>0</v>
      </c>
      <c r="N7484" t="n">
        <v>0</v>
      </c>
      <c r="O7484" t="n">
        <v>0</v>
      </c>
      <c r="P7484" t="n">
        <v>0</v>
      </c>
      <c r="Q7484" t="n">
        <v>0</v>
      </c>
      <c r="R7484" s="2" t="inlineStr"/>
    </row>
    <row r="7485" ht="15" customHeight="1">
      <c r="A7485" t="inlineStr">
        <is>
          <t>A 60847-2022</t>
        </is>
      </c>
      <c r="B7485" s="1" t="n">
        <v>44914.50501157407</v>
      </c>
      <c r="C7485" s="1" t="n">
        <v>45911</v>
      </c>
      <c r="D7485" t="inlineStr">
        <is>
          <t>GÄVLEBORGS LÄN</t>
        </is>
      </c>
      <c r="E7485" t="inlineStr">
        <is>
          <t>HUDIKSVALL</t>
        </is>
      </c>
      <c r="G7485" t="n">
        <v>0.4</v>
      </c>
      <c r="H7485" t="n">
        <v>0</v>
      </c>
      <c r="I7485" t="n">
        <v>0</v>
      </c>
      <c r="J7485" t="n">
        <v>0</v>
      </c>
      <c r="K7485" t="n">
        <v>0</v>
      </c>
      <c r="L7485" t="n">
        <v>0</v>
      </c>
      <c r="M7485" t="n">
        <v>0</v>
      </c>
      <c r="N7485" t="n">
        <v>0</v>
      </c>
      <c r="O7485" t="n">
        <v>0</v>
      </c>
      <c r="P7485" t="n">
        <v>0</v>
      </c>
      <c r="Q7485" t="n">
        <v>0</v>
      </c>
      <c r="R7485" s="2" t="inlineStr"/>
    </row>
    <row r="7486" ht="15" customHeight="1">
      <c r="A7486" t="inlineStr">
        <is>
          <t>A 5779-2023</t>
        </is>
      </c>
      <c r="B7486" s="1" t="n">
        <v>44963.4146412037</v>
      </c>
      <c r="C7486" s="1" t="n">
        <v>45911</v>
      </c>
      <c r="D7486" t="inlineStr">
        <is>
          <t>GÄVLEBORGS LÄN</t>
        </is>
      </c>
      <c r="E7486" t="inlineStr">
        <is>
          <t>LJUSDAL</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49858-2024</t>
        </is>
      </c>
      <c r="B7487" s="1" t="n">
        <v>45597.46925925926</v>
      </c>
      <c r="C7487" s="1" t="n">
        <v>45911</v>
      </c>
      <c r="D7487" t="inlineStr">
        <is>
          <t>GÄVLEBORGS LÄN</t>
        </is>
      </c>
      <c r="E7487" t="inlineStr">
        <is>
          <t>OVANÅKER</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2248-2023</t>
        </is>
      </c>
      <c r="B7488" s="1" t="n">
        <v>44942.47626157408</v>
      </c>
      <c r="C7488" s="1" t="n">
        <v>45911</v>
      </c>
      <c r="D7488" t="inlineStr">
        <is>
          <t>GÄVLEBORGS LÄN</t>
        </is>
      </c>
      <c r="E7488" t="inlineStr">
        <is>
          <t>LJUSDAL</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4287-2024</t>
        </is>
      </c>
      <c r="B7489" s="1" t="n">
        <v>45324.5987037037</v>
      </c>
      <c r="C7489" s="1" t="n">
        <v>45911</v>
      </c>
      <c r="D7489" t="inlineStr">
        <is>
          <t>GÄVLEBORGS LÄN</t>
        </is>
      </c>
      <c r="E7489" t="inlineStr">
        <is>
          <t>GÄVLE</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24662-2024</t>
        </is>
      </c>
      <c r="B7490" s="1" t="n">
        <v>45460.58079861111</v>
      </c>
      <c r="C7490" s="1" t="n">
        <v>45911</v>
      </c>
      <c r="D7490" t="inlineStr">
        <is>
          <t>GÄVLEBORGS LÄN</t>
        </is>
      </c>
      <c r="E7490" t="inlineStr">
        <is>
          <t>LJUSDAL</t>
        </is>
      </c>
      <c r="G7490" t="n">
        <v>2.9</v>
      </c>
      <c r="H7490" t="n">
        <v>0</v>
      </c>
      <c r="I7490" t="n">
        <v>0</v>
      </c>
      <c r="J7490" t="n">
        <v>0</v>
      </c>
      <c r="K7490" t="n">
        <v>0</v>
      </c>
      <c r="L7490" t="n">
        <v>0</v>
      </c>
      <c r="M7490" t="n">
        <v>0</v>
      </c>
      <c r="N7490" t="n">
        <v>0</v>
      </c>
      <c r="O7490" t="n">
        <v>0</v>
      </c>
      <c r="P7490" t="n">
        <v>0</v>
      </c>
      <c r="Q7490" t="n">
        <v>0</v>
      </c>
      <c r="R7490" s="2" t="inlineStr"/>
    </row>
    <row r="7491" ht="15" customHeight="1">
      <c r="A7491" t="inlineStr">
        <is>
          <t>A 24665-2024</t>
        </is>
      </c>
      <c r="B7491" s="1" t="n">
        <v>45460.58212962963</v>
      </c>
      <c r="C7491" s="1" t="n">
        <v>45911</v>
      </c>
      <c r="D7491" t="inlineStr">
        <is>
          <t>GÄVLEBORGS LÄN</t>
        </is>
      </c>
      <c r="E7491" t="inlineStr">
        <is>
          <t>LJUSDAL</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55713-2024</t>
        </is>
      </c>
      <c r="B7492" s="1" t="n">
        <v>45622.70282407408</v>
      </c>
      <c r="C7492" s="1" t="n">
        <v>45911</v>
      </c>
      <c r="D7492" t="inlineStr">
        <is>
          <t>GÄVLEBORGS LÄN</t>
        </is>
      </c>
      <c r="E7492" t="inlineStr">
        <is>
          <t>SÖDERHAMN</t>
        </is>
      </c>
      <c r="G7492" t="n">
        <v>4.5</v>
      </c>
      <c r="H7492" t="n">
        <v>0</v>
      </c>
      <c r="I7492" t="n">
        <v>0</v>
      </c>
      <c r="J7492" t="n">
        <v>0</v>
      </c>
      <c r="K7492" t="n">
        <v>0</v>
      </c>
      <c r="L7492" t="n">
        <v>0</v>
      </c>
      <c r="M7492" t="n">
        <v>0</v>
      </c>
      <c r="N7492" t="n">
        <v>0</v>
      </c>
      <c r="O7492" t="n">
        <v>0</v>
      </c>
      <c r="P7492" t="n">
        <v>0</v>
      </c>
      <c r="Q7492" t="n">
        <v>0</v>
      </c>
      <c r="R7492" s="2" t="inlineStr"/>
    </row>
    <row r="7493" ht="15" customHeight="1">
      <c r="A7493" t="inlineStr">
        <is>
          <t>A 16340-2023</t>
        </is>
      </c>
      <c r="B7493" s="1" t="n">
        <v>45028.64403935185</v>
      </c>
      <c r="C7493" s="1" t="n">
        <v>45911</v>
      </c>
      <c r="D7493" t="inlineStr">
        <is>
          <t>GÄVLEBORGS LÄN</t>
        </is>
      </c>
      <c r="E7493" t="inlineStr">
        <is>
          <t>SÖDERHAMN</t>
        </is>
      </c>
      <c r="F7493" t="inlineStr">
        <is>
          <t>Bergvik skog väst AB</t>
        </is>
      </c>
      <c r="G7493" t="n">
        <v>0.5</v>
      </c>
      <c r="H7493" t="n">
        <v>0</v>
      </c>
      <c r="I7493" t="n">
        <v>0</v>
      </c>
      <c r="J7493" t="n">
        <v>0</v>
      </c>
      <c r="K7493" t="n">
        <v>0</v>
      </c>
      <c r="L7493" t="n">
        <v>0</v>
      </c>
      <c r="M7493" t="n">
        <v>0</v>
      </c>
      <c r="N7493" t="n">
        <v>0</v>
      </c>
      <c r="O7493" t="n">
        <v>0</v>
      </c>
      <c r="P7493" t="n">
        <v>0</v>
      </c>
      <c r="Q7493" t="n">
        <v>0</v>
      </c>
      <c r="R7493" s="2" t="inlineStr"/>
    </row>
    <row r="7494" ht="15" customHeight="1">
      <c r="A7494" t="inlineStr">
        <is>
          <t>A 45181-2024</t>
        </is>
      </c>
      <c r="B7494" s="1" t="n">
        <v>45575.66368055555</v>
      </c>
      <c r="C7494" s="1" t="n">
        <v>45911</v>
      </c>
      <c r="D7494" t="inlineStr">
        <is>
          <t>GÄVLEBORGS LÄN</t>
        </is>
      </c>
      <c r="E7494" t="inlineStr">
        <is>
          <t>HUDIKSVALL</t>
        </is>
      </c>
      <c r="F7494" t="inlineStr">
        <is>
          <t>Holmen skog AB</t>
        </is>
      </c>
      <c r="G7494" t="n">
        <v>8.300000000000001</v>
      </c>
      <c r="H7494" t="n">
        <v>0</v>
      </c>
      <c r="I7494" t="n">
        <v>0</v>
      </c>
      <c r="J7494" t="n">
        <v>0</v>
      </c>
      <c r="K7494" t="n">
        <v>0</v>
      </c>
      <c r="L7494" t="n">
        <v>0</v>
      </c>
      <c r="M7494" t="n">
        <v>0</v>
      </c>
      <c r="N7494" t="n">
        <v>0</v>
      </c>
      <c r="O7494" t="n">
        <v>0</v>
      </c>
      <c r="P7494" t="n">
        <v>0</v>
      </c>
      <c r="Q7494" t="n">
        <v>0</v>
      </c>
      <c r="R7494" s="2" t="inlineStr"/>
    </row>
    <row r="7495" ht="15" customHeight="1">
      <c r="A7495" t="inlineStr">
        <is>
          <t>A 14840-2025</t>
        </is>
      </c>
      <c r="B7495" s="1" t="n">
        <v>45743.38597222222</v>
      </c>
      <c r="C7495" s="1" t="n">
        <v>45911</v>
      </c>
      <c r="D7495" t="inlineStr">
        <is>
          <t>GÄVLEBORGS LÄN</t>
        </is>
      </c>
      <c r="E7495" t="inlineStr">
        <is>
          <t>HUDIKSVALL</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65195-2023</t>
        </is>
      </c>
      <c r="B7496" s="1" t="n">
        <v>45289.39172453704</v>
      </c>
      <c r="C7496" s="1" t="n">
        <v>45911</v>
      </c>
      <c r="D7496" t="inlineStr">
        <is>
          <t>GÄVLEBORGS LÄN</t>
        </is>
      </c>
      <c r="E7496" t="inlineStr">
        <is>
          <t>HUDIKSVALL</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2651-2024</t>
        </is>
      </c>
      <c r="B7497" s="1" t="n">
        <v>45314.37082175926</v>
      </c>
      <c r="C7497" s="1" t="n">
        <v>45911</v>
      </c>
      <c r="D7497" t="inlineStr">
        <is>
          <t>GÄVLEBORGS LÄN</t>
        </is>
      </c>
      <c r="E7497" t="inlineStr">
        <is>
          <t>HUDIKSVALL</t>
        </is>
      </c>
      <c r="F7497" t="inlineStr">
        <is>
          <t>Holmen skog AB</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28697-2023</t>
        </is>
      </c>
      <c r="B7498" s="1" t="n">
        <v>45103</v>
      </c>
      <c r="C7498" s="1" t="n">
        <v>45911</v>
      </c>
      <c r="D7498" t="inlineStr">
        <is>
          <t>GÄVLEBORGS LÄN</t>
        </is>
      </c>
      <c r="E7498" t="inlineStr">
        <is>
          <t>NORDANSTIG</t>
        </is>
      </c>
      <c r="F7498" t="inlineStr">
        <is>
          <t>Holmen skog AB</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2658-2024</t>
        </is>
      </c>
      <c r="B7499" s="1" t="n">
        <v>45314.37314814814</v>
      </c>
      <c r="C7499" s="1" t="n">
        <v>45911</v>
      </c>
      <c r="D7499" t="inlineStr">
        <is>
          <t>GÄVLEBORGS LÄN</t>
        </is>
      </c>
      <c r="E7499" t="inlineStr">
        <is>
          <t>HUDIKSVALL</t>
        </is>
      </c>
      <c r="F7499" t="inlineStr">
        <is>
          <t>Holmen skog AB</t>
        </is>
      </c>
      <c r="G7499" t="n">
        <v>0.4</v>
      </c>
      <c r="H7499" t="n">
        <v>0</v>
      </c>
      <c r="I7499" t="n">
        <v>0</v>
      </c>
      <c r="J7499" t="n">
        <v>0</v>
      </c>
      <c r="K7499" t="n">
        <v>0</v>
      </c>
      <c r="L7499" t="n">
        <v>0</v>
      </c>
      <c r="M7499" t="n">
        <v>0</v>
      </c>
      <c r="N7499" t="n">
        <v>0</v>
      </c>
      <c r="O7499" t="n">
        <v>0</v>
      </c>
      <c r="P7499" t="n">
        <v>0</v>
      </c>
      <c r="Q7499" t="n">
        <v>0</v>
      </c>
      <c r="R7499" s="2" t="inlineStr"/>
    </row>
    <row r="7500" ht="15" customHeight="1">
      <c r="A7500" t="inlineStr">
        <is>
          <t>A 38701-2024</t>
        </is>
      </c>
      <c r="B7500" s="1" t="n">
        <v>45547</v>
      </c>
      <c r="C7500" s="1" t="n">
        <v>45911</v>
      </c>
      <c r="D7500" t="inlineStr">
        <is>
          <t>GÄVLEBORGS LÄN</t>
        </is>
      </c>
      <c r="E7500" t="inlineStr">
        <is>
          <t>HUDIKSVALL</t>
        </is>
      </c>
      <c r="G7500" t="n">
        <v>6</v>
      </c>
      <c r="H7500" t="n">
        <v>0</v>
      </c>
      <c r="I7500" t="n">
        <v>0</v>
      </c>
      <c r="J7500" t="n">
        <v>0</v>
      </c>
      <c r="K7500" t="n">
        <v>0</v>
      </c>
      <c r="L7500" t="n">
        <v>0</v>
      </c>
      <c r="M7500" t="n">
        <v>0</v>
      </c>
      <c r="N7500" t="n">
        <v>0</v>
      </c>
      <c r="O7500" t="n">
        <v>0</v>
      </c>
      <c r="P7500" t="n">
        <v>0</v>
      </c>
      <c r="Q7500" t="n">
        <v>0</v>
      </c>
      <c r="R7500" s="2" t="inlineStr"/>
    </row>
    <row r="7501" ht="15" customHeight="1">
      <c r="A7501" t="inlineStr">
        <is>
          <t>A 58918-2022</t>
        </is>
      </c>
      <c r="B7501" s="1" t="n">
        <v>44903.61586805555</v>
      </c>
      <c r="C7501" s="1" t="n">
        <v>45911</v>
      </c>
      <c r="D7501" t="inlineStr">
        <is>
          <t>GÄVLEBORGS LÄN</t>
        </is>
      </c>
      <c r="E7501" t="inlineStr">
        <is>
          <t>OVANÅKER</t>
        </is>
      </c>
      <c r="F7501" t="inlineStr">
        <is>
          <t>Bergvik skog väst AB</t>
        </is>
      </c>
      <c r="G7501" t="n">
        <v>0.5</v>
      </c>
      <c r="H7501" t="n">
        <v>0</v>
      </c>
      <c r="I7501" t="n">
        <v>0</v>
      </c>
      <c r="J7501" t="n">
        <v>0</v>
      </c>
      <c r="K7501" t="n">
        <v>0</v>
      </c>
      <c r="L7501" t="n">
        <v>0</v>
      </c>
      <c r="M7501" t="n">
        <v>0</v>
      </c>
      <c r="N7501" t="n">
        <v>0</v>
      </c>
      <c r="O7501" t="n">
        <v>0</v>
      </c>
      <c r="P7501" t="n">
        <v>0</v>
      </c>
      <c r="Q7501" t="n">
        <v>0</v>
      </c>
      <c r="R7501" s="2" t="inlineStr"/>
    </row>
    <row r="7502" ht="15" customHeight="1">
      <c r="A7502" t="inlineStr">
        <is>
          <t>A 63865-2023</t>
        </is>
      </c>
      <c r="B7502" s="1" t="n">
        <v>45278.50369212963</v>
      </c>
      <c r="C7502" s="1" t="n">
        <v>45911</v>
      </c>
      <c r="D7502" t="inlineStr">
        <is>
          <t>GÄVLEBORGS LÄN</t>
        </is>
      </c>
      <c r="E7502" t="inlineStr">
        <is>
          <t>BOLLNÄS</t>
        </is>
      </c>
      <c r="G7502" t="n">
        <v>0.4</v>
      </c>
      <c r="H7502" t="n">
        <v>0</v>
      </c>
      <c r="I7502" t="n">
        <v>0</v>
      </c>
      <c r="J7502" t="n">
        <v>0</v>
      </c>
      <c r="K7502" t="n">
        <v>0</v>
      </c>
      <c r="L7502" t="n">
        <v>0</v>
      </c>
      <c r="M7502" t="n">
        <v>0</v>
      </c>
      <c r="N7502" t="n">
        <v>0</v>
      </c>
      <c r="O7502" t="n">
        <v>0</v>
      </c>
      <c r="P7502" t="n">
        <v>0</v>
      </c>
      <c r="Q7502" t="n">
        <v>0</v>
      </c>
      <c r="R7502" s="2" t="inlineStr"/>
    </row>
    <row r="7503" ht="15" customHeight="1">
      <c r="A7503" t="inlineStr">
        <is>
          <t>A 63868-2023</t>
        </is>
      </c>
      <c r="B7503" s="1" t="n">
        <v>45278.50765046296</v>
      </c>
      <c r="C7503" s="1" t="n">
        <v>45911</v>
      </c>
      <c r="D7503" t="inlineStr">
        <is>
          <t>GÄVLEBORGS LÄN</t>
        </is>
      </c>
      <c r="E7503" t="inlineStr">
        <is>
          <t>BOLLNÄS</t>
        </is>
      </c>
      <c r="G7503" t="n">
        <v>0.3</v>
      </c>
      <c r="H7503" t="n">
        <v>0</v>
      </c>
      <c r="I7503" t="n">
        <v>0</v>
      </c>
      <c r="J7503" t="n">
        <v>0</v>
      </c>
      <c r="K7503" t="n">
        <v>0</v>
      </c>
      <c r="L7503" t="n">
        <v>0</v>
      </c>
      <c r="M7503" t="n">
        <v>0</v>
      </c>
      <c r="N7503" t="n">
        <v>0</v>
      </c>
      <c r="O7503" t="n">
        <v>0</v>
      </c>
      <c r="P7503" t="n">
        <v>0</v>
      </c>
      <c r="Q7503" t="n">
        <v>0</v>
      </c>
      <c r="R7503" s="2" t="inlineStr"/>
    </row>
    <row r="7504" ht="15" customHeight="1">
      <c r="A7504" t="inlineStr">
        <is>
          <t>A 23378-2022</t>
        </is>
      </c>
      <c r="B7504" s="1" t="n">
        <v>44720</v>
      </c>
      <c r="C7504" s="1" t="n">
        <v>45911</v>
      </c>
      <c r="D7504" t="inlineStr">
        <is>
          <t>GÄVLEBORGS LÄN</t>
        </is>
      </c>
      <c r="E7504" t="inlineStr">
        <is>
          <t>BOLLNÄS</t>
        </is>
      </c>
      <c r="G7504" t="n">
        <v>5.2</v>
      </c>
      <c r="H7504" t="n">
        <v>0</v>
      </c>
      <c r="I7504" t="n">
        <v>0</v>
      </c>
      <c r="J7504" t="n">
        <v>0</v>
      </c>
      <c r="K7504" t="n">
        <v>0</v>
      </c>
      <c r="L7504" t="n">
        <v>0</v>
      </c>
      <c r="M7504" t="n">
        <v>0</v>
      </c>
      <c r="N7504" t="n">
        <v>0</v>
      </c>
      <c r="O7504" t="n">
        <v>0</v>
      </c>
      <c r="P7504" t="n">
        <v>0</v>
      </c>
      <c r="Q7504" t="n">
        <v>0</v>
      </c>
      <c r="R7504" s="2" t="inlineStr"/>
    </row>
    <row r="7505" ht="15" customHeight="1">
      <c r="A7505" t="inlineStr">
        <is>
          <t>A 58942-2022</t>
        </is>
      </c>
      <c r="B7505" s="1" t="n">
        <v>44903</v>
      </c>
      <c r="C7505" s="1" t="n">
        <v>45911</v>
      </c>
      <c r="D7505" t="inlineStr">
        <is>
          <t>GÄVLEBORGS LÄN</t>
        </is>
      </c>
      <c r="E7505" t="inlineStr">
        <is>
          <t>HUDIKSVALL</t>
        </is>
      </c>
      <c r="F7505" t="inlineStr">
        <is>
          <t>Holmen skog AB</t>
        </is>
      </c>
      <c r="G7505" t="n">
        <v>5.7</v>
      </c>
      <c r="H7505" t="n">
        <v>0</v>
      </c>
      <c r="I7505" t="n">
        <v>0</v>
      </c>
      <c r="J7505" t="n">
        <v>0</v>
      </c>
      <c r="K7505" t="n">
        <v>0</v>
      </c>
      <c r="L7505" t="n">
        <v>0</v>
      </c>
      <c r="M7505" t="n">
        <v>0</v>
      </c>
      <c r="N7505" t="n">
        <v>0</v>
      </c>
      <c r="O7505" t="n">
        <v>0</v>
      </c>
      <c r="P7505" t="n">
        <v>0</v>
      </c>
      <c r="Q7505" t="n">
        <v>0</v>
      </c>
      <c r="R7505" s="2" t="inlineStr"/>
    </row>
    <row r="7506" ht="15" customHeight="1">
      <c r="A7506" t="inlineStr">
        <is>
          <t>A 22275-2024</t>
        </is>
      </c>
      <c r="B7506" s="1" t="n">
        <v>45446.54258101852</v>
      </c>
      <c r="C7506" s="1" t="n">
        <v>45911</v>
      </c>
      <c r="D7506" t="inlineStr">
        <is>
          <t>GÄVLEBORGS LÄN</t>
        </is>
      </c>
      <c r="E7506" t="inlineStr">
        <is>
          <t>SANDVIKEN</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44856-2024</t>
        </is>
      </c>
      <c r="B7507" s="1" t="n">
        <v>45575.25853009259</v>
      </c>
      <c r="C7507" s="1" t="n">
        <v>45911</v>
      </c>
      <c r="D7507" t="inlineStr">
        <is>
          <t>GÄVLEBORGS LÄN</t>
        </is>
      </c>
      <c r="E7507" t="inlineStr">
        <is>
          <t>LJUSDAL</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23374-2024</t>
        </is>
      </c>
      <c r="B7508" s="1" t="n">
        <v>45453.55642361111</v>
      </c>
      <c r="C7508" s="1" t="n">
        <v>45911</v>
      </c>
      <c r="D7508" t="inlineStr">
        <is>
          <t>GÄVLEBORGS LÄN</t>
        </is>
      </c>
      <c r="E7508" t="inlineStr">
        <is>
          <t>LJUSDAL</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23386-2024</t>
        </is>
      </c>
      <c r="B7509" s="1" t="n">
        <v>45453.56219907408</v>
      </c>
      <c r="C7509" s="1" t="n">
        <v>45911</v>
      </c>
      <c r="D7509" t="inlineStr">
        <is>
          <t>GÄVLEBORGS LÄN</t>
        </is>
      </c>
      <c r="E7509" t="inlineStr">
        <is>
          <t>LJUSDAL</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24992-2024</t>
        </is>
      </c>
      <c r="B7510" s="1" t="n">
        <v>45461</v>
      </c>
      <c r="C7510" s="1" t="n">
        <v>45911</v>
      </c>
      <c r="D7510" t="inlineStr">
        <is>
          <t>GÄVLEBORGS LÄN</t>
        </is>
      </c>
      <c r="E7510" t="inlineStr">
        <is>
          <t>BOLLNÄS</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62089-2021</t>
        </is>
      </c>
      <c r="B7511" s="1" t="n">
        <v>44502.61646990741</v>
      </c>
      <c r="C7511" s="1" t="n">
        <v>45911</v>
      </c>
      <c r="D7511" t="inlineStr">
        <is>
          <t>GÄVLEBORGS LÄN</t>
        </is>
      </c>
      <c r="E7511" t="inlineStr">
        <is>
          <t>NORDANSTIG</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20747-2023</t>
        </is>
      </c>
      <c r="B7512" s="1" t="n">
        <v>45058</v>
      </c>
      <c r="C7512" s="1" t="n">
        <v>45911</v>
      </c>
      <c r="D7512" t="inlineStr">
        <is>
          <t>GÄVLEBORGS LÄN</t>
        </is>
      </c>
      <c r="E7512" t="inlineStr">
        <is>
          <t>NORDANSTIG</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2127-2024</t>
        </is>
      </c>
      <c r="B7513" s="1" t="n">
        <v>45309.51131944444</v>
      </c>
      <c r="C7513" s="1" t="n">
        <v>45911</v>
      </c>
      <c r="D7513" t="inlineStr">
        <is>
          <t>GÄVLEBORGS LÄN</t>
        </is>
      </c>
      <c r="E7513" t="inlineStr">
        <is>
          <t>HUDIKSVALL</t>
        </is>
      </c>
      <c r="F7513" t="inlineStr">
        <is>
          <t>Holmen skog AB</t>
        </is>
      </c>
      <c r="G7513" t="n">
        <v>3.1</v>
      </c>
      <c r="H7513" t="n">
        <v>0</v>
      </c>
      <c r="I7513" t="n">
        <v>0</v>
      </c>
      <c r="J7513" t="n">
        <v>0</v>
      </c>
      <c r="K7513" t="n">
        <v>0</v>
      </c>
      <c r="L7513" t="n">
        <v>0</v>
      </c>
      <c r="M7513" t="n">
        <v>0</v>
      </c>
      <c r="N7513" t="n">
        <v>0</v>
      </c>
      <c r="O7513" t="n">
        <v>0</v>
      </c>
      <c r="P7513" t="n">
        <v>0</v>
      </c>
      <c r="Q7513" t="n">
        <v>0</v>
      </c>
      <c r="R7513" s="2" t="inlineStr"/>
    </row>
    <row r="7514" ht="15" customHeight="1">
      <c r="A7514" t="inlineStr">
        <is>
          <t>A 26721-2024</t>
        </is>
      </c>
      <c r="B7514" s="1" t="n">
        <v>45470.41822916667</v>
      </c>
      <c r="C7514" s="1" t="n">
        <v>45911</v>
      </c>
      <c r="D7514" t="inlineStr">
        <is>
          <t>GÄVLEBORGS LÄN</t>
        </is>
      </c>
      <c r="E7514" t="inlineStr">
        <is>
          <t>LJUSDAL</t>
        </is>
      </c>
      <c r="F7514" t="inlineStr">
        <is>
          <t>Bergvik skog väst AB</t>
        </is>
      </c>
      <c r="G7514" t="n">
        <v>0.4</v>
      </c>
      <c r="H7514" t="n">
        <v>0</v>
      </c>
      <c r="I7514" t="n">
        <v>0</v>
      </c>
      <c r="J7514" t="n">
        <v>0</v>
      </c>
      <c r="K7514" t="n">
        <v>0</v>
      </c>
      <c r="L7514" t="n">
        <v>0</v>
      </c>
      <c r="M7514" t="n">
        <v>0</v>
      </c>
      <c r="N7514" t="n">
        <v>0</v>
      </c>
      <c r="O7514" t="n">
        <v>0</v>
      </c>
      <c r="P7514" t="n">
        <v>0</v>
      </c>
      <c r="Q7514" t="n">
        <v>0</v>
      </c>
      <c r="R7514" s="2" t="inlineStr"/>
    </row>
    <row r="7515" ht="15" customHeight="1">
      <c r="A7515" t="inlineStr">
        <is>
          <t>A 61166-2022</t>
        </is>
      </c>
      <c r="B7515" s="1" t="n">
        <v>44915.47952546296</v>
      </c>
      <c r="C7515" s="1" t="n">
        <v>45911</v>
      </c>
      <c r="D7515" t="inlineStr">
        <is>
          <t>GÄVLEBORGS LÄN</t>
        </is>
      </c>
      <c r="E7515" t="inlineStr">
        <is>
          <t>SANDVIKEN</t>
        </is>
      </c>
      <c r="G7515" t="n">
        <v>5.4</v>
      </c>
      <c r="H7515" t="n">
        <v>0</v>
      </c>
      <c r="I7515" t="n">
        <v>0</v>
      </c>
      <c r="J7515" t="n">
        <v>0</v>
      </c>
      <c r="K7515" t="n">
        <v>0</v>
      </c>
      <c r="L7515" t="n">
        <v>0</v>
      </c>
      <c r="M7515" t="n">
        <v>0</v>
      </c>
      <c r="N7515" t="n">
        <v>0</v>
      </c>
      <c r="O7515" t="n">
        <v>0</v>
      </c>
      <c r="P7515" t="n">
        <v>0</v>
      </c>
      <c r="Q7515" t="n">
        <v>0</v>
      </c>
      <c r="R7515" s="2" t="inlineStr"/>
    </row>
    <row r="7516" ht="15" customHeight="1">
      <c r="A7516" t="inlineStr">
        <is>
          <t>A 47416-2020</t>
        </is>
      </c>
      <c r="B7516" s="1" t="n">
        <v>44097</v>
      </c>
      <c r="C7516" s="1" t="n">
        <v>45911</v>
      </c>
      <c r="D7516" t="inlineStr">
        <is>
          <t>GÄVLEBORGS LÄN</t>
        </is>
      </c>
      <c r="E7516" t="inlineStr">
        <is>
          <t>HUDIKSVALL</t>
        </is>
      </c>
      <c r="G7516" t="n">
        <v>10</v>
      </c>
      <c r="H7516" t="n">
        <v>0</v>
      </c>
      <c r="I7516" t="n">
        <v>0</v>
      </c>
      <c r="J7516" t="n">
        <v>0</v>
      </c>
      <c r="K7516" t="n">
        <v>0</v>
      </c>
      <c r="L7516" t="n">
        <v>0</v>
      </c>
      <c r="M7516" t="n">
        <v>0</v>
      </c>
      <c r="N7516" t="n">
        <v>0</v>
      </c>
      <c r="O7516" t="n">
        <v>0</v>
      </c>
      <c r="P7516" t="n">
        <v>0</v>
      </c>
      <c r="Q7516" t="n">
        <v>0</v>
      </c>
      <c r="R7516" s="2" t="inlineStr"/>
    </row>
    <row r="7517" ht="15" customHeight="1">
      <c r="A7517" t="inlineStr">
        <is>
          <t>A 24691-2024</t>
        </is>
      </c>
      <c r="B7517" s="1" t="n">
        <v>45460.60364583333</v>
      </c>
      <c r="C7517" s="1" t="n">
        <v>45911</v>
      </c>
      <c r="D7517" t="inlineStr">
        <is>
          <t>GÄVLEBORGS LÄN</t>
        </is>
      </c>
      <c r="E7517" t="inlineStr">
        <is>
          <t>LJUSDAL</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22347-2024</t>
        </is>
      </c>
      <c r="B7518" s="1" t="n">
        <v>45446.61068287037</v>
      </c>
      <c r="C7518" s="1" t="n">
        <v>45911</v>
      </c>
      <c r="D7518" t="inlineStr">
        <is>
          <t>GÄVLEBORGS LÄN</t>
        </is>
      </c>
      <c r="E7518" t="inlineStr">
        <is>
          <t>OVANÅKER</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62766-2022</t>
        </is>
      </c>
      <c r="B7519" s="1" t="n">
        <v>44885</v>
      </c>
      <c r="C7519" s="1" t="n">
        <v>45911</v>
      </c>
      <c r="D7519" t="inlineStr">
        <is>
          <t>GÄVLEBORGS LÄN</t>
        </is>
      </c>
      <c r="E7519" t="inlineStr">
        <is>
          <t>GÄVLE</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46549-2021</t>
        </is>
      </c>
      <c r="B7520" s="1" t="n">
        <v>44445</v>
      </c>
      <c r="C7520" s="1" t="n">
        <v>45911</v>
      </c>
      <c r="D7520" t="inlineStr">
        <is>
          <t>GÄVLEBORGS LÄN</t>
        </is>
      </c>
      <c r="E7520" t="inlineStr">
        <is>
          <t>GÄVLE</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18377-2024</t>
        </is>
      </c>
      <c r="B7521" s="1" t="n">
        <v>45423</v>
      </c>
      <c r="C7521" s="1" t="n">
        <v>45911</v>
      </c>
      <c r="D7521" t="inlineStr">
        <is>
          <t>GÄVLEBORGS LÄN</t>
        </is>
      </c>
      <c r="E7521" t="inlineStr">
        <is>
          <t>GÄVLE</t>
        </is>
      </c>
      <c r="F7521" t="inlineStr">
        <is>
          <t>Bergvik skog väst AB</t>
        </is>
      </c>
      <c r="G7521" t="n">
        <v>4.5</v>
      </c>
      <c r="H7521" t="n">
        <v>0</v>
      </c>
      <c r="I7521" t="n">
        <v>0</v>
      </c>
      <c r="J7521" t="n">
        <v>0</v>
      </c>
      <c r="K7521" t="n">
        <v>0</v>
      </c>
      <c r="L7521" t="n">
        <v>0</v>
      </c>
      <c r="M7521" t="n">
        <v>0</v>
      </c>
      <c r="N7521" t="n">
        <v>0</v>
      </c>
      <c r="O7521" t="n">
        <v>0</v>
      </c>
      <c r="P7521" t="n">
        <v>0</v>
      </c>
      <c r="Q7521" t="n">
        <v>0</v>
      </c>
      <c r="R7521" s="2" t="inlineStr"/>
    </row>
    <row r="7522" ht="15" customHeight="1">
      <c r="A7522" t="inlineStr">
        <is>
          <t>A 5409-2023</t>
        </is>
      </c>
      <c r="B7522" s="1" t="n">
        <v>44959</v>
      </c>
      <c r="C7522" s="1" t="n">
        <v>45911</v>
      </c>
      <c r="D7522" t="inlineStr">
        <is>
          <t>GÄVLEBORGS LÄN</t>
        </is>
      </c>
      <c r="E7522" t="inlineStr">
        <is>
          <t>GÄVLE</t>
        </is>
      </c>
      <c r="G7522" t="n">
        <v>0.3</v>
      </c>
      <c r="H7522" t="n">
        <v>0</v>
      </c>
      <c r="I7522" t="n">
        <v>0</v>
      </c>
      <c r="J7522" t="n">
        <v>0</v>
      </c>
      <c r="K7522" t="n">
        <v>0</v>
      </c>
      <c r="L7522" t="n">
        <v>0</v>
      </c>
      <c r="M7522" t="n">
        <v>0</v>
      </c>
      <c r="N7522" t="n">
        <v>0</v>
      </c>
      <c r="O7522" t="n">
        <v>0</v>
      </c>
      <c r="P7522" t="n">
        <v>0</v>
      </c>
      <c r="Q7522" t="n">
        <v>0</v>
      </c>
      <c r="R7522" s="2" t="inlineStr"/>
    </row>
    <row r="7523" ht="15" customHeight="1">
      <c r="A7523" t="inlineStr">
        <is>
          <t>A 24881-2021</t>
        </is>
      </c>
      <c r="B7523" s="1" t="n">
        <v>44341.32192129629</v>
      </c>
      <c r="C7523" s="1" t="n">
        <v>45911</v>
      </c>
      <c r="D7523" t="inlineStr">
        <is>
          <t>GÄVLEBORGS LÄN</t>
        </is>
      </c>
      <c r="E7523" t="inlineStr">
        <is>
          <t>LJUSDAL</t>
        </is>
      </c>
      <c r="F7523" t="inlineStr">
        <is>
          <t>Kommuner</t>
        </is>
      </c>
      <c r="G7523" t="n">
        <v>2.8</v>
      </c>
      <c r="H7523" t="n">
        <v>0</v>
      </c>
      <c r="I7523" t="n">
        <v>0</v>
      </c>
      <c r="J7523" t="n">
        <v>0</v>
      </c>
      <c r="K7523" t="n">
        <v>0</v>
      </c>
      <c r="L7523" t="n">
        <v>0</v>
      </c>
      <c r="M7523" t="n">
        <v>0</v>
      </c>
      <c r="N7523" t="n">
        <v>0</v>
      </c>
      <c r="O7523" t="n">
        <v>0</v>
      </c>
      <c r="P7523" t="n">
        <v>0</v>
      </c>
      <c r="Q7523" t="n">
        <v>0</v>
      </c>
      <c r="R7523" s="2" t="inlineStr"/>
    </row>
    <row r="7524" ht="15" customHeight="1">
      <c r="A7524" t="inlineStr">
        <is>
          <t>A 5415-2023</t>
        </is>
      </c>
      <c r="B7524" s="1" t="n">
        <v>44959</v>
      </c>
      <c r="C7524" s="1" t="n">
        <v>45911</v>
      </c>
      <c r="D7524" t="inlineStr">
        <is>
          <t>GÄVLEBORGS LÄN</t>
        </is>
      </c>
      <c r="E7524" t="inlineStr">
        <is>
          <t>GÄVLE</t>
        </is>
      </c>
      <c r="G7524" t="n">
        <v>0.1</v>
      </c>
      <c r="H7524" t="n">
        <v>0</v>
      </c>
      <c r="I7524" t="n">
        <v>0</v>
      </c>
      <c r="J7524" t="n">
        <v>0</v>
      </c>
      <c r="K7524" t="n">
        <v>0</v>
      </c>
      <c r="L7524" t="n">
        <v>0</v>
      </c>
      <c r="M7524" t="n">
        <v>0</v>
      </c>
      <c r="N7524" t="n">
        <v>0</v>
      </c>
      <c r="O7524" t="n">
        <v>0</v>
      </c>
      <c r="P7524" t="n">
        <v>0</v>
      </c>
      <c r="Q7524" t="n">
        <v>0</v>
      </c>
      <c r="R7524" s="2" t="inlineStr"/>
    </row>
    <row r="7525" ht="15" customHeight="1">
      <c r="A7525" t="inlineStr">
        <is>
          <t>A 6109-2023</t>
        </is>
      </c>
      <c r="B7525" s="1" t="n">
        <v>44964</v>
      </c>
      <c r="C7525" s="1" t="n">
        <v>45911</v>
      </c>
      <c r="D7525" t="inlineStr">
        <is>
          <t>GÄVLEBORGS LÄN</t>
        </is>
      </c>
      <c r="E7525" t="inlineStr">
        <is>
          <t>NORDANSTIG</t>
        </is>
      </c>
      <c r="G7525" t="n">
        <v>0.1</v>
      </c>
      <c r="H7525" t="n">
        <v>0</v>
      </c>
      <c r="I7525" t="n">
        <v>0</v>
      </c>
      <c r="J7525" t="n">
        <v>0</v>
      </c>
      <c r="K7525" t="n">
        <v>0</v>
      </c>
      <c r="L7525" t="n">
        <v>0</v>
      </c>
      <c r="M7525" t="n">
        <v>0</v>
      </c>
      <c r="N7525" t="n">
        <v>0</v>
      </c>
      <c r="O7525" t="n">
        <v>0</v>
      </c>
      <c r="P7525" t="n">
        <v>0</v>
      </c>
      <c r="Q7525" t="n">
        <v>0</v>
      </c>
      <c r="R7525" s="2" t="inlineStr"/>
    </row>
    <row r="7526" ht="15" customHeight="1">
      <c r="A7526" t="inlineStr">
        <is>
          <t>A 31123-2021</t>
        </is>
      </c>
      <c r="B7526" s="1" t="n">
        <v>44368</v>
      </c>
      <c r="C7526" s="1" t="n">
        <v>45911</v>
      </c>
      <c r="D7526" t="inlineStr">
        <is>
          <t>GÄVLEBORGS LÄN</t>
        </is>
      </c>
      <c r="E7526" t="inlineStr">
        <is>
          <t>HOFORS</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12893-2024</t>
        </is>
      </c>
      <c r="B7527" s="1" t="n">
        <v>45385.36851851852</v>
      </c>
      <c r="C7527" s="1" t="n">
        <v>45911</v>
      </c>
      <c r="D7527" t="inlineStr">
        <is>
          <t>GÄVLEBORGS LÄN</t>
        </is>
      </c>
      <c r="E7527" t="inlineStr">
        <is>
          <t>HUDIKSVALL</t>
        </is>
      </c>
      <c r="F7527" t="inlineStr">
        <is>
          <t>Holmen skog AB</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18288-2023</t>
        </is>
      </c>
      <c r="B7528" s="1" t="n">
        <v>45041.5646412037</v>
      </c>
      <c r="C7528" s="1" t="n">
        <v>45911</v>
      </c>
      <c r="D7528" t="inlineStr">
        <is>
          <t>GÄVLEBORGS LÄN</t>
        </is>
      </c>
      <c r="E7528" t="inlineStr">
        <is>
          <t>NORDANSTIG</t>
        </is>
      </c>
      <c r="F7528" t="inlineStr">
        <is>
          <t>Holmen skog AB</t>
        </is>
      </c>
      <c r="G7528" t="n">
        <v>4.4</v>
      </c>
      <c r="H7528" t="n">
        <v>0</v>
      </c>
      <c r="I7528" t="n">
        <v>0</v>
      </c>
      <c r="J7528" t="n">
        <v>0</v>
      </c>
      <c r="K7528" t="n">
        <v>0</v>
      </c>
      <c r="L7528" t="n">
        <v>0</v>
      </c>
      <c r="M7528" t="n">
        <v>0</v>
      </c>
      <c r="N7528" t="n">
        <v>0</v>
      </c>
      <c r="O7528" t="n">
        <v>0</v>
      </c>
      <c r="P7528" t="n">
        <v>0</v>
      </c>
      <c r="Q7528" t="n">
        <v>0</v>
      </c>
      <c r="R7528" s="2" t="inlineStr"/>
    </row>
    <row r="7529" ht="15" customHeight="1">
      <c r="A7529" t="inlineStr">
        <is>
          <t>A 9241-2023</t>
        </is>
      </c>
      <c r="B7529" s="1" t="n">
        <v>44980</v>
      </c>
      <c r="C7529" s="1" t="n">
        <v>45911</v>
      </c>
      <c r="D7529" t="inlineStr">
        <is>
          <t>GÄVLEBORGS LÄN</t>
        </is>
      </c>
      <c r="E7529" t="inlineStr">
        <is>
          <t>LJUSDAL</t>
        </is>
      </c>
      <c r="G7529" t="n">
        <v>5.3</v>
      </c>
      <c r="H7529" t="n">
        <v>0</v>
      </c>
      <c r="I7529" t="n">
        <v>0</v>
      </c>
      <c r="J7529" t="n">
        <v>0</v>
      </c>
      <c r="K7529" t="n">
        <v>0</v>
      </c>
      <c r="L7529" t="n">
        <v>0</v>
      </c>
      <c r="M7529" t="n">
        <v>0</v>
      </c>
      <c r="N7529" t="n">
        <v>0</v>
      </c>
      <c r="O7529" t="n">
        <v>0</v>
      </c>
      <c r="P7529" t="n">
        <v>0</v>
      </c>
      <c r="Q7529" t="n">
        <v>0</v>
      </c>
      <c r="R7529" s="2" t="inlineStr"/>
    </row>
    <row r="7530" ht="15" customHeight="1">
      <c r="A7530" t="inlineStr">
        <is>
          <t>A 48369-2022</t>
        </is>
      </c>
      <c r="B7530" s="1" t="n">
        <v>44858.58332175926</v>
      </c>
      <c r="C7530" s="1" t="n">
        <v>45911</v>
      </c>
      <c r="D7530" t="inlineStr">
        <is>
          <t>GÄVLEBORGS LÄN</t>
        </is>
      </c>
      <c r="E7530" t="inlineStr">
        <is>
          <t>OVANÅKER</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51413-2023</t>
        </is>
      </c>
      <c r="B7531" s="1" t="n">
        <v>45219</v>
      </c>
      <c r="C7531" s="1" t="n">
        <v>45911</v>
      </c>
      <c r="D7531" t="inlineStr">
        <is>
          <t>GÄVLEBORGS LÄN</t>
        </is>
      </c>
      <c r="E7531" t="inlineStr">
        <is>
          <t>SÖDERHAMN</t>
        </is>
      </c>
      <c r="F7531" t="inlineStr">
        <is>
          <t>Kommuner</t>
        </is>
      </c>
      <c r="G7531" t="n">
        <v>1.8</v>
      </c>
      <c r="H7531" t="n">
        <v>0</v>
      </c>
      <c r="I7531" t="n">
        <v>0</v>
      </c>
      <c r="J7531" t="n">
        <v>0</v>
      </c>
      <c r="K7531" t="n">
        <v>0</v>
      </c>
      <c r="L7531" t="n">
        <v>0</v>
      </c>
      <c r="M7531" t="n">
        <v>0</v>
      </c>
      <c r="N7531" t="n">
        <v>0</v>
      </c>
      <c r="O7531" t="n">
        <v>0</v>
      </c>
      <c r="P7531" t="n">
        <v>0</v>
      </c>
      <c r="Q7531" t="n">
        <v>0</v>
      </c>
      <c r="R7531" s="2" t="inlineStr"/>
    </row>
    <row r="7532" ht="15" customHeight="1">
      <c r="A7532" t="inlineStr">
        <is>
          <t>A 37386-2023</t>
        </is>
      </c>
      <c r="B7532" s="1" t="n">
        <v>45156</v>
      </c>
      <c r="C7532" s="1" t="n">
        <v>45911</v>
      </c>
      <c r="D7532" t="inlineStr">
        <is>
          <t>GÄVLEBORGS LÄN</t>
        </is>
      </c>
      <c r="E7532" t="inlineStr">
        <is>
          <t>OCKELBO</t>
        </is>
      </c>
      <c r="F7532" t="inlineStr">
        <is>
          <t>Bergvik skog väst AB</t>
        </is>
      </c>
      <c r="G7532" t="n">
        <v>3.1</v>
      </c>
      <c r="H7532" t="n">
        <v>0</v>
      </c>
      <c r="I7532" t="n">
        <v>0</v>
      </c>
      <c r="J7532" t="n">
        <v>0</v>
      </c>
      <c r="K7532" t="n">
        <v>0</v>
      </c>
      <c r="L7532" t="n">
        <v>0</v>
      </c>
      <c r="M7532" t="n">
        <v>0</v>
      </c>
      <c r="N7532" t="n">
        <v>0</v>
      </c>
      <c r="O7532" t="n">
        <v>0</v>
      </c>
      <c r="P7532" t="n">
        <v>0</v>
      </c>
      <c r="Q7532" t="n">
        <v>0</v>
      </c>
      <c r="R7532" s="2" t="inlineStr"/>
    </row>
    <row r="7533" ht="15" customHeight="1">
      <c r="A7533" t="inlineStr">
        <is>
          <t>A 52729-2023</t>
        </is>
      </c>
      <c r="B7533" s="1" t="n">
        <v>45225.92707175926</v>
      </c>
      <c r="C7533" s="1" t="n">
        <v>45911</v>
      </c>
      <c r="D7533" t="inlineStr">
        <is>
          <t>GÄVLEBORGS LÄN</t>
        </is>
      </c>
      <c r="E7533" t="inlineStr">
        <is>
          <t>LJUSDAL</t>
        </is>
      </c>
      <c r="G7533" t="n">
        <v>3.1</v>
      </c>
      <c r="H7533" t="n">
        <v>0</v>
      </c>
      <c r="I7533" t="n">
        <v>0</v>
      </c>
      <c r="J7533" t="n">
        <v>0</v>
      </c>
      <c r="K7533" t="n">
        <v>0</v>
      </c>
      <c r="L7533" t="n">
        <v>0</v>
      </c>
      <c r="M7533" t="n">
        <v>0</v>
      </c>
      <c r="N7533" t="n">
        <v>0</v>
      </c>
      <c r="O7533" t="n">
        <v>0</v>
      </c>
      <c r="P7533" t="n">
        <v>0</v>
      </c>
      <c r="Q7533" t="n">
        <v>0</v>
      </c>
      <c r="R7533" s="2" t="inlineStr"/>
    </row>
    <row r="7534" ht="15" customHeight="1">
      <c r="A7534" t="inlineStr">
        <is>
          <t>A 38202-2024</t>
        </is>
      </c>
      <c r="B7534" s="1" t="n">
        <v>45545</v>
      </c>
      <c r="C7534" s="1" t="n">
        <v>45911</v>
      </c>
      <c r="D7534" t="inlineStr">
        <is>
          <t>GÄVLEBORGS LÄN</t>
        </is>
      </c>
      <c r="E7534" t="inlineStr">
        <is>
          <t>SANDVIKEN</t>
        </is>
      </c>
      <c r="F7534" t="inlineStr">
        <is>
          <t>Sveaskog</t>
        </is>
      </c>
      <c r="G7534" t="n">
        <v>3.6</v>
      </c>
      <c r="H7534" t="n">
        <v>0</v>
      </c>
      <c r="I7534" t="n">
        <v>0</v>
      </c>
      <c r="J7534" t="n">
        <v>0</v>
      </c>
      <c r="K7534" t="n">
        <v>0</v>
      </c>
      <c r="L7534" t="n">
        <v>0</v>
      </c>
      <c r="M7534" t="n">
        <v>0</v>
      </c>
      <c r="N7534" t="n">
        <v>0</v>
      </c>
      <c r="O7534" t="n">
        <v>0</v>
      </c>
      <c r="P7534" t="n">
        <v>0</v>
      </c>
      <c r="Q7534" t="n">
        <v>0</v>
      </c>
      <c r="R7534" s="2" t="inlineStr"/>
    </row>
    <row r="7535" ht="15" customHeight="1">
      <c r="A7535" t="inlineStr">
        <is>
          <t>A 11087-2022</t>
        </is>
      </c>
      <c r="B7535" s="1" t="n">
        <v>44628.69327546296</v>
      </c>
      <c r="C7535" s="1" t="n">
        <v>45911</v>
      </c>
      <c r="D7535" t="inlineStr">
        <is>
          <t>GÄVLEBORGS LÄN</t>
        </is>
      </c>
      <c r="E7535" t="inlineStr">
        <is>
          <t>NORDANSTIG</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50740-2023</t>
        </is>
      </c>
      <c r="B7536" s="1" t="n">
        <v>45217.58702546296</v>
      </c>
      <c r="C7536" s="1" t="n">
        <v>45911</v>
      </c>
      <c r="D7536" t="inlineStr">
        <is>
          <t>GÄVLEBORGS LÄN</t>
        </is>
      </c>
      <c r="E7536" t="inlineStr">
        <is>
          <t>OVANÅKER</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24096-2023</t>
        </is>
      </c>
      <c r="B7537" s="1" t="n">
        <v>45079.43686342592</v>
      </c>
      <c r="C7537" s="1" t="n">
        <v>45911</v>
      </c>
      <c r="D7537" t="inlineStr">
        <is>
          <t>GÄVLEBORGS LÄN</t>
        </is>
      </c>
      <c r="E7537" t="inlineStr">
        <is>
          <t>NORDANSTIG</t>
        </is>
      </c>
      <c r="F7537" t="inlineStr">
        <is>
          <t>Holmen skog AB</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43007-2023</t>
        </is>
      </c>
      <c r="B7538" s="1" t="n">
        <v>45182.63752314815</v>
      </c>
      <c r="C7538" s="1" t="n">
        <v>45911</v>
      </c>
      <c r="D7538" t="inlineStr">
        <is>
          <t>GÄVLEBORGS LÄN</t>
        </is>
      </c>
      <c r="E7538" t="inlineStr">
        <is>
          <t>HUDIKSVALL</t>
        </is>
      </c>
      <c r="F7538" t="inlineStr">
        <is>
          <t>Holmen skog AB</t>
        </is>
      </c>
      <c r="G7538" t="n">
        <v>5.8</v>
      </c>
      <c r="H7538" t="n">
        <v>0</v>
      </c>
      <c r="I7538" t="n">
        <v>0</v>
      </c>
      <c r="J7538" t="n">
        <v>0</v>
      </c>
      <c r="K7538" t="n">
        <v>0</v>
      </c>
      <c r="L7538" t="n">
        <v>0</v>
      </c>
      <c r="M7538" t="n">
        <v>0</v>
      </c>
      <c r="N7538" t="n">
        <v>0</v>
      </c>
      <c r="O7538" t="n">
        <v>0</v>
      </c>
      <c r="P7538" t="n">
        <v>0</v>
      </c>
      <c r="Q7538" t="n">
        <v>0</v>
      </c>
      <c r="R7538" s="2" t="inlineStr"/>
    </row>
    <row r="7539" ht="15" customHeight="1">
      <c r="A7539" t="inlineStr">
        <is>
          <t>A 29439-2023</t>
        </is>
      </c>
      <c r="B7539" s="1" t="n">
        <v>45106</v>
      </c>
      <c r="C7539" s="1" t="n">
        <v>45911</v>
      </c>
      <c r="D7539" t="inlineStr">
        <is>
          <t>GÄVLEBORGS LÄN</t>
        </is>
      </c>
      <c r="E7539" t="inlineStr">
        <is>
          <t>LJUSDAL</t>
        </is>
      </c>
      <c r="G7539" t="n">
        <v>2.8</v>
      </c>
      <c r="H7539" t="n">
        <v>0</v>
      </c>
      <c r="I7539" t="n">
        <v>0</v>
      </c>
      <c r="J7539" t="n">
        <v>0</v>
      </c>
      <c r="K7539" t="n">
        <v>0</v>
      </c>
      <c r="L7539" t="n">
        <v>0</v>
      </c>
      <c r="M7539" t="n">
        <v>0</v>
      </c>
      <c r="N7539" t="n">
        <v>0</v>
      </c>
      <c r="O7539" t="n">
        <v>0</v>
      </c>
      <c r="P7539" t="n">
        <v>0</v>
      </c>
      <c r="Q7539" t="n">
        <v>0</v>
      </c>
      <c r="R7539" s="2" t="inlineStr"/>
    </row>
    <row r="7540" ht="15" customHeight="1">
      <c r="A7540" t="inlineStr">
        <is>
          <t>A 13084-2021</t>
        </is>
      </c>
      <c r="B7540" s="1" t="n">
        <v>44272.37886574074</v>
      </c>
      <c r="C7540" s="1" t="n">
        <v>45911</v>
      </c>
      <c r="D7540" t="inlineStr">
        <is>
          <t>GÄVLEBORGS LÄN</t>
        </is>
      </c>
      <c r="E7540" t="inlineStr">
        <is>
          <t>SANDVIKEN</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64018-2023</t>
        </is>
      </c>
      <c r="B7541" s="1" t="n">
        <v>45278.9264699074</v>
      </c>
      <c r="C7541" s="1" t="n">
        <v>45911</v>
      </c>
      <c r="D7541" t="inlineStr">
        <is>
          <t>GÄVLEBORGS LÄN</t>
        </is>
      </c>
      <c r="E7541" t="inlineStr">
        <is>
          <t>LJUSDAL</t>
        </is>
      </c>
      <c r="G7541" t="n">
        <v>5.4</v>
      </c>
      <c r="H7541" t="n">
        <v>0</v>
      </c>
      <c r="I7541" t="n">
        <v>0</v>
      </c>
      <c r="J7541" t="n">
        <v>0</v>
      </c>
      <c r="K7541" t="n">
        <v>0</v>
      </c>
      <c r="L7541" t="n">
        <v>0</v>
      </c>
      <c r="M7541" t="n">
        <v>0</v>
      </c>
      <c r="N7541" t="n">
        <v>0</v>
      </c>
      <c r="O7541" t="n">
        <v>0</v>
      </c>
      <c r="P7541" t="n">
        <v>0</v>
      </c>
      <c r="Q7541" t="n">
        <v>0</v>
      </c>
      <c r="R7541" s="2" t="inlineStr"/>
    </row>
    <row r="7542" ht="15" customHeight="1">
      <c r="A7542" t="inlineStr">
        <is>
          <t>A 1708-2023</t>
        </is>
      </c>
      <c r="B7542" s="1" t="n">
        <v>44938</v>
      </c>
      <c r="C7542" s="1" t="n">
        <v>45911</v>
      </c>
      <c r="D7542" t="inlineStr">
        <is>
          <t>GÄVLEBORGS LÄN</t>
        </is>
      </c>
      <c r="E7542" t="inlineStr">
        <is>
          <t>NORDANSTIG</t>
        </is>
      </c>
      <c r="F7542" t="inlineStr">
        <is>
          <t>Holmen skog AB</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6370-2025</t>
        </is>
      </c>
      <c r="B7543" s="1" t="n">
        <v>45699.39001157408</v>
      </c>
      <c r="C7543" s="1" t="n">
        <v>45911</v>
      </c>
      <c r="D7543" t="inlineStr">
        <is>
          <t>GÄVLEBORGS LÄN</t>
        </is>
      </c>
      <c r="E7543" t="inlineStr">
        <is>
          <t>GÄVLE</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12393-2025</t>
        </is>
      </c>
      <c r="B7544" s="1" t="n">
        <v>45730.40202546296</v>
      </c>
      <c r="C7544" s="1" t="n">
        <v>45911</v>
      </c>
      <c r="D7544" t="inlineStr">
        <is>
          <t>GÄVLEBORGS LÄN</t>
        </is>
      </c>
      <c r="E7544" t="inlineStr">
        <is>
          <t>HUDIKSVALL</t>
        </is>
      </c>
      <c r="G7544" t="n">
        <v>3.2</v>
      </c>
      <c r="H7544" t="n">
        <v>0</v>
      </c>
      <c r="I7544" t="n">
        <v>0</v>
      </c>
      <c r="J7544" t="n">
        <v>0</v>
      </c>
      <c r="K7544" t="n">
        <v>0</v>
      </c>
      <c r="L7544" t="n">
        <v>0</v>
      </c>
      <c r="M7544" t="n">
        <v>0</v>
      </c>
      <c r="N7544" t="n">
        <v>0</v>
      </c>
      <c r="O7544" t="n">
        <v>0</v>
      </c>
      <c r="P7544" t="n">
        <v>0</v>
      </c>
      <c r="Q7544" t="n">
        <v>0</v>
      </c>
      <c r="R7544" s="2" t="inlineStr"/>
    </row>
    <row r="7545" ht="15" customHeight="1">
      <c r="A7545" t="inlineStr">
        <is>
          <t>A 42937-2022</t>
        </is>
      </c>
      <c r="B7545" s="1" t="n">
        <v>44833</v>
      </c>
      <c r="C7545" s="1" t="n">
        <v>45911</v>
      </c>
      <c r="D7545" t="inlineStr">
        <is>
          <t>GÄVLEBORGS LÄN</t>
        </is>
      </c>
      <c r="E7545" t="inlineStr">
        <is>
          <t>LJUSDAL</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43070-2024</t>
        </is>
      </c>
      <c r="B7546" s="1" t="n">
        <v>45567.47835648148</v>
      </c>
      <c r="C7546" s="1" t="n">
        <v>45911</v>
      </c>
      <c r="D7546" t="inlineStr">
        <is>
          <t>GÄVLEBORGS LÄN</t>
        </is>
      </c>
      <c r="E7546" t="inlineStr">
        <is>
          <t>HUDIKSVALL</t>
        </is>
      </c>
      <c r="G7546" t="n">
        <v>3.7</v>
      </c>
      <c r="H7546" t="n">
        <v>0</v>
      </c>
      <c r="I7546" t="n">
        <v>0</v>
      </c>
      <c r="J7546" t="n">
        <v>0</v>
      </c>
      <c r="K7546" t="n">
        <v>0</v>
      </c>
      <c r="L7546" t="n">
        <v>0</v>
      </c>
      <c r="M7546" t="n">
        <v>0</v>
      </c>
      <c r="N7546" t="n">
        <v>0</v>
      </c>
      <c r="O7546" t="n">
        <v>0</v>
      </c>
      <c r="P7546" t="n">
        <v>0</v>
      </c>
      <c r="Q7546" t="n">
        <v>0</v>
      </c>
      <c r="R7546" s="2" t="inlineStr"/>
    </row>
    <row r="7547" ht="15" customHeight="1">
      <c r="A7547" t="inlineStr">
        <is>
          <t>A 15635-2025</t>
        </is>
      </c>
      <c r="B7547" s="1" t="n">
        <v>45748.3718287037</v>
      </c>
      <c r="C7547" s="1" t="n">
        <v>45911</v>
      </c>
      <c r="D7547" t="inlineStr">
        <is>
          <t>GÄVLEBORGS LÄN</t>
        </is>
      </c>
      <c r="E7547" t="inlineStr">
        <is>
          <t>SÖDERHAMN</t>
        </is>
      </c>
      <c r="F7547" t="inlineStr">
        <is>
          <t>Kommuner</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50620-2023</t>
        </is>
      </c>
      <c r="B7548" s="1" t="n">
        <v>45217.45277777778</v>
      </c>
      <c r="C7548" s="1" t="n">
        <v>45911</v>
      </c>
      <c r="D7548" t="inlineStr">
        <is>
          <t>GÄVLEBORGS LÄN</t>
        </is>
      </c>
      <c r="E7548" t="inlineStr">
        <is>
          <t>OVANÅKER</t>
        </is>
      </c>
      <c r="G7548" t="n">
        <v>3.5</v>
      </c>
      <c r="H7548" t="n">
        <v>0</v>
      </c>
      <c r="I7548" t="n">
        <v>0</v>
      </c>
      <c r="J7548" t="n">
        <v>0</v>
      </c>
      <c r="K7548" t="n">
        <v>0</v>
      </c>
      <c r="L7548" t="n">
        <v>0</v>
      </c>
      <c r="M7548" t="n">
        <v>0</v>
      </c>
      <c r="N7548" t="n">
        <v>0</v>
      </c>
      <c r="O7548" t="n">
        <v>0</v>
      </c>
      <c r="P7548" t="n">
        <v>0</v>
      </c>
      <c r="Q7548" t="n">
        <v>0</v>
      </c>
      <c r="R7548" s="2" t="inlineStr"/>
    </row>
    <row r="7549" ht="15" customHeight="1">
      <c r="A7549" t="inlineStr">
        <is>
          <t>A 19227-2025</t>
        </is>
      </c>
      <c r="B7549" s="1" t="n">
        <v>45769.45020833334</v>
      </c>
      <c r="C7549" s="1" t="n">
        <v>45911</v>
      </c>
      <c r="D7549" t="inlineStr">
        <is>
          <t>GÄVLEBORGS LÄN</t>
        </is>
      </c>
      <c r="E7549" t="inlineStr">
        <is>
          <t>HUDIKSVALL</t>
        </is>
      </c>
      <c r="F7549" t="inlineStr">
        <is>
          <t>Holmen skog AB</t>
        </is>
      </c>
      <c r="G7549" t="n">
        <v>5.3</v>
      </c>
      <c r="H7549" t="n">
        <v>0</v>
      </c>
      <c r="I7549" t="n">
        <v>0</v>
      </c>
      <c r="J7549" t="n">
        <v>0</v>
      </c>
      <c r="K7549" t="n">
        <v>0</v>
      </c>
      <c r="L7549" t="n">
        <v>0</v>
      </c>
      <c r="M7549" t="n">
        <v>0</v>
      </c>
      <c r="N7549" t="n">
        <v>0</v>
      </c>
      <c r="O7549" t="n">
        <v>0</v>
      </c>
      <c r="P7549" t="n">
        <v>0</v>
      </c>
      <c r="Q7549" t="n">
        <v>0</v>
      </c>
      <c r="R7549" s="2" t="inlineStr"/>
    </row>
    <row r="7550" ht="15" customHeight="1">
      <c r="A7550" t="inlineStr">
        <is>
          <t>A 42239-2023</t>
        </is>
      </c>
      <c r="B7550" s="1" t="n">
        <v>45180</v>
      </c>
      <c r="C7550" s="1" t="n">
        <v>45911</v>
      </c>
      <c r="D7550" t="inlineStr">
        <is>
          <t>GÄVLEBORGS LÄN</t>
        </is>
      </c>
      <c r="E7550" t="inlineStr">
        <is>
          <t>HUDIKSVALL</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11006-2025</t>
        </is>
      </c>
      <c r="B7551" s="1" t="n">
        <v>45723.44689814815</v>
      </c>
      <c r="C7551" s="1" t="n">
        <v>45911</v>
      </c>
      <c r="D7551" t="inlineStr">
        <is>
          <t>GÄVLEBORGS LÄN</t>
        </is>
      </c>
      <c r="E7551" t="inlineStr">
        <is>
          <t>BOLLNÄS</t>
        </is>
      </c>
      <c r="F7551" t="inlineStr">
        <is>
          <t>Kyrkan</t>
        </is>
      </c>
      <c r="G7551" t="n">
        <v>2.6</v>
      </c>
      <c r="H7551" t="n">
        <v>0</v>
      </c>
      <c r="I7551" t="n">
        <v>0</v>
      </c>
      <c r="J7551" t="n">
        <v>0</v>
      </c>
      <c r="K7551" t="n">
        <v>0</v>
      </c>
      <c r="L7551" t="n">
        <v>0</v>
      </c>
      <c r="M7551" t="n">
        <v>0</v>
      </c>
      <c r="N7551" t="n">
        <v>0</v>
      </c>
      <c r="O7551" t="n">
        <v>0</v>
      </c>
      <c r="P7551" t="n">
        <v>0</v>
      </c>
      <c r="Q7551" t="n">
        <v>0</v>
      </c>
      <c r="R7551" s="2" t="inlineStr"/>
    </row>
    <row r="7552" ht="15" customHeight="1">
      <c r="A7552" t="inlineStr">
        <is>
          <t>A 54468-2024</t>
        </is>
      </c>
      <c r="B7552" s="1" t="n">
        <v>45617.54085648148</v>
      </c>
      <c r="C7552" s="1" t="n">
        <v>45911</v>
      </c>
      <c r="D7552" t="inlineStr">
        <is>
          <t>GÄVLEBORGS LÄN</t>
        </is>
      </c>
      <c r="E7552" t="inlineStr">
        <is>
          <t>HUDIKSVALL</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51156-2023</t>
        </is>
      </c>
      <c r="B7553" s="1" t="n">
        <v>45212</v>
      </c>
      <c r="C7553" s="1" t="n">
        <v>45911</v>
      </c>
      <c r="D7553" t="inlineStr">
        <is>
          <t>GÄVLEBORGS LÄN</t>
        </is>
      </c>
      <c r="E7553" t="inlineStr">
        <is>
          <t>BOLLNÄS</t>
        </is>
      </c>
      <c r="G7553" t="n">
        <v>2.2</v>
      </c>
      <c r="H7553" t="n">
        <v>0</v>
      </c>
      <c r="I7553" t="n">
        <v>0</v>
      </c>
      <c r="J7553" t="n">
        <v>0</v>
      </c>
      <c r="K7553" t="n">
        <v>0</v>
      </c>
      <c r="L7553" t="n">
        <v>0</v>
      </c>
      <c r="M7553" t="n">
        <v>0</v>
      </c>
      <c r="N7553" t="n">
        <v>0</v>
      </c>
      <c r="O7553" t="n">
        <v>0</v>
      </c>
      <c r="P7553" t="n">
        <v>0</v>
      </c>
      <c r="Q7553" t="n">
        <v>0</v>
      </c>
      <c r="R7553" s="2" t="inlineStr"/>
    </row>
    <row r="7554" ht="15" customHeight="1">
      <c r="A7554" t="inlineStr">
        <is>
          <t>A 10486-2024</t>
        </is>
      </c>
      <c r="B7554" s="1" t="n">
        <v>45366</v>
      </c>
      <c r="C7554" s="1" t="n">
        <v>45911</v>
      </c>
      <c r="D7554" t="inlineStr">
        <is>
          <t>GÄVLEBORGS LÄN</t>
        </is>
      </c>
      <c r="E7554" t="inlineStr">
        <is>
          <t>BOLLNÄS</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22212-2023</t>
        </is>
      </c>
      <c r="B7555" s="1" t="n">
        <v>45069.90076388889</v>
      </c>
      <c r="C7555" s="1" t="n">
        <v>45911</v>
      </c>
      <c r="D7555" t="inlineStr">
        <is>
          <t>GÄVLEBORGS LÄN</t>
        </is>
      </c>
      <c r="E7555" t="inlineStr">
        <is>
          <t>SÖDERHAMN</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54690-2024</t>
        </is>
      </c>
      <c r="B7556" s="1" t="n">
        <v>45618.37921296297</v>
      </c>
      <c r="C7556" s="1" t="n">
        <v>45911</v>
      </c>
      <c r="D7556" t="inlineStr">
        <is>
          <t>GÄVLEBORGS LÄN</t>
        </is>
      </c>
      <c r="E7556" t="inlineStr">
        <is>
          <t>HUDIKSVALL</t>
        </is>
      </c>
      <c r="F7556" t="inlineStr">
        <is>
          <t>Holmen skog AB</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23118-2024</t>
        </is>
      </c>
      <c r="B7557" s="1" t="n">
        <v>45450</v>
      </c>
      <c r="C7557" s="1" t="n">
        <v>45911</v>
      </c>
      <c r="D7557" t="inlineStr">
        <is>
          <t>GÄVLEBORGS LÄN</t>
        </is>
      </c>
      <c r="E7557" t="inlineStr">
        <is>
          <t>BOLLNÄS</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21346-2024</t>
        </is>
      </c>
      <c r="B7558" s="1" t="n">
        <v>45440.92872685185</v>
      </c>
      <c r="C7558" s="1" t="n">
        <v>45911</v>
      </c>
      <c r="D7558" t="inlineStr">
        <is>
          <t>GÄVLEBORGS LÄN</t>
        </is>
      </c>
      <c r="E7558" t="inlineStr">
        <is>
          <t>LJUSDAL</t>
        </is>
      </c>
      <c r="G7558" t="n">
        <v>2.5</v>
      </c>
      <c r="H7558" t="n">
        <v>0</v>
      </c>
      <c r="I7558" t="n">
        <v>0</v>
      </c>
      <c r="J7558" t="n">
        <v>0</v>
      </c>
      <c r="K7558" t="n">
        <v>0</v>
      </c>
      <c r="L7558" t="n">
        <v>0</v>
      </c>
      <c r="M7558" t="n">
        <v>0</v>
      </c>
      <c r="N7558" t="n">
        <v>0</v>
      </c>
      <c r="O7558" t="n">
        <v>0</v>
      </c>
      <c r="P7558" t="n">
        <v>0</v>
      </c>
      <c r="Q7558" t="n">
        <v>0</v>
      </c>
      <c r="R7558" s="2" t="inlineStr"/>
    </row>
    <row r="7559" ht="15" customHeight="1">
      <c r="A7559" t="inlineStr">
        <is>
          <t>A 15935-2025</t>
        </is>
      </c>
      <c r="B7559" s="1" t="n">
        <v>45749</v>
      </c>
      <c r="C7559" s="1" t="n">
        <v>45911</v>
      </c>
      <c r="D7559" t="inlineStr">
        <is>
          <t>GÄVLEBORGS LÄN</t>
        </is>
      </c>
      <c r="E7559" t="inlineStr">
        <is>
          <t>GÄVLE</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37360-2024</t>
        </is>
      </c>
      <c r="B7560" s="1" t="n">
        <v>45540</v>
      </c>
      <c r="C7560" s="1" t="n">
        <v>45911</v>
      </c>
      <c r="D7560" t="inlineStr">
        <is>
          <t>GÄVLEBORGS LÄN</t>
        </is>
      </c>
      <c r="E7560" t="inlineStr">
        <is>
          <t>BOLLNÄS</t>
        </is>
      </c>
      <c r="F7560" t="inlineStr">
        <is>
          <t>Bergvik skog väst AB</t>
        </is>
      </c>
      <c r="G7560" t="n">
        <v>8.1</v>
      </c>
      <c r="H7560" t="n">
        <v>0</v>
      </c>
      <c r="I7560" t="n">
        <v>0</v>
      </c>
      <c r="J7560" t="n">
        <v>0</v>
      </c>
      <c r="K7560" t="n">
        <v>0</v>
      </c>
      <c r="L7560" t="n">
        <v>0</v>
      </c>
      <c r="M7560" t="n">
        <v>0</v>
      </c>
      <c r="N7560" t="n">
        <v>0</v>
      </c>
      <c r="O7560" t="n">
        <v>0</v>
      </c>
      <c r="P7560" t="n">
        <v>0</v>
      </c>
      <c r="Q7560" t="n">
        <v>0</v>
      </c>
      <c r="R7560" s="2" t="inlineStr"/>
    </row>
    <row r="7561" ht="15" customHeight="1">
      <c r="A7561" t="inlineStr">
        <is>
          <t>A 37367-2024</t>
        </is>
      </c>
      <c r="B7561" s="1" t="n">
        <v>45540.56363425926</v>
      </c>
      <c r="C7561" s="1" t="n">
        <v>45911</v>
      </c>
      <c r="D7561" t="inlineStr">
        <is>
          <t>GÄVLEBORGS LÄN</t>
        </is>
      </c>
      <c r="E7561" t="inlineStr">
        <is>
          <t>SANDVIKEN</t>
        </is>
      </c>
      <c r="G7561" t="n">
        <v>0.5</v>
      </c>
      <c r="H7561" t="n">
        <v>0</v>
      </c>
      <c r="I7561" t="n">
        <v>0</v>
      </c>
      <c r="J7561" t="n">
        <v>0</v>
      </c>
      <c r="K7561" t="n">
        <v>0</v>
      </c>
      <c r="L7561" t="n">
        <v>0</v>
      </c>
      <c r="M7561" t="n">
        <v>0</v>
      </c>
      <c r="N7561" t="n">
        <v>0</v>
      </c>
      <c r="O7561" t="n">
        <v>0</v>
      </c>
      <c r="P7561" t="n">
        <v>0</v>
      </c>
      <c r="Q7561" t="n">
        <v>0</v>
      </c>
      <c r="R7561" s="2" t="inlineStr"/>
    </row>
    <row r="7562" ht="15" customHeight="1">
      <c r="A7562" t="inlineStr">
        <is>
          <t>A 45241-2024</t>
        </is>
      </c>
      <c r="B7562" s="1" t="n">
        <v>45575.95956018518</v>
      </c>
      <c r="C7562" s="1" t="n">
        <v>45911</v>
      </c>
      <c r="D7562" t="inlineStr">
        <is>
          <t>GÄVLEBORGS LÄN</t>
        </is>
      </c>
      <c r="E7562" t="inlineStr">
        <is>
          <t>LJUSDAL</t>
        </is>
      </c>
      <c r="F7562" t="inlineStr">
        <is>
          <t>Sveaskog</t>
        </is>
      </c>
      <c r="G7562" t="n">
        <v>14.4</v>
      </c>
      <c r="H7562" t="n">
        <v>0</v>
      </c>
      <c r="I7562" t="n">
        <v>0</v>
      </c>
      <c r="J7562" t="n">
        <v>0</v>
      </c>
      <c r="K7562" t="n">
        <v>0</v>
      </c>
      <c r="L7562" t="n">
        <v>0</v>
      </c>
      <c r="M7562" t="n">
        <v>0</v>
      </c>
      <c r="N7562" t="n">
        <v>0</v>
      </c>
      <c r="O7562" t="n">
        <v>0</v>
      </c>
      <c r="P7562" t="n">
        <v>0</v>
      </c>
      <c r="Q7562" t="n">
        <v>0</v>
      </c>
      <c r="R7562" s="2" t="inlineStr"/>
    </row>
    <row r="7563" ht="15" customHeight="1">
      <c r="A7563" t="inlineStr">
        <is>
          <t>A 62926-2023</t>
        </is>
      </c>
      <c r="B7563" s="1" t="n">
        <v>45272</v>
      </c>
      <c r="C7563" s="1" t="n">
        <v>45911</v>
      </c>
      <c r="D7563" t="inlineStr">
        <is>
          <t>GÄVLEBORGS LÄN</t>
        </is>
      </c>
      <c r="E7563" t="inlineStr">
        <is>
          <t>HUDIKSVALL</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33591-2021</t>
        </is>
      </c>
      <c r="B7564" s="1" t="n">
        <v>44378</v>
      </c>
      <c r="C7564" s="1" t="n">
        <v>45911</v>
      </c>
      <c r="D7564" t="inlineStr">
        <is>
          <t>GÄVLEBORGS LÄN</t>
        </is>
      </c>
      <c r="E7564" t="inlineStr">
        <is>
          <t>HUDIKSVALL</t>
        </is>
      </c>
      <c r="F7564" t="inlineStr">
        <is>
          <t>Kyrkan</t>
        </is>
      </c>
      <c r="G7564" t="n">
        <v>16.5</v>
      </c>
      <c r="H7564" t="n">
        <v>0</v>
      </c>
      <c r="I7564" t="n">
        <v>0</v>
      </c>
      <c r="J7564" t="n">
        <v>0</v>
      </c>
      <c r="K7564" t="n">
        <v>0</v>
      </c>
      <c r="L7564" t="n">
        <v>0</v>
      </c>
      <c r="M7564" t="n">
        <v>0</v>
      </c>
      <c r="N7564" t="n">
        <v>0</v>
      </c>
      <c r="O7564" t="n">
        <v>0</v>
      </c>
      <c r="P7564" t="n">
        <v>0</v>
      </c>
      <c r="Q7564" t="n">
        <v>0</v>
      </c>
      <c r="R7564" s="2" t="inlineStr"/>
    </row>
    <row r="7565" ht="15" customHeight="1">
      <c r="A7565" t="inlineStr">
        <is>
          <t>A 9139-2025</t>
        </is>
      </c>
      <c r="B7565" s="1" t="n">
        <v>45714.29621527778</v>
      </c>
      <c r="C7565" s="1" t="n">
        <v>45911</v>
      </c>
      <c r="D7565" t="inlineStr">
        <is>
          <t>GÄVLEBORGS LÄN</t>
        </is>
      </c>
      <c r="E7565" t="inlineStr">
        <is>
          <t>LJUSDAL</t>
        </is>
      </c>
      <c r="G7565" t="n">
        <v>5.2</v>
      </c>
      <c r="H7565" t="n">
        <v>0</v>
      </c>
      <c r="I7565" t="n">
        <v>0</v>
      </c>
      <c r="J7565" t="n">
        <v>0</v>
      </c>
      <c r="K7565" t="n">
        <v>0</v>
      </c>
      <c r="L7565" t="n">
        <v>0</v>
      </c>
      <c r="M7565" t="n">
        <v>0</v>
      </c>
      <c r="N7565" t="n">
        <v>0</v>
      </c>
      <c r="O7565" t="n">
        <v>0</v>
      </c>
      <c r="P7565" t="n">
        <v>0</v>
      </c>
      <c r="Q7565" t="n">
        <v>0</v>
      </c>
      <c r="R7565" s="2" t="inlineStr"/>
    </row>
    <row r="7566" ht="15" customHeight="1">
      <c r="A7566" t="inlineStr">
        <is>
          <t>A 57751-2024</t>
        </is>
      </c>
      <c r="B7566" s="1" t="n">
        <v>45630.82424768519</v>
      </c>
      <c r="C7566" s="1" t="n">
        <v>45911</v>
      </c>
      <c r="D7566" t="inlineStr">
        <is>
          <t>GÄVLEBORGS LÄN</t>
        </is>
      </c>
      <c r="E7566" t="inlineStr">
        <is>
          <t>HOFORS</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2556-2025</t>
        </is>
      </c>
      <c r="B7567" s="1" t="n">
        <v>45674.64923611111</v>
      </c>
      <c r="C7567" s="1" t="n">
        <v>45911</v>
      </c>
      <c r="D7567" t="inlineStr">
        <is>
          <t>GÄVLEBORGS LÄN</t>
        </is>
      </c>
      <c r="E7567" t="inlineStr">
        <is>
          <t>OCKELBO</t>
        </is>
      </c>
      <c r="G7567" t="n">
        <v>2.5</v>
      </c>
      <c r="H7567" t="n">
        <v>0</v>
      </c>
      <c r="I7567" t="n">
        <v>0</v>
      </c>
      <c r="J7567" t="n">
        <v>0</v>
      </c>
      <c r="K7567" t="n">
        <v>0</v>
      </c>
      <c r="L7567" t="n">
        <v>0</v>
      </c>
      <c r="M7567" t="n">
        <v>0</v>
      </c>
      <c r="N7567" t="n">
        <v>0</v>
      </c>
      <c r="O7567" t="n">
        <v>0</v>
      </c>
      <c r="P7567" t="n">
        <v>0</v>
      </c>
      <c r="Q7567" t="n">
        <v>0</v>
      </c>
      <c r="R7567" s="2" t="inlineStr"/>
    </row>
    <row r="7568" ht="15" customHeight="1">
      <c r="A7568" t="inlineStr">
        <is>
          <t>A 14574-2025</t>
        </is>
      </c>
      <c r="B7568" s="1" t="n">
        <v>45741</v>
      </c>
      <c r="C7568" s="1" t="n">
        <v>45911</v>
      </c>
      <c r="D7568" t="inlineStr">
        <is>
          <t>GÄVLEBORGS LÄN</t>
        </is>
      </c>
      <c r="E7568" t="inlineStr">
        <is>
          <t>OVANÅKER</t>
        </is>
      </c>
      <c r="G7568" t="n">
        <v>3.8</v>
      </c>
      <c r="H7568" t="n">
        <v>0</v>
      </c>
      <c r="I7568" t="n">
        <v>0</v>
      </c>
      <c r="J7568" t="n">
        <v>0</v>
      </c>
      <c r="K7568" t="n">
        <v>0</v>
      </c>
      <c r="L7568" t="n">
        <v>0</v>
      </c>
      <c r="M7568" t="n">
        <v>0</v>
      </c>
      <c r="N7568" t="n">
        <v>0</v>
      </c>
      <c r="O7568" t="n">
        <v>0</v>
      </c>
      <c r="P7568" t="n">
        <v>0</v>
      </c>
      <c r="Q7568" t="n">
        <v>0</v>
      </c>
      <c r="R7568" s="2" t="inlineStr"/>
    </row>
    <row r="7569" ht="15" customHeight="1">
      <c r="A7569" t="inlineStr">
        <is>
          <t>A 4685-2025</t>
        </is>
      </c>
      <c r="B7569" s="1" t="n">
        <v>45688.29756944445</v>
      </c>
      <c r="C7569" s="1" t="n">
        <v>45911</v>
      </c>
      <c r="D7569" t="inlineStr">
        <is>
          <t>GÄVLEBORGS LÄN</t>
        </is>
      </c>
      <c r="E7569" t="inlineStr">
        <is>
          <t>OVANÅKER</t>
        </is>
      </c>
      <c r="G7569" t="n">
        <v>3.2</v>
      </c>
      <c r="H7569" t="n">
        <v>0</v>
      </c>
      <c r="I7569" t="n">
        <v>0</v>
      </c>
      <c r="J7569" t="n">
        <v>0</v>
      </c>
      <c r="K7569" t="n">
        <v>0</v>
      </c>
      <c r="L7569" t="n">
        <v>0</v>
      </c>
      <c r="M7569" t="n">
        <v>0</v>
      </c>
      <c r="N7569" t="n">
        <v>0</v>
      </c>
      <c r="O7569" t="n">
        <v>0</v>
      </c>
      <c r="P7569" t="n">
        <v>0</v>
      </c>
      <c r="Q7569" t="n">
        <v>0</v>
      </c>
      <c r="R7569" s="2" t="inlineStr"/>
    </row>
    <row r="7570" ht="15" customHeight="1">
      <c r="A7570" t="inlineStr">
        <is>
          <t>A 57886-2024</t>
        </is>
      </c>
      <c r="B7570" s="1" t="n">
        <v>45631.46252314815</v>
      </c>
      <c r="C7570" s="1" t="n">
        <v>45911</v>
      </c>
      <c r="D7570" t="inlineStr">
        <is>
          <t>GÄVLEBORGS LÄN</t>
        </is>
      </c>
      <c r="E7570" t="inlineStr">
        <is>
          <t>LJUSDAL</t>
        </is>
      </c>
      <c r="G7570" t="n">
        <v>2.9</v>
      </c>
      <c r="H7570" t="n">
        <v>0</v>
      </c>
      <c r="I7570" t="n">
        <v>0</v>
      </c>
      <c r="J7570" t="n">
        <v>0</v>
      </c>
      <c r="K7570" t="n">
        <v>0</v>
      </c>
      <c r="L7570" t="n">
        <v>0</v>
      </c>
      <c r="M7570" t="n">
        <v>0</v>
      </c>
      <c r="N7570" t="n">
        <v>0</v>
      </c>
      <c r="O7570" t="n">
        <v>0</v>
      </c>
      <c r="P7570" t="n">
        <v>0</v>
      </c>
      <c r="Q7570" t="n">
        <v>0</v>
      </c>
      <c r="R7570" s="2" t="inlineStr"/>
    </row>
    <row r="7571" ht="15" customHeight="1">
      <c r="A7571" t="inlineStr">
        <is>
          <t>A 53604-2023</t>
        </is>
      </c>
      <c r="B7571" s="1" t="n">
        <v>45230.56694444444</v>
      </c>
      <c r="C7571" s="1" t="n">
        <v>45911</v>
      </c>
      <c r="D7571" t="inlineStr">
        <is>
          <t>GÄVLEBORGS LÄN</t>
        </is>
      </c>
      <c r="E7571" t="inlineStr">
        <is>
          <t>OVANÅKER</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7699-2025</t>
        </is>
      </c>
      <c r="B7572" s="1" t="n">
        <v>45706</v>
      </c>
      <c r="C7572" s="1" t="n">
        <v>45911</v>
      </c>
      <c r="D7572" t="inlineStr">
        <is>
          <t>GÄVLEBORGS LÄN</t>
        </is>
      </c>
      <c r="E7572" t="inlineStr">
        <is>
          <t>SANDVIKEN</t>
        </is>
      </c>
      <c r="F7572" t="inlineStr">
        <is>
          <t>Kommuner</t>
        </is>
      </c>
      <c r="G7572" t="n">
        <v>8.199999999999999</v>
      </c>
      <c r="H7572" t="n">
        <v>0</v>
      </c>
      <c r="I7572" t="n">
        <v>0</v>
      </c>
      <c r="J7572" t="n">
        <v>0</v>
      </c>
      <c r="K7572" t="n">
        <v>0</v>
      </c>
      <c r="L7572" t="n">
        <v>0</v>
      </c>
      <c r="M7572" t="n">
        <v>0</v>
      </c>
      <c r="N7572" t="n">
        <v>0</v>
      </c>
      <c r="O7572" t="n">
        <v>0</v>
      </c>
      <c r="P7572" t="n">
        <v>0</v>
      </c>
      <c r="Q7572" t="n">
        <v>0</v>
      </c>
      <c r="R7572" s="2" t="inlineStr"/>
    </row>
    <row r="7573" ht="15" customHeight="1">
      <c r="A7573" t="inlineStr">
        <is>
          <t>A 56898-2023</t>
        </is>
      </c>
      <c r="B7573" s="1" t="n">
        <v>45244.5674537037</v>
      </c>
      <c r="C7573" s="1" t="n">
        <v>45911</v>
      </c>
      <c r="D7573" t="inlineStr">
        <is>
          <t>GÄVLEBORGS LÄN</t>
        </is>
      </c>
      <c r="E7573" t="inlineStr">
        <is>
          <t>HUDIKSVALL</t>
        </is>
      </c>
      <c r="F7573" t="inlineStr">
        <is>
          <t>Holmen skog AB</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20670-2022</t>
        </is>
      </c>
      <c r="B7574" s="1" t="n">
        <v>44700.65533564815</v>
      </c>
      <c r="C7574" s="1" t="n">
        <v>45911</v>
      </c>
      <c r="D7574" t="inlineStr">
        <is>
          <t>GÄVLEBORGS LÄN</t>
        </is>
      </c>
      <c r="E7574" t="inlineStr">
        <is>
          <t>HUDIKSVALL</t>
        </is>
      </c>
      <c r="F7574" t="inlineStr">
        <is>
          <t>Holmen skog AB</t>
        </is>
      </c>
      <c r="G7574" t="n">
        <v>11.9</v>
      </c>
      <c r="H7574" t="n">
        <v>0</v>
      </c>
      <c r="I7574" t="n">
        <v>0</v>
      </c>
      <c r="J7574" t="n">
        <v>0</v>
      </c>
      <c r="K7574" t="n">
        <v>0</v>
      </c>
      <c r="L7574" t="n">
        <v>0</v>
      </c>
      <c r="M7574" t="n">
        <v>0</v>
      </c>
      <c r="N7574" t="n">
        <v>0</v>
      </c>
      <c r="O7574" t="n">
        <v>0</v>
      </c>
      <c r="P7574" t="n">
        <v>0</v>
      </c>
      <c r="Q7574" t="n">
        <v>0</v>
      </c>
      <c r="R7574" s="2" t="inlineStr"/>
    </row>
    <row r="7575" ht="15" customHeight="1">
      <c r="A7575" t="inlineStr">
        <is>
          <t>A 28446-2024</t>
        </is>
      </c>
      <c r="B7575" s="1" t="n">
        <v>45477.67075231481</v>
      </c>
      <c r="C7575" s="1" t="n">
        <v>45911</v>
      </c>
      <c r="D7575" t="inlineStr">
        <is>
          <t>GÄVLEBORGS LÄN</t>
        </is>
      </c>
      <c r="E7575" t="inlineStr">
        <is>
          <t>OVANÅKER</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59511-2022</t>
        </is>
      </c>
      <c r="B7576" s="1" t="n">
        <v>44907</v>
      </c>
      <c r="C7576" s="1" t="n">
        <v>45911</v>
      </c>
      <c r="D7576" t="inlineStr">
        <is>
          <t>GÄVLEBORGS LÄN</t>
        </is>
      </c>
      <c r="E7576" t="inlineStr">
        <is>
          <t>OVANÅKER</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435-2024</t>
        </is>
      </c>
      <c r="B7577" s="1" t="n">
        <v>45296</v>
      </c>
      <c r="C7577" s="1" t="n">
        <v>45911</v>
      </c>
      <c r="D7577" t="inlineStr">
        <is>
          <t>GÄVLEBORGS LÄN</t>
        </is>
      </c>
      <c r="E7577" t="inlineStr">
        <is>
          <t>SÖDERHAMN</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461-2024</t>
        </is>
      </c>
      <c r="B7578" s="1" t="n">
        <v>45297</v>
      </c>
      <c r="C7578" s="1" t="n">
        <v>45911</v>
      </c>
      <c r="D7578" t="inlineStr">
        <is>
          <t>GÄVLEBORGS LÄN</t>
        </is>
      </c>
      <c r="E7578" t="inlineStr">
        <is>
          <t>HUDIKSVALL</t>
        </is>
      </c>
      <c r="G7578" t="n">
        <v>43.2</v>
      </c>
      <c r="H7578" t="n">
        <v>0</v>
      </c>
      <c r="I7578" t="n">
        <v>0</v>
      </c>
      <c r="J7578" t="n">
        <v>0</v>
      </c>
      <c r="K7578" t="n">
        <v>0</v>
      </c>
      <c r="L7578" t="n">
        <v>0</v>
      </c>
      <c r="M7578" t="n">
        <v>0</v>
      </c>
      <c r="N7578" t="n">
        <v>0</v>
      </c>
      <c r="O7578" t="n">
        <v>0</v>
      </c>
      <c r="P7578" t="n">
        <v>0</v>
      </c>
      <c r="Q7578" t="n">
        <v>0</v>
      </c>
      <c r="R7578" s="2" t="inlineStr"/>
    </row>
    <row r="7579" ht="15" customHeight="1">
      <c r="A7579" t="inlineStr">
        <is>
          <t>A 59799-2022</t>
        </is>
      </c>
      <c r="B7579" s="1" t="n">
        <v>44908.56585648148</v>
      </c>
      <c r="C7579" s="1" t="n">
        <v>45911</v>
      </c>
      <c r="D7579" t="inlineStr">
        <is>
          <t>GÄVLEBORGS LÄN</t>
        </is>
      </c>
      <c r="E7579" t="inlineStr">
        <is>
          <t>NORDANSTIG</t>
        </is>
      </c>
      <c r="F7579" t="inlineStr">
        <is>
          <t>Holmen skog AB</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29929-2022</t>
        </is>
      </c>
      <c r="B7580" s="1" t="n">
        <v>44756.57740740741</v>
      </c>
      <c r="C7580" s="1" t="n">
        <v>45911</v>
      </c>
      <c r="D7580" t="inlineStr">
        <is>
          <t>GÄVLEBORGS LÄN</t>
        </is>
      </c>
      <c r="E7580" t="inlineStr">
        <is>
          <t>GÄVLE</t>
        </is>
      </c>
      <c r="G7580" t="n">
        <v>2</v>
      </c>
      <c r="H7580" t="n">
        <v>0</v>
      </c>
      <c r="I7580" t="n">
        <v>0</v>
      </c>
      <c r="J7580" t="n">
        <v>0</v>
      </c>
      <c r="K7580" t="n">
        <v>0</v>
      </c>
      <c r="L7580" t="n">
        <v>0</v>
      </c>
      <c r="M7580" t="n">
        <v>0</v>
      </c>
      <c r="N7580" t="n">
        <v>0</v>
      </c>
      <c r="O7580" t="n">
        <v>0</v>
      </c>
      <c r="P7580" t="n">
        <v>0</v>
      </c>
      <c r="Q7580" t="n">
        <v>0</v>
      </c>
      <c r="R7580" s="2" t="inlineStr"/>
    </row>
    <row r="7581" ht="15" customHeight="1">
      <c r="A7581" t="inlineStr">
        <is>
          <t>A 29972-2022</t>
        </is>
      </c>
      <c r="B7581" s="1" t="n">
        <v>44756.68119212963</v>
      </c>
      <c r="C7581" s="1" t="n">
        <v>45911</v>
      </c>
      <c r="D7581" t="inlineStr">
        <is>
          <t>GÄVLEBORGS LÄN</t>
        </is>
      </c>
      <c r="E7581" t="inlineStr">
        <is>
          <t>SANDVIKEN</t>
        </is>
      </c>
      <c r="G7581" t="n">
        <v>2.9</v>
      </c>
      <c r="H7581" t="n">
        <v>0</v>
      </c>
      <c r="I7581" t="n">
        <v>0</v>
      </c>
      <c r="J7581" t="n">
        <v>0</v>
      </c>
      <c r="K7581" t="n">
        <v>0</v>
      </c>
      <c r="L7581" t="n">
        <v>0</v>
      </c>
      <c r="M7581" t="n">
        <v>0</v>
      </c>
      <c r="N7581" t="n">
        <v>0</v>
      </c>
      <c r="O7581" t="n">
        <v>0</v>
      </c>
      <c r="P7581" t="n">
        <v>0</v>
      </c>
      <c r="Q7581" t="n">
        <v>0</v>
      </c>
      <c r="R7581" s="2" t="inlineStr"/>
    </row>
    <row r="7582" ht="15" customHeight="1">
      <c r="A7582" t="inlineStr">
        <is>
          <t>A 41801-2023</t>
        </is>
      </c>
      <c r="B7582" s="1" t="n">
        <v>45176.50149305556</v>
      </c>
      <c r="C7582" s="1" t="n">
        <v>45911</v>
      </c>
      <c r="D7582" t="inlineStr">
        <is>
          <t>GÄVLEBORGS LÄN</t>
        </is>
      </c>
      <c r="E7582" t="inlineStr">
        <is>
          <t>OVANÅKER</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45284-2023</t>
        </is>
      </c>
      <c r="B7583" s="1" t="n">
        <v>45191.64744212963</v>
      </c>
      <c r="C7583" s="1" t="n">
        <v>45911</v>
      </c>
      <c r="D7583" t="inlineStr">
        <is>
          <t>GÄVLEBORGS LÄN</t>
        </is>
      </c>
      <c r="E7583" t="inlineStr">
        <is>
          <t>SANDVIKEN</t>
        </is>
      </c>
      <c r="G7583" t="n">
        <v>3.1</v>
      </c>
      <c r="H7583" t="n">
        <v>0</v>
      </c>
      <c r="I7583" t="n">
        <v>0</v>
      </c>
      <c r="J7583" t="n">
        <v>0</v>
      </c>
      <c r="K7583" t="n">
        <v>0</v>
      </c>
      <c r="L7583" t="n">
        <v>0</v>
      </c>
      <c r="M7583" t="n">
        <v>0</v>
      </c>
      <c r="N7583" t="n">
        <v>0</v>
      </c>
      <c r="O7583" t="n">
        <v>0</v>
      </c>
      <c r="P7583" t="n">
        <v>0</v>
      </c>
      <c r="Q7583" t="n">
        <v>0</v>
      </c>
      <c r="R7583" s="2" t="inlineStr"/>
    </row>
    <row r="7584" ht="15" customHeight="1">
      <c r="A7584" t="inlineStr">
        <is>
          <t>A 3464-2023</t>
        </is>
      </c>
      <c r="B7584" s="1" t="n">
        <v>44949.65045138889</v>
      </c>
      <c r="C7584" s="1" t="n">
        <v>45911</v>
      </c>
      <c r="D7584" t="inlineStr">
        <is>
          <t>GÄVLEBORGS LÄN</t>
        </is>
      </c>
      <c r="E7584" t="inlineStr">
        <is>
          <t>LJUSDAL</t>
        </is>
      </c>
      <c r="G7584" t="n">
        <v>18.6</v>
      </c>
      <c r="H7584" t="n">
        <v>0</v>
      </c>
      <c r="I7584" t="n">
        <v>0</v>
      </c>
      <c r="J7584" t="n">
        <v>0</v>
      </c>
      <c r="K7584" t="n">
        <v>0</v>
      </c>
      <c r="L7584" t="n">
        <v>0</v>
      </c>
      <c r="M7584" t="n">
        <v>0</v>
      </c>
      <c r="N7584" t="n">
        <v>0</v>
      </c>
      <c r="O7584" t="n">
        <v>0</v>
      </c>
      <c r="P7584" t="n">
        <v>0</v>
      </c>
      <c r="Q7584" t="n">
        <v>0</v>
      </c>
      <c r="R7584" s="2" t="inlineStr"/>
    </row>
    <row r="7585" ht="15" customHeight="1">
      <c r="A7585" t="inlineStr">
        <is>
          <t>A 29532-2024</t>
        </is>
      </c>
      <c r="B7585" s="1" t="n">
        <v>45484.48097222222</v>
      </c>
      <c r="C7585" s="1" t="n">
        <v>45911</v>
      </c>
      <c r="D7585" t="inlineStr">
        <is>
          <t>GÄVLEBORGS LÄN</t>
        </is>
      </c>
      <c r="E7585" t="inlineStr">
        <is>
          <t>NORDANSTIG</t>
        </is>
      </c>
      <c r="F7585" t="inlineStr">
        <is>
          <t>Holmen skog AB</t>
        </is>
      </c>
      <c r="G7585" t="n">
        <v>3.4</v>
      </c>
      <c r="H7585" t="n">
        <v>0</v>
      </c>
      <c r="I7585" t="n">
        <v>0</v>
      </c>
      <c r="J7585" t="n">
        <v>0</v>
      </c>
      <c r="K7585" t="n">
        <v>0</v>
      </c>
      <c r="L7585" t="n">
        <v>0</v>
      </c>
      <c r="M7585" t="n">
        <v>0</v>
      </c>
      <c r="N7585" t="n">
        <v>0</v>
      </c>
      <c r="O7585" t="n">
        <v>0</v>
      </c>
      <c r="P7585" t="n">
        <v>0</v>
      </c>
      <c r="Q7585" t="n">
        <v>0</v>
      </c>
      <c r="R7585" s="2" t="inlineStr"/>
    </row>
    <row r="7586" ht="15" customHeight="1">
      <c r="A7586" t="inlineStr">
        <is>
          <t>A 59063-2023</t>
        </is>
      </c>
      <c r="B7586" s="1" t="n">
        <v>45252.81868055555</v>
      </c>
      <c r="C7586" s="1" t="n">
        <v>45911</v>
      </c>
      <c r="D7586" t="inlineStr">
        <is>
          <t>GÄVLEBORGS LÄN</t>
        </is>
      </c>
      <c r="E7586" t="inlineStr">
        <is>
          <t>OCKELBO</t>
        </is>
      </c>
      <c r="G7586" t="n">
        <v>2.3</v>
      </c>
      <c r="H7586" t="n">
        <v>0</v>
      </c>
      <c r="I7586" t="n">
        <v>0</v>
      </c>
      <c r="J7586" t="n">
        <v>0</v>
      </c>
      <c r="K7586" t="n">
        <v>0</v>
      </c>
      <c r="L7586" t="n">
        <v>0</v>
      </c>
      <c r="M7586" t="n">
        <v>0</v>
      </c>
      <c r="N7586" t="n">
        <v>0</v>
      </c>
      <c r="O7586" t="n">
        <v>0</v>
      </c>
      <c r="P7586" t="n">
        <v>0</v>
      </c>
      <c r="Q7586" t="n">
        <v>0</v>
      </c>
      <c r="R7586" s="2" t="inlineStr"/>
    </row>
    <row r="7587" ht="15" customHeight="1">
      <c r="A7587" t="inlineStr">
        <is>
          <t>A 35504-2024</t>
        </is>
      </c>
      <c r="B7587" s="1" t="n">
        <v>45531.53686342593</v>
      </c>
      <c r="C7587" s="1" t="n">
        <v>45911</v>
      </c>
      <c r="D7587" t="inlineStr">
        <is>
          <t>GÄVLEBORGS LÄN</t>
        </is>
      </c>
      <c r="E7587" t="inlineStr">
        <is>
          <t>HOFORS</t>
        </is>
      </c>
      <c r="F7587" t="inlineStr">
        <is>
          <t>Sveaskog</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32631-2024</t>
        </is>
      </c>
      <c r="B7588" s="1" t="n">
        <v>45513.87604166667</v>
      </c>
      <c r="C7588" s="1" t="n">
        <v>45911</v>
      </c>
      <c r="D7588" t="inlineStr">
        <is>
          <t>GÄVLEBORGS LÄN</t>
        </is>
      </c>
      <c r="E7588" t="inlineStr">
        <is>
          <t>HUDIKSVALL</t>
        </is>
      </c>
      <c r="F7588" t="inlineStr">
        <is>
          <t>Holmen skog AB</t>
        </is>
      </c>
      <c r="G7588" t="n">
        <v>3.5</v>
      </c>
      <c r="H7588" t="n">
        <v>0</v>
      </c>
      <c r="I7588" t="n">
        <v>0</v>
      </c>
      <c r="J7588" t="n">
        <v>0</v>
      </c>
      <c r="K7588" t="n">
        <v>0</v>
      </c>
      <c r="L7588" t="n">
        <v>0</v>
      </c>
      <c r="M7588" t="n">
        <v>0</v>
      </c>
      <c r="N7588" t="n">
        <v>0</v>
      </c>
      <c r="O7588" t="n">
        <v>0</v>
      </c>
      <c r="P7588" t="n">
        <v>0</v>
      </c>
      <c r="Q7588" t="n">
        <v>0</v>
      </c>
      <c r="R7588" s="2" t="inlineStr"/>
    </row>
    <row r="7589" ht="15" customHeight="1">
      <c r="A7589" t="inlineStr">
        <is>
          <t>A 35225-2024</t>
        </is>
      </c>
      <c r="B7589" s="1" t="n">
        <v>45530.51480324074</v>
      </c>
      <c r="C7589" s="1" t="n">
        <v>45911</v>
      </c>
      <c r="D7589" t="inlineStr">
        <is>
          <t>GÄVLEBORGS LÄN</t>
        </is>
      </c>
      <c r="E7589" t="inlineStr">
        <is>
          <t>GÄVLE</t>
        </is>
      </c>
      <c r="G7589" t="n">
        <v>2.6</v>
      </c>
      <c r="H7589" t="n">
        <v>0</v>
      </c>
      <c r="I7589" t="n">
        <v>0</v>
      </c>
      <c r="J7589" t="n">
        <v>0</v>
      </c>
      <c r="K7589" t="n">
        <v>0</v>
      </c>
      <c r="L7589" t="n">
        <v>0</v>
      </c>
      <c r="M7589" t="n">
        <v>0</v>
      </c>
      <c r="N7589" t="n">
        <v>0</v>
      </c>
      <c r="O7589" t="n">
        <v>0</v>
      </c>
      <c r="P7589" t="n">
        <v>0</v>
      </c>
      <c r="Q7589" t="n">
        <v>0</v>
      </c>
      <c r="R7589" s="2" t="inlineStr"/>
    </row>
    <row r="7590" ht="15" customHeight="1">
      <c r="A7590" t="inlineStr">
        <is>
          <t>A 30953-2024</t>
        </is>
      </c>
      <c r="B7590" s="1" t="n">
        <v>45499.41650462963</v>
      </c>
      <c r="C7590" s="1" t="n">
        <v>45911</v>
      </c>
      <c r="D7590" t="inlineStr">
        <is>
          <t>GÄVLEBORGS LÄN</t>
        </is>
      </c>
      <c r="E7590" t="inlineStr">
        <is>
          <t>SANDVIKEN</t>
        </is>
      </c>
      <c r="G7590" t="n">
        <v>6</v>
      </c>
      <c r="H7590" t="n">
        <v>0</v>
      </c>
      <c r="I7590" t="n">
        <v>0</v>
      </c>
      <c r="J7590" t="n">
        <v>0</v>
      </c>
      <c r="K7590" t="n">
        <v>0</v>
      </c>
      <c r="L7590" t="n">
        <v>0</v>
      </c>
      <c r="M7590" t="n">
        <v>0</v>
      </c>
      <c r="N7590" t="n">
        <v>0</v>
      </c>
      <c r="O7590" t="n">
        <v>0</v>
      </c>
      <c r="P7590" t="n">
        <v>0</v>
      </c>
      <c r="Q7590" t="n">
        <v>0</v>
      </c>
      <c r="R7590" s="2" t="inlineStr"/>
    </row>
    <row r="7591" ht="15" customHeight="1">
      <c r="A7591" t="inlineStr">
        <is>
          <t>A 32686-2024</t>
        </is>
      </c>
      <c r="B7591" s="1" t="n">
        <v>45515.68230324074</v>
      </c>
      <c r="C7591" s="1" t="n">
        <v>45911</v>
      </c>
      <c r="D7591" t="inlineStr">
        <is>
          <t>GÄVLEBORGS LÄN</t>
        </is>
      </c>
      <c r="E7591" t="inlineStr">
        <is>
          <t>OVANÅKER</t>
        </is>
      </c>
      <c r="G7591" t="n">
        <v>3.6</v>
      </c>
      <c r="H7591" t="n">
        <v>0</v>
      </c>
      <c r="I7591" t="n">
        <v>0</v>
      </c>
      <c r="J7591" t="n">
        <v>0</v>
      </c>
      <c r="K7591" t="n">
        <v>0</v>
      </c>
      <c r="L7591" t="n">
        <v>0</v>
      </c>
      <c r="M7591" t="n">
        <v>0</v>
      </c>
      <c r="N7591" t="n">
        <v>0</v>
      </c>
      <c r="O7591" t="n">
        <v>0</v>
      </c>
      <c r="P7591" t="n">
        <v>0</v>
      </c>
      <c r="Q7591" t="n">
        <v>0</v>
      </c>
      <c r="R7591" s="2" t="inlineStr"/>
    </row>
    <row r="7592" ht="15" customHeight="1">
      <c r="A7592" t="inlineStr">
        <is>
          <t>A 31117-2024</t>
        </is>
      </c>
      <c r="B7592" s="1" t="n">
        <v>45502.57020833333</v>
      </c>
      <c r="C7592" s="1" t="n">
        <v>45911</v>
      </c>
      <c r="D7592" t="inlineStr">
        <is>
          <t>GÄVLEBORGS LÄN</t>
        </is>
      </c>
      <c r="E7592" t="inlineStr">
        <is>
          <t>HUDIKSVALL</t>
        </is>
      </c>
      <c r="F7592" t="inlineStr">
        <is>
          <t>Holmen skog AB</t>
        </is>
      </c>
      <c r="G7592" t="n">
        <v>10.9</v>
      </c>
      <c r="H7592" t="n">
        <v>0</v>
      </c>
      <c r="I7592" t="n">
        <v>0</v>
      </c>
      <c r="J7592" t="n">
        <v>0</v>
      </c>
      <c r="K7592" t="n">
        <v>0</v>
      </c>
      <c r="L7592" t="n">
        <v>0</v>
      </c>
      <c r="M7592" t="n">
        <v>0</v>
      </c>
      <c r="N7592" t="n">
        <v>0</v>
      </c>
      <c r="O7592" t="n">
        <v>0</v>
      </c>
      <c r="P7592" t="n">
        <v>0</v>
      </c>
      <c r="Q7592" t="n">
        <v>0</v>
      </c>
      <c r="R7592" s="2" t="inlineStr"/>
    </row>
    <row r="7593" ht="15" customHeight="1">
      <c r="A7593" t="inlineStr">
        <is>
          <t>A 31119-2024</t>
        </is>
      </c>
      <c r="B7593" s="1" t="n">
        <v>45502.57400462963</v>
      </c>
      <c r="C7593" s="1" t="n">
        <v>45911</v>
      </c>
      <c r="D7593" t="inlineStr">
        <is>
          <t>GÄVLEBORGS LÄN</t>
        </is>
      </c>
      <c r="E7593" t="inlineStr">
        <is>
          <t>HUDIKSVALL</t>
        </is>
      </c>
      <c r="F7593" t="inlineStr">
        <is>
          <t>Holmen skog AB</t>
        </is>
      </c>
      <c r="G7593" t="n">
        <v>3.1</v>
      </c>
      <c r="H7593" t="n">
        <v>0</v>
      </c>
      <c r="I7593" t="n">
        <v>0</v>
      </c>
      <c r="J7593" t="n">
        <v>0</v>
      </c>
      <c r="K7593" t="n">
        <v>0</v>
      </c>
      <c r="L7593" t="n">
        <v>0</v>
      </c>
      <c r="M7593" t="n">
        <v>0</v>
      </c>
      <c r="N7593" t="n">
        <v>0</v>
      </c>
      <c r="O7593" t="n">
        <v>0</v>
      </c>
      <c r="P7593" t="n">
        <v>0</v>
      </c>
      <c r="Q7593" t="n">
        <v>0</v>
      </c>
      <c r="R7593" s="2" t="inlineStr"/>
    </row>
    <row r="7594" ht="15" customHeight="1">
      <c r="A7594" t="inlineStr">
        <is>
          <t>A 36525-2024</t>
        </is>
      </c>
      <c r="B7594" s="1" t="n">
        <v>45537.43836805555</v>
      </c>
      <c r="C7594" s="1" t="n">
        <v>45911</v>
      </c>
      <c r="D7594" t="inlineStr">
        <is>
          <t>GÄVLEBORGS LÄN</t>
        </is>
      </c>
      <c r="E7594" t="inlineStr">
        <is>
          <t>NORDANSTIG</t>
        </is>
      </c>
      <c r="F7594" t="inlineStr">
        <is>
          <t>Holmen skog AB</t>
        </is>
      </c>
      <c r="G7594" t="n">
        <v>2.6</v>
      </c>
      <c r="H7594" t="n">
        <v>0</v>
      </c>
      <c r="I7594" t="n">
        <v>0</v>
      </c>
      <c r="J7594" t="n">
        <v>0</v>
      </c>
      <c r="K7594" t="n">
        <v>0</v>
      </c>
      <c r="L7594" t="n">
        <v>0</v>
      </c>
      <c r="M7594" t="n">
        <v>0</v>
      </c>
      <c r="N7594" t="n">
        <v>0</v>
      </c>
      <c r="O7594" t="n">
        <v>0</v>
      </c>
      <c r="P7594" t="n">
        <v>0</v>
      </c>
      <c r="Q7594" t="n">
        <v>0</v>
      </c>
      <c r="R7594" s="2" t="inlineStr"/>
    </row>
    <row r="7595" ht="15" customHeight="1">
      <c r="A7595" t="inlineStr">
        <is>
          <t>A 35646-2024</t>
        </is>
      </c>
      <c r="B7595" s="1" t="n">
        <v>45532</v>
      </c>
      <c r="C7595" s="1" t="n">
        <v>45911</v>
      </c>
      <c r="D7595" t="inlineStr">
        <is>
          <t>GÄVLEBORGS LÄN</t>
        </is>
      </c>
      <c r="E7595" t="inlineStr">
        <is>
          <t>SANDVIKEN</t>
        </is>
      </c>
      <c r="G7595" t="n">
        <v>6.8</v>
      </c>
      <c r="H7595" t="n">
        <v>0</v>
      </c>
      <c r="I7595" t="n">
        <v>0</v>
      </c>
      <c r="J7595" t="n">
        <v>0</v>
      </c>
      <c r="K7595" t="n">
        <v>0</v>
      </c>
      <c r="L7595" t="n">
        <v>0</v>
      </c>
      <c r="M7595" t="n">
        <v>0</v>
      </c>
      <c r="N7595" t="n">
        <v>0</v>
      </c>
      <c r="O7595" t="n">
        <v>0</v>
      </c>
      <c r="P7595" t="n">
        <v>0</v>
      </c>
      <c r="Q7595" t="n">
        <v>0</v>
      </c>
      <c r="R7595" s="2" t="inlineStr"/>
    </row>
    <row r="7596" ht="15" customHeight="1">
      <c r="A7596" t="inlineStr">
        <is>
          <t>A 3942-2023</t>
        </is>
      </c>
      <c r="B7596" s="1" t="n">
        <v>44952</v>
      </c>
      <c r="C7596" s="1" t="n">
        <v>45911</v>
      </c>
      <c r="D7596" t="inlineStr">
        <is>
          <t>GÄVLEBORGS LÄN</t>
        </is>
      </c>
      <c r="E7596" t="inlineStr">
        <is>
          <t>HUDIKSVALL</t>
        </is>
      </c>
      <c r="G7596" t="n">
        <v>1.9</v>
      </c>
      <c r="H7596" t="n">
        <v>0</v>
      </c>
      <c r="I7596" t="n">
        <v>0</v>
      </c>
      <c r="J7596" t="n">
        <v>0</v>
      </c>
      <c r="K7596" t="n">
        <v>0</v>
      </c>
      <c r="L7596" t="n">
        <v>0</v>
      </c>
      <c r="M7596" t="n">
        <v>0</v>
      </c>
      <c r="N7596" t="n">
        <v>0</v>
      </c>
      <c r="O7596" t="n">
        <v>0</v>
      </c>
      <c r="P7596" t="n">
        <v>0</v>
      </c>
      <c r="Q7596" t="n">
        <v>0</v>
      </c>
      <c r="R7596" s="2" t="inlineStr"/>
    </row>
    <row r="7597" ht="15" customHeight="1">
      <c r="A7597" t="inlineStr">
        <is>
          <t>A 4605-2023</t>
        </is>
      </c>
      <c r="B7597" s="1" t="n">
        <v>44956.92472222223</v>
      </c>
      <c r="C7597" s="1" t="n">
        <v>45911</v>
      </c>
      <c r="D7597" t="inlineStr">
        <is>
          <t>GÄVLEBORGS LÄN</t>
        </is>
      </c>
      <c r="E7597" t="inlineStr">
        <is>
          <t>HUDIKSVALL</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57260-2023</t>
        </is>
      </c>
      <c r="B7598" s="1" t="n">
        <v>45239</v>
      </c>
      <c r="C7598" s="1" t="n">
        <v>45911</v>
      </c>
      <c r="D7598" t="inlineStr">
        <is>
          <t>GÄVLEBORGS LÄN</t>
        </is>
      </c>
      <c r="E7598" t="inlineStr">
        <is>
          <t>BOLLNÄS</t>
        </is>
      </c>
      <c r="F7598" t="inlineStr">
        <is>
          <t>Kommuner</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4686-2023</t>
        </is>
      </c>
      <c r="B7599" s="1" t="n">
        <v>44957.46049768518</v>
      </c>
      <c r="C7599" s="1" t="n">
        <v>45911</v>
      </c>
      <c r="D7599" t="inlineStr">
        <is>
          <t>GÄVLEBORGS LÄN</t>
        </is>
      </c>
      <c r="E7599" t="inlineStr">
        <is>
          <t>LJUSDAL</t>
        </is>
      </c>
      <c r="F7599" t="inlineStr">
        <is>
          <t>Holmen skog AB</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10150-2023</t>
        </is>
      </c>
      <c r="B7600" s="1" t="n">
        <v>44986</v>
      </c>
      <c r="C7600" s="1" t="n">
        <v>45911</v>
      </c>
      <c r="D7600" t="inlineStr">
        <is>
          <t>GÄVLEBORGS LÄN</t>
        </is>
      </c>
      <c r="E7600" t="inlineStr">
        <is>
          <t>OCKELBO</t>
        </is>
      </c>
      <c r="G7600" t="n">
        <v>3.2</v>
      </c>
      <c r="H7600" t="n">
        <v>0</v>
      </c>
      <c r="I7600" t="n">
        <v>0</v>
      </c>
      <c r="J7600" t="n">
        <v>0</v>
      </c>
      <c r="K7600" t="n">
        <v>0</v>
      </c>
      <c r="L7600" t="n">
        <v>0</v>
      </c>
      <c r="M7600" t="n">
        <v>0</v>
      </c>
      <c r="N7600" t="n">
        <v>0</v>
      </c>
      <c r="O7600" t="n">
        <v>0</v>
      </c>
      <c r="P7600" t="n">
        <v>0</v>
      </c>
      <c r="Q7600" t="n">
        <v>0</v>
      </c>
      <c r="R7600" s="2" t="inlineStr"/>
    </row>
    <row r="7601" ht="15" customHeight="1">
      <c r="A7601" t="inlineStr">
        <is>
          <t>A 10190-2023</t>
        </is>
      </c>
      <c r="B7601" s="1" t="n">
        <v>44986</v>
      </c>
      <c r="C7601" s="1" t="n">
        <v>45911</v>
      </c>
      <c r="D7601" t="inlineStr">
        <is>
          <t>GÄVLEBORGS LÄN</t>
        </is>
      </c>
      <c r="E7601" t="inlineStr">
        <is>
          <t>HUDIKSVALL</t>
        </is>
      </c>
      <c r="G7601" t="n">
        <v>2.2</v>
      </c>
      <c r="H7601" t="n">
        <v>0</v>
      </c>
      <c r="I7601" t="n">
        <v>0</v>
      </c>
      <c r="J7601" t="n">
        <v>0</v>
      </c>
      <c r="K7601" t="n">
        <v>0</v>
      </c>
      <c r="L7601" t="n">
        <v>0</v>
      </c>
      <c r="M7601" t="n">
        <v>0</v>
      </c>
      <c r="N7601" t="n">
        <v>0</v>
      </c>
      <c r="O7601" t="n">
        <v>0</v>
      </c>
      <c r="P7601" t="n">
        <v>0</v>
      </c>
      <c r="Q7601" t="n">
        <v>0</v>
      </c>
      <c r="R7601" s="2" t="inlineStr"/>
    </row>
    <row r="7602" ht="15" customHeight="1">
      <c r="A7602" t="inlineStr">
        <is>
          <t>A 1377-2022</t>
        </is>
      </c>
      <c r="B7602" s="1" t="n">
        <v>44573</v>
      </c>
      <c r="C7602" s="1" t="n">
        <v>45911</v>
      </c>
      <c r="D7602" t="inlineStr">
        <is>
          <t>GÄVLEBORGS LÄN</t>
        </is>
      </c>
      <c r="E7602" t="inlineStr">
        <is>
          <t>HUDIKSVALL</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6331-2022</t>
        </is>
      </c>
      <c r="B7603" s="1" t="n">
        <v>44600</v>
      </c>
      <c r="C7603" s="1" t="n">
        <v>45911</v>
      </c>
      <c r="D7603" t="inlineStr">
        <is>
          <t>GÄVLEBORGS LÄN</t>
        </is>
      </c>
      <c r="E7603" t="inlineStr">
        <is>
          <t>GÄVLE</t>
        </is>
      </c>
      <c r="F7603" t="inlineStr">
        <is>
          <t>Kyrkan</t>
        </is>
      </c>
      <c r="G7603" t="n">
        <v>3.5</v>
      </c>
      <c r="H7603" t="n">
        <v>0</v>
      </c>
      <c r="I7603" t="n">
        <v>0</v>
      </c>
      <c r="J7603" t="n">
        <v>0</v>
      </c>
      <c r="K7603" t="n">
        <v>0</v>
      </c>
      <c r="L7603" t="n">
        <v>0</v>
      </c>
      <c r="M7603" t="n">
        <v>0</v>
      </c>
      <c r="N7603" t="n">
        <v>0</v>
      </c>
      <c r="O7603" t="n">
        <v>0</v>
      </c>
      <c r="P7603" t="n">
        <v>0</v>
      </c>
      <c r="Q7603" t="n">
        <v>0</v>
      </c>
      <c r="R7603" s="2" t="inlineStr"/>
    </row>
    <row r="7604" ht="15" customHeight="1">
      <c r="A7604" t="inlineStr">
        <is>
          <t>A 59422-2022</t>
        </is>
      </c>
      <c r="B7604" s="1" t="n">
        <v>44907.35174768518</v>
      </c>
      <c r="C7604" s="1" t="n">
        <v>45911</v>
      </c>
      <c r="D7604" t="inlineStr">
        <is>
          <t>GÄVLEBORGS LÄN</t>
        </is>
      </c>
      <c r="E7604" t="inlineStr">
        <is>
          <t>NORDANSTIG</t>
        </is>
      </c>
      <c r="F7604" t="inlineStr">
        <is>
          <t>Holmen skog AB</t>
        </is>
      </c>
      <c r="G7604" t="n">
        <v>2.7</v>
      </c>
      <c r="H7604" t="n">
        <v>0</v>
      </c>
      <c r="I7604" t="n">
        <v>0</v>
      </c>
      <c r="J7604" t="n">
        <v>0</v>
      </c>
      <c r="K7604" t="n">
        <v>0</v>
      </c>
      <c r="L7604" t="n">
        <v>0</v>
      </c>
      <c r="M7604" t="n">
        <v>0</v>
      </c>
      <c r="N7604" t="n">
        <v>0</v>
      </c>
      <c r="O7604" t="n">
        <v>0</v>
      </c>
      <c r="P7604" t="n">
        <v>0</v>
      </c>
      <c r="Q7604" t="n">
        <v>0</v>
      </c>
      <c r="R7604" s="2" t="inlineStr"/>
    </row>
    <row r="7605" ht="15" customHeight="1">
      <c r="A7605" t="inlineStr">
        <is>
          <t>A 56455-2022</t>
        </is>
      </c>
      <c r="B7605" s="1" t="n">
        <v>44893.31280092592</v>
      </c>
      <c r="C7605" s="1" t="n">
        <v>45911</v>
      </c>
      <c r="D7605" t="inlineStr">
        <is>
          <t>GÄVLEBORGS LÄN</t>
        </is>
      </c>
      <c r="E7605" t="inlineStr">
        <is>
          <t>OVANÅKER</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8698-2024</t>
        </is>
      </c>
      <c r="B7606" s="1" t="n">
        <v>45356.37516203704</v>
      </c>
      <c r="C7606" s="1" t="n">
        <v>45911</v>
      </c>
      <c r="D7606" t="inlineStr">
        <is>
          <t>GÄVLEBORGS LÄN</t>
        </is>
      </c>
      <c r="E7606" t="inlineStr">
        <is>
          <t>SANDVIKEN</t>
        </is>
      </c>
      <c r="G7606" t="n">
        <v>2.7</v>
      </c>
      <c r="H7606" t="n">
        <v>0</v>
      </c>
      <c r="I7606" t="n">
        <v>0</v>
      </c>
      <c r="J7606" t="n">
        <v>0</v>
      </c>
      <c r="K7606" t="n">
        <v>0</v>
      </c>
      <c r="L7606" t="n">
        <v>0</v>
      </c>
      <c r="M7606" t="n">
        <v>0</v>
      </c>
      <c r="N7606" t="n">
        <v>0</v>
      </c>
      <c r="O7606" t="n">
        <v>0</v>
      </c>
      <c r="P7606" t="n">
        <v>0</v>
      </c>
      <c r="Q7606" t="n">
        <v>0</v>
      </c>
      <c r="R7606" s="2" t="inlineStr"/>
    </row>
    <row r="7607" ht="15" customHeight="1">
      <c r="A7607" t="inlineStr">
        <is>
          <t>A 60500-2022</t>
        </is>
      </c>
      <c r="B7607" s="1" t="n">
        <v>44911</v>
      </c>
      <c r="C7607" s="1" t="n">
        <v>45911</v>
      </c>
      <c r="D7607" t="inlineStr">
        <is>
          <t>GÄVLEBORGS LÄN</t>
        </is>
      </c>
      <c r="E7607" t="inlineStr">
        <is>
          <t>HUDIKSVALL</t>
        </is>
      </c>
      <c r="F7607" t="inlineStr">
        <is>
          <t>Holmen skog AB</t>
        </is>
      </c>
      <c r="G7607" t="n">
        <v>1.9</v>
      </c>
      <c r="H7607" t="n">
        <v>0</v>
      </c>
      <c r="I7607" t="n">
        <v>0</v>
      </c>
      <c r="J7607" t="n">
        <v>0</v>
      </c>
      <c r="K7607" t="n">
        <v>0</v>
      </c>
      <c r="L7607" t="n">
        <v>0</v>
      </c>
      <c r="M7607" t="n">
        <v>0</v>
      </c>
      <c r="N7607" t="n">
        <v>0</v>
      </c>
      <c r="O7607" t="n">
        <v>0</v>
      </c>
      <c r="P7607" t="n">
        <v>0</v>
      </c>
      <c r="Q7607" t="n">
        <v>0</v>
      </c>
      <c r="R7607" s="2" t="inlineStr"/>
    </row>
    <row r="7608" ht="15" customHeight="1">
      <c r="A7608" t="inlineStr">
        <is>
          <t>A 32827-2024</t>
        </is>
      </c>
      <c r="B7608" s="1" t="n">
        <v>45516.59273148148</v>
      </c>
      <c r="C7608" s="1" t="n">
        <v>45911</v>
      </c>
      <c r="D7608" t="inlineStr">
        <is>
          <t>GÄVLEBORGS LÄN</t>
        </is>
      </c>
      <c r="E7608" t="inlineStr">
        <is>
          <t>HOFORS</t>
        </is>
      </c>
      <c r="F7608" t="inlineStr">
        <is>
          <t>Sveaskog</t>
        </is>
      </c>
      <c r="G7608" t="n">
        <v>8.5</v>
      </c>
      <c r="H7608" t="n">
        <v>0</v>
      </c>
      <c r="I7608" t="n">
        <v>0</v>
      </c>
      <c r="J7608" t="n">
        <v>0</v>
      </c>
      <c r="K7608" t="n">
        <v>0</v>
      </c>
      <c r="L7608" t="n">
        <v>0</v>
      </c>
      <c r="M7608" t="n">
        <v>0</v>
      </c>
      <c r="N7608" t="n">
        <v>0</v>
      </c>
      <c r="O7608" t="n">
        <v>0</v>
      </c>
      <c r="P7608" t="n">
        <v>0</v>
      </c>
      <c r="Q7608" t="n">
        <v>0</v>
      </c>
      <c r="R7608" s="2" t="inlineStr"/>
    </row>
    <row r="7609" ht="15" customHeight="1">
      <c r="A7609" t="inlineStr">
        <is>
          <t>A 62056-2022</t>
        </is>
      </c>
      <c r="B7609" s="1" t="n">
        <v>44918</v>
      </c>
      <c r="C7609" s="1" t="n">
        <v>45911</v>
      </c>
      <c r="D7609" t="inlineStr">
        <is>
          <t>GÄVLEBORGS LÄN</t>
        </is>
      </c>
      <c r="E7609" t="inlineStr">
        <is>
          <t>SANDVIKEN</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10326-2023</t>
        </is>
      </c>
      <c r="B7610" s="1" t="n">
        <v>44987.31462962963</v>
      </c>
      <c r="C7610" s="1" t="n">
        <v>45911</v>
      </c>
      <c r="D7610" t="inlineStr">
        <is>
          <t>GÄVLEBORGS LÄN</t>
        </is>
      </c>
      <c r="E7610" t="inlineStr">
        <is>
          <t>OCKELBO</t>
        </is>
      </c>
      <c r="G7610" t="n">
        <v>1.9</v>
      </c>
      <c r="H7610" t="n">
        <v>0</v>
      </c>
      <c r="I7610" t="n">
        <v>0</v>
      </c>
      <c r="J7610" t="n">
        <v>0</v>
      </c>
      <c r="K7610" t="n">
        <v>0</v>
      </c>
      <c r="L7610" t="n">
        <v>0</v>
      </c>
      <c r="M7610" t="n">
        <v>0</v>
      </c>
      <c r="N7610" t="n">
        <v>0</v>
      </c>
      <c r="O7610" t="n">
        <v>0</v>
      </c>
      <c r="P7610" t="n">
        <v>0</v>
      </c>
      <c r="Q7610" t="n">
        <v>0</v>
      </c>
      <c r="R7610" s="2" t="inlineStr"/>
    </row>
    <row r="7611" ht="15" customHeight="1">
      <c r="A7611" t="inlineStr">
        <is>
          <t>A 10332-2023</t>
        </is>
      </c>
      <c r="B7611" s="1" t="n">
        <v>44987</v>
      </c>
      <c r="C7611" s="1" t="n">
        <v>45911</v>
      </c>
      <c r="D7611" t="inlineStr">
        <is>
          <t>GÄVLEBORGS LÄN</t>
        </is>
      </c>
      <c r="E7611" t="inlineStr">
        <is>
          <t>HUDIKSVALL</t>
        </is>
      </c>
      <c r="F7611" t="inlineStr">
        <is>
          <t>Holmen skog AB</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44227-2024</t>
        </is>
      </c>
      <c r="B7612" s="1" t="n">
        <v>45573.39623842593</v>
      </c>
      <c r="C7612" s="1" t="n">
        <v>45911</v>
      </c>
      <c r="D7612" t="inlineStr">
        <is>
          <t>GÄVLEBORGS LÄN</t>
        </is>
      </c>
      <c r="E7612" t="inlineStr">
        <is>
          <t>HUDIKSVALL</t>
        </is>
      </c>
      <c r="G7612" t="n">
        <v>2.7</v>
      </c>
      <c r="H7612" t="n">
        <v>0</v>
      </c>
      <c r="I7612" t="n">
        <v>0</v>
      </c>
      <c r="J7612" t="n">
        <v>0</v>
      </c>
      <c r="K7612" t="n">
        <v>0</v>
      </c>
      <c r="L7612" t="n">
        <v>0</v>
      </c>
      <c r="M7612" t="n">
        <v>0</v>
      </c>
      <c r="N7612" t="n">
        <v>0</v>
      </c>
      <c r="O7612" t="n">
        <v>0</v>
      </c>
      <c r="P7612" t="n">
        <v>0</v>
      </c>
      <c r="Q7612" t="n">
        <v>0</v>
      </c>
      <c r="R7612" s="2" t="inlineStr"/>
    </row>
    <row r="7613" ht="15" customHeight="1">
      <c r="A7613" t="inlineStr">
        <is>
          <t>A 41191-2024</t>
        </is>
      </c>
      <c r="B7613" s="1" t="n">
        <v>45559.50726851852</v>
      </c>
      <c r="C7613" s="1" t="n">
        <v>45911</v>
      </c>
      <c r="D7613" t="inlineStr">
        <is>
          <t>GÄVLEBORGS LÄN</t>
        </is>
      </c>
      <c r="E7613" t="inlineStr">
        <is>
          <t>HUDIKSVALL</t>
        </is>
      </c>
      <c r="F7613" t="inlineStr">
        <is>
          <t>Holmen skog AB</t>
        </is>
      </c>
      <c r="G7613" t="n">
        <v>15.7</v>
      </c>
      <c r="H7613" t="n">
        <v>0</v>
      </c>
      <c r="I7613" t="n">
        <v>0</v>
      </c>
      <c r="J7613" t="n">
        <v>0</v>
      </c>
      <c r="K7613" t="n">
        <v>0</v>
      </c>
      <c r="L7613" t="n">
        <v>0</v>
      </c>
      <c r="M7613" t="n">
        <v>0</v>
      </c>
      <c r="N7613" t="n">
        <v>0</v>
      </c>
      <c r="O7613" t="n">
        <v>0</v>
      </c>
      <c r="P7613" t="n">
        <v>0</v>
      </c>
      <c r="Q7613" t="n">
        <v>0</v>
      </c>
      <c r="R7613" s="2" t="inlineStr"/>
    </row>
    <row r="7614" ht="15" customHeight="1">
      <c r="A7614" t="inlineStr">
        <is>
          <t>A 23657-2023</t>
        </is>
      </c>
      <c r="B7614" s="1" t="n">
        <v>45077.56275462963</v>
      </c>
      <c r="C7614" s="1" t="n">
        <v>45911</v>
      </c>
      <c r="D7614" t="inlineStr">
        <is>
          <t>GÄVLEBORGS LÄN</t>
        </is>
      </c>
      <c r="E7614" t="inlineStr">
        <is>
          <t>HUDIKSVALL</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57387-2024</t>
        </is>
      </c>
      <c r="B7615" s="1" t="n">
        <v>45629.68421296297</v>
      </c>
      <c r="C7615" s="1" t="n">
        <v>45911</v>
      </c>
      <c r="D7615" t="inlineStr">
        <is>
          <t>GÄVLEBORGS LÄN</t>
        </is>
      </c>
      <c r="E7615" t="inlineStr">
        <is>
          <t>BOLLNÄS</t>
        </is>
      </c>
      <c r="G7615" t="n">
        <v>0.4</v>
      </c>
      <c r="H7615" t="n">
        <v>0</v>
      </c>
      <c r="I7615" t="n">
        <v>0</v>
      </c>
      <c r="J7615" t="n">
        <v>0</v>
      </c>
      <c r="K7615" t="n">
        <v>0</v>
      </c>
      <c r="L7615" t="n">
        <v>0</v>
      </c>
      <c r="M7615" t="n">
        <v>0</v>
      </c>
      <c r="N7615" t="n">
        <v>0</v>
      </c>
      <c r="O7615" t="n">
        <v>0</v>
      </c>
      <c r="P7615" t="n">
        <v>0</v>
      </c>
      <c r="Q7615" t="n">
        <v>0</v>
      </c>
      <c r="R7615" s="2" t="inlineStr"/>
    </row>
    <row r="7616" ht="15" customHeight="1">
      <c r="A7616" t="inlineStr">
        <is>
          <t>A 37845-2024</t>
        </is>
      </c>
      <c r="B7616" s="1" t="n">
        <v>45544.3700462963</v>
      </c>
      <c r="C7616" s="1" t="n">
        <v>45911</v>
      </c>
      <c r="D7616" t="inlineStr">
        <is>
          <t>GÄVLEBORGS LÄN</t>
        </is>
      </c>
      <c r="E7616" t="inlineStr">
        <is>
          <t>OCKELBO</t>
        </is>
      </c>
      <c r="G7616" t="n">
        <v>5.1</v>
      </c>
      <c r="H7616" t="n">
        <v>0</v>
      </c>
      <c r="I7616" t="n">
        <v>0</v>
      </c>
      <c r="J7616" t="n">
        <v>0</v>
      </c>
      <c r="K7616" t="n">
        <v>0</v>
      </c>
      <c r="L7616" t="n">
        <v>0</v>
      </c>
      <c r="M7616" t="n">
        <v>0</v>
      </c>
      <c r="N7616" t="n">
        <v>0</v>
      </c>
      <c r="O7616" t="n">
        <v>0</v>
      </c>
      <c r="P7616" t="n">
        <v>0</v>
      </c>
      <c r="Q7616" t="n">
        <v>0</v>
      </c>
      <c r="R7616" s="2" t="inlineStr"/>
    </row>
    <row r="7617" ht="15" customHeight="1">
      <c r="A7617" t="inlineStr">
        <is>
          <t>A 40000-2021</t>
        </is>
      </c>
      <c r="B7617" s="1" t="n">
        <v>44418.36865740741</v>
      </c>
      <c r="C7617" s="1" t="n">
        <v>45911</v>
      </c>
      <c r="D7617" t="inlineStr">
        <is>
          <t>GÄVLEBORGS LÄN</t>
        </is>
      </c>
      <c r="E7617" t="inlineStr">
        <is>
          <t>LJUSDAL</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53815-2022</t>
        </is>
      </c>
      <c r="B7618" s="1" t="n">
        <v>44880</v>
      </c>
      <c r="C7618" s="1" t="n">
        <v>45911</v>
      </c>
      <c r="D7618" t="inlineStr">
        <is>
          <t>GÄVLEBORGS LÄN</t>
        </is>
      </c>
      <c r="E7618" t="inlineStr">
        <is>
          <t>BOLLNÄS</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7569-2023</t>
        </is>
      </c>
      <c r="B7619" s="1" t="n">
        <v>44972</v>
      </c>
      <c r="C7619" s="1" t="n">
        <v>45911</v>
      </c>
      <c r="D7619" t="inlineStr">
        <is>
          <t>GÄVLEBORGS LÄN</t>
        </is>
      </c>
      <c r="E7619" t="inlineStr">
        <is>
          <t>LJUSDAL</t>
        </is>
      </c>
      <c r="F7619" t="inlineStr">
        <is>
          <t>Kommuner</t>
        </is>
      </c>
      <c r="G7619" t="n">
        <v>6.9</v>
      </c>
      <c r="H7619" t="n">
        <v>0</v>
      </c>
      <c r="I7619" t="n">
        <v>0</v>
      </c>
      <c r="J7619" t="n">
        <v>0</v>
      </c>
      <c r="K7619" t="n">
        <v>0</v>
      </c>
      <c r="L7619" t="n">
        <v>0</v>
      </c>
      <c r="M7619" t="n">
        <v>0</v>
      </c>
      <c r="N7619" t="n">
        <v>0</v>
      </c>
      <c r="O7619" t="n">
        <v>0</v>
      </c>
      <c r="P7619" t="n">
        <v>0</v>
      </c>
      <c r="Q7619" t="n">
        <v>0</v>
      </c>
      <c r="R7619" s="2" t="inlineStr"/>
    </row>
    <row r="7620" ht="15" customHeight="1">
      <c r="A7620" t="inlineStr">
        <is>
          <t>A 1809-2023</t>
        </is>
      </c>
      <c r="B7620" s="1" t="n">
        <v>44938.64925925926</v>
      </c>
      <c r="C7620" s="1" t="n">
        <v>45911</v>
      </c>
      <c r="D7620" t="inlineStr">
        <is>
          <t>GÄVLEBORGS LÄN</t>
        </is>
      </c>
      <c r="E7620" t="inlineStr">
        <is>
          <t>HUDIKSVALL</t>
        </is>
      </c>
      <c r="F7620" t="inlineStr">
        <is>
          <t>Holmen skog AB</t>
        </is>
      </c>
      <c r="G7620" t="n">
        <v>3.3</v>
      </c>
      <c r="H7620" t="n">
        <v>0</v>
      </c>
      <c r="I7620" t="n">
        <v>0</v>
      </c>
      <c r="J7620" t="n">
        <v>0</v>
      </c>
      <c r="K7620" t="n">
        <v>0</v>
      </c>
      <c r="L7620" t="n">
        <v>0</v>
      </c>
      <c r="M7620" t="n">
        <v>0</v>
      </c>
      <c r="N7620" t="n">
        <v>0</v>
      </c>
      <c r="O7620" t="n">
        <v>0</v>
      </c>
      <c r="P7620" t="n">
        <v>0</v>
      </c>
      <c r="Q7620" t="n">
        <v>0</v>
      </c>
      <c r="R7620" s="2" t="inlineStr"/>
    </row>
    <row r="7621" ht="15" customHeight="1">
      <c r="A7621" t="inlineStr">
        <is>
          <t>A 10537-2025</t>
        </is>
      </c>
      <c r="B7621" s="1" t="n">
        <v>45721</v>
      </c>
      <c r="C7621" s="1" t="n">
        <v>45911</v>
      </c>
      <c r="D7621" t="inlineStr">
        <is>
          <t>GÄVLEBORGS LÄN</t>
        </is>
      </c>
      <c r="E7621" t="inlineStr">
        <is>
          <t>HUDIKSVALL</t>
        </is>
      </c>
      <c r="F7621" t="inlineStr">
        <is>
          <t>Holmen skog AB</t>
        </is>
      </c>
      <c r="G7621" t="n">
        <v>2.1</v>
      </c>
      <c r="H7621" t="n">
        <v>0</v>
      </c>
      <c r="I7621" t="n">
        <v>0</v>
      </c>
      <c r="J7621" t="n">
        <v>0</v>
      </c>
      <c r="K7621" t="n">
        <v>0</v>
      </c>
      <c r="L7621" t="n">
        <v>0</v>
      </c>
      <c r="M7621" t="n">
        <v>0</v>
      </c>
      <c r="N7621" t="n">
        <v>0</v>
      </c>
      <c r="O7621" t="n">
        <v>0</v>
      </c>
      <c r="P7621" t="n">
        <v>0</v>
      </c>
      <c r="Q7621" t="n">
        <v>0</v>
      </c>
      <c r="R7621" s="2" t="inlineStr"/>
    </row>
    <row r="7622" ht="15" customHeight="1">
      <c r="A7622" t="inlineStr">
        <is>
          <t>A 55182-2023</t>
        </is>
      </c>
      <c r="B7622" s="1" t="n">
        <v>45230</v>
      </c>
      <c r="C7622" s="1" t="n">
        <v>45911</v>
      </c>
      <c r="D7622" t="inlineStr">
        <is>
          <t>GÄVLEBORGS LÄN</t>
        </is>
      </c>
      <c r="E7622" t="inlineStr">
        <is>
          <t>HUDIKSVALL</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16820-2025</t>
        </is>
      </c>
      <c r="B7623" s="1" t="n">
        <v>45754.64225694445</v>
      </c>
      <c r="C7623" s="1" t="n">
        <v>45911</v>
      </c>
      <c r="D7623" t="inlineStr">
        <is>
          <t>GÄVLEBORGS LÄN</t>
        </is>
      </c>
      <c r="E7623" t="inlineStr">
        <is>
          <t>SANDVIKEN</t>
        </is>
      </c>
      <c r="G7623" t="n">
        <v>2.2</v>
      </c>
      <c r="H7623" t="n">
        <v>0</v>
      </c>
      <c r="I7623" t="n">
        <v>0</v>
      </c>
      <c r="J7623" t="n">
        <v>0</v>
      </c>
      <c r="K7623" t="n">
        <v>0</v>
      </c>
      <c r="L7623" t="n">
        <v>0</v>
      </c>
      <c r="M7623" t="n">
        <v>0</v>
      </c>
      <c r="N7623" t="n">
        <v>0</v>
      </c>
      <c r="O7623" t="n">
        <v>0</v>
      </c>
      <c r="P7623" t="n">
        <v>0</v>
      </c>
      <c r="Q7623" t="n">
        <v>0</v>
      </c>
      <c r="R7623" s="2" t="inlineStr"/>
    </row>
    <row r="7624" ht="15" customHeight="1">
      <c r="A7624" t="inlineStr">
        <is>
          <t>A 16822-2025</t>
        </is>
      </c>
      <c r="B7624" s="1" t="n">
        <v>45754.64335648148</v>
      </c>
      <c r="C7624" s="1" t="n">
        <v>45911</v>
      </c>
      <c r="D7624" t="inlineStr">
        <is>
          <t>GÄVLEBORGS LÄN</t>
        </is>
      </c>
      <c r="E7624" t="inlineStr">
        <is>
          <t>SANDVIKEN</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2915-2025</t>
        </is>
      </c>
      <c r="B7625" s="1" t="n">
        <v>45677.96424768519</v>
      </c>
      <c r="C7625" s="1" t="n">
        <v>45911</v>
      </c>
      <c r="D7625" t="inlineStr">
        <is>
          <t>GÄVLEBORGS LÄN</t>
        </is>
      </c>
      <c r="E7625" t="inlineStr">
        <is>
          <t>HOFORS</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1213-2025</t>
        </is>
      </c>
      <c r="B7626" s="1" t="n">
        <v>45667</v>
      </c>
      <c r="C7626" s="1" t="n">
        <v>45911</v>
      </c>
      <c r="D7626" t="inlineStr">
        <is>
          <t>GÄVLEBORGS LÄN</t>
        </is>
      </c>
      <c r="E7626" t="inlineStr">
        <is>
          <t>SANDVIKEN</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22877-2024</t>
        </is>
      </c>
      <c r="B7627" s="1" t="n">
        <v>45448.65388888889</v>
      </c>
      <c r="C7627" s="1" t="n">
        <v>45911</v>
      </c>
      <c r="D7627" t="inlineStr">
        <is>
          <t>GÄVLEBORGS LÄN</t>
        </is>
      </c>
      <c r="E7627" t="inlineStr">
        <is>
          <t>BOLLNÄS</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11385-2025</t>
        </is>
      </c>
      <c r="B7628" s="1" t="n">
        <v>45726.56340277778</v>
      </c>
      <c r="C7628" s="1" t="n">
        <v>45911</v>
      </c>
      <c r="D7628" t="inlineStr">
        <is>
          <t>GÄVLEBORGS LÄN</t>
        </is>
      </c>
      <c r="E7628" t="inlineStr">
        <is>
          <t>OCKELBO</t>
        </is>
      </c>
      <c r="G7628" t="n">
        <v>4.9</v>
      </c>
      <c r="H7628" t="n">
        <v>0</v>
      </c>
      <c r="I7628" t="n">
        <v>0</v>
      </c>
      <c r="J7628" t="n">
        <v>0</v>
      </c>
      <c r="K7628" t="n">
        <v>0</v>
      </c>
      <c r="L7628" t="n">
        <v>0</v>
      </c>
      <c r="M7628" t="n">
        <v>0</v>
      </c>
      <c r="N7628" t="n">
        <v>0</v>
      </c>
      <c r="O7628" t="n">
        <v>0</v>
      </c>
      <c r="P7628" t="n">
        <v>0</v>
      </c>
      <c r="Q7628" t="n">
        <v>0</v>
      </c>
      <c r="R7628" s="2" t="inlineStr"/>
    </row>
    <row r="7629" ht="15" customHeight="1">
      <c r="A7629" t="inlineStr">
        <is>
          <t>A 60118-2022</t>
        </is>
      </c>
      <c r="B7629" s="1" t="n">
        <v>44909</v>
      </c>
      <c r="C7629" s="1" t="n">
        <v>45911</v>
      </c>
      <c r="D7629" t="inlineStr">
        <is>
          <t>GÄVLEBORGS LÄN</t>
        </is>
      </c>
      <c r="E7629" t="inlineStr">
        <is>
          <t>LJUSDAL</t>
        </is>
      </c>
      <c r="F7629" t="inlineStr">
        <is>
          <t>Bergvik skog väst AB</t>
        </is>
      </c>
      <c r="G7629" t="n">
        <v>4.2</v>
      </c>
      <c r="H7629" t="n">
        <v>0</v>
      </c>
      <c r="I7629" t="n">
        <v>0</v>
      </c>
      <c r="J7629" t="n">
        <v>0</v>
      </c>
      <c r="K7629" t="n">
        <v>0</v>
      </c>
      <c r="L7629" t="n">
        <v>0</v>
      </c>
      <c r="M7629" t="n">
        <v>0</v>
      </c>
      <c r="N7629" t="n">
        <v>0</v>
      </c>
      <c r="O7629" t="n">
        <v>0</v>
      </c>
      <c r="P7629" t="n">
        <v>0</v>
      </c>
      <c r="Q7629" t="n">
        <v>0</v>
      </c>
      <c r="R7629" s="2" t="inlineStr"/>
    </row>
    <row r="7630" ht="15" customHeight="1">
      <c r="A7630" t="inlineStr">
        <is>
          <t>A 9697-2025</t>
        </is>
      </c>
      <c r="B7630" s="1" t="n">
        <v>45716.37329861111</v>
      </c>
      <c r="C7630" s="1" t="n">
        <v>45911</v>
      </c>
      <c r="D7630" t="inlineStr">
        <is>
          <t>GÄVLEBORGS LÄN</t>
        </is>
      </c>
      <c r="E7630" t="inlineStr">
        <is>
          <t>BOLLNÄS</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35783-2024</t>
        </is>
      </c>
      <c r="B7631" s="1" t="n">
        <v>45532.61126157407</v>
      </c>
      <c r="C7631" s="1" t="n">
        <v>45911</v>
      </c>
      <c r="D7631" t="inlineStr">
        <is>
          <t>GÄVLEBORGS LÄN</t>
        </is>
      </c>
      <c r="E7631" t="inlineStr">
        <is>
          <t>SANDVIKEN</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39337-2024</t>
        </is>
      </c>
      <c r="B7632" s="1" t="n">
        <v>45551.44206018518</v>
      </c>
      <c r="C7632" s="1" t="n">
        <v>45911</v>
      </c>
      <c r="D7632" t="inlineStr">
        <is>
          <t>GÄVLEBORGS LÄN</t>
        </is>
      </c>
      <c r="E7632" t="inlineStr">
        <is>
          <t>SANDVIKEN</t>
        </is>
      </c>
      <c r="F7632" t="inlineStr">
        <is>
          <t>Sveaskog</t>
        </is>
      </c>
      <c r="G7632" t="n">
        <v>3.5</v>
      </c>
      <c r="H7632" t="n">
        <v>0</v>
      </c>
      <c r="I7632" t="n">
        <v>0</v>
      </c>
      <c r="J7632" t="n">
        <v>0</v>
      </c>
      <c r="K7632" t="n">
        <v>0</v>
      </c>
      <c r="L7632" t="n">
        <v>0</v>
      </c>
      <c r="M7632" t="n">
        <v>0</v>
      </c>
      <c r="N7632" t="n">
        <v>0</v>
      </c>
      <c r="O7632" t="n">
        <v>0</v>
      </c>
      <c r="P7632" t="n">
        <v>0</v>
      </c>
      <c r="Q7632" t="n">
        <v>0</v>
      </c>
      <c r="R7632" s="2" t="inlineStr"/>
    </row>
    <row r="7633" ht="15" customHeight="1">
      <c r="A7633" t="inlineStr">
        <is>
          <t>A 40886-2024</t>
        </is>
      </c>
      <c r="B7633" s="1" t="n">
        <v>45558.60701388889</v>
      </c>
      <c r="C7633" s="1" t="n">
        <v>45911</v>
      </c>
      <c r="D7633" t="inlineStr">
        <is>
          <t>GÄVLEBORGS LÄN</t>
        </is>
      </c>
      <c r="E7633" t="inlineStr">
        <is>
          <t>OVANÅKER</t>
        </is>
      </c>
      <c r="G7633" t="n">
        <v>0.6</v>
      </c>
      <c r="H7633" t="n">
        <v>0</v>
      </c>
      <c r="I7633" t="n">
        <v>0</v>
      </c>
      <c r="J7633" t="n">
        <v>0</v>
      </c>
      <c r="K7633" t="n">
        <v>0</v>
      </c>
      <c r="L7633" t="n">
        <v>0</v>
      </c>
      <c r="M7633" t="n">
        <v>0</v>
      </c>
      <c r="N7633" t="n">
        <v>0</v>
      </c>
      <c r="O7633" t="n">
        <v>0</v>
      </c>
      <c r="P7633" t="n">
        <v>0</v>
      </c>
      <c r="Q7633" t="n">
        <v>0</v>
      </c>
      <c r="R7633" s="2" t="inlineStr"/>
    </row>
    <row r="7634" ht="15" customHeight="1">
      <c r="A7634" t="inlineStr">
        <is>
          <t>A 6425-2024</t>
        </is>
      </c>
      <c r="B7634" s="1" t="n">
        <v>45338.63030092593</v>
      </c>
      <c r="C7634" s="1" t="n">
        <v>45911</v>
      </c>
      <c r="D7634" t="inlineStr">
        <is>
          <t>GÄVLEBORGS LÄN</t>
        </is>
      </c>
      <c r="E7634" t="inlineStr">
        <is>
          <t>HUDIKSVALL</t>
        </is>
      </c>
      <c r="F7634" t="inlineStr">
        <is>
          <t>Holmen skog AB</t>
        </is>
      </c>
      <c r="G7634" t="n">
        <v>2.8</v>
      </c>
      <c r="H7634" t="n">
        <v>0</v>
      </c>
      <c r="I7634" t="n">
        <v>0</v>
      </c>
      <c r="J7634" t="n">
        <v>0</v>
      </c>
      <c r="K7634" t="n">
        <v>0</v>
      </c>
      <c r="L7634" t="n">
        <v>0</v>
      </c>
      <c r="M7634" t="n">
        <v>0</v>
      </c>
      <c r="N7634" t="n">
        <v>0</v>
      </c>
      <c r="O7634" t="n">
        <v>0</v>
      </c>
      <c r="P7634" t="n">
        <v>0</v>
      </c>
      <c r="Q7634" t="n">
        <v>0</v>
      </c>
      <c r="R7634" s="2" t="inlineStr"/>
    </row>
    <row r="7635" ht="15" customHeight="1">
      <c r="A7635" t="inlineStr">
        <is>
          <t>A 22547-2022</t>
        </is>
      </c>
      <c r="B7635" s="1" t="n">
        <v>44713</v>
      </c>
      <c r="C7635" s="1" t="n">
        <v>45911</v>
      </c>
      <c r="D7635" t="inlineStr">
        <is>
          <t>GÄVLEBORGS LÄN</t>
        </is>
      </c>
      <c r="E7635" t="inlineStr">
        <is>
          <t>NORDANSTIG</t>
        </is>
      </c>
      <c r="G7635" t="n">
        <v>1.7</v>
      </c>
      <c r="H7635" t="n">
        <v>0</v>
      </c>
      <c r="I7635" t="n">
        <v>0</v>
      </c>
      <c r="J7635" t="n">
        <v>0</v>
      </c>
      <c r="K7635" t="n">
        <v>0</v>
      </c>
      <c r="L7635" t="n">
        <v>0</v>
      </c>
      <c r="M7635" t="n">
        <v>0</v>
      </c>
      <c r="N7635" t="n">
        <v>0</v>
      </c>
      <c r="O7635" t="n">
        <v>0</v>
      </c>
      <c r="P7635" t="n">
        <v>0</v>
      </c>
      <c r="Q7635" t="n">
        <v>0</v>
      </c>
      <c r="R7635" s="2" t="inlineStr"/>
    </row>
    <row r="7636" ht="15" customHeight="1">
      <c r="A7636" t="inlineStr">
        <is>
          <t>A 10352-2025</t>
        </is>
      </c>
      <c r="B7636" s="1" t="n">
        <v>45720.51222222222</v>
      </c>
      <c r="C7636" s="1" t="n">
        <v>45911</v>
      </c>
      <c r="D7636" t="inlineStr">
        <is>
          <t>GÄVLEBORGS LÄN</t>
        </is>
      </c>
      <c r="E7636" t="inlineStr">
        <is>
          <t>GÄVLE</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38451-2024</t>
        </is>
      </c>
      <c r="B7637" s="1" t="n">
        <v>45546</v>
      </c>
      <c r="C7637" s="1" t="n">
        <v>45911</v>
      </c>
      <c r="D7637" t="inlineStr">
        <is>
          <t>GÄVLEBORGS LÄN</t>
        </is>
      </c>
      <c r="E7637" t="inlineStr">
        <is>
          <t>NORDANSTIG</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12166-2024</t>
        </is>
      </c>
      <c r="B7638" s="1" t="n">
        <v>45377.8671412037</v>
      </c>
      <c r="C7638" s="1" t="n">
        <v>45911</v>
      </c>
      <c r="D7638" t="inlineStr">
        <is>
          <t>GÄVLEBORGS LÄN</t>
        </is>
      </c>
      <c r="E7638" t="inlineStr">
        <is>
          <t>BOLLNÄS</t>
        </is>
      </c>
      <c r="G7638" t="n">
        <v>1.8</v>
      </c>
      <c r="H7638" t="n">
        <v>0</v>
      </c>
      <c r="I7638" t="n">
        <v>0</v>
      </c>
      <c r="J7638" t="n">
        <v>0</v>
      </c>
      <c r="K7638" t="n">
        <v>0</v>
      </c>
      <c r="L7638" t="n">
        <v>0</v>
      </c>
      <c r="M7638" t="n">
        <v>0</v>
      </c>
      <c r="N7638" t="n">
        <v>0</v>
      </c>
      <c r="O7638" t="n">
        <v>0</v>
      </c>
      <c r="P7638" t="n">
        <v>0</v>
      </c>
      <c r="Q7638" t="n">
        <v>0</v>
      </c>
      <c r="R7638" s="2" t="inlineStr"/>
    </row>
    <row r="7639" ht="15" customHeight="1">
      <c r="A7639" t="inlineStr">
        <is>
          <t>A 62215-2023</t>
        </is>
      </c>
      <c r="B7639" s="1" t="n">
        <v>45267</v>
      </c>
      <c r="C7639" s="1" t="n">
        <v>45911</v>
      </c>
      <c r="D7639" t="inlineStr">
        <is>
          <t>GÄVLEBORGS LÄN</t>
        </is>
      </c>
      <c r="E7639" t="inlineStr">
        <is>
          <t>GÄVLE</t>
        </is>
      </c>
      <c r="G7639" t="n">
        <v>2.7</v>
      </c>
      <c r="H7639" t="n">
        <v>0</v>
      </c>
      <c r="I7639" t="n">
        <v>0</v>
      </c>
      <c r="J7639" t="n">
        <v>0</v>
      </c>
      <c r="K7639" t="n">
        <v>0</v>
      </c>
      <c r="L7639" t="n">
        <v>0</v>
      </c>
      <c r="M7639" t="n">
        <v>0</v>
      </c>
      <c r="N7639" t="n">
        <v>0</v>
      </c>
      <c r="O7639" t="n">
        <v>0</v>
      </c>
      <c r="P7639" t="n">
        <v>0</v>
      </c>
      <c r="Q7639" t="n">
        <v>0</v>
      </c>
      <c r="R7639" s="2" t="inlineStr"/>
    </row>
    <row r="7640" ht="15" customHeight="1">
      <c r="A7640" t="inlineStr">
        <is>
          <t>A 30946-2024</t>
        </is>
      </c>
      <c r="B7640" s="1" t="n">
        <v>45499.37065972222</v>
      </c>
      <c r="C7640" s="1" t="n">
        <v>45911</v>
      </c>
      <c r="D7640" t="inlineStr">
        <is>
          <t>GÄVLEBORGS LÄN</t>
        </is>
      </c>
      <c r="E7640" t="inlineStr">
        <is>
          <t>OVANÅKER</t>
        </is>
      </c>
      <c r="F7640" t="inlineStr">
        <is>
          <t>Bergvik skog öst AB</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20264-2024</t>
        </is>
      </c>
      <c r="B7641" s="1" t="n">
        <v>45434.94854166666</v>
      </c>
      <c r="C7641" s="1" t="n">
        <v>45911</v>
      </c>
      <c r="D7641" t="inlineStr">
        <is>
          <t>GÄVLEBORGS LÄN</t>
        </is>
      </c>
      <c r="E7641" t="inlineStr">
        <is>
          <t>OVANÅKER</t>
        </is>
      </c>
      <c r="G7641" t="n">
        <v>5.3</v>
      </c>
      <c r="H7641" t="n">
        <v>0</v>
      </c>
      <c r="I7641" t="n">
        <v>0</v>
      </c>
      <c r="J7641" t="n">
        <v>0</v>
      </c>
      <c r="K7641" t="n">
        <v>0</v>
      </c>
      <c r="L7641" t="n">
        <v>0</v>
      </c>
      <c r="M7641" t="n">
        <v>0</v>
      </c>
      <c r="N7641" t="n">
        <v>0</v>
      </c>
      <c r="O7641" t="n">
        <v>0</v>
      </c>
      <c r="P7641" t="n">
        <v>0</v>
      </c>
      <c r="Q7641" t="n">
        <v>0</v>
      </c>
      <c r="R7641" s="2" t="inlineStr"/>
    </row>
    <row r="7642" ht="15" customHeight="1">
      <c r="A7642" t="inlineStr">
        <is>
          <t>A 45551-2024</t>
        </is>
      </c>
      <c r="B7642" s="1" t="n">
        <v>45579</v>
      </c>
      <c r="C7642" s="1" t="n">
        <v>45911</v>
      </c>
      <c r="D7642" t="inlineStr">
        <is>
          <t>GÄVLEBORGS LÄN</t>
        </is>
      </c>
      <c r="E7642" t="inlineStr">
        <is>
          <t>NORDANSTIG</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13849-2025</t>
        </is>
      </c>
      <c r="B7643" s="1" t="n">
        <v>45737.56753472222</v>
      </c>
      <c r="C7643" s="1" t="n">
        <v>45911</v>
      </c>
      <c r="D7643" t="inlineStr">
        <is>
          <t>GÄVLEBORGS LÄN</t>
        </is>
      </c>
      <c r="E7643" t="inlineStr">
        <is>
          <t>LJUSDAL</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43673-2023</t>
        </is>
      </c>
      <c r="B7644" s="1" t="n">
        <v>45187.37011574074</v>
      </c>
      <c r="C7644" s="1" t="n">
        <v>45911</v>
      </c>
      <c r="D7644" t="inlineStr">
        <is>
          <t>GÄVLEBORGS LÄN</t>
        </is>
      </c>
      <c r="E7644" t="inlineStr">
        <is>
          <t>LJUSDAL</t>
        </is>
      </c>
      <c r="F7644" t="inlineStr">
        <is>
          <t>Bergvik skog väst AB</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13201-2024</t>
        </is>
      </c>
      <c r="B7645" s="1" t="n">
        <v>45386.48677083333</v>
      </c>
      <c r="C7645" s="1" t="n">
        <v>45911</v>
      </c>
      <c r="D7645" t="inlineStr">
        <is>
          <t>GÄVLEBORGS LÄN</t>
        </is>
      </c>
      <c r="E7645" t="inlineStr">
        <is>
          <t>HUDIKSVALL</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4497-2024</t>
        </is>
      </c>
      <c r="B7646" s="1" t="n">
        <v>45327</v>
      </c>
      <c r="C7646" s="1" t="n">
        <v>45911</v>
      </c>
      <c r="D7646" t="inlineStr">
        <is>
          <t>GÄVLEBORGS LÄN</t>
        </is>
      </c>
      <c r="E7646" t="inlineStr">
        <is>
          <t>SÖDERHAMN</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28793-2024</t>
        </is>
      </c>
      <c r="B7647" s="1" t="n">
        <v>45478.61469907407</v>
      </c>
      <c r="C7647" s="1" t="n">
        <v>45911</v>
      </c>
      <c r="D7647" t="inlineStr">
        <is>
          <t>GÄVLEBORGS LÄN</t>
        </is>
      </c>
      <c r="E7647" t="inlineStr">
        <is>
          <t>BOLLNÄS</t>
        </is>
      </c>
      <c r="F7647" t="inlineStr">
        <is>
          <t>Bergvik skog väst AB</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10893-2025</t>
        </is>
      </c>
      <c r="B7648" s="1" t="n">
        <v>45722.67835648148</v>
      </c>
      <c r="C7648" s="1" t="n">
        <v>45911</v>
      </c>
      <c r="D7648" t="inlineStr">
        <is>
          <t>GÄVLEBORGS LÄN</t>
        </is>
      </c>
      <c r="E7648" t="inlineStr">
        <is>
          <t>SANDVIKEN</t>
        </is>
      </c>
      <c r="G7648" t="n">
        <v>4.3</v>
      </c>
      <c r="H7648" t="n">
        <v>0</v>
      </c>
      <c r="I7648" t="n">
        <v>0</v>
      </c>
      <c r="J7648" t="n">
        <v>0</v>
      </c>
      <c r="K7648" t="n">
        <v>0</v>
      </c>
      <c r="L7648" t="n">
        <v>0</v>
      </c>
      <c r="M7648" t="n">
        <v>0</v>
      </c>
      <c r="N7648" t="n">
        <v>0</v>
      </c>
      <c r="O7648" t="n">
        <v>0</v>
      </c>
      <c r="P7648" t="n">
        <v>0</v>
      </c>
      <c r="Q7648" t="n">
        <v>0</v>
      </c>
      <c r="R7648" s="2" t="inlineStr"/>
    </row>
    <row r="7649" ht="15" customHeight="1">
      <c r="A7649" t="inlineStr">
        <is>
          <t>A 10895-2025</t>
        </is>
      </c>
      <c r="B7649" s="1" t="n">
        <v>45722.68167824074</v>
      </c>
      <c r="C7649" s="1" t="n">
        <v>45911</v>
      </c>
      <c r="D7649" t="inlineStr">
        <is>
          <t>GÄVLEBORGS LÄN</t>
        </is>
      </c>
      <c r="E7649" t="inlineStr">
        <is>
          <t>SANDVIKEN</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9985-2025</t>
        </is>
      </c>
      <c r="B7650" s="1" t="n">
        <v>45719.42300925926</v>
      </c>
      <c r="C7650" s="1" t="n">
        <v>45911</v>
      </c>
      <c r="D7650" t="inlineStr">
        <is>
          <t>GÄVLEBORGS LÄN</t>
        </is>
      </c>
      <c r="E7650" t="inlineStr">
        <is>
          <t>OCKELBO</t>
        </is>
      </c>
      <c r="F7650" t="inlineStr">
        <is>
          <t>Bergvik skog öst AB</t>
        </is>
      </c>
      <c r="G7650" t="n">
        <v>1.9</v>
      </c>
      <c r="H7650" t="n">
        <v>0</v>
      </c>
      <c r="I7650" t="n">
        <v>0</v>
      </c>
      <c r="J7650" t="n">
        <v>0</v>
      </c>
      <c r="K7650" t="n">
        <v>0</v>
      </c>
      <c r="L7650" t="n">
        <v>0</v>
      </c>
      <c r="M7650" t="n">
        <v>0</v>
      </c>
      <c r="N7650" t="n">
        <v>0</v>
      </c>
      <c r="O7650" t="n">
        <v>0</v>
      </c>
      <c r="P7650" t="n">
        <v>0</v>
      </c>
      <c r="Q7650" t="n">
        <v>0</v>
      </c>
      <c r="R7650" s="2" t="inlineStr"/>
    </row>
    <row r="7651" ht="15" customHeight="1">
      <c r="A7651" t="inlineStr">
        <is>
          <t>A 15351-2025</t>
        </is>
      </c>
      <c r="B7651" s="1" t="n">
        <v>45747.38331018519</v>
      </c>
      <c r="C7651" s="1" t="n">
        <v>45911</v>
      </c>
      <c r="D7651" t="inlineStr">
        <is>
          <t>GÄVLEBORGS LÄN</t>
        </is>
      </c>
      <c r="E7651" t="inlineStr">
        <is>
          <t>SANDVIKEN</t>
        </is>
      </c>
      <c r="G7651" t="n">
        <v>2.5</v>
      </c>
      <c r="H7651" t="n">
        <v>0</v>
      </c>
      <c r="I7651" t="n">
        <v>0</v>
      </c>
      <c r="J7651" t="n">
        <v>0</v>
      </c>
      <c r="K7651" t="n">
        <v>0</v>
      </c>
      <c r="L7651" t="n">
        <v>0</v>
      </c>
      <c r="M7651" t="n">
        <v>0</v>
      </c>
      <c r="N7651" t="n">
        <v>0</v>
      </c>
      <c r="O7651" t="n">
        <v>0</v>
      </c>
      <c r="P7651" t="n">
        <v>0</v>
      </c>
      <c r="Q7651" t="n">
        <v>0</v>
      </c>
      <c r="R7651" s="2" t="inlineStr"/>
    </row>
    <row r="7652" ht="15" customHeight="1">
      <c r="A7652" t="inlineStr">
        <is>
          <t>A 58162-2024</t>
        </is>
      </c>
      <c r="B7652" s="1" t="n">
        <v>45632</v>
      </c>
      <c r="C7652" s="1" t="n">
        <v>45911</v>
      </c>
      <c r="D7652" t="inlineStr">
        <is>
          <t>GÄVLEBORGS LÄN</t>
        </is>
      </c>
      <c r="E7652" t="inlineStr">
        <is>
          <t>NORDANSTIG</t>
        </is>
      </c>
      <c r="F7652" t="inlineStr">
        <is>
          <t>Kyrkan</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26126-2023</t>
        </is>
      </c>
      <c r="B7653" s="1" t="n">
        <v>45091</v>
      </c>
      <c r="C7653" s="1" t="n">
        <v>45911</v>
      </c>
      <c r="D7653" t="inlineStr">
        <is>
          <t>GÄVLEBORGS LÄN</t>
        </is>
      </c>
      <c r="E7653" t="inlineStr">
        <is>
          <t>BOLLNÄS</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7976-2025</t>
        </is>
      </c>
      <c r="B7654" s="1" t="n">
        <v>45707.46247685186</v>
      </c>
      <c r="C7654" s="1" t="n">
        <v>45911</v>
      </c>
      <c r="D7654" t="inlineStr">
        <is>
          <t>GÄVLEBORGS LÄN</t>
        </is>
      </c>
      <c r="E7654" t="inlineStr">
        <is>
          <t>HUDIKSVALL</t>
        </is>
      </c>
      <c r="G7654" t="n">
        <v>2.8</v>
      </c>
      <c r="H7654" t="n">
        <v>0</v>
      </c>
      <c r="I7654" t="n">
        <v>0</v>
      </c>
      <c r="J7654" t="n">
        <v>0</v>
      </c>
      <c r="K7654" t="n">
        <v>0</v>
      </c>
      <c r="L7654" t="n">
        <v>0</v>
      </c>
      <c r="M7654" t="n">
        <v>0</v>
      </c>
      <c r="N7654" t="n">
        <v>0</v>
      </c>
      <c r="O7654" t="n">
        <v>0</v>
      </c>
      <c r="P7654" t="n">
        <v>0</v>
      </c>
      <c r="Q7654" t="n">
        <v>0</v>
      </c>
      <c r="R7654" s="2" t="inlineStr"/>
    </row>
    <row r="7655" ht="15" customHeight="1">
      <c r="A7655" t="inlineStr">
        <is>
          <t>A 38670-2023</t>
        </is>
      </c>
      <c r="B7655" s="1" t="n">
        <v>45162</v>
      </c>
      <c r="C7655" s="1" t="n">
        <v>45911</v>
      </c>
      <c r="D7655" t="inlineStr">
        <is>
          <t>GÄVLEBORGS LÄN</t>
        </is>
      </c>
      <c r="E7655" t="inlineStr">
        <is>
          <t>HUDIKSVALL</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20380-2025</t>
        </is>
      </c>
      <c r="B7656" s="1" t="n">
        <v>45775.42958333333</v>
      </c>
      <c r="C7656" s="1" t="n">
        <v>45911</v>
      </c>
      <c r="D7656" t="inlineStr">
        <is>
          <t>GÄVLEBORGS LÄN</t>
        </is>
      </c>
      <c r="E7656" t="inlineStr">
        <is>
          <t>GÄVLE</t>
        </is>
      </c>
      <c r="G7656" t="n">
        <v>13.5</v>
      </c>
      <c r="H7656" t="n">
        <v>0</v>
      </c>
      <c r="I7656" t="n">
        <v>0</v>
      </c>
      <c r="J7656" t="n">
        <v>0</v>
      </c>
      <c r="K7656" t="n">
        <v>0</v>
      </c>
      <c r="L7656" t="n">
        <v>0</v>
      </c>
      <c r="M7656" t="n">
        <v>0</v>
      </c>
      <c r="N7656" t="n">
        <v>0</v>
      </c>
      <c r="O7656" t="n">
        <v>0</v>
      </c>
      <c r="P7656" t="n">
        <v>0</v>
      </c>
      <c r="Q7656" t="n">
        <v>0</v>
      </c>
      <c r="R7656" s="2" t="inlineStr"/>
    </row>
    <row r="7657" ht="15" customHeight="1">
      <c r="A7657" t="inlineStr">
        <is>
          <t>A 60743-2024</t>
        </is>
      </c>
      <c r="B7657" s="1" t="n">
        <v>45644.55494212963</v>
      </c>
      <c r="C7657" s="1" t="n">
        <v>45911</v>
      </c>
      <c r="D7657" t="inlineStr">
        <is>
          <t>GÄVLEBORGS LÄN</t>
        </is>
      </c>
      <c r="E7657" t="inlineStr">
        <is>
          <t>BOLLNÄS</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205-2025</t>
        </is>
      </c>
      <c r="B7658" s="1" t="n">
        <v>45660.31962962963</v>
      </c>
      <c r="C7658" s="1" t="n">
        <v>45911</v>
      </c>
      <c r="D7658" t="inlineStr">
        <is>
          <t>GÄVLEBORGS LÄN</t>
        </is>
      </c>
      <c r="E7658" t="inlineStr">
        <is>
          <t>LJUSDAL</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210-2025</t>
        </is>
      </c>
      <c r="B7659" s="1" t="n">
        <v>45660.33320601852</v>
      </c>
      <c r="C7659" s="1" t="n">
        <v>45911</v>
      </c>
      <c r="D7659" t="inlineStr">
        <is>
          <t>GÄVLEBORGS LÄN</t>
        </is>
      </c>
      <c r="E7659" t="inlineStr">
        <is>
          <t>HUDIKSVALL</t>
        </is>
      </c>
      <c r="F7659" t="inlineStr">
        <is>
          <t>Holmen skog AB</t>
        </is>
      </c>
      <c r="G7659" t="n">
        <v>6.2</v>
      </c>
      <c r="H7659" t="n">
        <v>0</v>
      </c>
      <c r="I7659" t="n">
        <v>0</v>
      </c>
      <c r="J7659" t="n">
        <v>0</v>
      </c>
      <c r="K7659" t="n">
        <v>0</v>
      </c>
      <c r="L7659" t="n">
        <v>0</v>
      </c>
      <c r="M7659" t="n">
        <v>0</v>
      </c>
      <c r="N7659" t="n">
        <v>0</v>
      </c>
      <c r="O7659" t="n">
        <v>0</v>
      </c>
      <c r="P7659" t="n">
        <v>0</v>
      </c>
      <c r="Q7659" t="n">
        <v>0</v>
      </c>
      <c r="R7659" s="2" t="inlineStr"/>
    </row>
    <row r="7660" ht="15" customHeight="1">
      <c r="A7660" t="inlineStr">
        <is>
          <t>A 45629-2023</t>
        </is>
      </c>
      <c r="B7660" s="1" t="n">
        <v>45194</v>
      </c>
      <c r="C7660" s="1" t="n">
        <v>45911</v>
      </c>
      <c r="D7660" t="inlineStr">
        <is>
          <t>GÄVLEBORGS LÄN</t>
        </is>
      </c>
      <c r="E7660" t="inlineStr">
        <is>
          <t>BOLLNÄS</t>
        </is>
      </c>
      <c r="G7660" t="n">
        <v>11.5</v>
      </c>
      <c r="H7660" t="n">
        <v>0</v>
      </c>
      <c r="I7660" t="n">
        <v>0</v>
      </c>
      <c r="J7660" t="n">
        <v>0</v>
      </c>
      <c r="K7660" t="n">
        <v>0</v>
      </c>
      <c r="L7660" t="n">
        <v>0</v>
      </c>
      <c r="M7660" t="n">
        <v>0</v>
      </c>
      <c r="N7660" t="n">
        <v>0</v>
      </c>
      <c r="O7660" t="n">
        <v>0</v>
      </c>
      <c r="P7660" t="n">
        <v>0</v>
      </c>
      <c r="Q7660" t="n">
        <v>0</v>
      </c>
      <c r="R7660" s="2" t="inlineStr"/>
    </row>
    <row r="7661" ht="15" customHeight="1">
      <c r="A7661" t="inlineStr">
        <is>
          <t>A 12850-2025</t>
        </is>
      </c>
      <c r="B7661" s="1" t="n">
        <v>45733.65700231482</v>
      </c>
      <c r="C7661" s="1" t="n">
        <v>45911</v>
      </c>
      <c r="D7661" t="inlineStr">
        <is>
          <t>GÄVLEBORGS LÄN</t>
        </is>
      </c>
      <c r="E7661" t="inlineStr">
        <is>
          <t>HUDIKSVALL</t>
        </is>
      </c>
      <c r="G7661" t="n">
        <v>7.4</v>
      </c>
      <c r="H7661" t="n">
        <v>0</v>
      </c>
      <c r="I7661" t="n">
        <v>0</v>
      </c>
      <c r="J7661" t="n">
        <v>0</v>
      </c>
      <c r="K7661" t="n">
        <v>0</v>
      </c>
      <c r="L7661" t="n">
        <v>0</v>
      </c>
      <c r="M7661" t="n">
        <v>0</v>
      </c>
      <c r="N7661" t="n">
        <v>0</v>
      </c>
      <c r="O7661" t="n">
        <v>0</v>
      </c>
      <c r="P7661" t="n">
        <v>0</v>
      </c>
      <c r="Q7661" t="n">
        <v>0</v>
      </c>
      <c r="R7661" s="2" t="inlineStr"/>
    </row>
    <row r="7662" ht="15" customHeight="1">
      <c r="A7662" t="inlineStr">
        <is>
          <t>A 12853-2025</t>
        </is>
      </c>
      <c r="B7662" s="1" t="n">
        <v>45733.65908564815</v>
      </c>
      <c r="C7662" s="1" t="n">
        <v>45911</v>
      </c>
      <c r="D7662" t="inlineStr">
        <is>
          <t>GÄVLEBORGS LÄN</t>
        </is>
      </c>
      <c r="E7662" t="inlineStr">
        <is>
          <t>BOLLNÄS</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56882-2023</t>
        </is>
      </c>
      <c r="B7663" s="1" t="n">
        <v>45244</v>
      </c>
      <c r="C7663" s="1" t="n">
        <v>45911</v>
      </c>
      <c r="D7663" t="inlineStr">
        <is>
          <t>GÄVLEBORGS LÄN</t>
        </is>
      </c>
      <c r="E7663" t="inlineStr">
        <is>
          <t>HUDIKSVALL</t>
        </is>
      </c>
      <c r="G7663" t="n">
        <v>7.7</v>
      </c>
      <c r="H7663" t="n">
        <v>0</v>
      </c>
      <c r="I7663" t="n">
        <v>0</v>
      </c>
      <c r="J7663" t="n">
        <v>0</v>
      </c>
      <c r="K7663" t="n">
        <v>0</v>
      </c>
      <c r="L7663" t="n">
        <v>0</v>
      </c>
      <c r="M7663" t="n">
        <v>0</v>
      </c>
      <c r="N7663" t="n">
        <v>0</v>
      </c>
      <c r="O7663" t="n">
        <v>0</v>
      </c>
      <c r="P7663" t="n">
        <v>0</v>
      </c>
      <c r="Q7663" t="n">
        <v>0</v>
      </c>
      <c r="R7663" s="2" t="inlineStr"/>
    </row>
    <row r="7664" ht="15" customHeight="1">
      <c r="A7664" t="inlineStr">
        <is>
          <t>A 14555-2025</t>
        </is>
      </c>
      <c r="B7664" s="1" t="n">
        <v>45741.72243055556</v>
      </c>
      <c r="C7664" s="1" t="n">
        <v>45911</v>
      </c>
      <c r="D7664" t="inlineStr">
        <is>
          <t>GÄVLEBORGS LÄN</t>
        </is>
      </c>
      <c r="E7664" t="inlineStr">
        <is>
          <t>OVANÅKER</t>
        </is>
      </c>
      <c r="G7664" t="n">
        <v>3.7</v>
      </c>
      <c r="H7664" t="n">
        <v>0</v>
      </c>
      <c r="I7664" t="n">
        <v>0</v>
      </c>
      <c r="J7664" t="n">
        <v>0</v>
      </c>
      <c r="K7664" t="n">
        <v>0</v>
      </c>
      <c r="L7664" t="n">
        <v>0</v>
      </c>
      <c r="M7664" t="n">
        <v>0</v>
      </c>
      <c r="N7664" t="n">
        <v>0</v>
      </c>
      <c r="O7664" t="n">
        <v>0</v>
      </c>
      <c r="P7664" t="n">
        <v>0</v>
      </c>
      <c r="Q7664" t="n">
        <v>0</v>
      </c>
      <c r="R7664" s="2" t="inlineStr"/>
    </row>
    <row r="7665" ht="15" customHeight="1">
      <c r="A7665" t="inlineStr">
        <is>
          <t>A 57184-2023</t>
        </is>
      </c>
      <c r="B7665" s="1" t="n">
        <v>45245.46905092592</v>
      </c>
      <c r="C7665" s="1" t="n">
        <v>45911</v>
      </c>
      <c r="D7665" t="inlineStr">
        <is>
          <t>GÄVLEBORGS LÄN</t>
        </is>
      </c>
      <c r="E7665" t="inlineStr">
        <is>
          <t>GÄVLE</t>
        </is>
      </c>
      <c r="F7665" t="inlineStr">
        <is>
          <t>Kyrkan</t>
        </is>
      </c>
      <c r="G7665" t="n">
        <v>3.4</v>
      </c>
      <c r="H7665" t="n">
        <v>0</v>
      </c>
      <c r="I7665" t="n">
        <v>0</v>
      </c>
      <c r="J7665" t="n">
        <v>0</v>
      </c>
      <c r="K7665" t="n">
        <v>0</v>
      </c>
      <c r="L7665" t="n">
        <v>0</v>
      </c>
      <c r="M7665" t="n">
        <v>0</v>
      </c>
      <c r="N7665" t="n">
        <v>0</v>
      </c>
      <c r="O7665" t="n">
        <v>0</v>
      </c>
      <c r="P7665" t="n">
        <v>0</v>
      </c>
      <c r="Q7665" t="n">
        <v>0</v>
      </c>
      <c r="R7665" s="2" t="inlineStr"/>
    </row>
    <row r="7666" ht="15" customHeight="1">
      <c r="A7666" t="inlineStr">
        <is>
          <t>A 28604-2023</t>
        </is>
      </c>
      <c r="B7666" s="1" t="n">
        <v>45103</v>
      </c>
      <c r="C7666" s="1" t="n">
        <v>45911</v>
      </c>
      <c r="D7666" t="inlineStr">
        <is>
          <t>GÄVLEBORGS LÄN</t>
        </is>
      </c>
      <c r="E7666" t="inlineStr">
        <is>
          <t>OVANÅKER</t>
        </is>
      </c>
      <c r="G7666" t="n">
        <v>1.8</v>
      </c>
      <c r="H7666" t="n">
        <v>0</v>
      </c>
      <c r="I7666" t="n">
        <v>0</v>
      </c>
      <c r="J7666" t="n">
        <v>0</v>
      </c>
      <c r="K7666" t="n">
        <v>0</v>
      </c>
      <c r="L7666" t="n">
        <v>0</v>
      </c>
      <c r="M7666" t="n">
        <v>0</v>
      </c>
      <c r="N7666" t="n">
        <v>0</v>
      </c>
      <c r="O7666" t="n">
        <v>0</v>
      </c>
      <c r="P7666" t="n">
        <v>0</v>
      </c>
      <c r="Q7666" t="n">
        <v>0</v>
      </c>
      <c r="R7666" s="2" t="inlineStr"/>
    </row>
    <row r="7667" ht="15" customHeight="1">
      <c r="A7667" t="inlineStr">
        <is>
          <t>A 54187-2024</t>
        </is>
      </c>
      <c r="B7667" s="1" t="n">
        <v>45616.64136574074</v>
      </c>
      <c r="C7667" s="1" t="n">
        <v>45911</v>
      </c>
      <c r="D7667" t="inlineStr">
        <is>
          <t>GÄVLEBORGS LÄN</t>
        </is>
      </c>
      <c r="E7667" t="inlineStr">
        <is>
          <t>OVANÅKER</t>
        </is>
      </c>
      <c r="F7667" t="inlineStr">
        <is>
          <t>Holmen skog AB</t>
        </is>
      </c>
      <c r="G7667" t="n">
        <v>1.8</v>
      </c>
      <c r="H7667" t="n">
        <v>0</v>
      </c>
      <c r="I7667" t="n">
        <v>0</v>
      </c>
      <c r="J7667" t="n">
        <v>0</v>
      </c>
      <c r="K7667" t="n">
        <v>0</v>
      </c>
      <c r="L7667" t="n">
        <v>0</v>
      </c>
      <c r="M7667" t="n">
        <v>0</v>
      </c>
      <c r="N7667" t="n">
        <v>0</v>
      </c>
      <c r="O7667" t="n">
        <v>0</v>
      </c>
      <c r="P7667" t="n">
        <v>0</v>
      </c>
      <c r="Q7667" t="n">
        <v>0</v>
      </c>
      <c r="R7667" s="2" t="inlineStr"/>
    </row>
    <row r="7668" ht="15" customHeight="1">
      <c r="A7668" t="inlineStr">
        <is>
          <t>A 54209-2024</t>
        </is>
      </c>
      <c r="B7668" s="1" t="n">
        <v>45616.6565162037</v>
      </c>
      <c r="C7668" s="1" t="n">
        <v>45911</v>
      </c>
      <c r="D7668" t="inlineStr">
        <is>
          <t>GÄVLEBORGS LÄN</t>
        </is>
      </c>
      <c r="E7668" t="inlineStr">
        <is>
          <t>HUDIKSVALL</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55110-2024</t>
        </is>
      </c>
      <c r="B7669" s="1" t="n">
        <v>45621.44861111111</v>
      </c>
      <c r="C7669" s="1" t="n">
        <v>45911</v>
      </c>
      <c r="D7669" t="inlineStr">
        <is>
          <t>GÄVLEBORGS LÄN</t>
        </is>
      </c>
      <c r="E7669" t="inlineStr">
        <is>
          <t>GÄVLE</t>
        </is>
      </c>
      <c r="G7669" t="n">
        <v>4.8</v>
      </c>
      <c r="H7669" t="n">
        <v>0</v>
      </c>
      <c r="I7669" t="n">
        <v>0</v>
      </c>
      <c r="J7669" t="n">
        <v>0</v>
      </c>
      <c r="K7669" t="n">
        <v>0</v>
      </c>
      <c r="L7669" t="n">
        <v>0</v>
      </c>
      <c r="M7669" t="n">
        <v>0</v>
      </c>
      <c r="N7669" t="n">
        <v>0</v>
      </c>
      <c r="O7669" t="n">
        <v>0</v>
      </c>
      <c r="P7669" t="n">
        <v>0</v>
      </c>
      <c r="Q7669" t="n">
        <v>0</v>
      </c>
      <c r="R7669" s="2" t="inlineStr"/>
    </row>
    <row r="7670" ht="15" customHeight="1">
      <c r="A7670" t="inlineStr">
        <is>
          <t>A 4032-2025</t>
        </is>
      </c>
      <c r="B7670" s="1" t="n">
        <v>45684</v>
      </c>
      <c r="C7670" s="1" t="n">
        <v>45911</v>
      </c>
      <c r="D7670" t="inlineStr">
        <is>
          <t>GÄVLEBORGS LÄN</t>
        </is>
      </c>
      <c r="E7670" t="inlineStr">
        <is>
          <t>HOFORS</t>
        </is>
      </c>
      <c r="G7670" t="n">
        <v>2.7</v>
      </c>
      <c r="H7670" t="n">
        <v>0</v>
      </c>
      <c r="I7670" t="n">
        <v>0</v>
      </c>
      <c r="J7670" t="n">
        <v>0</v>
      </c>
      <c r="K7670" t="n">
        <v>0</v>
      </c>
      <c r="L7670" t="n">
        <v>0</v>
      </c>
      <c r="M7670" t="n">
        <v>0</v>
      </c>
      <c r="N7670" t="n">
        <v>0</v>
      </c>
      <c r="O7670" t="n">
        <v>0</v>
      </c>
      <c r="P7670" t="n">
        <v>0</v>
      </c>
      <c r="Q7670" t="n">
        <v>0</v>
      </c>
      <c r="R7670" s="2" t="inlineStr"/>
    </row>
    <row r="7671" ht="15" customHeight="1">
      <c r="A7671" t="inlineStr">
        <is>
          <t>A 4091-2025</t>
        </is>
      </c>
      <c r="B7671" s="1" t="n">
        <v>45684.67659722222</v>
      </c>
      <c r="C7671" s="1" t="n">
        <v>45911</v>
      </c>
      <c r="D7671" t="inlineStr">
        <is>
          <t>GÄVLEBORGS LÄN</t>
        </is>
      </c>
      <c r="E7671" t="inlineStr">
        <is>
          <t>GÄVLE</t>
        </is>
      </c>
      <c r="G7671" t="n">
        <v>3.6</v>
      </c>
      <c r="H7671" t="n">
        <v>0</v>
      </c>
      <c r="I7671" t="n">
        <v>0</v>
      </c>
      <c r="J7671" t="n">
        <v>0</v>
      </c>
      <c r="K7671" t="n">
        <v>0</v>
      </c>
      <c r="L7671" t="n">
        <v>0</v>
      </c>
      <c r="M7671" t="n">
        <v>0</v>
      </c>
      <c r="N7671" t="n">
        <v>0</v>
      </c>
      <c r="O7671" t="n">
        <v>0</v>
      </c>
      <c r="P7671" t="n">
        <v>0</v>
      </c>
      <c r="Q7671" t="n">
        <v>0</v>
      </c>
      <c r="R7671" s="2" t="inlineStr"/>
    </row>
    <row r="7672" ht="15" customHeight="1">
      <c r="A7672" t="inlineStr">
        <is>
          <t>A 29500-2024</t>
        </is>
      </c>
      <c r="B7672" s="1" t="n">
        <v>45484.39853009259</v>
      </c>
      <c r="C7672" s="1" t="n">
        <v>45911</v>
      </c>
      <c r="D7672" t="inlineStr">
        <is>
          <t>GÄVLEBORGS LÄN</t>
        </is>
      </c>
      <c r="E7672" t="inlineStr">
        <is>
          <t>NORDANSTIG</t>
        </is>
      </c>
      <c r="F7672" t="inlineStr">
        <is>
          <t>Holmen skog AB</t>
        </is>
      </c>
      <c r="G7672" t="n">
        <v>7.6</v>
      </c>
      <c r="H7672" t="n">
        <v>0</v>
      </c>
      <c r="I7672" t="n">
        <v>0</v>
      </c>
      <c r="J7672" t="n">
        <v>0</v>
      </c>
      <c r="K7672" t="n">
        <v>0</v>
      </c>
      <c r="L7672" t="n">
        <v>0</v>
      </c>
      <c r="M7672" t="n">
        <v>0</v>
      </c>
      <c r="N7672" t="n">
        <v>0</v>
      </c>
      <c r="O7672" t="n">
        <v>0</v>
      </c>
      <c r="P7672" t="n">
        <v>0</v>
      </c>
      <c r="Q7672" t="n">
        <v>0</v>
      </c>
      <c r="R7672" s="2" t="inlineStr"/>
    </row>
    <row r="7673" ht="15" customHeight="1">
      <c r="A7673" t="inlineStr">
        <is>
          <t>A 18757-2025</t>
        </is>
      </c>
      <c r="B7673" s="1" t="n">
        <v>45763.83667824074</v>
      </c>
      <c r="C7673" s="1" t="n">
        <v>45911</v>
      </c>
      <c r="D7673" t="inlineStr">
        <is>
          <t>GÄVLEBORGS LÄN</t>
        </is>
      </c>
      <c r="E7673" t="inlineStr">
        <is>
          <t>LJUSDAL</t>
        </is>
      </c>
      <c r="F7673" t="inlineStr">
        <is>
          <t>Holmen skog AB</t>
        </is>
      </c>
      <c r="G7673" t="n">
        <v>4.3</v>
      </c>
      <c r="H7673" t="n">
        <v>0</v>
      </c>
      <c r="I7673" t="n">
        <v>0</v>
      </c>
      <c r="J7673" t="n">
        <v>0</v>
      </c>
      <c r="K7673" t="n">
        <v>0</v>
      </c>
      <c r="L7673" t="n">
        <v>0</v>
      </c>
      <c r="M7673" t="n">
        <v>0</v>
      </c>
      <c r="N7673" t="n">
        <v>0</v>
      </c>
      <c r="O7673" t="n">
        <v>0</v>
      </c>
      <c r="P7673" t="n">
        <v>0</v>
      </c>
      <c r="Q7673" t="n">
        <v>0</v>
      </c>
      <c r="R7673" s="2" t="inlineStr"/>
    </row>
    <row r="7674" ht="15" customHeight="1">
      <c r="A7674" t="inlineStr">
        <is>
          <t>A 27987-2024</t>
        </is>
      </c>
      <c r="B7674" s="1" t="n">
        <v>45476.4246875</v>
      </c>
      <c r="C7674" s="1" t="n">
        <v>45911</v>
      </c>
      <c r="D7674" t="inlineStr">
        <is>
          <t>GÄVLEBORGS LÄN</t>
        </is>
      </c>
      <c r="E7674" t="inlineStr">
        <is>
          <t>SANDVIKEN</t>
        </is>
      </c>
      <c r="F7674" t="inlineStr">
        <is>
          <t>Kommuner</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7972-2025</t>
        </is>
      </c>
      <c r="B7675" s="1" t="n">
        <v>45707</v>
      </c>
      <c r="C7675" s="1" t="n">
        <v>45911</v>
      </c>
      <c r="D7675" t="inlineStr">
        <is>
          <t>GÄVLEBORGS LÄN</t>
        </is>
      </c>
      <c r="E7675" t="inlineStr">
        <is>
          <t>SÖDERHAMN</t>
        </is>
      </c>
      <c r="G7675" t="n">
        <v>6.2</v>
      </c>
      <c r="H7675" t="n">
        <v>0</v>
      </c>
      <c r="I7675" t="n">
        <v>0</v>
      </c>
      <c r="J7675" t="n">
        <v>0</v>
      </c>
      <c r="K7675" t="n">
        <v>0</v>
      </c>
      <c r="L7675" t="n">
        <v>0</v>
      </c>
      <c r="M7675" t="n">
        <v>0</v>
      </c>
      <c r="N7675" t="n">
        <v>0</v>
      </c>
      <c r="O7675" t="n">
        <v>0</v>
      </c>
      <c r="P7675" t="n">
        <v>0</v>
      </c>
      <c r="Q7675" t="n">
        <v>0</v>
      </c>
      <c r="R7675" s="2" t="inlineStr"/>
    </row>
    <row r="7676" ht="15" customHeight="1">
      <c r="A7676" t="inlineStr">
        <is>
          <t>A 11817-2024</t>
        </is>
      </c>
      <c r="B7676" s="1" t="n">
        <v>45376.33392361111</v>
      </c>
      <c r="C7676" s="1" t="n">
        <v>45911</v>
      </c>
      <c r="D7676" t="inlineStr">
        <is>
          <t>GÄVLEBORGS LÄN</t>
        </is>
      </c>
      <c r="E7676" t="inlineStr">
        <is>
          <t>HUDIKSVALL</t>
        </is>
      </c>
      <c r="F7676" t="inlineStr">
        <is>
          <t>Holmen skog AB</t>
        </is>
      </c>
      <c r="G7676" t="n">
        <v>6.2</v>
      </c>
      <c r="H7676" t="n">
        <v>0</v>
      </c>
      <c r="I7676" t="n">
        <v>0</v>
      </c>
      <c r="J7676" t="n">
        <v>0</v>
      </c>
      <c r="K7676" t="n">
        <v>0</v>
      </c>
      <c r="L7676" t="n">
        <v>0</v>
      </c>
      <c r="M7676" t="n">
        <v>0</v>
      </c>
      <c r="N7676" t="n">
        <v>0</v>
      </c>
      <c r="O7676" t="n">
        <v>0</v>
      </c>
      <c r="P7676" t="n">
        <v>0</v>
      </c>
      <c r="Q7676" t="n">
        <v>0</v>
      </c>
      <c r="R7676" s="2" t="inlineStr"/>
    </row>
    <row r="7677" ht="15" customHeight="1">
      <c r="A7677" t="inlineStr">
        <is>
          <t>A 16385-2023</t>
        </is>
      </c>
      <c r="B7677" s="1" t="n">
        <v>45022</v>
      </c>
      <c r="C7677" s="1" t="n">
        <v>45911</v>
      </c>
      <c r="D7677" t="inlineStr">
        <is>
          <t>GÄVLEBORGS LÄN</t>
        </is>
      </c>
      <c r="E7677" t="inlineStr">
        <is>
          <t>SANDVIKEN</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30294-2024</t>
        </is>
      </c>
      <c r="B7678" s="1" t="n">
        <v>45490</v>
      </c>
      <c r="C7678" s="1" t="n">
        <v>45911</v>
      </c>
      <c r="D7678" t="inlineStr">
        <is>
          <t>GÄVLEBORGS LÄN</t>
        </is>
      </c>
      <c r="E7678" t="inlineStr">
        <is>
          <t>LJUSDAL</t>
        </is>
      </c>
      <c r="G7678" t="n">
        <v>3.5</v>
      </c>
      <c r="H7678" t="n">
        <v>0</v>
      </c>
      <c r="I7678" t="n">
        <v>0</v>
      </c>
      <c r="J7678" t="n">
        <v>0</v>
      </c>
      <c r="K7678" t="n">
        <v>0</v>
      </c>
      <c r="L7678" t="n">
        <v>0</v>
      </c>
      <c r="M7678" t="n">
        <v>0</v>
      </c>
      <c r="N7678" t="n">
        <v>0</v>
      </c>
      <c r="O7678" t="n">
        <v>0</v>
      </c>
      <c r="P7678" t="n">
        <v>0</v>
      </c>
      <c r="Q7678" t="n">
        <v>0</v>
      </c>
      <c r="R7678" s="2" t="inlineStr"/>
    </row>
    <row r="7679" ht="15" customHeight="1">
      <c r="A7679" t="inlineStr">
        <is>
          <t>A 4230-2024</t>
        </is>
      </c>
      <c r="B7679" s="1" t="n">
        <v>45324</v>
      </c>
      <c r="C7679" s="1" t="n">
        <v>45911</v>
      </c>
      <c r="D7679" t="inlineStr">
        <is>
          <t>GÄVLEBORGS LÄN</t>
        </is>
      </c>
      <c r="E7679" t="inlineStr">
        <is>
          <t>LJUSDAL</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5870-2025</t>
        </is>
      </c>
      <c r="B7680" s="1" t="n">
        <v>45695.36047453704</v>
      </c>
      <c r="C7680" s="1" t="n">
        <v>45911</v>
      </c>
      <c r="D7680" t="inlineStr">
        <is>
          <t>GÄVLEBORGS LÄN</t>
        </is>
      </c>
      <c r="E7680" t="inlineStr">
        <is>
          <t>HUDIKSVALL</t>
        </is>
      </c>
      <c r="F7680" t="inlineStr">
        <is>
          <t>Holmen skog AB</t>
        </is>
      </c>
      <c r="G7680" t="n">
        <v>3.9</v>
      </c>
      <c r="H7680" t="n">
        <v>0</v>
      </c>
      <c r="I7680" t="n">
        <v>0</v>
      </c>
      <c r="J7680" t="n">
        <v>0</v>
      </c>
      <c r="K7680" t="n">
        <v>0</v>
      </c>
      <c r="L7680" t="n">
        <v>0</v>
      </c>
      <c r="M7680" t="n">
        <v>0</v>
      </c>
      <c r="N7680" t="n">
        <v>0</v>
      </c>
      <c r="O7680" t="n">
        <v>0</v>
      </c>
      <c r="P7680" t="n">
        <v>0</v>
      </c>
      <c r="Q7680" t="n">
        <v>0</v>
      </c>
      <c r="R7680" s="2" t="inlineStr"/>
    </row>
    <row r="7681" ht="15" customHeight="1">
      <c r="A7681" t="inlineStr">
        <is>
          <t>A 59636-2024</t>
        </is>
      </c>
      <c r="B7681" s="1" t="n">
        <v>45639.25746527778</v>
      </c>
      <c r="C7681" s="1" t="n">
        <v>45911</v>
      </c>
      <c r="D7681" t="inlineStr">
        <is>
          <t>GÄVLEBORGS LÄN</t>
        </is>
      </c>
      <c r="E7681" t="inlineStr">
        <is>
          <t>BOLLNÄS</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15938-2025</t>
        </is>
      </c>
      <c r="B7682" s="1" t="n">
        <v>45749.47486111111</v>
      </c>
      <c r="C7682" s="1" t="n">
        <v>45911</v>
      </c>
      <c r="D7682" t="inlineStr">
        <is>
          <t>GÄVLEBORGS LÄN</t>
        </is>
      </c>
      <c r="E7682" t="inlineStr">
        <is>
          <t>GÄVLE</t>
        </is>
      </c>
      <c r="F7682" t="inlineStr">
        <is>
          <t>Bergvik skog öst AB</t>
        </is>
      </c>
      <c r="G7682" t="n">
        <v>4.5</v>
      </c>
      <c r="H7682" t="n">
        <v>0</v>
      </c>
      <c r="I7682" t="n">
        <v>0</v>
      </c>
      <c r="J7682" t="n">
        <v>0</v>
      </c>
      <c r="K7682" t="n">
        <v>0</v>
      </c>
      <c r="L7682" t="n">
        <v>0</v>
      </c>
      <c r="M7682" t="n">
        <v>0</v>
      </c>
      <c r="N7682" t="n">
        <v>0</v>
      </c>
      <c r="O7682" t="n">
        <v>0</v>
      </c>
      <c r="P7682" t="n">
        <v>0</v>
      </c>
      <c r="Q7682" t="n">
        <v>0</v>
      </c>
      <c r="R7682" s="2" t="inlineStr"/>
    </row>
    <row r="7683" ht="15" customHeight="1">
      <c r="A7683" t="inlineStr">
        <is>
          <t>A 15964-2025</t>
        </is>
      </c>
      <c r="B7683" s="1" t="n">
        <v>45749</v>
      </c>
      <c r="C7683" s="1" t="n">
        <v>45911</v>
      </c>
      <c r="D7683" t="inlineStr">
        <is>
          <t>GÄVLEBORGS LÄN</t>
        </is>
      </c>
      <c r="E7683" t="inlineStr">
        <is>
          <t>HUDIKSVALL</t>
        </is>
      </c>
      <c r="G7683" t="n">
        <v>3.5</v>
      </c>
      <c r="H7683" t="n">
        <v>0</v>
      </c>
      <c r="I7683" t="n">
        <v>0</v>
      </c>
      <c r="J7683" t="n">
        <v>0</v>
      </c>
      <c r="K7683" t="n">
        <v>0</v>
      </c>
      <c r="L7683" t="n">
        <v>0</v>
      </c>
      <c r="M7683" t="n">
        <v>0</v>
      </c>
      <c r="N7683" t="n">
        <v>0</v>
      </c>
      <c r="O7683" t="n">
        <v>0</v>
      </c>
      <c r="P7683" t="n">
        <v>0</v>
      </c>
      <c r="Q7683" t="n">
        <v>0</v>
      </c>
      <c r="R7683" s="2" t="inlineStr"/>
    </row>
    <row r="7684" ht="15" customHeight="1">
      <c r="A7684" t="inlineStr">
        <is>
          <t>A 15295-2025</t>
        </is>
      </c>
      <c r="B7684" s="1" t="n">
        <v>45745.77329861111</v>
      </c>
      <c r="C7684" s="1" t="n">
        <v>45911</v>
      </c>
      <c r="D7684" t="inlineStr">
        <is>
          <t>GÄVLEBORGS LÄN</t>
        </is>
      </c>
      <c r="E7684" t="inlineStr">
        <is>
          <t>LJUSDAL</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52613-2024</t>
        </is>
      </c>
      <c r="B7685" s="1" t="n">
        <v>45609.84217592593</v>
      </c>
      <c r="C7685" s="1" t="n">
        <v>45911</v>
      </c>
      <c r="D7685" t="inlineStr">
        <is>
          <t>GÄVLEBORGS LÄN</t>
        </is>
      </c>
      <c r="E7685" t="inlineStr">
        <is>
          <t>BOLLNÄS</t>
        </is>
      </c>
      <c r="G7685" t="n">
        <v>3.6</v>
      </c>
      <c r="H7685" t="n">
        <v>0</v>
      </c>
      <c r="I7685" t="n">
        <v>0</v>
      </c>
      <c r="J7685" t="n">
        <v>0</v>
      </c>
      <c r="K7685" t="n">
        <v>0</v>
      </c>
      <c r="L7685" t="n">
        <v>0</v>
      </c>
      <c r="M7685" t="n">
        <v>0</v>
      </c>
      <c r="N7685" t="n">
        <v>0</v>
      </c>
      <c r="O7685" t="n">
        <v>0</v>
      </c>
      <c r="P7685" t="n">
        <v>0</v>
      </c>
      <c r="Q7685" t="n">
        <v>0</v>
      </c>
      <c r="R7685" s="2" t="inlineStr"/>
    </row>
    <row r="7686" ht="15" customHeight="1">
      <c r="A7686" t="inlineStr">
        <is>
          <t>A 48148-2024</t>
        </is>
      </c>
      <c r="B7686" s="1" t="n">
        <v>45589.67875</v>
      </c>
      <c r="C7686" s="1" t="n">
        <v>45911</v>
      </c>
      <c r="D7686" t="inlineStr">
        <is>
          <t>GÄVLEBORGS LÄN</t>
        </is>
      </c>
      <c r="E7686" t="inlineStr">
        <is>
          <t>LJUSDAL</t>
        </is>
      </c>
      <c r="G7686" t="n">
        <v>2.9</v>
      </c>
      <c r="H7686" t="n">
        <v>0</v>
      </c>
      <c r="I7686" t="n">
        <v>0</v>
      </c>
      <c r="J7686" t="n">
        <v>0</v>
      </c>
      <c r="K7686" t="n">
        <v>0</v>
      </c>
      <c r="L7686" t="n">
        <v>0</v>
      </c>
      <c r="M7686" t="n">
        <v>0</v>
      </c>
      <c r="N7686" t="n">
        <v>0</v>
      </c>
      <c r="O7686" t="n">
        <v>0</v>
      </c>
      <c r="P7686" t="n">
        <v>0</v>
      </c>
      <c r="Q7686" t="n">
        <v>0</v>
      </c>
      <c r="R7686" s="2" t="inlineStr"/>
    </row>
    <row r="7687" ht="15" customHeight="1">
      <c r="A7687" t="inlineStr">
        <is>
          <t>A 58445-2021</t>
        </is>
      </c>
      <c r="B7687" s="1" t="n">
        <v>44488.57009259259</v>
      </c>
      <c r="C7687" s="1" t="n">
        <v>45911</v>
      </c>
      <c r="D7687" t="inlineStr">
        <is>
          <t>GÄVLEBORGS LÄN</t>
        </is>
      </c>
      <c r="E7687" t="inlineStr">
        <is>
          <t>GÄVLE</t>
        </is>
      </c>
      <c r="G7687" t="n">
        <v>2.3</v>
      </c>
      <c r="H7687" t="n">
        <v>0</v>
      </c>
      <c r="I7687" t="n">
        <v>0</v>
      </c>
      <c r="J7687" t="n">
        <v>0</v>
      </c>
      <c r="K7687" t="n">
        <v>0</v>
      </c>
      <c r="L7687" t="n">
        <v>0</v>
      </c>
      <c r="M7687" t="n">
        <v>0</v>
      </c>
      <c r="N7687" t="n">
        <v>0</v>
      </c>
      <c r="O7687" t="n">
        <v>0</v>
      </c>
      <c r="P7687" t="n">
        <v>0</v>
      </c>
      <c r="Q7687" t="n">
        <v>0</v>
      </c>
      <c r="R7687" s="2" t="inlineStr"/>
    </row>
    <row r="7688" ht="15" customHeight="1">
      <c r="A7688" t="inlineStr">
        <is>
          <t>A 20024-2024</t>
        </is>
      </c>
      <c r="B7688" s="1" t="n">
        <v>45434.3034837963</v>
      </c>
      <c r="C7688" s="1" t="n">
        <v>45911</v>
      </c>
      <c r="D7688" t="inlineStr">
        <is>
          <t>GÄVLEBORGS LÄN</t>
        </is>
      </c>
      <c r="E7688" t="inlineStr">
        <is>
          <t>HUDIKSVALL</t>
        </is>
      </c>
      <c r="G7688" t="n">
        <v>1.9</v>
      </c>
      <c r="H7688" t="n">
        <v>0</v>
      </c>
      <c r="I7688" t="n">
        <v>0</v>
      </c>
      <c r="J7688" t="n">
        <v>0</v>
      </c>
      <c r="K7688" t="n">
        <v>0</v>
      </c>
      <c r="L7688" t="n">
        <v>0</v>
      </c>
      <c r="M7688" t="n">
        <v>0</v>
      </c>
      <c r="N7688" t="n">
        <v>0</v>
      </c>
      <c r="O7688" t="n">
        <v>0</v>
      </c>
      <c r="P7688" t="n">
        <v>0</v>
      </c>
      <c r="Q7688" t="n">
        <v>0</v>
      </c>
      <c r="R7688" s="2" t="inlineStr"/>
    </row>
    <row r="7689" ht="15" customHeight="1">
      <c r="A7689" t="inlineStr">
        <is>
          <t>A 20032-2024</t>
        </is>
      </c>
      <c r="B7689" s="1" t="n">
        <v>45434.33524305555</v>
      </c>
      <c r="C7689" s="1" t="n">
        <v>45911</v>
      </c>
      <c r="D7689" t="inlineStr">
        <is>
          <t>GÄVLEBORGS LÄN</t>
        </is>
      </c>
      <c r="E7689" t="inlineStr">
        <is>
          <t>LJUSDAL</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21316-2024</t>
        </is>
      </c>
      <c r="B7690" s="1" t="n">
        <v>45440.70765046297</v>
      </c>
      <c r="C7690" s="1" t="n">
        <v>45911</v>
      </c>
      <c r="D7690" t="inlineStr">
        <is>
          <t>GÄVLEBORGS LÄN</t>
        </is>
      </c>
      <c r="E7690" t="inlineStr">
        <is>
          <t>SÖDERHAMN</t>
        </is>
      </c>
      <c r="F7690" t="inlineStr">
        <is>
          <t>Kommuner</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58281-2024</t>
        </is>
      </c>
      <c r="B7691" s="1" t="n">
        <v>45632.57706018518</v>
      </c>
      <c r="C7691" s="1" t="n">
        <v>45911</v>
      </c>
      <c r="D7691" t="inlineStr">
        <is>
          <t>GÄVLEBORGS LÄN</t>
        </is>
      </c>
      <c r="E7691" t="inlineStr">
        <is>
          <t>SÖDERHAMN</t>
        </is>
      </c>
      <c r="F7691" t="inlineStr">
        <is>
          <t>Bergvik skog väst AB</t>
        </is>
      </c>
      <c r="G7691" t="n">
        <v>3.4</v>
      </c>
      <c r="H7691" t="n">
        <v>0</v>
      </c>
      <c r="I7691" t="n">
        <v>0</v>
      </c>
      <c r="J7691" t="n">
        <v>0</v>
      </c>
      <c r="K7691" t="n">
        <v>0</v>
      </c>
      <c r="L7691" t="n">
        <v>0</v>
      </c>
      <c r="M7691" t="n">
        <v>0</v>
      </c>
      <c r="N7691" t="n">
        <v>0</v>
      </c>
      <c r="O7691" t="n">
        <v>0</v>
      </c>
      <c r="P7691" t="n">
        <v>0</v>
      </c>
      <c r="Q7691" t="n">
        <v>0</v>
      </c>
      <c r="R7691" s="2" t="inlineStr"/>
    </row>
    <row r="7692" ht="15" customHeight="1">
      <c r="A7692" t="inlineStr">
        <is>
          <t>A 14088-2025</t>
        </is>
      </c>
      <c r="B7692" s="1" t="n">
        <v>45740.44287037037</v>
      </c>
      <c r="C7692" s="1" t="n">
        <v>45911</v>
      </c>
      <c r="D7692" t="inlineStr">
        <is>
          <t>GÄVLEBORGS LÄN</t>
        </is>
      </c>
      <c r="E7692" t="inlineStr">
        <is>
          <t>HUDIKSVALL</t>
        </is>
      </c>
      <c r="G7692" t="n">
        <v>12.8</v>
      </c>
      <c r="H7692" t="n">
        <v>0</v>
      </c>
      <c r="I7692" t="n">
        <v>0</v>
      </c>
      <c r="J7692" t="n">
        <v>0</v>
      </c>
      <c r="K7692" t="n">
        <v>0</v>
      </c>
      <c r="L7692" t="n">
        <v>0</v>
      </c>
      <c r="M7692" t="n">
        <v>0</v>
      </c>
      <c r="N7692" t="n">
        <v>0</v>
      </c>
      <c r="O7692" t="n">
        <v>0</v>
      </c>
      <c r="P7692" t="n">
        <v>0</v>
      </c>
      <c r="Q7692" t="n">
        <v>0</v>
      </c>
      <c r="R7692" s="2" t="inlineStr"/>
    </row>
    <row r="7693" ht="15" customHeight="1">
      <c r="A7693" t="inlineStr">
        <is>
          <t>A 19910-2025</t>
        </is>
      </c>
      <c r="B7693" s="1" t="n">
        <v>45771.60747685185</v>
      </c>
      <c r="C7693" s="1" t="n">
        <v>45911</v>
      </c>
      <c r="D7693" t="inlineStr">
        <is>
          <t>GÄVLEBORGS LÄN</t>
        </is>
      </c>
      <c r="E7693" t="inlineStr">
        <is>
          <t>OVANÅKER</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19921-2025</t>
        </is>
      </c>
      <c r="B7694" s="1" t="n">
        <v>45771.62862268519</v>
      </c>
      <c r="C7694" s="1" t="n">
        <v>45911</v>
      </c>
      <c r="D7694" t="inlineStr">
        <is>
          <t>GÄVLEBORGS LÄN</t>
        </is>
      </c>
      <c r="E7694" t="inlineStr">
        <is>
          <t>SÖDERHAMN</t>
        </is>
      </c>
      <c r="G7694" t="n">
        <v>5.2</v>
      </c>
      <c r="H7694" t="n">
        <v>0</v>
      </c>
      <c r="I7694" t="n">
        <v>0</v>
      </c>
      <c r="J7694" t="n">
        <v>0</v>
      </c>
      <c r="K7694" t="n">
        <v>0</v>
      </c>
      <c r="L7694" t="n">
        <v>0</v>
      </c>
      <c r="M7694" t="n">
        <v>0</v>
      </c>
      <c r="N7694" t="n">
        <v>0</v>
      </c>
      <c r="O7694" t="n">
        <v>0</v>
      </c>
      <c r="P7694" t="n">
        <v>0</v>
      </c>
      <c r="Q7694" t="n">
        <v>0</v>
      </c>
      <c r="R7694" s="2" t="inlineStr"/>
    </row>
    <row r="7695" ht="15" customHeight="1">
      <c r="A7695" t="inlineStr">
        <is>
          <t>A 4227-2025</t>
        </is>
      </c>
      <c r="B7695" s="1" t="n">
        <v>45685.54583333333</v>
      </c>
      <c r="C7695" s="1" t="n">
        <v>45911</v>
      </c>
      <c r="D7695" t="inlineStr">
        <is>
          <t>GÄVLEBORGS LÄN</t>
        </is>
      </c>
      <c r="E7695" t="inlineStr">
        <is>
          <t>NORDANSTIG</t>
        </is>
      </c>
      <c r="G7695" t="n">
        <v>4.7</v>
      </c>
      <c r="H7695" t="n">
        <v>0</v>
      </c>
      <c r="I7695" t="n">
        <v>0</v>
      </c>
      <c r="J7695" t="n">
        <v>0</v>
      </c>
      <c r="K7695" t="n">
        <v>0</v>
      </c>
      <c r="L7695" t="n">
        <v>0</v>
      </c>
      <c r="M7695" t="n">
        <v>0</v>
      </c>
      <c r="N7695" t="n">
        <v>0</v>
      </c>
      <c r="O7695" t="n">
        <v>0</v>
      </c>
      <c r="P7695" t="n">
        <v>0</v>
      </c>
      <c r="Q7695" t="n">
        <v>0</v>
      </c>
      <c r="R7695" s="2" t="inlineStr"/>
    </row>
    <row r="7696" ht="15" customHeight="1">
      <c r="A7696" t="inlineStr">
        <is>
          <t>A 9692-2025</t>
        </is>
      </c>
      <c r="B7696" s="1" t="n">
        <v>45716.36666666667</v>
      </c>
      <c r="C7696" s="1" t="n">
        <v>45911</v>
      </c>
      <c r="D7696" t="inlineStr">
        <is>
          <t>GÄVLEBORGS LÄN</t>
        </is>
      </c>
      <c r="E7696" t="inlineStr">
        <is>
          <t>BOLLNÄS</t>
        </is>
      </c>
      <c r="G7696" t="n">
        <v>1.8</v>
      </c>
      <c r="H7696" t="n">
        <v>0</v>
      </c>
      <c r="I7696" t="n">
        <v>0</v>
      </c>
      <c r="J7696" t="n">
        <v>0</v>
      </c>
      <c r="K7696" t="n">
        <v>0</v>
      </c>
      <c r="L7696" t="n">
        <v>0</v>
      </c>
      <c r="M7696" t="n">
        <v>0</v>
      </c>
      <c r="N7696" t="n">
        <v>0</v>
      </c>
      <c r="O7696" t="n">
        <v>0</v>
      </c>
      <c r="P7696" t="n">
        <v>0</v>
      </c>
      <c r="Q7696" t="n">
        <v>0</v>
      </c>
      <c r="R7696" s="2" t="inlineStr"/>
    </row>
    <row r="7697" ht="15" customHeight="1">
      <c r="A7697" t="inlineStr">
        <is>
          <t>A 57378-2024</t>
        </is>
      </c>
      <c r="B7697" s="1" t="n">
        <v>45629.67824074074</v>
      </c>
      <c r="C7697" s="1" t="n">
        <v>45911</v>
      </c>
      <c r="D7697" t="inlineStr">
        <is>
          <t>GÄVLEBORGS LÄN</t>
        </is>
      </c>
      <c r="E7697" t="inlineStr">
        <is>
          <t>BOLLNÄS</t>
        </is>
      </c>
      <c r="G7697" t="n">
        <v>0.4</v>
      </c>
      <c r="H7697" t="n">
        <v>0</v>
      </c>
      <c r="I7697" t="n">
        <v>0</v>
      </c>
      <c r="J7697" t="n">
        <v>0</v>
      </c>
      <c r="K7697" t="n">
        <v>0</v>
      </c>
      <c r="L7697" t="n">
        <v>0</v>
      </c>
      <c r="M7697" t="n">
        <v>0</v>
      </c>
      <c r="N7697" t="n">
        <v>0</v>
      </c>
      <c r="O7697" t="n">
        <v>0</v>
      </c>
      <c r="P7697" t="n">
        <v>0</v>
      </c>
      <c r="Q7697" t="n">
        <v>0</v>
      </c>
      <c r="R7697" s="2" t="inlineStr"/>
    </row>
    <row r="7698" ht="15" customHeight="1">
      <c r="A7698" t="inlineStr">
        <is>
          <t>A 37996-2024</t>
        </is>
      </c>
      <c r="B7698" s="1" t="n">
        <v>45544.60001157408</v>
      </c>
      <c r="C7698" s="1" t="n">
        <v>45911</v>
      </c>
      <c r="D7698" t="inlineStr">
        <is>
          <t>GÄVLEBORGS LÄN</t>
        </is>
      </c>
      <c r="E7698" t="inlineStr">
        <is>
          <t>SANDVIKEN</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11920-2025</t>
        </is>
      </c>
      <c r="B7699" s="1" t="n">
        <v>45728.49407407407</v>
      </c>
      <c r="C7699" s="1" t="n">
        <v>45911</v>
      </c>
      <c r="D7699" t="inlineStr">
        <is>
          <t>GÄVLEBORGS LÄN</t>
        </is>
      </c>
      <c r="E7699" t="inlineStr">
        <is>
          <t>LJUSDAL</t>
        </is>
      </c>
      <c r="G7699" t="n">
        <v>3</v>
      </c>
      <c r="H7699" t="n">
        <v>0</v>
      </c>
      <c r="I7699" t="n">
        <v>0</v>
      </c>
      <c r="J7699" t="n">
        <v>0</v>
      </c>
      <c r="K7699" t="n">
        <v>0</v>
      </c>
      <c r="L7699" t="n">
        <v>0</v>
      </c>
      <c r="M7699" t="n">
        <v>0</v>
      </c>
      <c r="N7699" t="n">
        <v>0</v>
      </c>
      <c r="O7699" t="n">
        <v>0</v>
      </c>
      <c r="P7699" t="n">
        <v>0</v>
      </c>
      <c r="Q7699" t="n">
        <v>0</v>
      </c>
      <c r="R7699" s="2" t="inlineStr"/>
    </row>
    <row r="7700" ht="15" customHeight="1">
      <c r="A7700" t="inlineStr">
        <is>
          <t>A 35200-2024</t>
        </is>
      </c>
      <c r="B7700" s="1" t="n">
        <v>45530.47582175926</v>
      </c>
      <c r="C7700" s="1" t="n">
        <v>45911</v>
      </c>
      <c r="D7700" t="inlineStr">
        <is>
          <t>GÄVLEBORGS LÄN</t>
        </is>
      </c>
      <c r="E7700" t="inlineStr">
        <is>
          <t>BOLLNÄS</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35206-2024</t>
        </is>
      </c>
      <c r="B7701" s="1" t="n">
        <v>45530</v>
      </c>
      <c r="C7701" s="1" t="n">
        <v>45911</v>
      </c>
      <c r="D7701" t="inlineStr">
        <is>
          <t>GÄVLEBORGS LÄN</t>
        </is>
      </c>
      <c r="E7701" t="inlineStr">
        <is>
          <t>GÄVLE</t>
        </is>
      </c>
      <c r="F7701" t="inlineStr">
        <is>
          <t>Bergvik skog öst AB</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42659-2024</t>
        </is>
      </c>
      <c r="B7702" s="1" t="n">
        <v>45566.33751157407</v>
      </c>
      <c r="C7702" s="1" t="n">
        <v>45911</v>
      </c>
      <c r="D7702" t="inlineStr">
        <is>
          <t>GÄVLEBORGS LÄN</t>
        </is>
      </c>
      <c r="E7702" t="inlineStr">
        <is>
          <t>HUDIKSVALL</t>
        </is>
      </c>
      <c r="F7702" t="inlineStr">
        <is>
          <t>Holmen skog AB</t>
        </is>
      </c>
      <c r="G7702" t="n">
        <v>10</v>
      </c>
      <c r="H7702" t="n">
        <v>0</v>
      </c>
      <c r="I7702" t="n">
        <v>0</v>
      </c>
      <c r="J7702" t="n">
        <v>0</v>
      </c>
      <c r="K7702" t="n">
        <v>0</v>
      </c>
      <c r="L7702" t="n">
        <v>0</v>
      </c>
      <c r="M7702" t="n">
        <v>0</v>
      </c>
      <c r="N7702" t="n">
        <v>0</v>
      </c>
      <c r="O7702" t="n">
        <v>0</v>
      </c>
      <c r="P7702" t="n">
        <v>0</v>
      </c>
      <c r="Q7702" t="n">
        <v>0</v>
      </c>
      <c r="R7702" s="2" t="inlineStr"/>
    </row>
    <row r="7703" ht="15" customHeight="1">
      <c r="A7703" t="inlineStr">
        <is>
          <t>A 37778-2024</t>
        </is>
      </c>
      <c r="B7703" s="1" t="n">
        <v>45542</v>
      </c>
      <c r="C7703" s="1" t="n">
        <v>45911</v>
      </c>
      <c r="D7703" t="inlineStr">
        <is>
          <t>GÄVLEBORGS LÄN</t>
        </is>
      </c>
      <c r="E7703" t="inlineStr">
        <is>
          <t>HUDIKSVALL</t>
        </is>
      </c>
      <c r="F7703" t="inlineStr">
        <is>
          <t>Holmen skog AB</t>
        </is>
      </c>
      <c r="G7703" t="n">
        <v>4</v>
      </c>
      <c r="H7703" t="n">
        <v>0</v>
      </c>
      <c r="I7703" t="n">
        <v>0</v>
      </c>
      <c r="J7703" t="n">
        <v>0</v>
      </c>
      <c r="K7703" t="n">
        <v>0</v>
      </c>
      <c r="L7703" t="n">
        <v>0</v>
      </c>
      <c r="M7703" t="n">
        <v>0</v>
      </c>
      <c r="N7703" t="n">
        <v>0</v>
      </c>
      <c r="O7703" t="n">
        <v>0</v>
      </c>
      <c r="P7703" t="n">
        <v>0</v>
      </c>
      <c r="Q7703" t="n">
        <v>0</v>
      </c>
      <c r="R7703" s="2" t="inlineStr"/>
    </row>
    <row r="7704" ht="15" customHeight="1">
      <c r="A7704" t="inlineStr">
        <is>
          <t>A 30134-2024</t>
        </is>
      </c>
      <c r="B7704" s="1" t="n">
        <v>45489</v>
      </c>
      <c r="C7704" s="1" t="n">
        <v>45911</v>
      </c>
      <c r="D7704" t="inlineStr">
        <is>
          <t>GÄVLEBORGS LÄN</t>
        </is>
      </c>
      <c r="E7704" t="inlineStr">
        <is>
          <t>HUDIKSVALL</t>
        </is>
      </c>
      <c r="F7704" t="inlineStr">
        <is>
          <t>Holmen skog AB</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53916-2024</t>
        </is>
      </c>
      <c r="B7705" s="1" t="n">
        <v>45615.75822916667</v>
      </c>
      <c r="C7705" s="1" t="n">
        <v>45911</v>
      </c>
      <c r="D7705" t="inlineStr">
        <is>
          <t>GÄVLEBORGS LÄN</t>
        </is>
      </c>
      <c r="E7705" t="inlineStr">
        <is>
          <t>SÖDERHAMN</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12768-2025</t>
        </is>
      </c>
      <c r="B7706" s="1" t="n">
        <v>45733.57840277778</v>
      </c>
      <c r="C7706" s="1" t="n">
        <v>45911</v>
      </c>
      <c r="D7706" t="inlineStr">
        <is>
          <t>GÄVLEBORGS LÄN</t>
        </is>
      </c>
      <c r="E7706" t="inlineStr">
        <is>
          <t>LJUSDAL</t>
        </is>
      </c>
      <c r="G7706" t="n">
        <v>5.4</v>
      </c>
      <c r="H7706" t="n">
        <v>0</v>
      </c>
      <c r="I7706" t="n">
        <v>0</v>
      </c>
      <c r="J7706" t="n">
        <v>0</v>
      </c>
      <c r="K7706" t="n">
        <v>0</v>
      </c>
      <c r="L7706" t="n">
        <v>0</v>
      </c>
      <c r="M7706" t="n">
        <v>0</v>
      </c>
      <c r="N7706" t="n">
        <v>0</v>
      </c>
      <c r="O7706" t="n">
        <v>0</v>
      </c>
      <c r="P7706" t="n">
        <v>0</v>
      </c>
      <c r="Q7706" t="n">
        <v>0</v>
      </c>
      <c r="R7706" s="2" t="inlineStr"/>
    </row>
    <row r="7707" ht="15" customHeight="1">
      <c r="A7707" t="inlineStr">
        <is>
          <t>A 15645-2025</t>
        </is>
      </c>
      <c r="B7707" s="1" t="n">
        <v>45748.39400462963</v>
      </c>
      <c r="C7707" s="1" t="n">
        <v>45911</v>
      </c>
      <c r="D7707" t="inlineStr">
        <is>
          <t>GÄVLEBORGS LÄN</t>
        </is>
      </c>
      <c r="E7707" t="inlineStr">
        <is>
          <t>LJUSDAL</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50306-2024</t>
        </is>
      </c>
      <c r="B7708" s="1" t="n">
        <v>45600.64725694444</v>
      </c>
      <c r="C7708" s="1" t="n">
        <v>45911</v>
      </c>
      <c r="D7708" t="inlineStr">
        <is>
          <t>GÄVLEBORGS LÄN</t>
        </is>
      </c>
      <c r="E7708" t="inlineStr">
        <is>
          <t>HUDIKSVALL</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38936-2024</t>
        </is>
      </c>
      <c r="B7709" s="1" t="n">
        <v>45548</v>
      </c>
      <c r="C7709" s="1" t="n">
        <v>45911</v>
      </c>
      <c r="D7709" t="inlineStr">
        <is>
          <t>GÄVLEBORGS LÄN</t>
        </is>
      </c>
      <c r="E7709" t="inlineStr">
        <is>
          <t>BOLLNÄS</t>
        </is>
      </c>
      <c r="F7709" t="inlineStr">
        <is>
          <t>Sveaskog</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50389-2024</t>
        </is>
      </c>
      <c r="B7710" s="1" t="n">
        <v>45601.33396990741</v>
      </c>
      <c r="C7710" s="1" t="n">
        <v>45911</v>
      </c>
      <c r="D7710" t="inlineStr">
        <is>
          <t>GÄVLEBORGS LÄN</t>
        </is>
      </c>
      <c r="E7710" t="inlineStr">
        <is>
          <t>OVANÅKER</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56158-2024</t>
        </is>
      </c>
      <c r="B7711" s="1" t="n">
        <v>45624.53408564815</v>
      </c>
      <c r="C7711" s="1" t="n">
        <v>45911</v>
      </c>
      <c r="D7711" t="inlineStr">
        <is>
          <t>GÄVLEBORGS LÄN</t>
        </is>
      </c>
      <c r="E7711" t="inlineStr">
        <is>
          <t>LJUSDAL</t>
        </is>
      </c>
      <c r="G7711" t="n">
        <v>7.5</v>
      </c>
      <c r="H7711" t="n">
        <v>0</v>
      </c>
      <c r="I7711" t="n">
        <v>0</v>
      </c>
      <c r="J7711" t="n">
        <v>0</v>
      </c>
      <c r="K7711" t="n">
        <v>0</v>
      </c>
      <c r="L7711" t="n">
        <v>0</v>
      </c>
      <c r="M7711" t="n">
        <v>0</v>
      </c>
      <c r="N7711" t="n">
        <v>0</v>
      </c>
      <c r="O7711" t="n">
        <v>0</v>
      </c>
      <c r="P7711" t="n">
        <v>0</v>
      </c>
      <c r="Q7711" t="n">
        <v>0</v>
      </c>
      <c r="R7711" s="2" t="inlineStr"/>
    </row>
    <row r="7712" ht="15" customHeight="1">
      <c r="A7712" t="inlineStr">
        <is>
          <t>A 61427-2024</t>
        </is>
      </c>
      <c r="B7712" s="1" t="n">
        <v>45646.45481481482</v>
      </c>
      <c r="C7712" s="1" t="n">
        <v>45911</v>
      </c>
      <c r="D7712" t="inlineStr">
        <is>
          <t>GÄVLEBORGS LÄN</t>
        </is>
      </c>
      <c r="E7712" t="inlineStr">
        <is>
          <t>NORDANSTIG</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15105-2025</t>
        </is>
      </c>
      <c r="B7713" s="1" t="n">
        <v>45744.34733796296</v>
      </c>
      <c r="C7713" s="1" t="n">
        <v>45911</v>
      </c>
      <c r="D7713" t="inlineStr">
        <is>
          <t>GÄVLEBORGS LÄN</t>
        </is>
      </c>
      <c r="E7713" t="inlineStr">
        <is>
          <t>GÄVLE</t>
        </is>
      </c>
      <c r="F7713" t="inlineStr">
        <is>
          <t>Bergvik skog öst AB</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61918-2023</t>
        </is>
      </c>
      <c r="B7714" s="1" t="n">
        <v>45266.48171296297</v>
      </c>
      <c r="C7714" s="1" t="n">
        <v>45911</v>
      </c>
      <c r="D7714" t="inlineStr">
        <is>
          <t>GÄVLEBORGS LÄN</t>
        </is>
      </c>
      <c r="E7714" t="inlineStr">
        <is>
          <t>GÄVLE</t>
        </is>
      </c>
      <c r="G7714" t="n">
        <v>5.3</v>
      </c>
      <c r="H7714" t="n">
        <v>0</v>
      </c>
      <c r="I7714" t="n">
        <v>0</v>
      </c>
      <c r="J7714" t="n">
        <v>0</v>
      </c>
      <c r="K7714" t="n">
        <v>0</v>
      </c>
      <c r="L7714" t="n">
        <v>0</v>
      </c>
      <c r="M7714" t="n">
        <v>0</v>
      </c>
      <c r="N7714" t="n">
        <v>0</v>
      </c>
      <c r="O7714" t="n">
        <v>0</v>
      </c>
      <c r="P7714" t="n">
        <v>0</v>
      </c>
      <c r="Q7714" t="n">
        <v>0</v>
      </c>
      <c r="R7714" s="2" t="inlineStr"/>
    </row>
    <row r="7715" ht="15" customHeight="1">
      <c r="A7715" t="inlineStr">
        <is>
          <t>A 60491-2023</t>
        </is>
      </c>
      <c r="B7715" s="1" t="n">
        <v>45258</v>
      </c>
      <c r="C7715" s="1" t="n">
        <v>45911</v>
      </c>
      <c r="D7715" t="inlineStr">
        <is>
          <t>GÄVLEBORGS LÄN</t>
        </is>
      </c>
      <c r="E7715" t="inlineStr">
        <is>
          <t>BOLLNÄS</t>
        </is>
      </c>
      <c r="G7715" t="n">
        <v>3.5</v>
      </c>
      <c r="H7715" t="n">
        <v>0</v>
      </c>
      <c r="I7715" t="n">
        <v>0</v>
      </c>
      <c r="J7715" t="n">
        <v>0</v>
      </c>
      <c r="K7715" t="n">
        <v>0</v>
      </c>
      <c r="L7715" t="n">
        <v>0</v>
      </c>
      <c r="M7715" t="n">
        <v>0</v>
      </c>
      <c r="N7715" t="n">
        <v>0</v>
      </c>
      <c r="O7715" t="n">
        <v>0</v>
      </c>
      <c r="P7715" t="n">
        <v>0</v>
      </c>
      <c r="Q7715" t="n">
        <v>0</v>
      </c>
      <c r="R7715" s="2" t="inlineStr"/>
    </row>
    <row r="7716" ht="15" customHeight="1">
      <c r="A7716" t="inlineStr">
        <is>
          <t>A 2458-2024</t>
        </is>
      </c>
      <c r="B7716" s="1" t="n">
        <v>45312.89796296296</v>
      </c>
      <c r="C7716" s="1" t="n">
        <v>45911</v>
      </c>
      <c r="D7716" t="inlineStr">
        <is>
          <t>GÄVLEBORGS LÄN</t>
        </is>
      </c>
      <c r="E7716" t="inlineStr">
        <is>
          <t>GÄVLE</t>
        </is>
      </c>
      <c r="G7716" t="n">
        <v>2.2</v>
      </c>
      <c r="H7716" t="n">
        <v>0</v>
      </c>
      <c r="I7716" t="n">
        <v>0</v>
      </c>
      <c r="J7716" t="n">
        <v>0</v>
      </c>
      <c r="K7716" t="n">
        <v>0</v>
      </c>
      <c r="L7716" t="n">
        <v>0</v>
      </c>
      <c r="M7716" t="n">
        <v>0</v>
      </c>
      <c r="N7716" t="n">
        <v>0</v>
      </c>
      <c r="O7716" t="n">
        <v>0</v>
      </c>
      <c r="P7716" t="n">
        <v>0</v>
      </c>
      <c r="Q7716" t="n">
        <v>0</v>
      </c>
      <c r="R7716" s="2" t="inlineStr"/>
    </row>
    <row r="7717" ht="15" customHeight="1">
      <c r="A7717" t="inlineStr">
        <is>
          <t>A 58876-2024</t>
        </is>
      </c>
      <c r="B7717" s="1" t="n">
        <v>45636.44318287037</v>
      </c>
      <c r="C7717" s="1" t="n">
        <v>45911</v>
      </c>
      <c r="D7717" t="inlineStr">
        <is>
          <t>GÄVLEBORGS LÄN</t>
        </is>
      </c>
      <c r="E7717" t="inlineStr">
        <is>
          <t>NORDANSTIG</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58877-2024</t>
        </is>
      </c>
      <c r="B7718" s="1" t="n">
        <v>45636.44435185185</v>
      </c>
      <c r="C7718" s="1" t="n">
        <v>45911</v>
      </c>
      <c r="D7718" t="inlineStr">
        <is>
          <t>GÄVLEBORGS LÄN</t>
        </is>
      </c>
      <c r="E7718" t="inlineStr">
        <is>
          <t>BOLLNÄS</t>
        </is>
      </c>
      <c r="G7718" t="n">
        <v>4.9</v>
      </c>
      <c r="H7718" t="n">
        <v>0</v>
      </c>
      <c r="I7718" t="n">
        <v>0</v>
      </c>
      <c r="J7718" t="n">
        <v>0</v>
      </c>
      <c r="K7718" t="n">
        <v>0</v>
      </c>
      <c r="L7718" t="n">
        <v>0</v>
      </c>
      <c r="M7718" t="n">
        <v>0</v>
      </c>
      <c r="N7718" t="n">
        <v>0</v>
      </c>
      <c r="O7718" t="n">
        <v>0</v>
      </c>
      <c r="P7718" t="n">
        <v>0</v>
      </c>
      <c r="Q7718" t="n">
        <v>0</v>
      </c>
      <c r="R7718" s="2" t="inlineStr"/>
    </row>
    <row r="7719" ht="15" customHeight="1">
      <c r="A7719" t="inlineStr">
        <is>
          <t>A 59931-2023</t>
        </is>
      </c>
      <c r="B7719" s="1" t="n">
        <v>45257.66400462963</v>
      </c>
      <c r="C7719" s="1" t="n">
        <v>45911</v>
      </c>
      <c r="D7719" t="inlineStr">
        <is>
          <t>GÄVLEBORGS LÄN</t>
        </is>
      </c>
      <c r="E7719" t="inlineStr">
        <is>
          <t>LJUSDAL</t>
        </is>
      </c>
      <c r="G7719" t="n">
        <v>4.2</v>
      </c>
      <c r="H7719" t="n">
        <v>0</v>
      </c>
      <c r="I7719" t="n">
        <v>0</v>
      </c>
      <c r="J7719" t="n">
        <v>0</v>
      </c>
      <c r="K7719" t="n">
        <v>0</v>
      </c>
      <c r="L7719" t="n">
        <v>0</v>
      </c>
      <c r="M7719" t="n">
        <v>0</v>
      </c>
      <c r="N7719" t="n">
        <v>0</v>
      </c>
      <c r="O7719" t="n">
        <v>0</v>
      </c>
      <c r="P7719" t="n">
        <v>0</v>
      </c>
      <c r="Q7719" t="n">
        <v>0</v>
      </c>
      <c r="R7719" s="2" t="inlineStr"/>
    </row>
    <row r="7720" ht="15" customHeight="1">
      <c r="A7720" t="inlineStr">
        <is>
          <t>A 35233-2024</t>
        </is>
      </c>
      <c r="B7720" s="1" t="n">
        <v>45530.53810185185</v>
      </c>
      <c r="C7720" s="1" t="n">
        <v>45911</v>
      </c>
      <c r="D7720" t="inlineStr">
        <is>
          <t>GÄVLEBORGS LÄN</t>
        </is>
      </c>
      <c r="E7720" t="inlineStr">
        <is>
          <t>GÄVLE</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61820-2024</t>
        </is>
      </c>
      <c r="B7721" s="1" t="n">
        <v>45649</v>
      </c>
      <c r="C7721" s="1" t="n">
        <v>45911</v>
      </c>
      <c r="D7721" t="inlineStr">
        <is>
          <t>GÄVLEBORGS LÄN</t>
        </is>
      </c>
      <c r="E7721" t="inlineStr">
        <is>
          <t>SANDVIKEN</t>
        </is>
      </c>
      <c r="G7721" t="n">
        <v>11.1</v>
      </c>
      <c r="H7721" t="n">
        <v>0</v>
      </c>
      <c r="I7721" t="n">
        <v>0</v>
      </c>
      <c r="J7721" t="n">
        <v>0</v>
      </c>
      <c r="K7721" t="n">
        <v>0</v>
      </c>
      <c r="L7721" t="n">
        <v>0</v>
      </c>
      <c r="M7721" t="n">
        <v>0</v>
      </c>
      <c r="N7721" t="n">
        <v>0</v>
      </c>
      <c r="O7721" t="n">
        <v>0</v>
      </c>
      <c r="P7721" t="n">
        <v>0</v>
      </c>
      <c r="Q7721" t="n">
        <v>0</v>
      </c>
      <c r="R7721" s="2" t="inlineStr"/>
    </row>
    <row r="7722" ht="15" customHeight="1">
      <c r="A7722" t="inlineStr">
        <is>
          <t>A 2885-2023</t>
        </is>
      </c>
      <c r="B7722" s="1" t="n">
        <v>44945</v>
      </c>
      <c r="C7722" s="1" t="n">
        <v>45911</v>
      </c>
      <c r="D7722" t="inlineStr">
        <is>
          <t>GÄVLEBORGS LÄN</t>
        </is>
      </c>
      <c r="E7722" t="inlineStr">
        <is>
          <t>BOLLNÄS</t>
        </is>
      </c>
      <c r="G7722" t="n">
        <v>2.7</v>
      </c>
      <c r="H7722" t="n">
        <v>0</v>
      </c>
      <c r="I7722" t="n">
        <v>0</v>
      </c>
      <c r="J7722" t="n">
        <v>0</v>
      </c>
      <c r="K7722" t="n">
        <v>0</v>
      </c>
      <c r="L7722" t="n">
        <v>0</v>
      </c>
      <c r="M7722" t="n">
        <v>0</v>
      </c>
      <c r="N7722" t="n">
        <v>0</v>
      </c>
      <c r="O7722" t="n">
        <v>0</v>
      </c>
      <c r="P7722" t="n">
        <v>0</v>
      </c>
      <c r="Q7722" t="n">
        <v>0</v>
      </c>
      <c r="R7722" s="2" t="inlineStr"/>
    </row>
    <row r="7723" ht="15" customHeight="1">
      <c r="A7723" t="inlineStr">
        <is>
          <t>A 24992-2023</t>
        </is>
      </c>
      <c r="B7723" s="1" t="n">
        <v>45085.64475694444</v>
      </c>
      <c r="C7723" s="1" t="n">
        <v>45911</v>
      </c>
      <c r="D7723" t="inlineStr">
        <is>
          <t>GÄVLEBORGS LÄN</t>
        </is>
      </c>
      <c r="E7723" t="inlineStr">
        <is>
          <t>SANDVIKEN</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57400-2024</t>
        </is>
      </c>
      <c r="B7724" s="1" t="n">
        <v>45629.71085648148</v>
      </c>
      <c r="C7724" s="1" t="n">
        <v>45911</v>
      </c>
      <c r="D7724" t="inlineStr">
        <is>
          <t>GÄVLEBORGS LÄN</t>
        </is>
      </c>
      <c r="E7724" t="inlineStr">
        <is>
          <t>HOFORS</t>
        </is>
      </c>
      <c r="G7724" t="n">
        <v>2.7</v>
      </c>
      <c r="H7724" t="n">
        <v>0</v>
      </c>
      <c r="I7724" t="n">
        <v>0</v>
      </c>
      <c r="J7724" t="n">
        <v>0</v>
      </c>
      <c r="K7724" t="n">
        <v>0</v>
      </c>
      <c r="L7724" t="n">
        <v>0</v>
      </c>
      <c r="M7724" t="n">
        <v>0</v>
      </c>
      <c r="N7724" t="n">
        <v>0</v>
      </c>
      <c r="O7724" t="n">
        <v>0</v>
      </c>
      <c r="P7724" t="n">
        <v>0</v>
      </c>
      <c r="Q7724" t="n">
        <v>0</v>
      </c>
      <c r="R7724" s="2" t="inlineStr"/>
    </row>
    <row r="7725" ht="15" customHeight="1">
      <c r="A7725" t="inlineStr">
        <is>
          <t>A 13885-2025</t>
        </is>
      </c>
      <c r="B7725" s="1" t="n">
        <v>45737.6065625</v>
      </c>
      <c r="C7725" s="1" t="n">
        <v>45911</v>
      </c>
      <c r="D7725" t="inlineStr">
        <is>
          <t>GÄVLEBORGS LÄN</t>
        </is>
      </c>
      <c r="E7725" t="inlineStr">
        <is>
          <t>LJUSDAL</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2909-2024</t>
        </is>
      </c>
      <c r="B7726" s="1" t="n">
        <v>45315</v>
      </c>
      <c r="C7726" s="1" t="n">
        <v>45911</v>
      </c>
      <c r="D7726" t="inlineStr">
        <is>
          <t>GÄVLEBORGS LÄN</t>
        </is>
      </c>
      <c r="E7726" t="inlineStr">
        <is>
          <t>LJUSDAL</t>
        </is>
      </c>
      <c r="G7726" t="n">
        <v>4.2</v>
      </c>
      <c r="H7726" t="n">
        <v>0</v>
      </c>
      <c r="I7726" t="n">
        <v>0</v>
      </c>
      <c r="J7726" t="n">
        <v>0</v>
      </c>
      <c r="K7726" t="n">
        <v>0</v>
      </c>
      <c r="L7726" t="n">
        <v>0</v>
      </c>
      <c r="M7726" t="n">
        <v>0</v>
      </c>
      <c r="N7726" t="n">
        <v>0</v>
      </c>
      <c r="O7726" t="n">
        <v>0</v>
      </c>
      <c r="P7726" t="n">
        <v>0</v>
      </c>
      <c r="Q7726" t="n">
        <v>0</v>
      </c>
      <c r="R7726" s="2" t="inlineStr"/>
    </row>
    <row r="7727" ht="15" customHeight="1">
      <c r="A7727" t="inlineStr">
        <is>
          <t>A 59353-2024</t>
        </is>
      </c>
      <c r="B7727" s="1" t="n">
        <v>45638.30491898148</v>
      </c>
      <c r="C7727" s="1" t="n">
        <v>45911</v>
      </c>
      <c r="D7727" t="inlineStr">
        <is>
          <t>GÄVLEBORGS LÄN</t>
        </is>
      </c>
      <c r="E7727" t="inlineStr">
        <is>
          <t>OVANÅKER</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59360-2024</t>
        </is>
      </c>
      <c r="B7728" s="1" t="n">
        <v>45638.32483796297</v>
      </c>
      <c r="C7728" s="1" t="n">
        <v>45911</v>
      </c>
      <c r="D7728" t="inlineStr">
        <is>
          <t>GÄVLEBORGS LÄN</t>
        </is>
      </c>
      <c r="E7728" t="inlineStr">
        <is>
          <t>BOLLNÄS</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13490-2024</t>
        </is>
      </c>
      <c r="B7729" s="1" t="n">
        <v>45387.61716435185</v>
      </c>
      <c r="C7729" s="1" t="n">
        <v>45911</v>
      </c>
      <c r="D7729" t="inlineStr">
        <is>
          <t>GÄVLEBORGS LÄN</t>
        </is>
      </c>
      <c r="E7729" t="inlineStr">
        <is>
          <t>HUDIKSVALL</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28391-2024</t>
        </is>
      </c>
      <c r="B7730" s="1" t="n">
        <v>45477.60254629629</v>
      </c>
      <c r="C7730" s="1" t="n">
        <v>45911</v>
      </c>
      <c r="D7730" t="inlineStr">
        <is>
          <t>GÄVLEBORGS LÄN</t>
        </is>
      </c>
      <c r="E7730" t="inlineStr">
        <is>
          <t>HOFORS</t>
        </is>
      </c>
      <c r="F7730" t="inlineStr">
        <is>
          <t>Sveaskog</t>
        </is>
      </c>
      <c r="G7730" t="n">
        <v>2.7</v>
      </c>
      <c r="H7730" t="n">
        <v>0</v>
      </c>
      <c r="I7730" t="n">
        <v>0</v>
      </c>
      <c r="J7730" t="n">
        <v>0</v>
      </c>
      <c r="K7730" t="n">
        <v>0</v>
      </c>
      <c r="L7730" t="n">
        <v>0</v>
      </c>
      <c r="M7730" t="n">
        <v>0</v>
      </c>
      <c r="N7730" t="n">
        <v>0</v>
      </c>
      <c r="O7730" t="n">
        <v>0</v>
      </c>
      <c r="P7730" t="n">
        <v>0</v>
      </c>
      <c r="Q7730" t="n">
        <v>0</v>
      </c>
      <c r="R7730" s="2" t="inlineStr"/>
    </row>
    <row r="7731" ht="15" customHeight="1">
      <c r="A7731" t="inlineStr">
        <is>
          <t>A 33588-2024</t>
        </is>
      </c>
      <c r="B7731" s="1" t="n">
        <v>45520.3509375</v>
      </c>
      <c r="C7731" s="1" t="n">
        <v>45911</v>
      </c>
      <c r="D7731" t="inlineStr">
        <is>
          <t>GÄVLEBORGS LÄN</t>
        </is>
      </c>
      <c r="E7731" t="inlineStr">
        <is>
          <t>HUDIKSVALL</t>
        </is>
      </c>
      <c r="F7731" t="inlineStr">
        <is>
          <t>Holmen skog AB</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6844-2024</t>
        </is>
      </c>
      <c r="B7732" s="1" t="n">
        <v>45342.62732638889</v>
      </c>
      <c r="C7732" s="1" t="n">
        <v>45911</v>
      </c>
      <c r="D7732" t="inlineStr">
        <is>
          <t>GÄVLEBORGS LÄN</t>
        </is>
      </c>
      <c r="E7732" t="inlineStr">
        <is>
          <t>LJUSDAL</t>
        </is>
      </c>
      <c r="G7732" t="n">
        <v>2</v>
      </c>
      <c r="H7732" t="n">
        <v>0</v>
      </c>
      <c r="I7732" t="n">
        <v>0</v>
      </c>
      <c r="J7732" t="n">
        <v>0</v>
      </c>
      <c r="K7732" t="n">
        <v>0</v>
      </c>
      <c r="L7732" t="n">
        <v>0</v>
      </c>
      <c r="M7732" t="n">
        <v>0</v>
      </c>
      <c r="N7732" t="n">
        <v>0</v>
      </c>
      <c r="O7732" t="n">
        <v>0</v>
      </c>
      <c r="P7732" t="n">
        <v>0</v>
      </c>
      <c r="Q7732" t="n">
        <v>0</v>
      </c>
      <c r="R7732" s="2" t="inlineStr"/>
    </row>
    <row r="7733" ht="15" customHeight="1">
      <c r="A7733" t="inlineStr">
        <is>
          <t>A 21300-2024</t>
        </is>
      </c>
      <c r="B7733" s="1" t="n">
        <v>45440.67074074074</v>
      </c>
      <c r="C7733" s="1" t="n">
        <v>45911</v>
      </c>
      <c r="D7733" t="inlineStr">
        <is>
          <t>GÄVLEBORGS LÄN</t>
        </is>
      </c>
      <c r="E7733" t="inlineStr">
        <is>
          <t>GÄVLE</t>
        </is>
      </c>
      <c r="G7733" t="n">
        <v>8.6</v>
      </c>
      <c r="H7733" t="n">
        <v>0</v>
      </c>
      <c r="I7733" t="n">
        <v>0</v>
      </c>
      <c r="J7733" t="n">
        <v>0</v>
      </c>
      <c r="K7733" t="n">
        <v>0</v>
      </c>
      <c r="L7733" t="n">
        <v>0</v>
      </c>
      <c r="M7733" t="n">
        <v>0</v>
      </c>
      <c r="N7733" t="n">
        <v>0</v>
      </c>
      <c r="O7733" t="n">
        <v>0</v>
      </c>
      <c r="P7733" t="n">
        <v>0</v>
      </c>
      <c r="Q7733" t="n">
        <v>0</v>
      </c>
      <c r="R7733" s="2" t="inlineStr"/>
    </row>
    <row r="7734" ht="15" customHeight="1">
      <c r="A7734" t="inlineStr">
        <is>
          <t>A 12381-2023</t>
        </is>
      </c>
      <c r="B7734" s="1" t="n">
        <v>44999.46983796296</v>
      </c>
      <c r="C7734" s="1" t="n">
        <v>45911</v>
      </c>
      <c r="D7734" t="inlineStr">
        <is>
          <t>GÄVLEBORGS LÄN</t>
        </is>
      </c>
      <c r="E7734" t="inlineStr">
        <is>
          <t>GÄVLE</t>
        </is>
      </c>
      <c r="G7734" t="n">
        <v>4</v>
      </c>
      <c r="H7734" t="n">
        <v>0</v>
      </c>
      <c r="I7734" t="n">
        <v>0</v>
      </c>
      <c r="J7734" t="n">
        <v>0</v>
      </c>
      <c r="K7734" t="n">
        <v>0</v>
      </c>
      <c r="L7734" t="n">
        <v>0</v>
      </c>
      <c r="M7734" t="n">
        <v>0</v>
      </c>
      <c r="N7734" t="n">
        <v>0</v>
      </c>
      <c r="O7734" t="n">
        <v>0</v>
      </c>
      <c r="P7734" t="n">
        <v>0</v>
      </c>
      <c r="Q7734" t="n">
        <v>0</v>
      </c>
      <c r="R7734" s="2" t="inlineStr"/>
    </row>
    <row r="7735" ht="15" customHeight="1">
      <c r="A7735" t="inlineStr">
        <is>
          <t>A 12454-2023</t>
        </is>
      </c>
      <c r="B7735" s="1" t="n">
        <v>44999.58185185185</v>
      </c>
      <c r="C7735" s="1" t="n">
        <v>45911</v>
      </c>
      <c r="D7735" t="inlineStr">
        <is>
          <t>GÄVLEBORGS LÄN</t>
        </is>
      </c>
      <c r="E7735" t="inlineStr">
        <is>
          <t>BOLLNÄS</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42726-2024</t>
        </is>
      </c>
      <c r="B7736" s="1" t="n">
        <v>45566</v>
      </c>
      <c r="C7736" s="1" t="n">
        <v>45911</v>
      </c>
      <c r="D7736" t="inlineStr">
        <is>
          <t>GÄVLEBORGS LÄN</t>
        </is>
      </c>
      <c r="E7736" t="inlineStr">
        <is>
          <t>LJUSDAL</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30067-2023</t>
        </is>
      </c>
      <c r="B7737" s="1" t="n">
        <v>45110.42435185185</v>
      </c>
      <c r="C7737" s="1" t="n">
        <v>45911</v>
      </c>
      <c r="D7737" t="inlineStr">
        <is>
          <t>GÄVLEBORGS LÄN</t>
        </is>
      </c>
      <c r="E7737" t="inlineStr">
        <is>
          <t>BOLLNÄS</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41922-2024</t>
        </is>
      </c>
      <c r="B7738" s="1" t="n">
        <v>45561.55555555555</v>
      </c>
      <c r="C7738" s="1" t="n">
        <v>45911</v>
      </c>
      <c r="D7738" t="inlineStr">
        <is>
          <t>GÄVLEBORGS LÄN</t>
        </is>
      </c>
      <c r="E7738" t="inlineStr">
        <is>
          <t>LJUSDAL</t>
        </is>
      </c>
      <c r="F7738" t="inlineStr">
        <is>
          <t>Sveaskog</t>
        </is>
      </c>
      <c r="G7738" t="n">
        <v>1.8</v>
      </c>
      <c r="H7738" t="n">
        <v>0</v>
      </c>
      <c r="I7738" t="n">
        <v>0</v>
      </c>
      <c r="J7738" t="n">
        <v>0</v>
      </c>
      <c r="K7738" t="n">
        <v>0</v>
      </c>
      <c r="L7738" t="n">
        <v>0</v>
      </c>
      <c r="M7738" t="n">
        <v>0</v>
      </c>
      <c r="N7738" t="n">
        <v>0</v>
      </c>
      <c r="O7738" t="n">
        <v>0</v>
      </c>
      <c r="P7738" t="n">
        <v>0</v>
      </c>
      <c r="Q7738" t="n">
        <v>0</v>
      </c>
      <c r="R7738" s="2" t="inlineStr"/>
    </row>
    <row r="7739" ht="15" customHeight="1">
      <c r="A7739" t="inlineStr">
        <is>
          <t>A 29790-2023</t>
        </is>
      </c>
      <c r="B7739" s="1" t="n">
        <v>45107.52090277777</v>
      </c>
      <c r="C7739" s="1" t="n">
        <v>45911</v>
      </c>
      <c r="D7739" t="inlineStr">
        <is>
          <t>GÄVLEBORGS LÄN</t>
        </is>
      </c>
      <c r="E7739" t="inlineStr">
        <is>
          <t>LJUSDAL</t>
        </is>
      </c>
      <c r="G7739" t="n">
        <v>4.8</v>
      </c>
      <c r="H7739" t="n">
        <v>0</v>
      </c>
      <c r="I7739" t="n">
        <v>0</v>
      </c>
      <c r="J7739" t="n">
        <v>0</v>
      </c>
      <c r="K7739" t="n">
        <v>0</v>
      </c>
      <c r="L7739" t="n">
        <v>0</v>
      </c>
      <c r="M7739" t="n">
        <v>0</v>
      </c>
      <c r="N7739" t="n">
        <v>0</v>
      </c>
      <c r="O7739" t="n">
        <v>0</v>
      </c>
      <c r="P7739" t="n">
        <v>0</v>
      </c>
      <c r="Q7739" t="n">
        <v>0</v>
      </c>
      <c r="R7739" s="2" t="inlineStr"/>
    </row>
    <row r="7740" ht="15" customHeight="1">
      <c r="A7740" t="inlineStr">
        <is>
          <t>A 61680-2023</t>
        </is>
      </c>
      <c r="B7740" s="1" t="n">
        <v>45265.63185185185</v>
      </c>
      <c r="C7740" s="1" t="n">
        <v>45911</v>
      </c>
      <c r="D7740" t="inlineStr">
        <is>
          <t>GÄVLEBORGS LÄN</t>
        </is>
      </c>
      <c r="E7740" t="inlineStr">
        <is>
          <t>SÖDERHAMN</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61843-2023</t>
        </is>
      </c>
      <c r="B7741" s="1" t="n">
        <v>45266.36988425926</v>
      </c>
      <c r="C7741" s="1" t="n">
        <v>45911</v>
      </c>
      <c r="D7741" t="inlineStr">
        <is>
          <t>GÄVLEBORGS LÄN</t>
        </is>
      </c>
      <c r="E7741" t="inlineStr">
        <is>
          <t>GÄVLE</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51726-2023</t>
        </is>
      </c>
      <c r="B7742" s="1" t="n">
        <v>45222.64790509259</v>
      </c>
      <c r="C7742" s="1" t="n">
        <v>45911</v>
      </c>
      <c r="D7742" t="inlineStr">
        <is>
          <t>GÄVLEBORGS LÄN</t>
        </is>
      </c>
      <c r="E7742" t="inlineStr">
        <is>
          <t>OCKELBO</t>
        </is>
      </c>
      <c r="F7742" t="inlineStr">
        <is>
          <t>Bergvik skog väst AB</t>
        </is>
      </c>
      <c r="G7742" t="n">
        <v>3.3</v>
      </c>
      <c r="H7742" t="n">
        <v>0</v>
      </c>
      <c r="I7742" t="n">
        <v>0</v>
      </c>
      <c r="J7742" t="n">
        <v>0</v>
      </c>
      <c r="K7742" t="n">
        <v>0</v>
      </c>
      <c r="L7742" t="n">
        <v>0</v>
      </c>
      <c r="M7742" t="n">
        <v>0</v>
      </c>
      <c r="N7742" t="n">
        <v>0</v>
      </c>
      <c r="O7742" t="n">
        <v>0</v>
      </c>
      <c r="P7742" t="n">
        <v>0</v>
      </c>
      <c r="Q7742" t="n">
        <v>0</v>
      </c>
      <c r="R7742" s="2" t="inlineStr"/>
    </row>
    <row r="7743" ht="15" customHeight="1">
      <c r="A7743" t="inlineStr">
        <is>
          <t>A 204-2025</t>
        </is>
      </c>
      <c r="B7743" s="1" t="n">
        <v>45660.31596064815</v>
      </c>
      <c r="C7743" s="1" t="n">
        <v>45911</v>
      </c>
      <c r="D7743" t="inlineStr">
        <is>
          <t>GÄVLEBORGS LÄN</t>
        </is>
      </c>
      <c r="E7743" t="inlineStr">
        <is>
          <t>LJUSDAL</t>
        </is>
      </c>
      <c r="G7743" t="n">
        <v>2.3</v>
      </c>
      <c r="H7743" t="n">
        <v>0</v>
      </c>
      <c r="I7743" t="n">
        <v>0</v>
      </c>
      <c r="J7743" t="n">
        <v>0</v>
      </c>
      <c r="K7743" t="n">
        <v>0</v>
      </c>
      <c r="L7743" t="n">
        <v>0</v>
      </c>
      <c r="M7743" t="n">
        <v>0</v>
      </c>
      <c r="N7743" t="n">
        <v>0</v>
      </c>
      <c r="O7743" t="n">
        <v>0</v>
      </c>
      <c r="P7743" t="n">
        <v>0</v>
      </c>
      <c r="Q7743" t="n">
        <v>0</v>
      </c>
      <c r="R7743" s="2" t="inlineStr"/>
    </row>
    <row r="7744" ht="15" customHeight="1">
      <c r="A7744" t="inlineStr">
        <is>
          <t>A 214-2025</t>
        </is>
      </c>
      <c r="B7744" s="1" t="n">
        <v>45660.34046296297</v>
      </c>
      <c r="C7744" s="1" t="n">
        <v>45911</v>
      </c>
      <c r="D7744" t="inlineStr">
        <is>
          <t>GÄVLEBORGS LÄN</t>
        </is>
      </c>
      <c r="E7744" t="inlineStr">
        <is>
          <t>GÄVLE</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2396-2024</t>
        </is>
      </c>
      <c r="B7745" s="1" t="n">
        <v>45310</v>
      </c>
      <c r="C7745" s="1" t="n">
        <v>45911</v>
      </c>
      <c r="D7745" t="inlineStr">
        <is>
          <t>GÄVLEBORGS LÄN</t>
        </is>
      </c>
      <c r="E7745" t="inlineStr">
        <is>
          <t>LJUSDAL</t>
        </is>
      </c>
      <c r="G7745" t="n">
        <v>3</v>
      </c>
      <c r="H7745" t="n">
        <v>0</v>
      </c>
      <c r="I7745" t="n">
        <v>0</v>
      </c>
      <c r="J7745" t="n">
        <v>0</v>
      </c>
      <c r="K7745" t="n">
        <v>0</v>
      </c>
      <c r="L7745" t="n">
        <v>0</v>
      </c>
      <c r="M7745" t="n">
        <v>0</v>
      </c>
      <c r="N7745" t="n">
        <v>0</v>
      </c>
      <c r="O7745" t="n">
        <v>0</v>
      </c>
      <c r="P7745" t="n">
        <v>0</v>
      </c>
      <c r="Q7745" t="n">
        <v>0</v>
      </c>
      <c r="R7745" s="2" t="inlineStr"/>
    </row>
    <row r="7746" ht="15" customHeight="1">
      <c r="A7746" t="inlineStr">
        <is>
          <t>A 14657-2025</t>
        </is>
      </c>
      <c r="B7746" s="1" t="n">
        <v>45742.51152777778</v>
      </c>
      <c r="C7746" s="1" t="n">
        <v>45911</v>
      </c>
      <c r="D7746" t="inlineStr">
        <is>
          <t>GÄVLEBORGS LÄN</t>
        </is>
      </c>
      <c r="E7746" t="inlineStr">
        <is>
          <t>OCKELBO</t>
        </is>
      </c>
      <c r="F7746" t="inlineStr">
        <is>
          <t>Bergvik skog väst AB</t>
        </is>
      </c>
      <c r="G7746" t="n">
        <v>7.1</v>
      </c>
      <c r="H7746" t="n">
        <v>0</v>
      </c>
      <c r="I7746" t="n">
        <v>0</v>
      </c>
      <c r="J7746" t="n">
        <v>0</v>
      </c>
      <c r="K7746" t="n">
        <v>0</v>
      </c>
      <c r="L7746" t="n">
        <v>0</v>
      </c>
      <c r="M7746" t="n">
        <v>0</v>
      </c>
      <c r="N7746" t="n">
        <v>0</v>
      </c>
      <c r="O7746" t="n">
        <v>0</v>
      </c>
      <c r="P7746" t="n">
        <v>0</v>
      </c>
      <c r="Q7746" t="n">
        <v>0</v>
      </c>
      <c r="R7746" s="2" t="inlineStr"/>
    </row>
    <row r="7747" ht="15" customHeight="1">
      <c r="A7747" t="inlineStr">
        <is>
          <t>A 14661-2025</t>
        </is>
      </c>
      <c r="B7747" s="1" t="n">
        <v>45742.53079861111</v>
      </c>
      <c r="C7747" s="1" t="n">
        <v>45911</v>
      </c>
      <c r="D7747" t="inlineStr">
        <is>
          <t>GÄVLEBORGS LÄN</t>
        </is>
      </c>
      <c r="E7747" t="inlineStr">
        <is>
          <t>OCKELBO</t>
        </is>
      </c>
      <c r="F7747" t="inlineStr">
        <is>
          <t>Bergvik skog väst AB</t>
        </is>
      </c>
      <c r="G7747" t="n">
        <v>2.6</v>
      </c>
      <c r="H7747" t="n">
        <v>0</v>
      </c>
      <c r="I7747" t="n">
        <v>0</v>
      </c>
      <c r="J7747" t="n">
        <v>0</v>
      </c>
      <c r="K7747" t="n">
        <v>0</v>
      </c>
      <c r="L7747" t="n">
        <v>0</v>
      </c>
      <c r="M7747" t="n">
        <v>0</v>
      </c>
      <c r="N7747" t="n">
        <v>0</v>
      </c>
      <c r="O7747" t="n">
        <v>0</v>
      </c>
      <c r="P7747" t="n">
        <v>0</v>
      </c>
      <c r="Q7747" t="n">
        <v>0</v>
      </c>
      <c r="R7747" s="2" t="inlineStr"/>
    </row>
    <row r="7748" ht="15" customHeight="1">
      <c r="A7748" t="inlineStr">
        <is>
          <t>A 58473-2024</t>
        </is>
      </c>
      <c r="B7748" s="1" t="n">
        <v>45635.37916666667</v>
      </c>
      <c r="C7748" s="1" t="n">
        <v>45911</v>
      </c>
      <c r="D7748" t="inlineStr">
        <is>
          <t>GÄVLEBORGS LÄN</t>
        </is>
      </c>
      <c r="E7748" t="inlineStr">
        <is>
          <t>HUDIKSVALL</t>
        </is>
      </c>
      <c r="G7748" t="n">
        <v>3.8</v>
      </c>
      <c r="H7748" t="n">
        <v>0</v>
      </c>
      <c r="I7748" t="n">
        <v>0</v>
      </c>
      <c r="J7748" t="n">
        <v>0</v>
      </c>
      <c r="K7748" t="n">
        <v>0</v>
      </c>
      <c r="L7748" t="n">
        <v>0</v>
      </c>
      <c r="M7748" t="n">
        <v>0</v>
      </c>
      <c r="N7748" t="n">
        <v>0</v>
      </c>
      <c r="O7748" t="n">
        <v>0</v>
      </c>
      <c r="P7748" t="n">
        <v>0</v>
      </c>
      <c r="Q7748" t="n">
        <v>0</v>
      </c>
      <c r="R7748" s="2" t="inlineStr"/>
    </row>
    <row r="7749" ht="15" customHeight="1">
      <c r="A7749" t="inlineStr">
        <is>
          <t>A 60942-2024</t>
        </is>
      </c>
      <c r="B7749" s="1" t="n">
        <v>45645.37174768518</v>
      </c>
      <c r="C7749" s="1" t="n">
        <v>45911</v>
      </c>
      <c r="D7749" t="inlineStr">
        <is>
          <t>GÄVLEBORGS LÄN</t>
        </is>
      </c>
      <c r="E7749" t="inlineStr">
        <is>
          <t>HUDIKSVALL</t>
        </is>
      </c>
      <c r="G7749" t="n">
        <v>2.2</v>
      </c>
      <c r="H7749" t="n">
        <v>0</v>
      </c>
      <c r="I7749" t="n">
        <v>0</v>
      </c>
      <c r="J7749" t="n">
        <v>0</v>
      </c>
      <c r="K7749" t="n">
        <v>0</v>
      </c>
      <c r="L7749" t="n">
        <v>0</v>
      </c>
      <c r="M7749" t="n">
        <v>0</v>
      </c>
      <c r="N7749" t="n">
        <v>0</v>
      </c>
      <c r="O7749" t="n">
        <v>0</v>
      </c>
      <c r="P7749" t="n">
        <v>0</v>
      </c>
      <c r="Q7749" t="n">
        <v>0</v>
      </c>
      <c r="R7749" s="2" t="inlineStr"/>
    </row>
    <row r="7750" ht="15" customHeight="1">
      <c r="A7750" t="inlineStr">
        <is>
          <t>A 49401-2024</t>
        </is>
      </c>
      <c r="B7750" s="1" t="n">
        <v>45595.67429398148</v>
      </c>
      <c r="C7750" s="1" t="n">
        <v>45911</v>
      </c>
      <c r="D7750" t="inlineStr">
        <is>
          <t>GÄVLEBORGS LÄN</t>
        </is>
      </c>
      <c r="E7750" t="inlineStr">
        <is>
          <t>GÄVLE</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55445-2024</t>
        </is>
      </c>
      <c r="B7751" s="1" t="n">
        <v>45622.41517361111</v>
      </c>
      <c r="C7751" s="1" t="n">
        <v>45911</v>
      </c>
      <c r="D7751" t="inlineStr">
        <is>
          <t>GÄVLEBORGS LÄN</t>
        </is>
      </c>
      <c r="E7751" t="inlineStr">
        <is>
          <t>HUDIKSVALL</t>
        </is>
      </c>
      <c r="G7751" t="n">
        <v>7.2</v>
      </c>
      <c r="H7751" t="n">
        <v>0</v>
      </c>
      <c r="I7751" t="n">
        <v>0</v>
      </c>
      <c r="J7751" t="n">
        <v>0</v>
      </c>
      <c r="K7751" t="n">
        <v>0</v>
      </c>
      <c r="L7751" t="n">
        <v>0</v>
      </c>
      <c r="M7751" t="n">
        <v>0</v>
      </c>
      <c r="N7751" t="n">
        <v>0</v>
      </c>
      <c r="O7751" t="n">
        <v>0</v>
      </c>
      <c r="P7751" t="n">
        <v>0</v>
      </c>
      <c r="Q7751" t="n">
        <v>0</v>
      </c>
      <c r="R7751" s="2" t="inlineStr"/>
    </row>
    <row r="7752" ht="15" customHeight="1">
      <c r="A7752" t="inlineStr">
        <is>
          <t>A 51238-2023</t>
        </is>
      </c>
      <c r="B7752" s="1" t="n">
        <v>45219.46576388889</v>
      </c>
      <c r="C7752" s="1" t="n">
        <v>45911</v>
      </c>
      <c r="D7752" t="inlineStr">
        <is>
          <t>GÄVLEBORGS LÄN</t>
        </is>
      </c>
      <c r="E7752" t="inlineStr">
        <is>
          <t>LJUSDAL</t>
        </is>
      </c>
      <c r="F7752" t="inlineStr">
        <is>
          <t>Sveaskog</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7114-2025</t>
        </is>
      </c>
      <c r="B7753" s="1" t="n">
        <v>45702.30924768518</v>
      </c>
      <c r="C7753" s="1" t="n">
        <v>45911</v>
      </c>
      <c r="D7753" t="inlineStr">
        <is>
          <t>GÄVLEBORGS LÄN</t>
        </is>
      </c>
      <c r="E7753" t="inlineStr">
        <is>
          <t>HUDIKSVALL</t>
        </is>
      </c>
      <c r="F7753" t="inlineStr">
        <is>
          <t>Holmen skog AB</t>
        </is>
      </c>
      <c r="G7753" t="n">
        <v>3.1</v>
      </c>
      <c r="H7753" t="n">
        <v>0</v>
      </c>
      <c r="I7753" t="n">
        <v>0</v>
      </c>
      <c r="J7753" t="n">
        <v>0</v>
      </c>
      <c r="K7753" t="n">
        <v>0</v>
      </c>
      <c r="L7753" t="n">
        <v>0</v>
      </c>
      <c r="M7753" t="n">
        <v>0</v>
      </c>
      <c r="N7753" t="n">
        <v>0</v>
      </c>
      <c r="O7753" t="n">
        <v>0</v>
      </c>
      <c r="P7753" t="n">
        <v>0</v>
      </c>
      <c r="Q7753" t="n">
        <v>0</v>
      </c>
      <c r="R7753" s="2" t="inlineStr"/>
    </row>
    <row r="7754" ht="15" customHeight="1">
      <c r="A7754" t="inlineStr">
        <is>
          <t>A 57909-2024</t>
        </is>
      </c>
      <c r="B7754" s="1" t="n">
        <v>45631.49298611111</v>
      </c>
      <c r="C7754" s="1" t="n">
        <v>45911</v>
      </c>
      <c r="D7754" t="inlineStr">
        <is>
          <t>GÄVLEBORGS LÄN</t>
        </is>
      </c>
      <c r="E7754" t="inlineStr">
        <is>
          <t>HUDIKSVALL</t>
        </is>
      </c>
      <c r="F7754" t="inlineStr">
        <is>
          <t>Holmen skog AB</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9601-2025</t>
        </is>
      </c>
      <c r="B7755" s="1" t="n">
        <v>45715.65280092593</v>
      </c>
      <c r="C7755" s="1" t="n">
        <v>45911</v>
      </c>
      <c r="D7755" t="inlineStr">
        <is>
          <t>GÄVLEBORGS LÄN</t>
        </is>
      </c>
      <c r="E7755" t="inlineStr">
        <is>
          <t>HUDIKSVALL</t>
        </is>
      </c>
      <c r="F7755" t="inlineStr">
        <is>
          <t>Holmen skog AB</t>
        </is>
      </c>
      <c r="G7755" t="n">
        <v>55</v>
      </c>
      <c r="H7755" t="n">
        <v>0</v>
      </c>
      <c r="I7755" t="n">
        <v>0</v>
      </c>
      <c r="J7755" t="n">
        <v>0</v>
      </c>
      <c r="K7755" t="n">
        <v>0</v>
      </c>
      <c r="L7755" t="n">
        <v>0</v>
      </c>
      <c r="M7755" t="n">
        <v>0</v>
      </c>
      <c r="N7755" t="n">
        <v>0</v>
      </c>
      <c r="O7755" t="n">
        <v>0</v>
      </c>
      <c r="P7755" t="n">
        <v>0</v>
      </c>
      <c r="Q7755" t="n">
        <v>0</v>
      </c>
      <c r="R7755" s="2" t="inlineStr"/>
    </row>
    <row r="7756" ht="15" customHeight="1">
      <c r="A7756" t="inlineStr">
        <is>
          <t>A 45938-2024</t>
        </is>
      </c>
      <c r="B7756" s="1" t="n">
        <v>45580</v>
      </c>
      <c r="C7756" s="1" t="n">
        <v>45911</v>
      </c>
      <c r="D7756" t="inlineStr">
        <is>
          <t>GÄVLEBORGS LÄN</t>
        </is>
      </c>
      <c r="E7756" t="inlineStr">
        <is>
          <t>GÄVLE</t>
        </is>
      </c>
      <c r="F7756" t="inlineStr">
        <is>
          <t>Bergvik skog öst AB</t>
        </is>
      </c>
      <c r="G7756" t="n">
        <v>5.3</v>
      </c>
      <c r="H7756" t="n">
        <v>0</v>
      </c>
      <c r="I7756" t="n">
        <v>0</v>
      </c>
      <c r="J7756" t="n">
        <v>0</v>
      </c>
      <c r="K7756" t="n">
        <v>0</v>
      </c>
      <c r="L7756" t="n">
        <v>0</v>
      </c>
      <c r="M7756" t="n">
        <v>0</v>
      </c>
      <c r="N7756" t="n">
        <v>0</v>
      </c>
      <c r="O7756" t="n">
        <v>0</v>
      </c>
      <c r="P7756" t="n">
        <v>0</v>
      </c>
      <c r="Q7756" t="n">
        <v>0</v>
      </c>
      <c r="R7756" s="2" t="inlineStr"/>
    </row>
    <row r="7757" ht="15" customHeight="1">
      <c r="A7757" t="inlineStr">
        <is>
          <t>A 20761-2025</t>
        </is>
      </c>
      <c r="B7757" s="1" t="n">
        <v>45776.57763888889</v>
      </c>
      <c r="C7757" s="1" t="n">
        <v>45911</v>
      </c>
      <c r="D7757" t="inlineStr">
        <is>
          <t>GÄVLEBORGS LÄN</t>
        </is>
      </c>
      <c r="E7757" t="inlineStr">
        <is>
          <t>GÄVLE</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20775-2025</t>
        </is>
      </c>
      <c r="B7758" s="1" t="n">
        <v>45776.59355324074</v>
      </c>
      <c r="C7758" s="1" t="n">
        <v>45911</v>
      </c>
      <c r="D7758" t="inlineStr">
        <is>
          <t>GÄVLEBORGS LÄN</t>
        </is>
      </c>
      <c r="E7758" t="inlineStr">
        <is>
          <t>OCKELBO</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20709-2025</t>
        </is>
      </c>
      <c r="B7759" s="1" t="n">
        <v>45776.48444444445</v>
      </c>
      <c r="C7759" s="1" t="n">
        <v>45911</v>
      </c>
      <c r="D7759" t="inlineStr">
        <is>
          <t>GÄVLEBORGS LÄN</t>
        </is>
      </c>
      <c r="E7759" t="inlineStr">
        <is>
          <t>BOLLNÄS</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20819-2025</t>
        </is>
      </c>
      <c r="B7760" s="1" t="n">
        <v>45776.70995370371</v>
      </c>
      <c r="C7760" s="1" t="n">
        <v>45911</v>
      </c>
      <c r="D7760" t="inlineStr">
        <is>
          <t>GÄVLEBORGS LÄN</t>
        </is>
      </c>
      <c r="E7760" t="inlineStr">
        <is>
          <t>HUDIKSVALL</t>
        </is>
      </c>
      <c r="G7760" t="n">
        <v>10.3</v>
      </c>
      <c r="H7760" t="n">
        <v>0</v>
      </c>
      <c r="I7760" t="n">
        <v>0</v>
      </c>
      <c r="J7760" t="n">
        <v>0</v>
      </c>
      <c r="K7760" t="n">
        <v>0</v>
      </c>
      <c r="L7760" t="n">
        <v>0</v>
      </c>
      <c r="M7760" t="n">
        <v>0</v>
      </c>
      <c r="N7760" t="n">
        <v>0</v>
      </c>
      <c r="O7760" t="n">
        <v>0</v>
      </c>
      <c r="P7760" t="n">
        <v>0</v>
      </c>
      <c r="Q7760" t="n">
        <v>0</v>
      </c>
      <c r="R7760" s="2" t="inlineStr"/>
    </row>
    <row r="7761" ht="15" customHeight="1">
      <c r="A7761" t="inlineStr">
        <is>
          <t>A 20621-2025</t>
        </is>
      </c>
      <c r="B7761" s="1" t="n">
        <v>45776.32197916666</v>
      </c>
      <c r="C7761" s="1" t="n">
        <v>45911</v>
      </c>
      <c r="D7761" t="inlineStr">
        <is>
          <t>GÄVLEBORGS LÄN</t>
        </is>
      </c>
      <c r="E7761" t="inlineStr">
        <is>
          <t>GÄVLE</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20710-2025</t>
        </is>
      </c>
      <c r="B7762" s="1" t="n">
        <v>45776.48524305555</v>
      </c>
      <c r="C7762" s="1" t="n">
        <v>45911</v>
      </c>
      <c r="D7762" t="inlineStr">
        <is>
          <t>GÄVLEBORGS LÄN</t>
        </is>
      </c>
      <c r="E7762" t="inlineStr">
        <is>
          <t>BOLLNÄS</t>
        </is>
      </c>
      <c r="G7762" t="n">
        <v>0.4</v>
      </c>
      <c r="H7762" t="n">
        <v>0</v>
      </c>
      <c r="I7762" t="n">
        <v>0</v>
      </c>
      <c r="J7762" t="n">
        <v>0</v>
      </c>
      <c r="K7762" t="n">
        <v>0</v>
      </c>
      <c r="L7762" t="n">
        <v>0</v>
      </c>
      <c r="M7762" t="n">
        <v>0</v>
      </c>
      <c r="N7762" t="n">
        <v>0</v>
      </c>
      <c r="O7762" t="n">
        <v>0</v>
      </c>
      <c r="P7762" t="n">
        <v>0</v>
      </c>
      <c r="Q7762" t="n">
        <v>0</v>
      </c>
      <c r="R7762" s="2" t="inlineStr"/>
    </row>
    <row r="7763" ht="15" customHeight="1">
      <c r="A7763" t="inlineStr">
        <is>
          <t>A 20742-2025</t>
        </is>
      </c>
      <c r="B7763" s="1" t="n">
        <v>45776.54644675926</v>
      </c>
      <c r="C7763" s="1" t="n">
        <v>45911</v>
      </c>
      <c r="D7763" t="inlineStr">
        <is>
          <t>GÄVLEBORGS LÄN</t>
        </is>
      </c>
      <c r="E7763" t="inlineStr">
        <is>
          <t>OVANÅKER</t>
        </is>
      </c>
      <c r="G7763" t="n">
        <v>9.1</v>
      </c>
      <c r="H7763" t="n">
        <v>0</v>
      </c>
      <c r="I7763" t="n">
        <v>0</v>
      </c>
      <c r="J7763" t="n">
        <v>0</v>
      </c>
      <c r="K7763" t="n">
        <v>0</v>
      </c>
      <c r="L7763" t="n">
        <v>0</v>
      </c>
      <c r="M7763" t="n">
        <v>0</v>
      </c>
      <c r="N7763" t="n">
        <v>0</v>
      </c>
      <c r="O7763" t="n">
        <v>0</v>
      </c>
      <c r="P7763" t="n">
        <v>0</v>
      </c>
      <c r="Q7763" t="n">
        <v>0</v>
      </c>
      <c r="R7763" s="2" t="inlineStr"/>
    </row>
    <row r="7764" ht="15" customHeight="1">
      <c r="A7764" t="inlineStr">
        <is>
          <t>A 20795-2025</t>
        </is>
      </c>
      <c r="B7764" s="1" t="n">
        <v>45776.63881944444</v>
      </c>
      <c r="C7764" s="1" t="n">
        <v>45911</v>
      </c>
      <c r="D7764" t="inlineStr">
        <is>
          <t>GÄVLEBORGS LÄN</t>
        </is>
      </c>
      <c r="E7764" t="inlineStr">
        <is>
          <t>OVANÅKER</t>
        </is>
      </c>
      <c r="G7764" t="n">
        <v>1.8</v>
      </c>
      <c r="H7764" t="n">
        <v>0</v>
      </c>
      <c r="I7764" t="n">
        <v>0</v>
      </c>
      <c r="J7764" t="n">
        <v>0</v>
      </c>
      <c r="K7764" t="n">
        <v>0</v>
      </c>
      <c r="L7764" t="n">
        <v>0</v>
      </c>
      <c r="M7764" t="n">
        <v>0</v>
      </c>
      <c r="N7764" t="n">
        <v>0</v>
      </c>
      <c r="O7764" t="n">
        <v>0</v>
      </c>
      <c r="P7764" t="n">
        <v>0</v>
      </c>
      <c r="Q7764" t="n">
        <v>0</v>
      </c>
      <c r="R7764" s="2" t="inlineStr"/>
    </row>
    <row r="7765" ht="15" customHeight="1">
      <c r="A7765" t="inlineStr">
        <is>
          <t>A 20799-2025</t>
        </is>
      </c>
      <c r="B7765" s="1" t="n">
        <v>45776.64336805556</v>
      </c>
      <c r="C7765" s="1" t="n">
        <v>45911</v>
      </c>
      <c r="D7765" t="inlineStr">
        <is>
          <t>GÄVLEBORGS LÄN</t>
        </is>
      </c>
      <c r="E7765" t="inlineStr">
        <is>
          <t>OVANÅKER</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20760-2025</t>
        </is>
      </c>
      <c r="B7766" s="1" t="n">
        <v>45776.57601851852</v>
      </c>
      <c r="C7766" s="1" t="n">
        <v>45911</v>
      </c>
      <c r="D7766" t="inlineStr">
        <is>
          <t>GÄVLEBORGS LÄN</t>
        </is>
      </c>
      <c r="E7766" t="inlineStr">
        <is>
          <t>GÄVLE</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20782-2025</t>
        </is>
      </c>
      <c r="B7767" s="1" t="n">
        <v>45776</v>
      </c>
      <c r="C7767" s="1" t="n">
        <v>45911</v>
      </c>
      <c r="D7767" t="inlineStr">
        <is>
          <t>GÄVLEBORGS LÄN</t>
        </is>
      </c>
      <c r="E7767" t="inlineStr">
        <is>
          <t>OCKELBO</t>
        </is>
      </c>
      <c r="G7767" t="n">
        <v>5.7</v>
      </c>
      <c r="H7767" t="n">
        <v>0</v>
      </c>
      <c r="I7767" t="n">
        <v>0</v>
      </c>
      <c r="J7767" t="n">
        <v>0</v>
      </c>
      <c r="K7767" t="n">
        <v>0</v>
      </c>
      <c r="L7767" t="n">
        <v>0</v>
      </c>
      <c r="M7767" t="n">
        <v>0</v>
      </c>
      <c r="N7767" t="n">
        <v>0</v>
      </c>
      <c r="O7767" t="n">
        <v>0</v>
      </c>
      <c r="P7767" t="n">
        <v>0</v>
      </c>
      <c r="Q7767" t="n">
        <v>0</v>
      </c>
      <c r="R7767" s="2" t="inlineStr"/>
    </row>
    <row r="7768" ht="15" customHeight="1">
      <c r="A7768" t="inlineStr">
        <is>
          <t>A 20633-2025</t>
        </is>
      </c>
      <c r="B7768" s="1" t="n">
        <v>45776.34916666667</v>
      </c>
      <c r="C7768" s="1" t="n">
        <v>45911</v>
      </c>
      <c r="D7768" t="inlineStr">
        <is>
          <t>GÄVLEBORGS LÄN</t>
        </is>
      </c>
      <c r="E7768" t="inlineStr">
        <is>
          <t>SANDVIKEN</t>
        </is>
      </c>
      <c r="G7768" t="n">
        <v>8.300000000000001</v>
      </c>
      <c r="H7768" t="n">
        <v>0</v>
      </c>
      <c r="I7768" t="n">
        <v>0</v>
      </c>
      <c r="J7768" t="n">
        <v>0</v>
      </c>
      <c r="K7768" t="n">
        <v>0</v>
      </c>
      <c r="L7768" t="n">
        <v>0</v>
      </c>
      <c r="M7768" t="n">
        <v>0</v>
      </c>
      <c r="N7768" t="n">
        <v>0</v>
      </c>
      <c r="O7768" t="n">
        <v>0</v>
      </c>
      <c r="P7768" t="n">
        <v>0</v>
      </c>
      <c r="Q7768" t="n">
        <v>0</v>
      </c>
      <c r="R7768" s="2" t="inlineStr"/>
    </row>
    <row r="7769" ht="15" customHeight="1">
      <c r="A7769" t="inlineStr">
        <is>
          <t>A 20705-2025</t>
        </is>
      </c>
      <c r="B7769" s="1" t="n">
        <v>45776.48304398148</v>
      </c>
      <c r="C7769" s="1" t="n">
        <v>45911</v>
      </c>
      <c r="D7769" t="inlineStr">
        <is>
          <t>GÄVLEBORGS LÄN</t>
        </is>
      </c>
      <c r="E7769" t="inlineStr">
        <is>
          <t>BOLLNÄS</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6949-2025</t>
        </is>
      </c>
      <c r="B7770" s="1" t="n">
        <v>45701</v>
      </c>
      <c r="C7770" s="1" t="n">
        <v>45911</v>
      </c>
      <c r="D7770" t="inlineStr">
        <is>
          <t>GÄVLEBORGS LÄN</t>
        </is>
      </c>
      <c r="E7770" t="inlineStr">
        <is>
          <t>HUDIKSVALL</t>
        </is>
      </c>
      <c r="G7770" t="n">
        <v>4.5</v>
      </c>
      <c r="H7770" t="n">
        <v>0</v>
      </c>
      <c r="I7770" t="n">
        <v>0</v>
      </c>
      <c r="J7770" t="n">
        <v>0</v>
      </c>
      <c r="K7770" t="n">
        <v>0</v>
      </c>
      <c r="L7770" t="n">
        <v>0</v>
      </c>
      <c r="M7770" t="n">
        <v>0</v>
      </c>
      <c r="N7770" t="n">
        <v>0</v>
      </c>
      <c r="O7770" t="n">
        <v>0</v>
      </c>
      <c r="P7770" t="n">
        <v>0</v>
      </c>
      <c r="Q7770" t="n">
        <v>0</v>
      </c>
      <c r="R7770" s="2" t="inlineStr"/>
    </row>
    <row r="7771" ht="15" customHeight="1">
      <c r="A7771" t="inlineStr">
        <is>
          <t>A 20678-2025</t>
        </is>
      </c>
      <c r="B7771" s="1" t="n">
        <v>45776.44604166667</v>
      </c>
      <c r="C7771" s="1" t="n">
        <v>45911</v>
      </c>
      <c r="D7771" t="inlineStr">
        <is>
          <t>GÄVLEBORGS LÄN</t>
        </is>
      </c>
      <c r="E7771" t="inlineStr">
        <is>
          <t>HUDIKSVALL</t>
        </is>
      </c>
      <c r="G7771" t="n">
        <v>3.1</v>
      </c>
      <c r="H7771" t="n">
        <v>0</v>
      </c>
      <c r="I7771" t="n">
        <v>0</v>
      </c>
      <c r="J7771" t="n">
        <v>0</v>
      </c>
      <c r="K7771" t="n">
        <v>0</v>
      </c>
      <c r="L7771" t="n">
        <v>0</v>
      </c>
      <c r="M7771" t="n">
        <v>0</v>
      </c>
      <c r="N7771" t="n">
        <v>0</v>
      </c>
      <c r="O7771" t="n">
        <v>0</v>
      </c>
      <c r="P7771" t="n">
        <v>0</v>
      </c>
      <c r="Q7771" t="n">
        <v>0</v>
      </c>
      <c r="R7771" s="2" t="inlineStr"/>
    </row>
    <row r="7772" ht="15" customHeight="1">
      <c r="A7772" t="inlineStr">
        <is>
          <t>A 11768-2025</t>
        </is>
      </c>
      <c r="B7772" s="1" t="n">
        <v>45727.67243055555</v>
      </c>
      <c r="C7772" s="1" t="n">
        <v>45911</v>
      </c>
      <c r="D7772" t="inlineStr">
        <is>
          <t>GÄVLEBORGS LÄN</t>
        </is>
      </c>
      <c r="E7772" t="inlineStr">
        <is>
          <t>GÄVLE</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21098-2025</t>
        </is>
      </c>
      <c r="B7773" s="1" t="n">
        <v>45777.6434837963</v>
      </c>
      <c r="C7773" s="1" t="n">
        <v>45911</v>
      </c>
      <c r="D7773" t="inlineStr">
        <is>
          <t>GÄVLEBORGS LÄN</t>
        </is>
      </c>
      <c r="E7773" t="inlineStr">
        <is>
          <t>LJUSDAL</t>
        </is>
      </c>
      <c r="F7773" t="inlineStr">
        <is>
          <t>Sveaskog</t>
        </is>
      </c>
      <c r="G7773" t="n">
        <v>30.7</v>
      </c>
      <c r="H7773" t="n">
        <v>0</v>
      </c>
      <c r="I7773" t="n">
        <v>0</v>
      </c>
      <c r="J7773" t="n">
        <v>0</v>
      </c>
      <c r="K7773" t="n">
        <v>0</v>
      </c>
      <c r="L7773" t="n">
        <v>0</v>
      </c>
      <c r="M7773" t="n">
        <v>0</v>
      </c>
      <c r="N7773" t="n">
        <v>0</v>
      </c>
      <c r="O7773" t="n">
        <v>0</v>
      </c>
      <c r="P7773" t="n">
        <v>0</v>
      </c>
      <c r="Q7773" t="n">
        <v>0</v>
      </c>
      <c r="R7773" s="2" t="inlineStr"/>
    </row>
    <row r="7774" ht="15" customHeight="1">
      <c r="A7774" t="inlineStr">
        <is>
          <t>A 11390-2025</t>
        </is>
      </c>
      <c r="B7774" s="1" t="n">
        <v>45726.57084490741</v>
      </c>
      <c r="C7774" s="1" t="n">
        <v>45911</v>
      </c>
      <c r="D7774" t="inlineStr">
        <is>
          <t>GÄVLEBORGS LÄN</t>
        </is>
      </c>
      <c r="E7774" t="inlineStr">
        <is>
          <t>GÄVLE</t>
        </is>
      </c>
      <c r="G7774" t="n">
        <v>2.5</v>
      </c>
      <c r="H7774" t="n">
        <v>0</v>
      </c>
      <c r="I7774" t="n">
        <v>0</v>
      </c>
      <c r="J7774" t="n">
        <v>0</v>
      </c>
      <c r="K7774" t="n">
        <v>0</v>
      </c>
      <c r="L7774" t="n">
        <v>0</v>
      </c>
      <c r="M7774" t="n">
        <v>0</v>
      </c>
      <c r="N7774" t="n">
        <v>0</v>
      </c>
      <c r="O7774" t="n">
        <v>0</v>
      </c>
      <c r="P7774" t="n">
        <v>0</v>
      </c>
      <c r="Q7774" t="n">
        <v>0</v>
      </c>
      <c r="R7774" s="2" t="inlineStr"/>
    </row>
    <row r="7775" ht="15" customHeight="1">
      <c r="A7775" t="inlineStr">
        <is>
          <t>A 20972-2025</t>
        </is>
      </c>
      <c r="B7775" s="1" t="n">
        <v>45777.45725694444</v>
      </c>
      <c r="C7775" s="1" t="n">
        <v>45911</v>
      </c>
      <c r="D7775" t="inlineStr">
        <is>
          <t>GÄVLEBORGS LÄN</t>
        </is>
      </c>
      <c r="E7775" t="inlineStr">
        <is>
          <t>HOFORS</t>
        </is>
      </c>
      <c r="F7775" t="inlineStr">
        <is>
          <t>Sveaskog</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20876-2025</t>
        </is>
      </c>
      <c r="B7776" s="1" t="n">
        <v>45777.35241898148</v>
      </c>
      <c r="C7776" s="1" t="n">
        <v>45911</v>
      </c>
      <c r="D7776" t="inlineStr">
        <is>
          <t>GÄVLEBORGS LÄN</t>
        </is>
      </c>
      <c r="E7776" t="inlineStr">
        <is>
          <t>NORDANSTIG</t>
        </is>
      </c>
      <c r="F7776" t="inlineStr">
        <is>
          <t>Holmen skog AB</t>
        </is>
      </c>
      <c r="G7776" t="n">
        <v>5.5</v>
      </c>
      <c r="H7776" t="n">
        <v>0</v>
      </c>
      <c r="I7776" t="n">
        <v>0</v>
      </c>
      <c r="J7776" t="n">
        <v>0</v>
      </c>
      <c r="K7776" t="n">
        <v>0</v>
      </c>
      <c r="L7776" t="n">
        <v>0</v>
      </c>
      <c r="M7776" t="n">
        <v>0</v>
      </c>
      <c r="N7776" t="n">
        <v>0</v>
      </c>
      <c r="O7776" t="n">
        <v>0</v>
      </c>
      <c r="P7776" t="n">
        <v>0</v>
      </c>
      <c r="Q7776" t="n">
        <v>0</v>
      </c>
      <c r="R7776" s="2" t="inlineStr"/>
    </row>
    <row r="7777" ht="15" customHeight="1">
      <c r="A7777" t="inlineStr">
        <is>
          <t>A 20927-2025</t>
        </is>
      </c>
      <c r="B7777" s="1" t="n">
        <v>45777.42354166666</v>
      </c>
      <c r="C7777" s="1" t="n">
        <v>45911</v>
      </c>
      <c r="D7777" t="inlineStr">
        <is>
          <t>GÄVLEBORGS LÄN</t>
        </is>
      </c>
      <c r="E7777" t="inlineStr">
        <is>
          <t>OVANÅKER</t>
        </is>
      </c>
      <c r="F7777" t="inlineStr">
        <is>
          <t>Sveaskog</t>
        </is>
      </c>
      <c r="G7777" t="n">
        <v>2.6</v>
      </c>
      <c r="H7777" t="n">
        <v>0</v>
      </c>
      <c r="I7777" t="n">
        <v>0</v>
      </c>
      <c r="J7777" t="n">
        <v>0</v>
      </c>
      <c r="K7777" t="n">
        <v>0</v>
      </c>
      <c r="L7777" t="n">
        <v>0</v>
      </c>
      <c r="M7777" t="n">
        <v>0</v>
      </c>
      <c r="N7777" t="n">
        <v>0</v>
      </c>
      <c r="O7777" t="n">
        <v>0</v>
      </c>
      <c r="P7777" t="n">
        <v>0</v>
      </c>
      <c r="Q7777" t="n">
        <v>0</v>
      </c>
      <c r="R7777" s="2" t="inlineStr"/>
    </row>
    <row r="7778" ht="15" customHeight="1">
      <c r="A7778" t="inlineStr">
        <is>
          <t>A 20932-2025</t>
        </is>
      </c>
      <c r="B7778" s="1" t="n">
        <v>45777.42674768518</v>
      </c>
      <c r="C7778" s="1" t="n">
        <v>45911</v>
      </c>
      <c r="D7778" t="inlineStr">
        <is>
          <t>GÄVLEBORGS LÄN</t>
        </is>
      </c>
      <c r="E7778" t="inlineStr">
        <is>
          <t>HUDIKSVALL</t>
        </is>
      </c>
      <c r="F7778" t="inlineStr">
        <is>
          <t>Holmen skog AB</t>
        </is>
      </c>
      <c r="G7778" t="n">
        <v>2.3</v>
      </c>
      <c r="H7778" t="n">
        <v>0</v>
      </c>
      <c r="I7778" t="n">
        <v>0</v>
      </c>
      <c r="J7778" t="n">
        <v>0</v>
      </c>
      <c r="K7778" t="n">
        <v>0</v>
      </c>
      <c r="L7778" t="n">
        <v>0</v>
      </c>
      <c r="M7778" t="n">
        <v>0</v>
      </c>
      <c r="N7778" t="n">
        <v>0</v>
      </c>
      <c r="O7778" t="n">
        <v>0</v>
      </c>
      <c r="P7778" t="n">
        <v>0</v>
      </c>
      <c r="Q7778" t="n">
        <v>0</v>
      </c>
      <c r="R7778" s="2" t="inlineStr"/>
    </row>
    <row r="7779" ht="15" customHeight="1">
      <c r="A7779" t="inlineStr">
        <is>
          <t>A 20873-2025</t>
        </is>
      </c>
      <c r="B7779" s="1" t="n">
        <v>45777.34825231481</v>
      </c>
      <c r="C7779" s="1" t="n">
        <v>45911</v>
      </c>
      <c r="D7779" t="inlineStr">
        <is>
          <t>GÄVLEBORGS LÄN</t>
        </is>
      </c>
      <c r="E7779" t="inlineStr">
        <is>
          <t>SANDVIKEN</t>
        </is>
      </c>
      <c r="G7779" t="n">
        <v>7.1</v>
      </c>
      <c r="H7779" t="n">
        <v>0</v>
      </c>
      <c r="I7779" t="n">
        <v>0</v>
      </c>
      <c r="J7779" t="n">
        <v>0</v>
      </c>
      <c r="K7779" t="n">
        <v>0</v>
      </c>
      <c r="L7779" t="n">
        <v>0</v>
      </c>
      <c r="M7779" t="n">
        <v>0</v>
      </c>
      <c r="N7779" t="n">
        <v>0</v>
      </c>
      <c r="O7779" t="n">
        <v>0</v>
      </c>
      <c r="P7779" t="n">
        <v>0</v>
      </c>
      <c r="Q7779" t="n">
        <v>0</v>
      </c>
      <c r="R7779" s="2" t="inlineStr"/>
    </row>
    <row r="7780" ht="15" customHeight="1">
      <c r="A7780" t="inlineStr">
        <is>
          <t>A 8237-2025</t>
        </is>
      </c>
      <c r="B7780" s="1" t="n">
        <v>45708.47871527778</v>
      </c>
      <c r="C7780" s="1" t="n">
        <v>45911</v>
      </c>
      <c r="D7780" t="inlineStr">
        <is>
          <t>GÄVLEBORGS LÄN</t>
        </is>
      </c>
      <c r="E7780" t="inlineStr">
        <is>
          <t>GÄVLE</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21071-2025</t>
        </is>
      </c>
      <c r="B7781" s="1" t="n">
        <v>45777.59451388889</v>
      </c>
      <c r="C7781" s="1" t="n">
        <v>45911</v>
      </c>
      <c r="D7781" t="inlineStr">
        <is>
          <t>GÄVLEBORGS LÄN</t>
        </is>
      </c>
      <c r="E7781" t="inlineStr">
        <is>
          <t>LJUSDAL</t>
        </is>
      </c>
      <c r="F7781" t="inlineStr">
        <is>
          <t>SCA</t>
        </is>
      </c>
      <c r="G7781" t="n">
        <v>3.1</v>
      </c>
      <c r="H7781" t="n">
        <v>0</v>
      </c>
      <c r="I7781" t="n">
        <v>0</v>
      </c>
      <c r="J7781" t="n">
        <v>0</v>
      </c>
      <c r="K7781" t="n">
        <v>0</v>
      </c>
      <c r="L7781" t="n">
        <v>0</v>
      </c>
      <c r="M7781" t="n">
        <v>0</v>
      </c>
      <c r="N7781" t="n">
        <v>0</v>
      </c>
      <c r="O7781" t="n">
        <v>0</v>
      </c>
      <c r="P7781" t="n">
        <v>0</v>
      </c>
      <c r="Q7781" t="n">
        <v>0</v>
      </c>
      <c r="R7781" s="2" t="inlineStr"/>
    </row>
    <row r="7782" ht="15" customHeight="1">
      <c r="A7782" t="inlineStr">
        <is>
          <t>A 20847-2025</t>
        </is>
      </c>
      <c r="B7782" s="1" t="n">
        <v>45777.29842592592</v>
      </c>
      <c r="C7782" s="1" t="n">
        <v>45911</v>
      </c>
      <c r="D7782" t="inlineStr">
        <is>
          <t>GÄVLEBORGS LÄN</t>
        </is>
      </c>
      <c r="E7782" t="inlineStr">
        <is>
          <t>LJUSDAL</t>
        </is>
      </c>
      <c r="G7782" t="n">
        <v>21.6</v>
      </c>
      <c r="H7782" t="n">
        <v>0</v>
      </c>
      <c r="I7782" t="n">
        <v>0</v>
      </c>
      <c r="J7782" t="n">
        <v>0</v>
      </c>
      <c r="K7782" t="n">
        <v>0</v>
      </c>
      <c r="L7782" t="n">
        <v>0</v>
      </c>
      <c r="M7782" t="n">
        <v>0</v>
      </c>
      <c r="N7782" t="n">
        <v>0</v>
      </c>
      <c r="O7782" t="n">
        <v>0</v>
      </c>
      <c r="P7782" t="n">
        <v>0</v>
      </c>
      <c r="Q7782" t="n">
        <v>0</v>
      </c>
      <c r="R7782" s="2" t="inlineStr"/>
    </row>
    <row r="7783" ht="15" customHeight="1">
      <c r="A7783" t="inlineStr">
        <is>
          <t>A 21051-2025</t>
        </is>
      </c>
      <c r="B7783" s="1" t="n">
        <v>45777.56392361111</v>
      </c>
      <c r="C7783" s="1" t="n">
        <v>45911</v>
      </c>
      <c r="D7783" t="inlineStr">
        <is>
          <t>GÄVLEBORGS LÄN</t>
        </is>
      </c>
      <c r="E7783" t="inlineStr">
        <is>
          <t>OCKELBO</t>
        </is>
      </c>
      <c r="F7783" t="inlineStr">
        <is>
          <t>Bergvik skog väst AB</t>
        </is>
      </c>
      <c r="G7783" t="n">
        <v>15.3</v>
      </c>
      <c r="H7783" t="n">
        <v>0</v>
      </c>
      <c r="I7783" t="n">
        <v>0</v>
      </c>
      <c r="J7783" t="n">
        <v>0</v>
      </c>
      <c r="K7783" t="n">
        <v>0</v>
      </c>
      <c r="L7783" t="n">
        <v>0</v>
      </c>
      <c r="M7783" t="n">
        <v>0</v>
      </c>
      <c r="N7783" t="n">
        <v>0</v>
      </c>
      <c r="O7783" t="n">
        <v>0</v>
      </c>
      <c r="P7783" t="n">
        <v>0</v>
      </c>
      <c r="Q7783" t="n">
        <v>0</v>
      </c>
      <c r="R7783" s="2" t="inlineStr"/>
    </row>
    <row r="7784" ht="15" customHeight="1">
      <c r="A7784" t="inlineStr">
        <is>
          <t>A 20946-2025</t>
        </is>
      </c>
      <c r="B7784" s="1" t="n">
        <v>45777.4344212963</v>
      </c>
      <c r="C7784" s="1" t="n">
        <v>45911</v>
      </c>
      <c r="D7784" t="inlineStr">
        <is>
          <t>GÄVLEBORGS LÄN</t>
        </is>
      </c>
      <c r="E7784" t="inlineStr">
        <is>
          <t>SÖDERHAMN</t>
        </is>
      </c>
      <c r="G7784" t="n">
        <v>2.9</v>
      </c>
      <c r="H7784" t="n">
        <v>0</v>
      </c>
      <c r="I7784" t="n">
        <v>0</v>
      </c>
      <c r="J7784" t="n">
        <v>0</v>
      </c>
      <c r="K7784" t="n">
        <v>0</v>
      </c>
      <c r="L7784" t="n">
        <v>0</v>
      </c>
      <c r="M7784" t="n">
        <v>0</v>
      </c>
      <c r="N7784" t="n">
        <v>0</v>
      </c>
      <c r="O7784" t="n">
        <v>0</v>
      </c>
      <c r="P7784" t="n">
        <v>0</v>
      </c>
      <c r="Q7784" t="n">
        <v>0</v>
      </c>
      <c r="R7784" s="2" t="inlineStr"/>
    </row>
    <row r="7785" ht="15" customHeight="1">
      <c r="A7785" t="inlineStr">
        <is>
          <t>A 21182-2025</t>
        </is>
      </c>
      <c r="B7785" s="1" t="n">
        <v>45779.4387037037</v>
      </c>
      <c r="C7785" s="1" t="n">
        <v>45911</v>
      </c>
      <c r="D7785" t="inlineStr">
        <is>
          <t>GÄVLEBORGS LÄN</t>
        </is>
      </c>
      <c r="E7785" t="inlineStr">
        <is>
          <t>SANDVIKEN</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21562-2025</t>
        </is>
      </c>
      <c r="B7786" s="1" t="n">
        <v>45782.69534722222</v>
      </c>
      <c r="C7786" s="1" t="n">
        <v>45911</v>
      </c>
      <c r="D7786" t="inlineStr">
        <is>
          <t>GÄVLEBORGS LÄN</t>
        </is>
      </c>
      <c r="E7786" t="inlineStr">
        <is>
          <t>BOLLNÄS</t>
        </is>
      </c>
      <c r="F7786" t="inlineStr">
        <is>
          <t>Sveaskog</t>
        </is>
      </c>
      <c r="G7786" t="n">
        <v>0.4</v>
      </c>
      <c r="H7786" t="n">
        <v>0</v>
      </c>
      <c r="I7786" t="n">
        <v>0</v>
      </c>
      <c r="J7786" t="n">
        <v>0</v>
      </c>
      <c r="K7786" t="n">
        <v>0</v>
      </c>
      <c r="L7786" t="n">
        <v>0</v>
      </c>
      <c r="M7786" t="n">
        <v>0</v>
      </c>
      <c r="N7786" t="n">
        <v>0</v>
      </c>
      <c r="O7786" t="n">
        <v>0</v>
      </c>
      <c r="P7786" t="n">
        <v>0</v>
      </c>
      <c r="Q7786" t="n">
        <v>0</v>
      </c>
      <c r="R7786" s="2" t="inlineStr"/>
    </row>
    <row r="7787" ht="15" customHeight="1">
      <c r="A7787" t="inlineStr">
        <is>
          <t>A 21334-2025</t>
        </is>
      </c>
      <c r="B7787" s="1" t="n">
        <v>45782.37358796296</v>
      </c>
      <c r="C7787" s="1" t="n">
        <v>45911</v>
      </c>
      <c r="D7787" t="inlineStr">
        <is>
          <t>GÄVLEBORGS LÄN</t>
        </is>
      </c>
      <c r="E7787" t="inlineStr">
        <is>
          <t>LJUSDAL</t>
        </is>
      </c>
      <c r="G7787" t="n">
        <v>6.8</v>
      </c>
      <c r="H7787" t="n">
        <v>0</v>
      </c>
      <c r="I7787" t="n">
        <v>0</v>
      </c>
      <c r="J7787" t="n">
        <v>0</v>
      </c>
      <c r="K7787" t="n">
        <v>0</v>
      </c>
      <c r="L7787" t="n">
        <v>0</v>
      </c>
      <c r="M7787" t="n">
        <v>0</v>
      </c>
      <c r="N7787" t="n">
        <v>0</v>
      </c>
      <c r="O7787" t="n">
        <v>0</v>
      </c>
      <c r="P7787" t="n">
        <v>0</v>
      </c>
      <c r="Q7787" t="n">
        <v>0</v>
      </c>
      <c r="R7787" s="2" t="inlineStr"/>
    </row>
    <row r="7788" ht="15" customHeight="1">
      <c r="A7788" t="inlineStr">
        <is>
          <t>A 21431-2025</t>
        </is>
      </c>
      <c r="B7788" s="1" t="n">
        <v>45782.51104166666</v>
      </c>
      <c r="C7788" s="1" t="n">
        <v>45911</v>
      </c>
      <c r="D7788" t="inlineStr">
        <is>
          <t>GÄVLEBORGS LÄN</t>
        </is>
      </c>
      <c r="E7788" t="inlineStr">
        <is>
          <t>GÄVLE</t>
        </is>
      </c>
      <c r="G7788" t="n">
        <v>1.8</v>
      </c>
      <c r="H7788" t="n">
        <v>0</v>
      </c>
      <c r="I7788" t="n">
        <v>0</v>
      </c>
      <c r="J7788" t="n">
        <v>0</v>
      </c>
      <c r="K7788" t="n">
        <v>0</v>
      </c>
      <c r="L7788" t="n">
        <v>0</v>
      </c>
      <c r="M7788" t="n">
        <v>0</v>
      </c>
      <c r="N7788" t="n">
        <v>0</v>
      </c>
      <c r="O7788" t="n">
        <v>0</v>
      </c>
      <c r="P7788" t="n">
        <v>0</v>
      </c>
      <c r="Q7788" t="n">
        <v>0</v>
      </c>
      <c r="R7788" s="2" t="inlineStr"/>
    </row>
    <row r="7789" ht="15" customHeight="1">
      <c r="A7789" t="inlineStr">
        <is>
          <t>A 21369-2025</t>
        </is>
      </c>
      <c r="B7789" s="1" t="n">
        <v>45782.44831018519</v>
      </c>
      <c r="C7789" s="1" t="n">
        <v>45911</v>
      </c>
      <c r="D7789" t="inlineStr">
        <is>
          <t>GÄVLEBORGS LÄN</t>
        </is>
      </c>
      <c r="E7789" t="inlineStr">
        <is>
          <t>HUDIKSVALL</t>
        </is>
      </c>
      <c r="F7789" t="inlineStr">
        <is>
          <t>Holmen skog AB</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21393-2025</t>
        </is>
      </c>
      <c r="B7790" s="1" t="n">
        <v>45782.48126157407</v>
      </c>
      <c r="C7790" s="1" t="n">
        <v>45911</v>
      </c>
      <c r="D7790" t="inlineStr">
        <is>
          <t>GÄVLEBORGS LÄN</t>
        </is>
      </c>
      <c r="E7790" t="inlineStr">
        <is>
          <t>BOLLNÄS</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21252-2025</t>
        </is>
      </c>
      <c r="B7791" s="1" t="n">
        <v>45779.57425925926</v>
      </c>
      <c r="C7791" s="1" t="n">
        <v>45911</v>
      </c>
      <c r="D7791" t="inlineStr">
        <is>
          <t>GÄVLEBORGS LÄN</t>
        </is>
      </c>
      <c r="E7791" t="inlineStr">
        <is>
          <t>SÖDERHAMN</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21287-2025</t>
        </is>
      </c>
      <c r="B7792" s="1" t="n">
        <v>45779.70166666667</v>
      </c>
      <c r="C7792" s="1" t="n">
        <v>45911</v>
      </c>
      <c r="D7792" t="inlineStr">
        <is>
          <t>GÄVLEBORGS LÄN</t>
        </is>
      </c>
      <c r="E7792" t="inlineStr">
        <is>
          <t>NORDANSTIG</t>
        </is>
      </c>
      <c r="G7792" t="n">
        <v>3.7</v>
      </c>
      <c r="H7792" t="n">
        <v>0</v>
      </c>
      <c r="I7792" t="n">
        <v>0</v>
      </c>
      <c r="J7792" t="n">
        <v>0</v>
      </c>
      <c r="K7792" t="n">
        <v>0</v>
      </c>
      <c r="L7792" t="n">
        <v>0</v>
      </c>
      <c r="M7792" t="n">
        <v>0</v>
      </c>
      <c r="N7792" t="n">
        <v>0</v>
      </c>
      <c r="O7792" t="n">
        <v>0</v>
      </c>
      <c r="P7792" t="n">
        <v>0</v>
      </c>
      <c r="Q7792" t="n">
        <v>0</v>
      </c>
      <c r="R7792" s="2" t="inlineStr"/>
    </row>
    <row r="7793" ht="15" customHeight="1">
      <c r="A7793" t="inlineStr">
        <is>
          <t>A 21394-2025</t>
        </is>
      </c>
      <c r="B7793" s="1" t="n">
        <v>45782.48197916667</v>
      </c>
      <c r="C7793" s="1" t="n">
        <v>45911</v>
      </c>
      <c r="D7793" t="inlineStr">
        <is>
          <t>GÄVLEBORGS LÄN</t>
        </is>
      </c>
      <c r="E7793" t="inlineStr">
        <is>
          <t>OVANÅKER</t>
        </is>
      </c>
      <c r="F7793" t="inlineStr">
        <is>
          <t>Bergvik skog öst AB</t>
        </is>
      </c>
      <c r="G7793" t="n">
        <v>2.6</v>
      </c>
      <c r="H7793" t="n">
        <v>0</v>
      </c>
      <c r="I7793" t="n">
        <v>0</v>
      </c>
      <c r="J7793" t="n">
        <v>0</v>
      </c>
      <c r="K7793" t="n">
        <v>0</v>
      </c>
      <c r="L7793" t="n">
        <v>0</v>
      </c>
      <c r="M7793" t="n">
        <v>0</v>
      </c>
      <c r="N7793" t="n">
        <v>0</v>
      </c>
      <c r="O7793" t="n">
        <v>0</v>
      </c>
      <c r="P7793" t="n">
        <v>0</v>
      </c>
      <c r="Q7793" t="n">
        <v>0</v>
      </c>
      <c r="R7793" s="2" t="inlineStr"/>
    </row>
    <row r="7794" ht="15" customHeight="1">
      <c r="A7794" t="inlineStr">
        <is>
          <t>A 19454-2025</t>
        </is>
      </c>
      <c r="B7794" s="1" t="n">
        <v>45770.35150462963</v>
      </c>
      <c r="C7794" s="1" t="n">
        <v>45911</v>
      </c>
      <c r="D7794" t="inlineStr">
        <is>
          <t>GÄVLEBORGS LÄN</t>
        </is>
      </c>
      <c r="E7794" t="inlineStr">
        <is>
          <t>GÄVLE</t>
        </is>
      </c>
      <c r="G7794" t="n">
        <v>2.1</v>
      </c>
      <c r="H7794" t="n">
        <v>0</v>
      </c>
      <c r="I7794" t="n">
        <v>0</v>
      </c>
      <c r="J7794" t="n">
        <v>0</v>
      </c>
      <c r="K7794" t="n">
        <v>0</v>
      </c>
      <c r="L7794" t="n">
        <v>0</v>
      </c>
      <c r="M7794" t="n">
        <v>0</v>
      </c>
      <c r="N7794" t="n">
        <v>0</v>
      </c>
      <c r="O7794" t="n">
        <v>0</v>
      </c>
      <c r="P7794" t="n">
        <v>0</v>
      </c>
      <c r="Q7794" t="n">
        <v>0</v>
      </c>
      <c r="R7794" s="2" t="inlineStr"/>
    </row>
    <row r="7795" ht="15" customHeight="1">
      <c r="A7795" t="inlineStr">
        <is>
          <t>A 21340-2025</t>
        </is>
      </c>
      <c r="B7795" s="1" t="n">
        <v>45782.38909722222</v>
      </c>
      <c r="C7795" s="1" t="n">
        <v>45911</v>
      </c>
      <c r="D7795" t="inlineStr">
        <is>
          <t>GÄVLEBORGS LÄN</t>
        </is>
      </c>
      <c r="E7795" t="inlineStr">
        <is>
          <t>HOFORS</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21446-2025</t>
        </is>
      </c>
      <c r="B7796" s="1" t="n">
        <v>45782.54756944445</v>
      </c>
      <c r="C7796" s="1" t="n">
        <v>45911</v>
      </c>
      <c r="D7796" t="inlineStr">
        <is>
          <t>GÄVLEBORGS LÄN</t>
        </is>
      </c>
      <c r="E7796" t="inlineStr">
        <is>
          <t>OVANÅKER</t>
        </is>
      </c>
      <c r="F7796" t="inlineStr">
        <is>
          <t>Bergvik skog öst AB</t>
        </is>
      </c>
      <c r="G7796" t="n">
        <v>5.9</v>
      </c>
      <c r="H7796" t="n">
        <v>0</v>
      </c>
      <c r="I7796" t="n">
        <v>0</v>
      </c>
      <c r="J7796" t="n">
        <v>0</v>
      </c>
      <c r="K7796" t="n">
        <v>0</v>
      </c>
      <c r="L7796" t="n">
        <v>0</v>
      </c>
      <c r="M7796" t="n">
        <v>0</v>
      </c>
      <c r="N7796" t="n">
        <v>0</v>
      </c>
      <c r="O7796" t="n">
        <v>0</v>
      </c>
      <c r="P7796" t="n">
        <v>0</v>
      </c>
      <c r="Q7796" t="n">
        <v>0</v>
      </c>
      <c r="R7796" s="2" t="inlineStr"/>
    </row>
    <row r="7797" ht="15" customHeight="1">
      <c r="A7797" t="inlineStr">
        <is>
          <t>A 21200-2025</t>
        </is>
      </c>
      <c r="B7797" s="1" t="n">
        <v>45779.4734837963</v>
      </c>
      <c r="C7797" s="1" t="n">
        <v>45911</v>
      </c>
      <c r="D7797" t="inlineStr">
        <is>
          <t>GÄVLEBORGS LÄN</t>
        </is>
      </c>
      <c r="E7797" t="inlineStr">
        <is>
          <t>HUDIKSVALL</t>
        </is>
      </c>
      <c r="G7797" t="n">
        <v>5.2</v>
      </c>
      <c r="H7797" t="n">
        <v>0</v>
      </c>
      <c r="I7797" t="n">
        <v>0</v>
      </c>
      <c r="J7797" t="n">
        <v>0</v>
      </c>
      <c r="K7797" t="n">
        <v>0</v>
      </c>
      <c r="L7797" t="n">
        <v>0</v>
      </c>
      <c r="M7797" t="n">
        <v>0</v>
      </c>
      <c r="N7797" t="n">
        <v>0</v>
      </c>
      <c r="O7797" t="n">
        <v>0</v>
      </c>
      <c r="P7797" t="n">
        <v>0</v>
      </c>
      <c r="Q7797" t="n">
        <v>0</v>
      </c>
      <c r="R7797" s="2" t="inlineStr"/>
    </row>
    <row r="7798" ht="15" customHeight="1">
      <c r="A7798" t="inlineStr">
        <is>
          <t>A 21500-2025</t>
        </is>
      </c>
      <c r="B7798" s="1" t="n">
        <v>45782.60820601852</v>
      </c>
      <c r="C7798" s="1" t="n">
        <v>45911</v>
      </c>
      <c r="D7798" t="inlineStr">
        <is>
          <t>GÄVLEBORGS LÄN</t>
        </is>
      </c>
      <c r="E7798" t="inlineStr">
        <is>
          <t>SÖDERHAMN</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21327-2025</t>
        </is>
      </c>
      <c r="B7799" s="1" t="n">
        <v>45782.35456018519</v>
      </c>
      <c r="C7799" s="1" t="n">
        <v>45911</v>
      </c>
      <c r="D7799" t="inlineStr">
        <is>
          <t>GÄVLEBORGS LÄN</t>
        </is>
      </c>
      <c r="E7799" t="inlineStr">
        <is>
          <t>SÖDERHAMN</t>
        </is>
      </c>
      <c r="F7799" t="inlineStr">
        <is>
          <t>Kyrkan</t>
        </is>
      </c>
      <c r="G7799" t="n">
        <v>5.1</v>
      </c>
      <c r="H7799" t="n">
        <v>0</v>
      </c>
      <c r="I7799" t="n">
        <v>0</v>
      </c>
      <c r="J7799" t="n">
        <v>0</v>
      </c>
      <c r="K7799" t="n">
        <v>0</v>
      </c>
      <c r="L7799" t="n">
        <v>0</v>
      </c>
      <c r="M7799" t="n">
        <v>0</v>
      </c>
      <c r="N7799" t="n">
        <v>0</v>
      </c>
      <c r="O7799" t="n">
        <v>0</v>
      </c>
      <c r="P7799" t="n">
        <v>0</v>
      </c>
      <c r="Q7799" t="n">
        <v>0</v>
      </c>
      <c r="R7799" s="2" t="inlineStr"/>
    </row>
    <row r="7800" ht="15" customHeight="1">
      <c r="A7800" t="inlineStr">
        <is>
          <t>A 21352-2025</t>
        </is>
      </c>
      <c r="B7800" s="1" t="n">
        <v>45782.41087962963</v>
      </c>
      <c r="C7800" s="1" t="n">
        <v>45911</v>
      </c>
      <c r="D7800" t="inlineStr">
        <is>
          <t>GÄVLEBORGS LÄN</t>
        </is>
      </c>
      <c r="E7800" t="inlineStr">
        <is>
          <t>BOLLNÄS</t>
        </is>
      </c>
      <c r="G7800" t="n">
        <v>2.4</v>
      </c>
      <c r="H7800" t="n">
        <v>0</v>
      </c>
      <c r="I7800" t="n">
        <v>0</v>
      </c>
      <c r="J7800" t="n">
        <v>0</v>
      </c>
      <c r="K7800" t="n">
        <v>0</v>
      </c>
      <c r="L7800" t="n">
        <v>0</v>
      </c>
      <c r="M7800" t="n">
        <v>0</v>
      </c>
      <c r="N7800" t="n">
        <v>0</v>
      </c>
      <c r="O7800" t="n">
        <v>0</v>
      </c>
      <c r="P7800" t="n">
        <v>0</v>
      </c>
      <c r="Q7800" t="n">
        <v>0</v>
      </c>
      <c r="R7800" s="2" t="inlineStr"/>
    </row>
    <row r="7801" ht="15" customHeight="1">
      <c r="A7801" t="inlineStr">
        <is>
          <t>A 21538-2025</t>
        </is>
      </c>
      <c r="B7801" s="1" t="n">
        <v>45782.65975694444</v>
      </c>
      <c r="C7801" s="1" t="n">
        <v>45911</v>
      </c>
      <c r="D7801" t="inlineStr">
        <is>
          <t>GÄVLEBORGS LÄN</t>
        </is>
      </c>
      <c r="E7801" t="inlineStr">
        <is>
          <t>SÖDERHAMN</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21505-2025</t>
        </is>
      </c>
      <c r="B7802" s="1" t="n">
        <v>45782.61508101852</v>
      </c>
      <c r="C7802" s="1" t="n">
        <v>45911</v>
      </c>
      <c r="D7802" t="inlineStr">
        <is>
          <t>GÄVLEBORGS LÄN</t>
        </is>
      </c>
      <c r="E7802" t="inlineStr">
        <is>
          <t>HUDIKSVALL</t>
        </is>
      </c>
      <c r="G7802" t="n">
        <v>0.5</v>
      </c>
      <c r="H7802" t="n">
        <v>0</v>
      </c>
      <c r="I7802" t="n">
        <v>0</v>
      </c>
      <c r="J7802" t="n">
        <v>0</v>
      </c>
      <c r="K7802" t="n">
        <v>0</v>
      </c>
      <c r="L7802" t="n">
        <v>0</v>
      </c>
      <c r="M7802" t="n">
        <v>0</v>
      </c>
      <c r="N7802" t="n">
        <v>0</v>
      </c>
      <c r="O7802" t="n">
        <v>0</v>
      </c>
      <c r="P7802" t="n">
        <v>0</v>
      </c>
      <c r="Q7802" t="n">
        <v>0</v>
      </c>
      <c r="R7802" s="2" t="inlineStr"/>
    </row>
    <row r="7803" ht="15" customHeight="1">
      <c r="A7803" t="inlineStr">
        <is>
          <t>A 21524-2025</t>
        </is>
      </c>
      <c r="B7803" s="1" t="n">
        <v>45782.64039351852</v>
      </c>
      <c r="C7803" s="1" t="n">
        <v>45911</v>
      </c>
      <c r="D7803" t="inlineStr">
        <is>
          <t>GÄVLEBORGS LÄN</t>
        </is>
      </c>
      <c r="E7803" t="inlineStr">
        <is>
          <t>HUDIKSVALL</t>
        </is>
      </c>
      <c r="G7803" t="n">
        <v>3.7</v>
      </c>
      <c r="H7803" t="n">
        <v>0</v>
      </c>
      <c r="I7803" t="n">
        <v>0</v>
      </c>
      <c r="J7803" t="n">
        <v>0</v>
      </c>
      <c r="K7803" t="n">
        <v>0</v>
      </c>
      <c r="L7803" t="n">
        <v>0</v>
      </c>
      <c r="M7803" t="n">
        <v>0</v>
      </c>
      <c r="N7803" t="n">
        <v>0</v>
      </c>
      <c r="O7803" t="n">
        <v>0</v>
      </c>
      <c r="P7803" t="n">
        <v>0</v>
      </c>
      <c r="Q7803" t="n">
        <v>0</v>
      </c>
      <c r="R7803" s="2" t="inlineStr"/>
    </row>
    <row r="7804" ht="15" customHeight="1">
      <c r="A7804" t="inlineStr">
        <is>
          <t>A 21178-2025</t>
        </is>
      </c>
      <c r="B7804" s="1" t="n">
        <v>45779.42856481481</v>
      </c>
      <c r="C7804" s="1" t="n">
        <v>45911</v>
      </c>
      <c r="D7804" t="inlineStr">
        <is>
          <t>GÄVLEBORGS LÄN</t>
        </is>
      </c>
      <c r="E7804" t="inlineStr">
        <is>
          <t>SANDVIKEN</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21179-2025</t>
        </is>
      </c>
      <c r="B7805" s="1" t="n">
        <v>45779.43439814815</v>
      </c>
      <c r="C7805" s="1" t="n">
        <v>45911</v>
      </c>
      <c r="D7805" t="inlineStr">
        <is>
          <t>GÄVLEBORGS LÄN</t>
        </is>
      </c>
      <c r="E7805" t="inlineStr">
        <is>
          <t>HUDIKSVALL</t>
        </is>
      </c>
      <c r="F7805" t="inlineStr">
        <is>
          <t>Holmen skog AB</t>
        </is>
      </c>
      <c r="G7805" t="n">
        <v>14.1</v>
      </c>
      <c r="H7805" t="n">
        <v>0</v>
      </c>
      <c r="I7805" t="n">
        <v>0</v>
      </c>
      <c r="J7805" t="n">
        <v>0</v>
      </c>
      <c r="K7805" t="n">
        <v>0</v>
      </c>
      <c r="L7805" t="n">
        <v>0</v>
      </c>
      <c r="M7805" t="n">
        <v>0</v>
      </c>
      <c r="N7805" t="n">
        <v>0</v>
      </c>
      <c r="O7805" t="n">
        <v>0</v>
      </c>
      <c r="P7805" t="n">
        <v>0</v>
      </c>
      <c r="Q7805" t="n">
        <v>0</v>
      </c>
      <c r="R7805" s="2" t="inlineStr"/>
    </row>
    <row r="7806" ht="15" customHeight="1">
      <c r="A7806" t="inlineStr">
        <is>
          <t>A 63952-2023</t>
        </is>
      </c>
      <c r="B7806" s="1" t="n">
        <v>45278</v>
      </c>
      <c r="C7806" s="1" t="n">
        <v>45911</v>
      </c>
      <c r="D7806" t="inlineStr">
        <is>
          <t>GÄVLEBORGS LÄN</t>
        </is>
      </c>
      <c r="E7806" t="inlineStr">
        <is>
          <t>HUDIKSVALL</t>
        </is>
      </c>
      <c r="F7806" t="inlineStr">
        <is>
          <t>Holmen skog AB</t>
        </is>
      </c>
      <c r="G7806" t="n">
        <v>7.2</v>
      </c>
      <c r="H7806" t="n">
        <v>0</v>
      </c>
      <c r="I7806" t="n">
        <v>0</v>
      </c>
      <c r="J7806" t="n">
        <v>0</v>
      </c>
      <c r="K7806" t="n">
        <v>0</v>
      </c>
      <c r="L7806" t="n">
        <v>0</v>
      </c>
      <c r="M7806" t="n">
        <v>0</v>
      </c>
      <c r="N7806" t="n">
        <v>0</v>
      </c>
      <c r="O7806" t="n">
        <v>0</v>
      </c>
      <c r="P7806" t="n">
        <v>0</v>
      </c>
      <c r="Q7806" t="n">
        <v>0</v>
      </c>
      <c r="R7806" s="2" t="inlineStr"/>
    </row>
    <row r="7807" ht="15" customHeight="1">
      <c r="A7807" t="inlineStr">
        <is>
          <t>A 31298-2024</t>
        </is>
      </c>
      <c r="B7807" s="1" t="n">
        <v>45504.49959490741</v>
      </c>
      <c r="C7807" s="1" t="n">
        <v>45911</v>
      </c>
      <c r="D7807" t="inlineStr">
        <is>
          <t>GÄVLEBORGS LÄN</t>
        </is>
      </c>
      <c r="E7807" t="inlineStr">
        <is>
          <t>OVANÅKER</t>
        </is>
      </c>
      <c r="G7807" t="n">
        <v>2.4</v>
      </c>
      <c r="H7807" t="n">
        <v>0</v>
      </c>
      <c r="I7807" t="n">
        <v>0</v>
      </c>
      <c r="J7807" t="n">
        <v>0</v>
      </c>
      <c r="K7807" t="n">
        <v>0</v>
      </c>
      <c r="L7807" t="n">
        <v>0</v>
      </c>
      <c r="M7807" t="n">
        <v>0</v>
      </c>
      <c r="N7807" t="n">
        <v>0</v>
      </c>
      <c r="O7807" t="n">
        <v>0</v>
      </c>
      <c r="P7807" t="n">
        <v>0</v>
      </c>
      <c r="Q7807" t="n">
        <v>0</v>
      </c>
      <c r="R7807" s="2" t="inlineStr"/>
    </row>
    <row r="7808" ht="15" customHeight="1">
      <c r="A7808" t="inlineStr">
        <is>
          <t>A 21921-2025</t>
        </is>
      </c>
      <c r="B7808" s="1" t="n">
        <v>45784.52148148148</v>
      </c>
      <c r="C7808" s="1" t="n">
        <v>45911</v>
      </c>
      <c r="D7808" t="inlineStr">
        <is>
          <t>GÄVLEBORGS LÄN</t>
        </is>
      </c>
      <c r="E7808" t="inlineStr">
        <is>
          <t>NORDANSTIG</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20639-2025</t>
        </is>
      </c>
      <c r="B7809" s="1" t="n">
        <v>45776</v>
      </c>
      <c r="C7809" s="1" t="n">
        <v>45911</v>
      </c>
      <c r="D7809" t="inlineStr">
        <is>
          <t>GÄVLEBORGS LÄN</t>
        </is>
      </c>
      <c r="E7809" t="inlineStr">
        <is>
          <t>HUDIKSVALL</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21925-2025</t>
        </is>
      </c>
      <c r="B7810" s="1" t="n">
        <v>45784</v>
      </c>
      <c r="C7810" s="1" t="n">
        <v>45911</v>
      </c>
      <c r="D7810" t="inlineStr">
        <is>
          <t>GÄVLEBORGS LÄN</t>
        </is>
      </c>
      <c r="E7810" t="inlineStr">
        <is>
          <t>LJUSDAL</t>
        </is>
      </c>
      <c r="F7810" t="inlineStr">
        <is>
          <t>Sveaskog</t>
        </is>
      </c>
      <c r="G7810" t="n">
        <v>8</v>
      </c>
      <c r="H7810" t="n">
        <v>0</v>
      </c>
      <c r="I7810" t="n">
        <v>0</v>
      </c>
      <c r="J7810" t="n">
        <v>0</v>
      </c>
      <c r="K7810" t="n">
        <v>0</v>
      </c>
      <c r="L7810" t="n">
        <v>0</v>
      </c>
      <c r="M7810" t="n">
        <v>0</v>
      </c>
      <c r="N7810" t="n">
        <v>0</v>
      </c>
      <c r="O7810" t="n">
        <v>0</v>
      </c>
      <c r="P7810" t="n">
        <v>0</v>
      </c>
      <c r="Q7810" t="n">
        <v>0</v>
      </c>
      <c r="R7810" s="2" t="inlineStr"/>
    </row>
    <row r="7811" ht="15" customHeight="1">
      <c r="A7811" t="inlineStr">
        <is>
          <t>A 21725-2025</t>
        </is>
      </c>
      <c r="B7811" s="1" t="n">
        <v>45783.56886574074</v>
      </c>
      <c r="C7811" s="1" t="n">
        <v>45911</v>
      </c>
      <c r="D7811" t="inlineStr">
        <is>
          <t>GÄVLEBORGS LÄN</t>
        </is>
      </c>
      <c r="E7811" t="inlineStr">
        <is>
          <t>NORDANSTIG</t>
        </is>
      </c>
      <c r="G7811" t="n">
        <v>6.4</v>
      </c>
      <c r="H7811" t="n">
        <v>0</v>
      </c>
      <c r="I7811" t="n">
        <v>0</v>
      </c>
      <c r="J7811" t="n">
        <v>0</v>
      </c>
      <c r="K7811" t="n">
        <v>0</v>
      </c>
      <c r="L7811" t="n">
        <v>0</v>
      </c>
      <c r="M7811" t="n">
        <v>0</v>
      </c>
      <c r="N7811" t="n">
        <v>0</v>
      </c>
      <c r="O7811" t="n">
        <v>0</v>
      </c>
      <c r="P7811" t="n">
        <v>0</v>
      </c>
      <c r="Q7811" t="n">
        <v>0</v>
      </c>
      <c r="R7811" s="2" t="inlineStr"/>
    </row>
    <row r="7812" ht="15" customHeight="1">
      <c r="A7812" t="inlineStr">
        <is>
          <t>A 18681-2025</t>
        </is>
      </c>
      <c r="B7812" s="1" t="n">
        <v>45763.60788194444</v>
      </c>
      <c r="C7812" s="1" t="n">
        <v>45911</v>
      </c>
      <c r="D7812" t="inlineStr">
        <is>
          <t>GÄVLEBORGS LÄN</t>
        </is>
      </c>
      <c r="E7812" t="inlineStr">
        <is>
          <t>NORDANSTIG</t>
        </is>
      </c>
      <c r="F7812" t="inlineStr">
        <is>
          <t>Holmen skog AB</t>
        </is>
      </c>
      <c r="G7812" t="n">
        <v>6.7</v>
      </c>
      <c r="H7812" t="n">
        <v>0</v>
      </c>
      <c r="I7812" t="n">
        <v>0</v>
      </c>
      <c r="J7812" t="n">
        <v>0</v>
      </c>
      <c r="K7812" t="n">
        <v>0</v>
      </c>
      <c r="L7812" t="n">
        <v>0</v>
      </c>
      <c r="M7812" t="n">
        <v>0</v>
      </c>
      <c r="N7812" t="n">
        <v>0</v>
      </c>
      <c r="O7812" t="n">
        <v>0</v>
      </c>
      <c r="P7812" t="n">
        <v>0</v>
      </c>
      <c r="Q7812" t="n">
        <v>0</v>
      </c>
      <c r="R7812" s="2" t="inlineStr"/>
    </row>
    <row r="7813" ht="15" customHeight="1">
      <c r="A7813" t="inlineStr">
        <is>
          <t>A 18716-2025</t>
        </is>
      </c>
      <c r="B7813" s="1" t="n">
        <v>45763.64425925926</v>
      </c>
      <c r="C7813" s="1" t="n">
        <v>45911</v>
      </c>
      <c r="D7813" t="inlineStr">
        <is>
          <t>GÄVLEBORGS LÄN</t>
        </is>
      </c>
      <c r="E7813" t="inlineStr">
        <is>
          <t>NORDANSTIG</t>
        </is>
      </c>
      <c r="F7813" t="inlineStr">
        <is>
          <t>Holmen skog AB</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59044-2023</t>
        </is>
      </c>
      <c r="B7814" s="1" t="n">
        <v>45252.72782407407</v>
      </c>
      <c r="C7814" s="1" t="n">
        <v>45911</v>
      </c>
      <c r="D7814" t="inlineStr">
        <is>
          <t>GÄVLEBORGS LÄN</t>
        </is>
      </c>
      <c r="E7814" t="inlineStr">
        <is>
          <t>GÄVLE</t>
        </is>
      </c>
      <c r="G7814" t="n">
        <v>1.8</v>
      </c>
      <c r="H7814" t="n">
        <v>0</v>
      </c>
      <c r="I7814" t="n">
        <v>0</v>
      </c>
      <c r="J7814" t="n">
        <v>0</v>
      </c>
      <c r="K7814" t="n">
        <v>0</v>
      </c>
      <c r="L7814" t="n">
        <v>0</v>
      </c>
      <c r="M7814" t="n">
        <v>0</v>
      </c>
      <c r="N7814" t="n">
        <v>0</v>
      </c>
      <c r="O7814" t="n">
        <v>0</v>
      </c>
      <c r="P7814" t="n">
        <v>0</v>
      </c>
      <c r="Q7814" t="n">
        <v>0</v>
      </c>
      <c r="R7814" s="2" t="inlineStr"/>
    </row>
    <row r="7815" ht="15" customHeight="1">
      <c r="A7815" t="inlineStr">
        <is>
          <t>A 42722-2024</t>
        </is>
      </c>
      <c r="B7815" s="1" t="n">
        <v>45566.46315972223</v>
      </c>
      <c r="C7815" s="1" t="n">
        <v>45911</v>
      </c>
      <c r="D7815" t="inlineStr">
        <is>
          <t>GÄVLEBORGS LÄN</t>
        </is>
      </c>
      <c r="E7815" t="inlineStr">
        <is>
          <t>OVANÅKER</t>
        </is>
      </c>
      <c r="G7815" t="n">
        <v>5</v>
      </c>
      <c r="H7815" t="n">
        <v>0</v>
      </c>
      <c r="I7815" t="n">
        <v>0</v>
      </c>
      <c r="J7815" t="n">
        <v>0</v>
      </c>
      <c r="K7815" t="n">
        <v>0</v>
      </c>
      <c r="L7815" t="n">
        <v>0</v>
      </c>
      <c r="M7815" t="n">
        <v>0</v>
      </c>
      <c r="N7815" t="n">
        <v>0</v>
      </c>
      <c r="O7815" t="n">
        <v>0</v>
      </c>
      <c r="P7815" t="n">
        <v>0</v>
      </c>
      <c r="Q7815" t="n">
        <v>0</v>
      </c>
      <c r="R7815" s="2" t="inlineStr"/>
    </row>
    <row r="7816" ht="15" customHeight="1">
      <c r="A7816" t="inlineStr">
        <is>
          <t>A 21588-2025</t>
        </is>
      </c>
      <c r="B7816" s="1" t="n">
        <v>45783.30799768519</v>
      </c>
      <c r="C7816" s="1" t="n">
        <v>45911</v>
      </c>
      <c r="D7816" t="inlineStr">
        <is>
          <t>GÄVLEBORGS LÄN</t>
        </is>
      </c>
      <c r="E7816" t="inlineStr">
        <is>
          <t>LJUSDAL</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21957-2025</t>
        </is>
      </c>
      <c r="B7817" s="1" t="n">
        <v>45784.6053587963</v>
      </c>
      <c r="C7817" s="1" t="n">
        <v>45911</v>
      </c>
      <c r="D7817" t="inlineStr">
        <is>
          <t>GÄVLEBORGS LÄN</t>
        </is>
      </c>
      <c r="E7817" t="inlineStr">
        <is>
          <t>LJUSDAL</t>
        </is>
      </c>
      <c r="G7817" t="n">
        <v>5.5</v>
      </c>
      <c r="H7817" t="n">
        <v>0</v>
      </c>
      <c r="I7817" t="n">
        <v>0</v>
      </c>
      <c r="J7817" t="n">
        <v>0</v>
      </c>
      <c r="K7817" t="n">
        <v>0</v>
      </c>
      <c r="L7817" t="n">
        <v>0</v>
      </c>
      <c r="M7817" t="n">
        <v>0</v>
      </c>
      <c r="N7817" t="n">
        <v>0</v>
      </c>
      <c r="O7817" t="n">
        <v>0</v>
      </c>
      <c r="P7817" t="n">
        <v>0</v>
      </c>
      <c r="Q7817" t="n">
        <v>0</v>
      </c>
      <c r="R7817" s="2" t="inlineStr"/>
    </row>
    <row r="7818" ht="15" customHeight="1">
      <c r="A7818" t="inlineStr">
        <is>
          <t>A 42247-2024</t>
        </is>
      </c>
      <c r="B7818" s="1" t="n">
        <v>45562</v>
      </c>
      <c r="C7818" s="1" t="n">
        <v>45911</v>
      </c>
      <c r="D7818" t="inlineStr">
        <is>
          <t>GÄVLEBORGS LÄN</t>
        </is>
      </c>
      <c r="E7818" t="inlineStr">
        <is>
          <t>GÄVLE</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35086-2024</t>
        </is>
      </c>
      <c r="B7819" s="1" t="n">
        <v>45527.70609953703</v>
      </c>
      <c r="C7819" s="1" t="n">
        <v>45911</v>
      </c>
      <c r="D7819" t="inlineStr">
        <is>
          <t>GÄVLEBORGS LÄN</t>
        </is>
      </c>
      <c r="E7819" t="inlineStr">
        <is>
          <t>OVANÅKER</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21592-2025</t>
        </is>
      </c>
      <c r="B7820" s="1" t="n">
        <v>45783.34420138889</v>
      </c>
      <c r="C7820" s="1" t="n">
        <v>45911</v>
      </c>
      <c r="D7820" t="inlineStr">
        <is>
          <t>GÄVLEBORGS LÄN</t>
        </is>
      </c>
      <c r="E7820" t="inlineStr">
        <is>
          <t>LJUSDAL</t>
        </is>
      </c>
      <c r="F7820" t="inlineStr">
        <is>
          <t>SCA</t>
        </is>
      </c>
      <c r="G7820" t="n">
        <v>2.1</v>
      </c>
      <c r="H7820" t="n">
        <v>0</v>
      </c>
      <c r="I7820" t="n">
        <v>0</v>
      </c>
      <c r="J7820" t="n">
        <v>0</v>
      </c>
      <c r="K7820" t="n">
        <v>0</v>
      </c>
      <c r="L7820" t="n">
        <v>0</v>
      </c>
      <c r="M7820" t="n">
        <v>0</v>
      </c>
      <c r="N7820" t="n">
        <v>0</v>
      </c>
      <c r="O7820" t="n">
        <v>0</v>
      </c>
      <c r="P7820" t="n">
        <v>0</v>
      </c>
      <c r="Q7820" t="n">
        <v>0</v>
      </c>
      <c r="R7820" s="2" t="inlineStr"/>
    </row>
    <row r="7821" ht="15" customHeight="1">
      <c r="A7821" t="inlineStr">
        <is>
          <t>A 66491-2020</t>
        </is>
      </c>
      <c r="B7821" s="1" t="n">
        <v>44177</v>
      </c>
      <c r="C7821" s="1" t="n">
        <v>45911</v>
      </c>
      <c r="D7821" t="inlineStr">
        <is>
          <t>GÄVLEBORGS LÄN</t>
        </is>
      </c>
      <c r="E7821" t="inlineStr">
        <is>
          <t>HUDIKSVALL</t>
        </is>
      </c>
      <c r="G7821" t="n">
        <v>1.8</v>
      </c>
      <c r="H7821" t="n">
        <v>0</v>
      </c>
      <c r="I7821" t="n">
        <v>0</v>
      </c>
      <c r="J7821" t="n">
        <v>0</v>
      </c>
      <c r="K7821" t="n">
        <v>0</v>
      </c>
      <c r="L7821" t="n">
        <v>0</v>
      </c>
      <c r="M7821" t="n">
        <v>0</v>
      </c>
      <c r="N7821" t="n">
        <v>0</v>
      </c>
      <c r="O7821" t="n">
        <v>0</v>
      </c>
      <c r="P7821" t="n">
        <v>0</v>
      </c>
      <c r="Q7821" t="n">
        <v>0</v>
      </c>
      <c r="R7821" s="2" t="inlineStr"/>
    </row>
    <row r="7822" ht="15" customHeight="1">
      <c r="A7822" t="inlineStr">
        <is>
          <t>A 18707-2025</t>
        </is>
      </c>
      <c r="B7822" s="1" t="n">
        <v>45763.63564814815</v>
      </c>
      <c r="C7822" s="1" t="n">
        <v>45911</v>
      </c>
      <c r="D7822" t="inlineStr">
        <is>
          <t>GÄVLEBORGS LÄN</t>
        </is>
      </c>
      <c r="E7822" t="inlineStr">
        <is>
          <t>NORDANSTIG</t>
        </is>
      </c>
      <c r="F7822" t="inlineStr">
        <is>
          <t>Holmen skog AB</t>
        </is>
      </c>
      <c r="G7822" t="n">
        <v>1.8</v>
      </c>
      <c r="H7822" t="n">
        <v>0</v>
      </c>
      <c r="I7822" t="n">
        <v>0</v>
      </c>
      <c r="J7822" t="n">
        <v>0</v>
      </c>
      <c r="K7822" t="n">
        <v>0</v>
      </c>
      <c r="L7822" t="n">
        <v>0</v>
      </c>
      <c r="M7822" t="n">
        <v>0</v>
      </c>
      <c r="N7822" t="n">
        <v>0</v>
      </c>
      <c r="O7822" t="n">
        <v>0</v>
      </c>
      <c r="P7822" t="n">
        <v>0</v>
      </c>
      <c r="Q7822" t="n">
        <v>0</v>
      </c>
      <c r="R7822" s="2" t="inlineStr"/>
    </row>
    <row r="7823" ht="15" customHeight="1">
      <c r="A7823" t="inlineStr">
        <is>
          <t>A 21940-2025</t>
        </is>
      </c>
      <c r="B7823" s="1" t="n">
        <v>45784.58482638889</v>
      </c>
      <c r="C7823" s="1" t="n">
        <v>45911</v>
      </c>
      <c r="D7823" t="inlineStr">
        <is>
          <t>GÄVLEBORGS LÄN</t>
        </is>
      </c>
      <c r="E7823" t="inlineStr">
        <is>
          <t>LJUSDAL</t>
        </is>
      </c>
      <c r="G7823" t="n">
        <v>4.1</v>
      </c>
      <c r="H7823" t="n">
        <v>0</v>
      </c>
      <c r="I7823" t="n">
        <v>0</v>
      </c>
      <c r="J7823" t="n">
        <v>0</v>
      </c>
      <c r="K7823" t="n">
        <v>0</v>
      </c>
      <c r="L7823" t="n">
        <v>0</v>
      </c>
      <c r="M7823" t="n">
        <v>0</v>
      </c>
      <c r="N7823" t="n">
        <v>0</v>
      </c>
      <c r="O7823" t="n">
        <v>0</v>
      </c>
      <c r="P7823" t="n">
        <v>0</v>
      </c>
      <c r="Q7823" t="n">
        <v>0</v>
      </c>
      <c r="R7823" s="2" t="inlineStr"/>
    </row>
    <row r="7824" ht="15" customHeight="1">
      <c r="A7824" t="inlineStr">
        <is>
          <t>A 22713-2024</t>
        </is>
      </c>
      <c r="B7824" s="1" t="n">
        <v>45448.35930555555</v>
      </c>
      <c r="C7824" s="1" t="n">
        <v>45911</v>
      </c>
      <c r="D7824" t="inlineStr">
        <is>
          <t>GÄVLEBORGS LÄN</t>
        </is>
      </c>
      <c r="E7824" t="inlineStr">
        <is>
          <t>LJUSDAL</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19135-2024</t>
        </is>
      </c>
      <c r="B7825" s="1" t="n">
        <v>45428</v>
      </c>
      <c r="C7825" s="1" t="n">
        <v>45911</v>
      </c>
      <c r="D7825" t="inlineStr">
        <is>
          <t>GÄVLEBORGS LÄN</t>
        </is>
      </c>
      <c r="E7825" t="inlineStr">
        <is>
          <t>BOLLNÄS</t>
        </is>
      </c>
      <c r="G7825" t="n">
        <v>4.7</v>
      </c>
      <c r="H7825" t="n">
        <v>0</v>
      </c>
      <c r="I7825" t="n">
        <v>0</v>
      </c>
      <c r="J7825" t="n">
        <v>0</v>
      </c>
      <c r="K7825" t="n">
        <v>0</v>
      </c>
      <c r="L7825" t="n">
        <v>0</v>
      </c>
      <c r="M7825" t="n">
        <v>0</v>
      </c>
      <c r="N7825" t="n">
        <v>0</v>
      </c>
      <c r="O7825" t="n">
        <v>0</v>
      </c>
      <c r="P7825" t="n">
        <v>0</v>
      </c>
      <c r="Q7825" t="n">
        <v>0</v>
      </c>
      <c r="R7825" s="2" t="inlineStr"/>
    </row>
    <row r="7826" ht="15" customHeight="1">
      <c r="A7826" t="inlineStr">
        <is>
          <t>A 10105-2024</t>
        </is>
      </c>
      <c r="B7826" s="1" t="n">
        <v>45364.53116898148</v>
      </c>
      <c r="C7826" s="1" t="n">
        <v>45911</v>
      </c>
      <c r="D7826" t="inlineStr">
        <is>
          <t>GÄVLEBORGS LÄN</t>
        </is>
      </c>
      <c r="E7826" t="inlineStr">
        <is>
          <t>LJUSDAL</t>
        </is>
      </c>
      <c r="G7826" t="n">
        <v>4.4</v>
      </c>
      <c r="H7826" t="n">
        <v>0</v>
      </c>
      <c r="I7826" t="n">
        <v>0</v>
      </c>
      <c r="J7826" t="n">
        <v>0</v>
      </c>
      <c r="K7826" t="n">
        <v>0</v>
      </c>
      <c r="L7826" t="n">
        <v>0</v>
      </c>
      <c r="M7826" t="n">
        <v>0</v>
      </c>
      <c r="N7826" t="n">
        <v>0</v>
      </c>
      <c r="O7826" t="n">
        <v>0</v>
      </c>
      <c r="P7826" t="n">
        <v>0</v>
      </c>
      <c r="Q7826" t="n">
        <v>0</v>
      </c>
      <c r="R7826" s="2" t="inlineStr"/>
    </row>
    <row r="7827" ht="15" customHeight="1">
      <c r="A7827" t="inlineStr">
        <is>
          <t>A 59754-2020</t>
        </is>
      </c>
      <c r="B7827" s="1" t="n">
        <v>44151</v>
      </c>
      <c r="C7827" s="1" t="n">
        <v>45911</v>
      </c>
      <c r="D7827" t="inlineStr">
        <is>
          <t>GÄVLEBORGS LÄN</t>
        </is>
      </c>
      <c r="E7827" t="inlineStr">
        <is>
          <t>BOLLNÄS</t>
        </is>
      </c>
      <c r="G7827" t="n">
        <v>7.8</v>
      </c>
      <c r="H7827" t="n">
        <v>0</v>
      </c>
      <c r="I7827" t="n">
        <v>0</v>
      </c>
      <c r="J7827" t="n">
        <v>0</v>
      </c>
      <c r="K7827" t="n">
        <v>0</v>
      </c>
      <c r="L7827" t="n">
        <v>0</v>
      </c>
      <c r="M7827" t="n">
        <v>0</v>
      </c>
      <c r="N7827" t="n">
        <v>0</v>
      </c>
      <c r="O7827" t="n">
        <v>0</v>
      </c>
      <c r="P7827" t="n">
        <v>0</v>
      </c>
      <c r="Q7827" t="n">
        <v>0</v>
      </c>
      <c r="R7827" s="2" t="inlineStr"/>
    </row>
    <row r="7828" ht="15" customHeight="1">
      <c r="A7828" t="inlineStr">
        <is>
          <t>A 31023-2024</t>
        </is>
      </c>
      <c r="B7828" s="1" t="n">
        <v>45500.43938657407</v>
      </c>
      <c r="C7828" s="1" t="n">
        <v>45911</v>
      </c>
      <c r="D7828" t="inlineStr">
        <is>
          <t>GÄVLEBORGS LÄN</t>
        </is>
      </c>
      <c r="E7828" t="inlineStr">
        <is>
          <t>BOLLNÄS</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12389-2023</t>
        </is>
      </c>
      <c r="B7829" s="1" t="n">
        <v>44999.47921296296</v>
      </c>
      <c r="C7829" s="1" t="n">
        <v>45911</v>
      </c>
      <c r="D7829" t="inlineStr">
        <is>
          <t>GÄVLEBORGS LÄN</t>
        </is>
      </c>
      <c r="E7829" t="inlineStr">
        <is>
          <t>NORDANSTIG</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21928-2025</t>
        </is>
      </c>
      <c r="B7830" s="1" t="n">
        <v>45784.54953703703</v>
      </c>
      <c r="C7830" s="1" t="n">
        <v>45911</v>
      </c>
      <c r="D7830" t="inlineStr">
        <is>
          <t>GÄVLEBORGS LÄN</t>
        </is>
      </c>
      <c r="E7830" t="inlineStr">
        <is>
          <t>NORDANSTIG</t>
        </is>
      </c>
      <c r="G7830" t="n">
        <v>2.8</v>
      </c>
      <c r="H7830" t="n">
        <v>0</v>
      </c>
      <c r="I7830" t="n">
        <v>0</v>
      </c>
      <c r="J7830" t="n">
        <v>0</v>
      </c>
      <c r="K7830" t="n">
        <v>0</v>
      </c>
      <c r="L7830" t="n">
        <v>0</v>
      </c>
      <c r="M7830" t="n">
        <v>0</v>
      </c>
      <c r="N7830" t="n">
        <v>0</v>
      </c>
      <c r="O7830" t="n">
        <v>0</v>
      </c>
      <c r="P7830" t="n">
        <v>0</v>
      </c>
      <c r="Q7830" t="n">
        <v>0</v>
      </c>
      <c r="R7830" s="2" t="inlineStr"/>
    </row>
    <row r="7831" ht="15" customHeight="1">
      <c r="A7831" t="inlineStr">
        <is>
          <t>A 7179-2025</t>
        </is>
      </c>
      <c r="B7831" s="1" t="n">
        <v>45702</v>
      </c>
      <c r="C7831" s="1" t="n">
        <v>45911</v>
      </c>
      <c r="D7831" t="inlineStr">
        <is>
          <t>GÄVLEBORGS LÄN</t>
        </is>
      </c>
      <c r="E7831" t="inlineStr">
        <is>
          <t>LJUSDAL</t>
        </is>
      </c>
      <c r="F7831" t="inlineStr">
        <is>
          <t>Kommuner</t>
        </is>
      </c>
      <c r="G7831" t="n">
        <v>1.4</v>
      </c>
      <c r="H7831" t="n">
        <v>0</v>
      </c>
      <c r="I7831" t="n">
        <v>0</v>
      </c>
      <c r="J7831" t="n">
        <v>0</v>
      </c>
      <c r="K7831" t="n">
        <v>0</v>
      </c>
      <c r="L7831" t="n">
        <v>0</v>
      </c>
      <c r="M7831" t="n">
        <v>0</v>
      </c>
      <c r="N7831" t="n">
        <v>0</v>
      </c>
      <c r="O7831" t="n">
        <v>0</v>
      </c>
      <c r="P7831" t="n">
        <v>0</v>
      </c>
      <c r="Q7831" t="n">
        <v>0</v>
      </c>
      <c r="R7831" s="2" t="inlineStr"/>
    </row>
    <row r="7832" ht="15" customHeight="1">
      <c r="A7832" t="inlineStr">
        <is>
          <t>A 18189-2024</t>
        </is>
      </c>
      <c r="B7832" s="1" t="n">
        <v>45420.65974537037</v>
      </c>
      <c r="C7832" s="1" t="n">
        <v>45911</v>
      </c>
      <c r="D7832" t="inlineStr">
        <is>
          <t>GÄVLEBORGS LÄN</t>
        </is>
      </c>
      <c r="E7832" t="inlineStr">
        <is>
          <t>SÖDERHAMN</t>
        </is>
      </c>
      <c r="F7832" t="inlineStr">
        <is>
          <t>Bergvik skog väst AB</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21886-2025</t>
        </is>
      </c>
      <c r="B7833" s="1" t="n">
        <v>45784.42454861111</v>
      </c>
      <c r="C7833" s="1" t="n">
        <v>45911</v>
      </c>
      <c r="D7833" t="inlineStr">
        <is>
          <t>GÄVLEBORGS LÄN</t>
        </is>
      </c>
      <c r="E7833" t="inlineStr">
        <is>
          <t>OCKELBO</t>
        </is>
      </c>
      <c r="G7833" t="n">
        <v>4.8</v>
      </c>
      <c r="H7833" t="n">
        <v>0</v>
      </c>
      <c r="I7833" t="n">
        <v>0</v>
      </c>
      <c r="J7833" t="n">
        <v>0</v>
      </c>
      <c r="K7833" t="n">
        <v>0</v>
      </c>
      <c r="L7833" t="n">
        <v>0</v>
      </c>
      <c r="M7833" t="n">
        <v>0</v>
      </c>
      <c r="N7833" t="n">
        <v>0</v>
      </c>
      <c r="O7833" t="n">
        <v>0</v>
      </c>
      <c r="P7833" t="n">
        <v>0</v>
      </c>
      <c r="Q7833" t="n">
        <v>0</v>
      </c>
      <c r="R7833" s="2" t="inlineStr"/>
    </row>
    <row r="7834" ht="15" customHeight="1">
      <c r="A7834" t="inlineStr">
        <is>
          <t>A 1144-2024</t>
        </is>
      </c>
      <c r="B7834" s="1" t="n">
        <v>45302.49138888889</v>
      </c>
      <c r="C7834" s="1" t="n">
        <v>45911</v>
      </c>
      <c r="D7834" t="inlineStr">
        <is>
          <t>GÄVLEBORGS LÄN</t>
        </is>
      </c>
      <c r="E7834" t="inlineStr">
        <is>
          <t>HOFORS</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37459-2024</t>
        </is>
      </c>
      <c r="B7835" s="1" t="n">
        <v>45540.71594907407</v>
      </c>
      <c r="C7835" s="1" t="n">
        <v>45911</v>
      </c>
      <c r="D7835" t="inlineStr">
        <is>
          <t>GÄVLEBORGS LÄN</t>
        </is>
      </c>
      <c r="E7835" t="inlineStr">
        <is>
          <t>SANDVIKEN</t>
        </is>
      </c>
      <c r="G7835" t="n">
        <v>2.4</v>
      </c>
      <c r="H7835" t="n">
        <v>0</v>
      </c>
      <c r="I7835" t="n">
        <v>0</v>
      </c>
      <c r="J7835" t="n">
        <v>0</v>
      </c>
      <c r="K7835" t="n">
        <v>0</v>
      </c>
      <c r="L7835" t="n">
        <v>0</v>
      </c>
      <c r="M7835" t="n">
        <v>0</v>
      </c>
      <c r="N7835" t="n">
        <v>0</v>
      </c>
      <c r="O7835" t="n">
        <v>0</v>
      </c>
      <c r="P7835" t="n">
        <v>0</v>
      </c>
      <c r="Q7835" t="n">
        <v>0</v>
      </c>
      <c r="R7835" s="2" t="inlineStr"/>
    </row>
    <row r="7836" ht="15" customHeight="1">
      <c r="A7836" t="inlineStr">
        <is>
          <t>A 20224-2024</t>
        </is>
      </c>
      <c r="B7836" s="1" t="n">
        <v>45434.70263888889</v>
      </c>
      <c r="C7836" s="1" t="n">
        <v>45911</v>
      </c>
      <c r="D7836" t="inlineStr">
        <is>
          <t>GÄVLEBORGS LÄN</t>
        </is>
      </c>
      <c r="E7836" t="inlineStr">
        <is>
          <t>BOLLNÄS</t>
        </is>
      </c>
      <c r="G7836" t="n">
        <v>4.8</v>
      </c>
      <c r="H7836" t="n">
        <v>0</v>
      </c>
      <c r="I7836" t="n">
        <v>0</v>
      </c>
      <c r="J7836" t="n">
        <v>0</v>
      </c>
      <c r="K7836" t="n">
        <v>0</v>
      </c>
      <c r="L7836" t="n">
        <v>0</v>
      </c>
      <c r="M7836" t="n">
        <v>0</v>
      </c>
      <c r="N7836" t="n">
        <v>0</v>
      </c>
      <c r="O7836" t="n">
        <v>0</v>
      </c>
      <c r="P7836" t="n">
        <v>0</v>
      </c>
      <c r="Q7836" t="n">
        <v>0</v>
      </c>
      <c r="R7836" s="2" t="inlineStr"/>
    </row>
    <row r="7837" ht="15" customHeight="1">
      <c r="A7837" t="inlineStr">
        <is>
          <t>A 46800-2024</t>
        </is>
      </c>
      <c r="B7837" s="1" t="n">
        <v>45583.54946759259</v>
      </c>
      <c r="C7837" s="1" t="n">
        <v>45911</v>
      </c>
      <c r="D7837" t="inlineStr">
        <is>
          <t>GÄVLEBORGS LÄN</t>
        </is>
      </c>
      <c r="E7837" t="inlineStr">
        <is>
          <t>BOLLNÄS</t>
        </is>
      </c>
      <c r="G7837" t="n">
        <v>2.2</v>
      </c>
      <c r="H7837" t="n">
        <v>0</v>
      </c>
      <c r="I7837" t="n">
        <v>0</v>
      </c>
      <c r="J7837" t="n">
        <v>0</v>
      </c>
      <c r="K7837" t="n">
        <v>0</v>
      </c>
      <c r="L7837" t="n">
        <v>0</v>
      </c>
      <c r="M7837" t="n">
        <v>0</v>
      </c>
      <c r="N7837" t="n">
        <v>0</v>
      </c>
      <c r="O7837" t="n">
        <v>0</v>
      </c>
      <c r="P7837" t="n">
        <v>0</v>
      </c>
      <c r="Q7837" t="n">
        <v>0</v>
      </c>
      <c r="R7837" s="2" t="inlineStr"/>
    </row>
    <row r="7838" ht="15" customHeight="1">
      <c r="A7838" t="inlineStr">
        <is>
          <t>A 27545-2024</t>
        </is>
      </c>
      <c r="B7838" s="1" t="n">
        <v>45474.60293981482</v>
      </c>
      <c r="C7838" s="1" t="n">
        <v>45911</v>
      </c>
      <c r="D7838" t="inlineStr">
        <is>
          <t>GÄVLEBORGS LÄN</t>
        </is>
      </c>
      <c r="E7838" t="inlineStr">
        <is>
          <t>HUDIKSVALL</t>
        </is>
      </c>
      <c r="G7838" t="n">
        <v>9.300000000000001</v>
      </c>
      <c r="H7838" t="n">
        <v>0</v>
      </c>
      <c r="I7838" t="n">
        <v>0</v>
      </c>
      <c r="J7838" t="n">
        <v>0</v>
      </c>
      <c r="K7838" t="n">
        <v>0</v>
      </c>
      <c r="L7838" t="n">
        <v>0</v>
      </c>
      <c r="M7838" t="n">
        <v>0</v>
      </c>
      <c r="N7838" t="n">
        <v>0</v>
      </c>
      <c r="O7838" t="n">
        <v>0</v>
      </c>
      <c r="P7838" t="n">
        <v>0</v>
      </c>
      <c r="Q7838" t="n">
        <v>0</v>
      </c>
      <c r="R7838" s="2" t="inlineStr"/>
    </row>
    <row r="7839" ht="15" customHeight="1">
      <c r="A7839" t="inlineStr">
        <is>
          <t>A 42579-2024</t>
        </is>
      </c>
      <c r="B7839" s="1" t="n">
        <v>45565.65407407407</v>
      </c>
      <c r="C7839" s="1" t="n">
        <v>45911</v>
      </c>
      <c r="D7839" t="inlineStr">
        <is>
          <t>GÄVLEBORGS LÄN</t>
        </is>
      </c>
      <c r="E7839" t="inlineStr">
        <is>
          <t>BOLLNÄS</t>
        </is>
      </c>
      <c r="G7839" t="n">
        <v>7.9</v>
      </c>
      <c r="H7839" t="n">
        <v>0</v>
      </c>
      <c r="I7839" t="n">
        <v>0</v>
      </c>
      <c r="J7839" t="n">
        <v>0</v>
      </c>
      <c r="K7839" t="n">
        <v>0</v>
      </c>
      <c r="L7839" t="n">
        <v>0</v>
      </c>
      <c r="M7839" t="n">
        <v>0</v>
      </c>
      <c r="N7839" t="n">
        <v>0</v>
      </c>
      <c r="O7839" t="n">
        <v>0</v>
      </c>
      <c r="P7839" t="n">
        <v>0</v>
      </c>
      <c r="Q7839" t="n">
        <v>0</v>
      </c>
      <c r="R7839" s="2" t="inlineStr"/>
    </row>
    <row r="7840" ht="15" customHeight="1">
      <c r="A7840" t="inlineStr">
        <is>
          <t>A 42580-2024</t>
        </is>
      </c>
      <c r="B7840" s="1" t="n">
        <v>45565.65543981481</v>
      </c>
      <c r="C7840" s="1" t="n">
        <v>45911</v>
      </c>
      <c r="D7840" t="inlineStr">
        <is>
          <t>GÄVLEBORGS LÄN</t>
        </is>
      </c>
      <c r="E7840" t="inlineStr">
        <is>
          <t>BOLLNÄS</t>
        </is>
      </c>
      <c r="G7840" t="n">
        <v>7.9</v>
      </c>
      <c r="H7840" t="n">
        <v>0</v>
      </c>
      <c r="I7840" t="n">
        <v>0</v>
      </c>
      <c r="J7840" t="n">
        <v>0</v>
      </c>
      <c r="K7840" t="n">
        <v>0</v>
      </c>
      <c r="L7840" t="n">
        <v>0</v>
      </c>
      <c r="M7840" t="n">
        <v>0</v>
      </c>
      <c r="N7840" t="n">
        <v>0</v>
      </c>
      <c r="O7840" t="n">
        <v>0</v>
      </c>
      <c r="P7840" t="n">
        <v>0</v>
      </c>
      <c r="Q7840" t="n">
        <v>0</v>
      </c>
      <c r="R7840" s="2" t="inlineStr"/>
    </row>
    <row r="7841" ht="15" customHeight="1">
      <c r="A7841" t="inlineStr">
        <is>
          <t>A 40520-2024</t>
        </is>
      </c>
      <c r="B7841" s="1" t="n">
        <v>45555.5937962963</v>
      </c>
      <c r="C7841" s="1" t="n">
        <v>45911</v>
      </c>
      <c r="D7841" t="inlineStr">
        <is>
          <t>GÄVLEBORGS LÄN</t>
        </is>
      </c>
      <c r="E7841" t="inlineStr">
        <is>
          <t>BOLLNÄS</t>
        </is>
      </c>
      <c r="G7841" t="n">
        <v>3.4</v>
      </c>
      <c r="H7841" t="n">
        <v>0</v>
      </c>
      <c r="I7841" t="n">
        <v>0</v>
      </c>
      <c r="J7841" t="n">
        <v>0</v>
      </c>
      <c r="K7841" t="n">
        <v>0</v>
      </c>
      <c r="L7841" t="n">
        <v>0</v>
      </c>
      <c r="M7841" t="n">
        <v>0</v>
      </c>
      <c r="N7841" t="n">
        <v>0</v>
      </c>
      <c r="O7841" t="n">
        <v>0</v>
      </c>
      <c r="P7841" t="n">
        <v>0</v>
      </c>
      <c r="Q7841" t="n">
        <v>0</v>
      </c>
      <c r="R7841" s="2" t="inlineStr"/>
    </row>
    <row r="7842" ht="15" customHeight="1">
      <c r="A7842" t="inlineStr">
        <is>
          <t>A 21873-2025</t>
        </is>
      </c>
      <c r="B7842" s="1" t="n">
        <v>45784.38891203704</v>
      </c>
      <c r="C7842" s="1" t="n">
        <v>45911</v>
      </c>
      <c r="D7842" t="inlineStr">
        <is>
          <t>GÄVLEBORGS LÄN</t>
        </is>
      </c>
      <c r="E7842" t="inlineStr">
        <is>
          <t>BOLLNÄS</t>
        </is>
      </c>
      <c r="G7842" t="n">
        <v>2.8</v>
      </c>
      <c r="H7842" t="n">
        <v>0</v>
      </c>
      <c r="I7842" t="n">
        <v>0</v>
      </c>
      <c r="J7842" t="n">
        <v>0</v>
      </c>
      <c r="K7842" t="n">
        <v>0</v>
      </c>
      <c r="L7842" t="n">
        <v>0</v>
      </c>
      <c r="M7842" t="n">
        <v>0</v>
      </c>
      <c r="N7842" t="n">
        <v>0</v>
      </c>
      <c r="O7842" t="n">
        <v>0</v>
      </c>
      <c r="P7842" t="n">
        <v>0</v>
      </c>
      <c r="Q7842" t="n">
        <v>0</v>
      </c>
      <c r="R7842" s="2" t="inlineStr"/>
    </row>
    <row r="7843" ht="15" customHeight="1">
      <c r="A7843" t="inlineStr">
        <is>
          <t>A 21734-2025</t>
        </is>
      </c>
      <c r="B7843" s="1" t="n">
        <v>45783.58751157407</v>
      </c>
      <c r="C7843" s="1" t="n">
        <v>45911</v>
      </c>
      <c r="D7843" t="inlineStr">
        <is>
          <t>GÄVLEBORGS LÄN</t>
        </is>
      </c>
      <c r="E7843" t="inlineStr">
        <is>
          <t>OVANÅKER</t>
        </is>
      </c>
      <c r="F7843" t="inlineStr">
        <is>
          <t>Bergvik skog öst AB</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33947-2024</t>
        </is>
      </c>
      <c r="B7844" s="1" t="n">
        <v>45523</v>
      </c>
      <c r="C7844" s="1" t="n">
        <v>45911</v>
      </c>
      <c r="D7844" t="inlineStr">
        <is>
          <t>GÄVLEBORGS LÄN</t>
        </is>
      </c>
      <c r="E7844" t="inlineStr">
        <is>
          <t>LJUSDAL</t>
        </is>
      </c>
      <c r="G7844" t="n">
        <v>2.8</v>
      </c>
      <c r="H7844" t="n">
        <v>0</v>
      </c>
      <c r="I7844" t="n">
        <v>0</v>
      </c>
      <c r="J7844" t="n">
        <v>0</v>
      </c>
      <c r="K7844" t="n">
        <v>0</v>
      </c>
      <c r="L7844" t="n">
        <v>0</v>
      </c>
      <c r="M7844" t="n">
        <v>0</v>
      </c>
      <c r="N7844" t="n">
        <v>0</v>
      </c>
      <c r="O7844" t="n">
        <v>0</v>
      </c>
      <c r="P7844" t="n">
        <v>0</v>
      </c>
      <c r="Q7844" t="n">
        <v>0</v>
      </c>
      <c r="R7844" s="2" t="inlineStr"/>
    </row>
    <row r="7845" ht="15" customHeight="1">
      <c r="A7845" t="inlineStr">
        <is>
          <t>A 21798-2025</t>
        </is>
      </c>
      <c r="B7845" s="1" t="n">
        <v>45783.6865625</v>
      </c>
      <c r="C7845" s="1" t="n">
        <v>45911</v>
      </c>
      <c r="D7845" t="inlineStr">
        <is>
          <t>GÄVLEBORGS LÄN</t>
        </is>
      </c>
      <c r="E7845" t="inlineStr">
        <is>
          <t>SANDVIKEN</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21933-2025</t>
        </is>
      </c>
      <c r="B7846" s="1" t="n">
        <v>45784</v>
      </c>
      <c r="C7846" s="1" t="n">
        <v>45911</v>
      </c>
      <c r="D7846" t="inlineStr">
        <is>
          <t>GÄVLEBORGS LÄN</t>
        </is>
      </c>
      <c r="E7846" t="inlineStr">
        <is>
          <t>HUDIKSVALL</t>
        </is>
      </c>
      <c r="F7846" t="inlineStr">
        <is>
          <t>Holmen skog AB</t>
        </is>
      </c>
      <c r="G7846" t="n">
        <v>10.5</v>
      </c>
      <c r="H7846" t="n">
        <v>0</v>
      </c>
      <c r="I7846" t="n">
        <v>0</v>
      </c>
      <c r="J7846" t="n">
        <v>0</v>
      </c>
      <c r="K7846" t="n">
        <v>0</v>
      </c>
      <c r="L7846" t="n">
        <v>0</v>
      </c>
      <c r="M7846" t="n">
        <v>0</v>
      </c>
      <c r="N7846" t="n">
        <v>0</v>
      </c>
      <c r="O7846" t="n">
        <v>0</v>
      </c>
      <c r="P7846" t="n">
        <v>0</v>
      </c>
      <c r="Q7846" t="n">
        <v>0</v>
      </c>
      <c r="R7846" s="2" t="inlineStr"/>
    </row>
    <row r="7847" ht="15" customHeight="1">
      <c r="A7847" t="inlineStr">
        <is>
          <t>A 21966-2025</t>
        </is>
      </c>
      <c r="B7847" s="1" t="n">
        <v>45784.62677083333</v>
      </c>
      <c r="C7847" s="1" t="n">
        <v>45911</v>
      </c>
      <c r="D7847" t="inlineStr">
        <is>
          <t>GÄVLEBORGS LÄN</t>
        </is>
      </c>
      <c r="E7847" t="inlineStr">
        <is>
          <t>GÄVLE</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467-2024</t>
        </is>
      </c>
      <c r="B7848" s="1" t="n">
        <v>45297.58568287037</v>
      </c>
      <c r="C7848" s="1" t="n">
        <v>45911</v>
      </c>
      <c r="D7848" t="inlineStr">
        <is>
          <t>GÄVLEBORGS LÄN</t>
        </is>
      </c>
      <c r="E7848" t="inlineStr">
        <is>
          <t>HUDIKSVALL</t>
        </is>
      </c>
      <c r="F7848" t="inlineStr">
        <is>
          <t>Holmen skog AB</t>
        </is>
      </c>
      <c r="G7848" t="n">
        <v>5</v>
      </c>
      <c r="H7848" t="n">
        <v>0</v>
      </c>
      <c r="I7848" t="n">
        <v>0</v>
      </c>
      <c r="J7848" t="n">
        <v>0</v>
      </c>
      <c r="K7848" t="n">
        <v>0</v>
      </c>
      <c r="L7848" t="n">
        <v>0</v>
      </c>
      <c r="M7848" t="n">
        <v>0</v>
      </c>
      <c r="N7848" t="n">
        <v>0</v>
      </c>
      <c r="O7848" t="n">
        <v>0</v>
      </c>
      <c r="P7848" t="n">
        <v>0</v>
      </c>
      <c r="Q7848" t="n">
        <v>0</v>
      </c>
      <c r="R7848" s="2" t="inlineStr"/>
      <c r="U7848">
        <f>HYPERLINK("https://klasma.github.io/Logging_2184/knärot/A 467-2024 karta knärot.png", "A 467-2024")</f>
        <v/>
      </c>
      <c r="V7848">
        <f>HYPERLINK("https://klasma.github.io/Logging_2184/klagomål/A 467-2024 FSC-klagomål.docx", "A 467-2024")</f>
        <v/>
      </c>
      <c r="W7848">
        <f>HYPERLINK("https://klasma.github.io/Logging_2184/klagomålsmail/A 467-2024 FSC-klagomål mail.docx", "A 467-2024")</f>
        <v/>
      </c>
      <c r="X7848">
        <f>HYPERLINK("https://klasma.github.io/Logging_2184/tillsyn/A 467-2024 tillsynsbegäran.docx", "A 467-2024")</f>
        <v/>
      </c>
      <c r="Y7848">
        <f>HYPERLINK("https://klasma.github.io/Logging_2184/tillsynsmail/A 467-2024 tillsynsbegäran mail.docx", "A 467-2024")</f>
        <v/>
      </c>
    </row>
    <row r="7849" ht="15" customHeight="1">
      <c r="A7849" t="inlineStr">
        <is>
          <t>A 58645-2024</t>
        </is>
      </c>
      <c r="B7849" s="1" t="n">
        <v>45632</v>
      </c>
      <c r="C7849" s="1" t="n">
        <v>45911</v>
      </c>
      <c r="D7849" t="inlineStr">
        <is>
          <t>GÄVLEBORGS LÄN</t>
        </is>
      </c>
      <c r="E7849" t="inlineStr">
        <is>
          <t>OVANÅKER</t>
        </is>
      </c>
      <c r="G7849" t="n">
        <v>2.3</v>
      </c>
      <c r="H7849" t="n">
        <v>0</v>
      </c>
      <c r="I7849" t="n">
        <v>0</v>
      </c>
      <c r="J7849" t="n">
        <v>0</v>
      </c>
      <c r="K7849" t="n">
        <v>0</v>
      </c>
      <c r="L7849" t="n">
        <v>0</v>
      </c>
      <c r="M7849" t="n">
        <v>0</v>
      </c>
      <c r="N7849" t="n">
        <v>0</v>
      </c>
      <c r="O7849" t="n">
        <v>0</v>
      </c>
      <c r="P7849" t="n">
        <v>0</v>
      </c>
      <c r="Q7849" t="n">
        <v>0</v>
      </c>
      <c r="R7849" s="2" t="inlineStr"/>
    </row>
    <row r="7850" ht="15" customHeight="1">
      <c r="A7850" t="inlineStr">
        <is>
          <t>A 46799-2024</t>
        </is>
      </c>
      <c r="B7850" s="1" t="n">
        <v>45583.54844907407</v>
      </c>
      <c r="C7850" s="1" t="n">
        <v>45911</v>
      </c>
      <c r="D7850" t="inlineStr">
        <is>
          <t>GÄVLEBORGS LÄN</t>
        </is>
      </c>
      <c r="E7850" t="inlineStr">
        <is>
          <t>BOLLNÄS</t>
        </is>
      </c>
      <c r="G7850" t="n">
        <v>2.2</v>
      </c>
      <c r="H7850" t="n">
        <v>0</v>
      </c>
      <c r="I7850" t="n">
        <v>0</v>
      </c>
      <c r="J7850" t="n">
        <v>0</v>
      </c>
      <c r="K7850" t="n">
        <v>0</v>
      </c>
      <c r="L7850" t="n">
        <v>0</v>
      </c>
      <c r="M7850" t="n">
        <v>0</v>
      </c>
      <c r="N7850" t="n">
        <v>0</v>
      </c>
      <c r="O7850" t="n">
        <v>0</v>
      </c>
      <c r="P7850" t="n">
        <v>0</v>
      </c>
      <c r="Q7850" t="n">
        <v>0</v>
      </c>
      <c r="R7850" s="2" t="inlineStr"/>
    </row>
    <row r="7851" ht="15" customHeight="1">
      <c r="A7851" t="inlineStr">
        <is>
          <t>A 23335-2024</t>
        </is>
      </c>
      <c r="B7851" s="1" t="n">
        <v>45453</v>
      </c>
      <c r="C7851" s="1" t="n">
        <v>45911</v>
      </c>
      <c r="D7851" t="inlineStr">
        <is>
          <t>GÄVLEBORGS LÄN</t>
        </is>
      </c>
      <c r="E7851" t="inlineStr">
        <is>
          <t>BOLLNÄS</t>
        </is>
      </c>
      <c r="G7851" t="n">
        <v>2.7</v>
      </c>
      <c r="H7851" t="n">
        <v>0</v>
      </c>
      <c r="I7851" t="n">
        <v>0</v>
      </c>
      <c r="J7851" t="n">
        <v>0</v>
      </c>
      <c r="K7851" t="n">
        <v>0</v>
      </c>
      <c r="L7851" t="n">
        <v>0</v>
      </c>
      <c r="M7851" t="n">
        <v>0</v>
      </c>
      <c r="N7851" t="n">
        <v>0</v>
      </c>
      <c r="O7851" t="n">
        <v>0</v>
      </c>
      <c r="P7851" t="n">
        <v>0</v>
      </c>
      <c r="Q7851" t="n">
        <v>0</v>
      </c>
      <c r="R7851" s="2" t="inlineStr"/>
    </row>
    <row r="7852" ht="15" customHeight="1">
      <c r="A7852" t="inlineStr">
        <is>
          <t>A 39041-2024</t>
        </is>
      </c>
      <c r="B7852" s="1" t="n">
        <v>45548</v>
      </c>
      <c r="C7852" s="1" t="n">
        <v>45911</v>
      </c>
      <c r="D7852" t="inlineStr">
        <is>
          <t>GÄVLEBORGS LÄN</t>
        </is>
      </c>
      <c r="E7852" t="inlineStr">
        <is>
          <t>NORDANSTIG</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18297-2024</t>
        </is>
      </c>
      <c r="B7853" s="1" t="n">
        <v>45422.43357638889</v>
      </c>
      <c r="C7853" s="1" t="n">
        <v>45911</v>
      </c>
      <c r="D7853" t="inlineStr">
        <is>
          <t>GÄVLEBORGS LÄN</t>
        </is>
      </c>
      <c r="E7853" t="inlineStr">
        <is>
          <t>LJUSDAL</t>
        </is>
      </c>
      <c r="F7853" t="inlineStr">
        <is>
          <t>Holmen skog AB</t>
        </is>
      </c>
      <c r="G7853" t="n">
        <v>1.6</v>
      </c>
      <c r="H7853" t="n">
        <v>0</v>
      </c>
      <c r="I7853" t="n">
        <v>0</v>
      </c>
      <c r="J7853" t="n">
        <v>0</v>
      </c>
      <c r="K7853" t="n">
        <v>0</v>
      </c>
      <c r="L7853" t="n">
        <v>0</v>
      </c>
      <c r="M7853" t="n">
        <v>0</v>
      </c>
      <c r="N7853" t="n">
        <v>0</v>
      </c>
      <c r="O7853" t="n">
        <v>0</v>
      </c>
      <c r="P7853" t="n">
        <v>0</v>
      </c>
      <c r="Q7853" t="n">
        <v>0</v>
      </c>
      <c r="R7853" s="2" t="inlineStr"/>
      <c r="U7853">
        <f>HYPERLINK("https://klasma.github.io/Logging_2161/knärot/A 18297-2024 karta knärot.png", "A 18297-2024")</f>
        <v/>
      </c>
      <c r="V7853">
        <f>HYPERLINK("https://klasma.github.io/Logging_2161/klagomål/A 18297-2024 FSC-klagomål.docx", "A 18297-2024")</f>
        <v/>
      </c>
      <c r="W7853">
        <f>HYPERLINK("https://klasma.github.io/Logging_2161/klagomålsmail/A 18297-2024 FSC-klagomål mail.docx", "A 18297-2024")</f>
        <v/>
      </c>
      <c r="X7853">
        <f>HYPERLINK("https://klasma.github.io/Logging_2161/tillsyn/A 18297-2024 tillsynsbegäran.docx", "A 18297-2024")</f>
        <v/>
      </c>
      <c r="Y7853">
        <f>HYPERLINK("https://klasma.github.io/Logging_2161/tillsynsmail/A 18297-2024 tillsynsbegäran mail.docx", "A 18297-2024")</f>
        <v/>
      </c>
    </row>
    <row r="7854" ht="15" customHeight="1">
      <c r="A7854" t="inlineStr">
        <is>
          <t>A 21744-2025</t>
        </is>
      </c>
      <c r="B7854" s="1" t="n">
        <v>45783.60194444445</v>
      </c>
      <c r="C7854" s="1" t="n">
        <v>45911</v>
      </c>
      <c r="D7854" t="inlineStr">
        <is>
          <t>GÄVLEBORGS LÄN</t>
        </is>
      </c>
      <c r="E7854" t="inlineStr">
        <is>
          <t>OVANÅKER</t>
        </is>
      </c>
      <c r="F7854" t="inlineStr">
        <is>
          <t>Bergvik skog öst AB</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45782-2024</t>
        </is>
      </c>
      <c r="B7855" s="1" t="n">
        <v>45579.66521990741</v>
      </c>
      <c r="C7855" s="1" t="n">
        <v>45911</v>
      </c>
      <c r="D7855" t="inlineStr">
        <is>
          <t>GÄVLEBORGS LÄN</t>
        </is>
      </c>
      <c r="E7855" t="inlineStr">
        <is>
          <t>BOLLNÄS</t>
        </is>
      </c>
      <c r="G7855" t="n">
        <v>9.199999999999999</v>
      </c>
      <c r="H7855" t="n">
        <v>0</v>
      </c>
      <c r="I7855" t="n">
        <v>0</v>
      </c>
      <c r="J7855" t="n">
        <v>0</v>
      </c>
      <c r="K7855" t="n">
        <v>0</v>
      </c>
      <c r="L7855" t="n">
        <v>0</v>
      </c>
      <c r="M7855" t="n">
        <v>0</v>
      </c>
      <c r="N7855" t="n">
        <v>0</v>
      </c>
      <c r="O7855" t="n">
        <v>0</v>
      </c>
      <c r="P7855" t="n">
        <v>0</v>
      </c>
      <c r="Q7855" t="n">
        <v>0</v>
      </c>
      <c r="R7855" s="2" t="inlineStr"/>
    </row>
    <row r="7856" ht="15" customHeight="1">
      <c r="A7856" t="inlineStr">
        <is>
          <t>A 7451-2025</t>
        </is>
      </c>
      <c r="B7856" s="1" t="n">
        <v>45705.42418981482</v>
      </c>
      <c r="C7856" s="1" t="n">
        <v>45911</v>
      </c>
      <c r="D7856" t="inlineStr">
        <is>
          <t>GÄVLEBORGS LÄN</t>
        </is>
      </c>
      <c r="E7856" t="inlineStr">
        <is>
          <t>GÄVLE</t>
        </is>
      </c>
      <c r="F7856" t="inlineStr">
        <is>
          <t>Bergvik skog öst AB</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22105-2025</t>
        </is>
      </c>
      <c r="B7857" s="1" t="n">
        <v>45785.48791666667</v>
      </c>
      <c r="C7857" s="1" t="n">
        <v>45911</v>
      </c>
      <c r="D7857" t="inlineStr">
        <is>
          <t>GÄVLEBORGS LÄN</t>
        </is>
      </c>
      <c r="E7857" t="inlineStr">
        <is>
          <t>OCKELBO</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22148-2025</t>
        </is>
      </c>
      <c r="B7858" s="1" t="n">
        <v>45785.5562037037</v>
      </c>
      <c r="C7858" s="1" t="n">
        <v>45911</v>
      </c>
      <c r="D7858" t="inlineStr">
        <is>
          <t>GÄVLEBORGS LÄN</t>
        </is>
      </c>
      <c r="E7858" t="inlineStr">
        <is>
          <t>HUDIKSVALL</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52165-2023</t>
        </is>
      </c>
      <c r="B7859" s="1" t="n">
        <v>45224.33109953703</v>
      </c>
      <c r="C7859" s="1" t="n">
        <v>45911</v>
      </c>
      <c r="D7859" t="inlineStr">
        <is>
          <t>GÄVLEBORGS LÄN</t>
        </is>
      </c>
      <c r="E7859" t="inlineStr">
        <is>
          <t>OVANÅKER</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48270-2024</t>
        </is>
      </c>
      <c r="B7860" s="1" t="n">
        <v>45590.4315162037</v>
      </c>
      <c r="C7860" s="1" t="n">
        <v>45911</v>
      </c>
      <c r="D7860" t="inlineStr">
        <is>
          <t>GÄVLEBORGS LÄN</t>
        </is>
      </c>
      <c r="E7860" t="inlineStr">
        <is>
          <t>BOLLNÄS</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28083-2024</t>
        </is>
      </c>
      <c r="B7861" s="1" t="n">
        <v>45476.59189814814</v>
      </c>
      <c r="C7861" s="1" t="n">
        <v>45911</v>
      </c>
      <c r="D7861" t="inlineStr">
        <is>
          <t>GÄVLEBORGS LÄN</t>
        </is>
      </c>
      <c r="E7861" t="inlineStr">
        <is>
          <t>BOLLNÄS</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33199-2024</t>
        </is>
      </c>
      <c r="B7862" s="1" t="n">
        <v>45518.51728009259</v>
      </c>
      <c r="C7862" s="1" t="n">
        <v>45911</v>
      </c>
      <c r="D7862" t="inlineStr">
        <is>
          <t>GÄVLEBORGS LÄN</t>
        </is>
      </c>
      <c r="E7862" t="inlineStr">
        <is>
          <t>LJUSDAL</t>
        </is>
      </c>
      <c r="F7862" t="inlineStr">
        <is>
          <t>Bergvik skog väst AB</t>
        </is>
      </c>
      <c r="G7862" t="n">
        <v>2.4</v>
      </c>
      <c r="H7862" t="n">
        <v>0</v>
      </c>
      <c r="I7862" t="n">
        <v>0</v>
      </c>
      <c r="J7862" t="n">
        <v>0</v>
      </c>
      <c r="K7862" t="n">
        <v>0</v>
      </c>
      <c r="L7862" t="n">
        <v>0</v>
      </c>
      <c r="M7862" t="n">
        <v>0</v>
      </c>
      <c r="N7862" t="n">
        <v>0</v>
      </c>
      <c r="O7862" t="n">
        <v>0</v>
      </c>
      <c r="P7862" t="n">
        <v>0</v>
      </c>
      <c r="Q7862" t="n">
        <v>0</v>
      </c>
      <c r="R7862" s="2" t="inlineStr"/>
    </row>
    <row r="7863" ht="15" customHeight="1">
      <c r="A7863" t="inlineStr">
        <is>
          <t>A 22355-2025</t>
        </is>
      </c>
      <c r="B7863" s="1" t="n">
        <v>45786.45901620371</v>
      </c>
      <c r="C7863" s="1" t="n">
        <v>45911</v>
      </c>
      <c r="D7863" t="inlineStr">
        <is>
          <t>GÄVLEBORGS LÄN</t>
        </is>
      </c>
      <c r="E7863" t="inlineStr">
        <is>
          <t>GÄVLE</t>
        </is>
      </c>
      <c r="F7863" t="inlineStr">
        <is>
          <t>Bergvik skog väst AB</t>
        </is>
      </c>
      <c r="G7863" t="n">
        <v>2.5</v>
      </c>
      <c r="H7863" t="n">
        <v>0</v>
      </c>
      <c r="I7863" t="n">
        <v>0</v>
      </c>
      <c r="J7863" t="n">
        <v>0</v>
      </c>
      <c r="K7863" t="n">
        <v>0</v>
      </c>
      <c r="L7863" t="n">
        <v>0</v>
      </c>
      <c r="M7863" t="n">
        <v>0</v>
      </c>
      <c r="N7863" t="n">
        <v>0</v>
      </c>
      <c r="O7863" t="n">
        <v>0</v>
      </c>
      <c r="P7863" t="n">
        <v>0</v>
      </c>
      <c r="Q7863" t="n">
        <v>0</v>
      </c>
      <c r="R7863" s="2" t="inlineStr"/>
    </row>
    <row r="7864" ht="15" customHeight="1">
      <c r="A7864" t="inlineStr">
        <is>
          <t>A 30879-2024</t>
        </is>
      </c>
      <c r="B7864" s="1" t="n">
        <v>45498.35340277778</v>
      </c>
      <c r="C7864" s="1" t="n">
        <v>45911</v>
      </c>
      <c r="D7864" t="inlineStr">
        <is>
          <t>GÄVLEBORGS LÄN</t>
        </is>
      </c>
      <c r="E7864" t="inlineStr">
        <is>
          <t>NORDANSTIG</t>
        </is>
      </c>
      <c r="F7864" t="inlineStr">
        <is>
          <t>Holmen skog AB</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52273-2024</t>
        </is>
      </c>
      <c r="B7865" s="1" t="n">
        <v>45608.66064814815</v>
      </c>
      <c r="C7865" s="1" t="n">
        <v>45911</v>
      </c>
      <c r="D7865" t="inlineStr">
        <is>
          <t>GÄVLEBORGS LÄN</t>
        </is>
      </c>
      <c r="E7865" t="inlineStr">
        <is>
          <t>OCKELBO</t>
        </is>
      </c>
      <c r="G7865" t="n">
        <v>2.9</v>
      </c>
      <c r="H7865" t="n">
        <v>0</v>
      </c>
      <c r="I7865" t="n">
        <v>0</v>
      </c>
      <c r="J7865" t="n">
        <v>0</v>
      </c>
      <c r="K7865" t="n">
        <v>0</v>
      </c>
      <c r="L7865" t="n">
        <v>0</v>
      </c>
      <c r="M7865" t="n">
        <v>0</v>
      </c>
      <c r="N7865" t="n">
        <v>0</v>
      </c>
      <c r="O7865" t="n">
        <v>0</v>
      </c>
      <c r="P7865" t="n">
        <v>0</v>
      </c>
      <c r="Q7865" t="n">
        <v>0</v>
      </c>
      <c r="R7865" s="2" t="inlineStr"/>
    </row>
    <row r="7866" ht="15" customHeight="1">
      <c r="A7866" t="inlineStr">
        <is>
          <t>A 22015-2025</t>
        </is>
      </c>
      <c r="B7866" s="1" t="n">
        <v>45784.78133101852</v>
      </c>
      <c r="C7866" s="1" t="n">
        <v>45911</v>
      </c>
      <c r="D7866" t="inlineStr">
        <is>
          <t>GÄVLEBORGS LÄN</t>
        </is>
      </c>
      <c r="E7866" t="inlineStr">
        <is>
          <t>HUDIKSVALL</t>
        </is>
      </c>
      <c r="F7866" t="inlineStr">
        <is>
          <t>Holmen skog AB</t>
        </is>
      </c>
      <c r="G7866" t="n">
        <v>14.3</v>
      </c>
      <c r="H7866" t="n">
        <v>0</v>
      </c>
      <c r="I7866" t="n">
        <v>0</v>
      </c>
      <c r="J7866" t="n">
        <v>0</v>
      </c>
      <c r="K7866" t="n">
        <v>0</v>
      </c>
      <c r="L7866" t="n">
        <v>0</v>
      </c>
      <c r="M7866" t="n">
        <v>0</v>
      </c>
      <c r="N7866" t="n">
        <v>0</v>
      </c>
      <c r="O7866" t="n">
        <v>0</v>
      </c>
      <c r="P7866" t="n">
        <v>0</v>
      </c>
      <c r="Q7866" t="n">
        <v>0</v>
      </c>
      <c r="R7866" s="2" t="inlineStr"/>
    </row>
    <row r="7867" ht="15" customHeight="1">
      <c r="A7867" t="inlineStr">
        <is>
          <t>A 7202-2025</t>
        </is>
      </c>
      <c r="B7867" s="1" t="n">
        <v>45702.46539351852</v>
      </c>
      <c r="C7867" s="1" t="n">
        <v>45911</v>
      </c>
      <c r="D7867" t="inlineStr">
        <is>
          <t>GÄVLEBORGS LÄN</t>
        </is>
      </c>
      <c r="E7867" t="inlineStr">
        <is>
          <t>GÄVLE</t>
        </is>
      </c>
      <c r="F7867" t="inlineStr">
        <is>
          <t>Bergvik skog öst AB</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41525-2022</t>
        </is>
      </c>
      <c r="B7868" s="1" t="n">
        <v>44827.34787037037</v>
      </c>
      <c r="C7868" s="1" t="n">
        <v>45911</v>
      </c>
      <c r="D7868" t="inlineStr">
        <is>
          <t>GÄVLEBORGS LÄN</t>
        </is>
      </c>
      <c r="E7868" t="inlineStr">
        <is>
          <t>LJUSDAL</t>
        </is>
      </c>
      <c r="F7868" t="inlineStr">
        <is>
          <t>Holmen skog AB</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41284-2023</t>
        </is>
      </c>
      <c r="B7869" s="1" t="n">
        <v>45174</v>
      </c>
      <c r="C7869" s="1" t="n">
        <v>45911</v>
      </c>
      <c r="D7869" t="inlineStr">
        <is>
          <t>GÄVLEBORGS LÄN</t>
        </is>
      </c>
      <c r="E7869" t="inlineStr">
        <is>
          <t>SANDVIKEN</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43750-2023</t>
        </is>
      </c>
      <c r="B7870" s="1" t="n">
        <v>45187</v>
      </c>
      <c r="C7870" s="1" t="n">
        <v>45911</v>
      </c>
      <c r="D7870" t="inlineStr">
        <is>
          <t>GÄVLEBORGS LÄN</t>
        </is>
      </c>
      <c r="E7870" t="inlineStr">
        <is>
          <t>BOLLNÄS</t>
        </is>
      </c>
      <c r="G7870" t="n">
        <v>2.8</v>
      </c>
      <c r="H7870" t="n">
        <v>0</v>
      </c>
      <c r="I7870" t="n">
        <v>0</v>
      </c>
      <c r="J7870" t="n">
        <v>0</v>
      </c>
      <c r="K7870" t="n">
        <v>0</v>
      </c>
      <c r="L7870" t="n">
        <v>0</v>
      </c>
      <c r="M7870" t="n">
        <v>0</v>
      </c>
      <c r="N7870" t="n">
        <v>0</v>
      </c>
      <c r="O7870" t="n">
        <v>0</v>
      </c>
      <c r="P7870" t="n">
        <v>0</v>
      </c>
      <c r="Q7870" t="n">
        <v>0</v>
      </c>
      <c r="R7870" s="2" t="inlineStr"/>
    </row>
    <row r="7871" ht="15" customHeight="1">
      <c r="A7871" t="inlineStr">
        <is>
          <t>A 56019-2023</t>
        </is>
      </c>
      <c r="B7871" s="1" t="n">
        <v>45240.42166666667</v>
      </c>
      <c r="C7871" s="1" t="n">
        <v>45911</v>
      </c>
      <c r="D7871" t="inlineStr">
        <is>
          <t>GÄVLEBORGS LÄN</t>
        </is>
      </c>
      <c r="E7871" t="inlineStr">
        <is>
          <t>SANDVIKEN</t>
        </is>
      </c>
      <c r="G7871" t="n">
        <v>3.3</v>
      </c>
      <c r="H7871" t="n">
        <v>0</v>
      </c>
      <c r="I7871" t="n">
        <v>0</v>
      </c>
      <c r="J7871" t="n">
        <v>0</v>
      </c>
      <c r="K7871" t="n">
        <v>0</v>
      </c>
      <c r="L7871" t="n">
        <v>0</v>
      </c>
      <c r="M7871" t="n">
        <v>0</v>
      </c>
      <c r="N7871" t="n">
        <v>0</v>
      </c>
      <c r="O7871" t="n">
        <v>0</v>
      </c>
      <c r="P7871" t="n">
        <v>0</v>
      </c>
      <c r="Q7871" t="n">
        <v>0</v>
      </c>
      <c r="R7871" s="2" t="inlineStr"/>
    </row>
    <row r="7872" ht="15" customHeight="1">
      <c r="A7872" t="inlineStr">
        <is>
          <t>A 54323-2024</t>
        </is>
      </c>
      <c r="B7872" s="1" t="n">
        <v>45617.35549768519</v>
      </c>
      <c r="C7872" s="1" t="n">
        <v>45911</v>
      </c>
      <c r="D7872" t="inlineStr">
        <is>
          <t>GÄVLEBORGS LÄN</t>
        </is>
      </c>
      <c r="E7872" t="inlineStr">
        <is>
          <t>OCKELBO</t>
        </is>
      </c>
      <c r="F7872" t="inlineStr">
        <is>
          <t>Bergvik skog väst AB</t>
        </is>
      </c>
      <c r="G7872" t="n">
        <v>2.2</v>
      </c>
      <c r="H7872" t="n">
        <v>0</v>
      </c>
      <c r="I7872" t="n">
        <v>0</v>
      </c>
      <c r="J7872" t="n">
        <v>0</v>
      </c>
      <c r="K7872" t="n">
        <v>0</v>
      </c>
      <c r="L7872" t="n">
        <v>0</v>
      </c>
      <c r="M7872" t="n">
        <v>0</v>
      </c>
      <c r="N7872" t="n">
        <v>0</v>
      </c>
      <c r="O7872" t="n">
        <v>0</v>
      </c>
      <c r="P7872" t="n">
        <v>0</v>
      </c>
      <c r="Q7872" t="n">
        <v>0</v>
      </c>
      <c r="R7872" s="2" t="inlineStr"/>
    </row>
    <row r="7873" ht="15" customHeight="1">
      <c r="A7873" t="inlineStr">
        <is>
          <t>A 23093-2022</t>
        </is>
      </c>
      <c r="B7873" s="1" t="n">
        <v>44719.4865625</v>
      </c>
      <c r="C7873" s="1" t="n">
        <v>45911</v>
      </c>
      <c r="D7873" t="inlineStr">
        <is>
          <t>GÄVLEBORGS LÄN</t>
        </is>
      </c>
      <c r="E7873" t="inlineStr">
        <is>
          <t>OVANÅKER</t>
        </is>
      </c>
      <c r="G7873" t="n">
        <v>3</v>
      </c>
      <c r="H7873" t="n">
        <v>0</v>
      </c>
      <c r="I7873" t="n">
        <v>0</v>
      </c>
      <c r="J7873" t="n">
        <v>0</v>
      </c>
      <c r="K7873" t="n">
        <v>0</v>
      </c>
      <c r="L7873" t="n">
        <v>0</v>
      </c>
      <c r="M7873" t="n">
        <v>0</v>
      </c>
      <c r="N7873" t="n">
        <v>0</v>
      </c>
      <c r="O7873" t="n">
        <v>0</v>
      </c>
      <c r="P7873" t="n">
        <v>0</v>
      </c>
      <c r="Q7873" t="n">
        <v>0</v>
      </c>
      <c r="R7873" s="2" t="inlineStr"/>
    </row>
    <row r="7874" ht="15" customHeight="1">
      <c r="A7874" t="inlineStr">
        <is>
          <t>A 47676-2024</t>
        </is>
      </c>
      <c r="B7874" s="1" t="n">
        <v>45588.40865740741</v>
      </c>
      <c r="C7874" s="1" t="n">
        <v>45911</v>
      </c>
      <c r="D7874" t="inlineStr">
        <is>
          <t>GÄVLEBORGS LÄN</t>
        </is>
      </c>
      <c r="E7874" t="inlineStr">
        <is>
          <t>SÖDERHAMN</t>
        </is>
      </c>
      <c r="G7874" t="n">
        <v>2.9</v>
      </c>
      <c r="H7874" t="n">
        <v>0</v>
      </c>
      <c r="I7874" t="n">
        <v>0</v>
      </c>
      <c r="J7874" t="n">
        <v>0</v>
      </c>
      <c r="K7874" t="n">
        <v>0</v>
      </c>
      <c r="L7874" t="n">
        <v>0</v>
      </c>
      <c r="M7874" t="n">
        <v>0</v>
      </c>
      <c r="N7874" t="n">
        <v>0</v>
      </c>
      <c r="O7874" t="n">
        <v>0</v>
      </c>
      <c r="P7874" t="n">
        <v>0</v>
      </c>
      <c r="Q7874" t="n">
        <v>0</v>
      </c>
      <c r="R7874" s="2" t="inlineStr"/>
    </row>
    <row r="7875" ht="15" customHeight="1">
      <c r="A7875" t="inlineStr">
        <is>
          <t>A 41670-2024</t>
        </is>
      </c>
      <c r="B7875" s="1" t="n">
        <v>45560.65509259259</v>
      </c>
      <c r="C7875" s="1" t="n">
        <v>45911</v>
      </c>
      <c r="D7875" t="inlineStr">
        <is>
          <t>GÄVLEBORGS LÄN</t>
        </is>
      </c>
      <c r="E7875" t="inlineStr">
        <is>
          <t>BOLLNÄS</t>
        </is>
      </c>
      <c r="G7875" t="n">
        <v>11.5</v>
      </c>
      <c r="H7875" t="n">
        <v>0</v>
      </c>
      <c r="I7875" t="n">
        <v>0</v>
      </c>
      <c r="J7875" t="n">
        <v>0</v>
      </c>
      <c r="K7875" t="n">
        <v>0</v>
      </c>
      <c r="L7875" t="n">
        <v>0</v>
      </c>
      <c r="M7875" t="n">
        <v>0</v>
      </c>
      <c r="N7875" t="n">
        <v>0</v>
      </c>
      <c r="O7875" t="n">
        <v>0</v>
      </c>
      <c r="P7875" t="n">
        <v>0</v>
      </c>
      <c r="Q7875" t="n">
        <v>0</v>
      </c>
      <c r="R7875" s="2" t="inlineStr"/>
    </row>
    <row r="7876" ht="15" customHeight="1">
      <c r="A7876" t="inlineStr">
        <is>
          <t>A 22786-2024</t>
        </is>
      </c>
      <c r="B7876" s="1" t="n">
        <v>45448.48175925926</v>
      </c>
      <c r="C7876" s="1" t="n">
        <v>45911</v>
      </c>
      <c r="D7876" t="inlineStr">
        <is>
          <t>GÄVLEBORGS LÄN</t>
        </is>
      </c>
      <c r="E7876" t="inlineStr">
        <is>
          <t>LJUSDAL</t>
        </is>
      </c>
      <c r="F7876" t="inlineStr">
        <is>
          <t>Sveaskog</t>
        </is>
      </c>
      <c r="G7876" t="n">
        <v>4.2</v>
      </c>
      <c r="H7876" t="n">
        <v>0</v>
      </c>
      <c r="I7876" t="n">
        <v>0</v>
      </c>
      <c r="J7876" t="n">
        <v>0</v>
      </c>
      <c r="K7876" t="n">
        <v>0</v>
      </c>
      <c r="L7876" t="n">
        <v>0</v>
      </c>
      <c r="M7876" t="n">
        <v>0</v>
      </c>
      <c r="N7876" t="n">
        <v>0</v>
      </c>
      <c r="O7876" t="n">
        <v>0</v>
      </c>
      <c r="P7876" t="n">
        <v>0</v>
      </c>
      <c r="Q7876" t="n">
        <v>0</v>
      </c>
      <c r="R7876" s="2" t="inlineStr"/>
    </row>
    <row r="7877" ht="15" customHeight="1">
      <c r="A7877" t="inlineStr">
        <is>
          <t>A 56229-2024</t>
        </is>
      </c>
      <c r="B7877" s="1" t="n">
        <v>45624.61965277778</v>
      </c>
      <c r="C7877" s="1" t="n">
        <v>45911</v>
      </c>
      <c r="D7877" t="inlineStr">
        <is>
          <t>GÄVLEBORGS LÄN</t>
        </is>
      </c>
      <c r="E7877" t="inlineStr">
        <is>
          <t>BOLLNÄS</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22188-2025</t>
        </is>
      </c>
      <c r="B7878" s="1" t="n">
        <v>45785.62377314815</v>
      </c>
      <c r="C7878" s="1" t="n">
        <v>45911</v>
      </c>
      <c r="D7878" t="inlineStr">
        <is>
          <t>GÄVLEBORGS LÄN</t>
        </is>
      </c>
      <c r="E7878" t="inlineStr">
        <is>
          <t>HUDIKSVALL</t>
        </is>
      </c>
      <c r="G7878" t="n">
        <v>2.4</v>
      </c>
      <c r="H7878" t="n">
        <v>0</v>
      </c>
      <c r="I7878" t="n">
        <v>0</v>
      </c>
      <c r="J7878" t="n">
        <v>0</v>
      </c>
      <c r="K7878" t="n">
        <v>0</v>
      </c>
      <c r="L7878" t="n">
        <v>0</v>
      </c>
      <c r="M7878" t="n">
        <v>0</v>
      </c>
      <c r="N7878" t="n">
        <v>0</v>
      </c>
      <c r="O7878" t="n">
        <v>0</v>
      </c>
      <c r="P7878" t="n">
        <v>0</v>
      </c>
      <c r="Q7878" t="n">
        <v>0</v>
      </c>
      <c r="R7878" s="2" t="inlineStr"/>
    </row>
    <row r="7879" ht="15" customHeight="1">
      <c r="A7879" t="inlineStr">
        <is>
          <t>A 22194-2025</t>
        </is>
      </c>
      <c r="B7879" s="1" t="n">
        <v>45785.64438657407</v>
      </c>
      <c r="C7879" s="1" t="n">
        <v>45911</v>
      </c>
      <c r="D7879" t="inlineStr">
        <is>
          <t>GÄVLEBORGS LÄN</t>
        </is>
      </c>
      <c r="E7879" t="inlineStr">
        <is>
          <t>LJUSDAL</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40460-2024</t>
        </is>
      </c>
      <c r="B7880" s="1" t="n">
        <v>45555.50784722222</v>
      </c>
      <c r="C7880" s="1" t="n">
        <v>45911</v>
      </c>
      <c r="D7880" t="inlineStr">
        <is>
          <t>GÄVLEBORGS LÄN</t>
        </is>
      </c>
      <c r="E7880" t="inlineStr">
        <is>
          <t>SANDVIKEN</t>
        </is>
      </c>
      <c r="G7880" t="n">
        <v>2.4</v>
      </c>
      <c r="H7880" t="n">
        <v>0</v>
      </c>
      <c r="I7880" t="n">
        <v>0</v>
      </c>
      <c r="J7880" t="n">
        <v>0</v>
      </c>
      <c r="K7880" t="n">
        <v>0</v>
      </c>
      <c r="L7880" t="n">
        <v>0</v>
      </c>
      <c r="M7880" t="n">
        <v>0</v>
      </c>
      <c r="N7880" t="n">
        <v>0</v>
      </c>
      <c r="O7880" t="n">
        <v>0</v>
      </c>
      <c r="P7880" t="n">
        <v>0</v>
      </c>
      <c r="Q7880" t="n">
        <v>0</v>
      </c>
      <c r="R7880" s="2" t="inlineStr"/>
    </row>
    <row r="7881" ht="15" customHeight="1">
      <c r="A7881" t="inlineStr">
        <is>
          <t>A 55446-2024</t>
        </is>
      </c>
      <c r="B7881" s="1" t="n">
        <v>45622.41663194444</v>
      </c>
      <c r="C7881" s="1" t="n">
        <v>45911</v>
      </c>
      <c r="D7881" t="inlineStr">
        <is>
          <t>GÄVLEBORGS LÄN</t>
        </is>
      </c>
      <c r="E7881" t="inlineStr">
        <is>
          <t>SANDVIKEN</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37071-2024</t>
        </is>
      </c>
      <c r="B7882" s="1" t="n">
        <v>45539.46820601852</v>
      </c>
      <c r="C7882" s="1" t="n">
        <v>45911</v>
      </c>
      <c r="D7882" t="inlineStr">
        <is>
          <t>GÄVLEBORGS LÄN</t>
        </is>
      </c>
      <c r="E7882" t="inlineStr">
        <is>
          <t>OVANÅKER</t>
        </is>
      </c>
      <c r="F7882" t="inlineStr">
        <is>
          <t>Bergvik skog väst AB</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48319-2023</t>
        </is>
      </c>
      <c r="B7883" s="1" t="n">
        <v>45205.59666666666</v>
      </c>
      <c r="C7883" s="1" t="n">
        <v>45911</v>
      </c>
      <c r="D7883" t="inlineStr">
        <is>
          <t>GÄVLEBORGS LÄN</t>
        </is>
      </c>
      <c r="E7883" t="inlineStr">
        <is>
          <t>SANDVIKEN</t>
        </is>
      </c>
      <c r="G7883" t="n">
        <v>1.7</v>
      </c>
      <c r="H7883" t="n">
        <v>0</v>
      </c>
      <c r="I7883" t="n">
        <v>0</v>
      </c>
      <c r="J7883" t="n">
        <v>0</v>
      </c>
      <c r="K7883" t="n">
        <v>0</v>
      </c>
      <c r="L7883" t="n">
        <v>0</v>
      </c>
      <c r="M7883" t="n">
        <v>0</v>
      </c>
      <c r="N7883" t="n">
        <v>0</v>
      </c>
      <c r="O7883" t="n">
        <v>0</v>
      </c>
      <c r="P7883" t="n">
        <v>0</v>
      </c>
      <c r="Q7883" t="n">
        <v>0</v>
      </c>
      <c r="R7883" s="2" t="inlineStr"/>
    </row>
    <row r="7884">
      <c r="A7884" t="inlineStr">
        <is>
          <t>A 7379-2021</t>
        </is>
      </c>
      <c r="B7884" s="1" t="n">
        <v>44239</v>
      </c>
      <c r="C7884" s="1" t="n">
        <v>45911</v>
      </c>
      <c r="D7884" t="inlineStr">
        <is>
          <t>GÄVLEBORGS LÄN</t>
        </is>
      </c>
      <c r="E7884" t="inlineStr">
        <is>
          <t>OCKELBO</t>
        </is>
      </c>
      <c r="F7884" t="inlineStr">
        <is>
          <t>Bergvik skog väst AB</t>
        </is>
      </c>
      <c r="G7884" t="n">
        <v>3.1</v>
      </c>
      <c r="H7884" t="n">
        <v>0</v>
      </c>
      <c r="I7884" t="n">
        <v>0</v>
      </c>
      <c r="J7884" t="n">
        <v>0</v>
      </c>
      <c r="K7884" t="n">
        <v>0</v>
      </c>
      <c r="L7884" t="n">
        <v>0</v>
      </c>
      <c r="M7884" t="n">
        <v>0</v>
      </c>
      <c r="N7884" t="n">
        <v>0</v>
      </c>
      <c r="O7884" t="n">
        <v>0</v>
      </c>
      <c r="P7884" t="n">
        <v>0</v>
      </c>
      <c r="Q7884" t="n">
        <v>0</v>
      </c>
      <c r="R78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2025-09-11T08:52:17Z</dcterms:created>
  <dcterms:modified xmlns:dcterms="http://purl.org/dc/terms/" xmlns:xsi="http://www.w3.org/2001/XMLSchema-instance" xsi:type="dcterms:W3CDTF">2025-09-11T08:52:23Z</dcterms:modified>
</cp:coreProperties>
</file>